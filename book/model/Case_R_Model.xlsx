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Operations" sheetId="4" state="visible" r:id="rId4"/>
    <sheet name="Tax" sheetId="5" state="visible" r:id="rId5"/>
    <sheet name="Funding" sheetId="6" state="visible" r:id="rId6"/>
    <sheet name="Debt" sheetId="7" state="visible" r:id="rId7"/>
    <sheet name="Waterfall" sheetId="8" state="visible" r:id="rId8"/>
    <sheet name="Ratios" sheetId="9" state="visible" r:id="rId9"/>
    <sheet name="Returns" sheetId="10" state="visible" r:id="rId10"/>
    <sheet name="Checks" sheetId="11" state="visible" r:id="rId11"/>
    <sheet name="Outputs" sheetId="12" state="visible" r:id="rId12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0.000000"/>
    <numFmt numFmtId="166" formatCode="yyyy-mm-dd h:mm:ss"/>
    <numFmt numFmtId="167" formatCode="#,##0.00;(#,##0.00);&quot;–&quot;"/>
    <numFmt numFmtId="168" formatCode="0.0000"/>
    <numFmt numFmtId="169" formatCode="0.000&quot;x&quot;"/>
    <numFmt numFmtId="170" formatCode="#,##0.000;(#,##0.000);&quot;–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008000"/>
    </font>
    <font>
      <color rgb="00008000"/>
    </font>
    <font>
      <b val="1"/>
    </font>
    <font>
      <color rgb="000000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" fontId="5" fillId="3" borderId="0" pivotButton="0" quotePrefix="0" xfId="0"/>
    <xf numFmtId="165" fontId="5" fillId="3" borderId="0" pivotButton="0" quotePrefix="0" xfId="0"/>
    <xf numFmtId="164" fontId="5" fillId="3" borderId="0" pivotButton="0" quotePrefix="0" xfId="0"/>
    <xf numFmtId="167" fontId="5" fillId="3" borderId="0" pivotButton="0" quotePrefix="0" xfId="0"/>
    <xf numFmtId="168" fontId="5" fillId="3" borderId="0" pivotButton="0" quotePrefix="0" xfId="0"/>
    <xf numFmtId="169" fontId="5" fillId="3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" fontId="3" fillId="0" borderId="0" pivotButton="0" quotePrefix="0" xfId="0"/>
    <xf numFmtId="165" fontId="3" fillId="0" borderId="0" pivotButton="0" quotePrefix="0" xfId="0"/>
    <xf numFmtId="167" fontId="0" fillId="0" borderId="0" pivotButton="0" quotePrefix="0" xfId="0"/>
    <xf numFmtId="0" fontId="6" fillId="0" borderId="0" pivotButton="0" quotePrefix="0" xfId="0"/>
    <xf numFmtId="170" fontId="0" fillId="0" borderId="0" pivotButton="0" quotePrefix="0" xfId="0"/>
    <xf numFmtId="170" fontId="3" fillId="0" borderId="0" pivotButton="0" quotePrefix="0" xfId="0"/>
    <xf numFmtId="169" fontId="0" fillId="0" borderId="0" pivotButton="0" quotePrefix="0" xfId="0"/>
    <xf numFmtId="0" fontId="4" fillId="0" borderId="0" pivotButton="0" quotePrefix="0" xfId="0"/>
    <xf numFmtId="168" fontId="3" fillId="0" borderId="0" pivotButton="0" quotePrefix="0" xfId="0"/>
    <xf numFmtId="169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" customWidth="1" min="1" max="1"/>
    <col width="160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Case R reference model: Mesa Corta Renewables portfolio (ERCOT)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B4" t="inlineStr">
        <is>
          <t>Owner: Lattimer Energy Transition Fund II (Lattimer Infrastructure Partners). Platform: Mesa Corta Renewables LLC; HoldCo: Mesa Corta HoldCo LLC; OpCo: Mesa Corta OpCo LLC.</t>
        </is>
      </c>
    </row>
    <row r="5">
      <c r="B5" t="inlineStr">
        <is>
          <t>Assets R1-R8 (603.0 MW wind, 401.1 MWac solar, 250.0 MW / 500 MWh storage). Annual periods 2022-2059, first period in column J.</t>
        </is>
      </c>
    </row>
    <row r="6">
      <c r="B6" t="inlineStr">
        <is>
          <t>Python mirror: model/case_r.py (computational source of truth). Verification: model/case_r_verification.md.</t>
        </is>
      </c>
    </row>
    <row r="7">
      <c r="B7" t="inlineStr">
        <is>
          <t>Model version R-1.1; inputs_case_r.json version 1.1. Workbook saved with scenario 'base'.</t>
        </is>
      </c>
    </row>
    <row r="8">
      <c r="B8" t="inlineStr">
        <is>
          <t>Switches on the Inputs sheet: Scenario (1 base, 2 low, 3 high prices and captures), volume case (1 P50, 2 P90 one-year, 3 P90 ten-year, 4 P99 one-year),</t>
        </is>
      </c>
    </row>
    <row r="9">
      <c r="B9" t="inlineStr">
        <is>
          <t>refinancing switch (1 = 2025 USPP refinancing and holdco repricing, 0 = status quo), and sensitivity cells. Debt is always sized on the Operations sizing blocks (base, P50 and P99).</t>
        </is>
      </c>
    </row>
    <row r="10">
      <c r="B10" t="inlineStr">
        <is>
          <t>Colors: blue on pale yellow = input; green = link from another sheet; black = calculation; Checks sheet shows 0 when passing, red when failing.</t>
        </is>
      </c>
    </row>
    <row r="11">
      <c r="B11" t="inlineStr">
        <is>
          <t>Sign convention: costs and outflows stored positive on calculation sheets and subtracted explicitly.</t>
        </is>
      </c>
    </row>
    <row r="12">
      <c r="B12" t="inlineStr">
        <is>
          <t>No circular references: debt sculpting uses forward discount-factor products; USPP series are solved backward from 2043; iterative calculation is off.</t>
        </is>
      </c>
    </row>
    <row r="13">
      <c r="B13" t="inlineStr">
        <is>
          <t>Every Case R price is Illustrative: Case Bible illustrative price paths; not ERCOT settlement data and not a forecast.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4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Inputs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D4" t="inlineStr">
        <is>
          <t>Year</t>
        </is>
      </c>
      <c r="J4" s="2">
        <f>Time!J$4</f>
        <v/>
      </c>
      <c r="K4" s="2">
        <f>Time!K$4</f>
        <v/>
      </c>
      <c r="L4" s="2">
        <f>Time!L$4</f>
        <v/>
      </c>
      <c r="M4" s="2">
        <f>Time!M$4</f>
        <v/>
      </c>
      <c r="N4" s="2">
        <f>Time!N$4</f>
        <v/>
      </c>
      <c r="O4" s="2">
        <f>Time!O$4</f>
        <v/>
      </c>
      <c r="P4" s="2">
        <f>Time!P$4</f>
        <v/>
      </c>
      <c r="Q4" s="2">
        <f>Time!Q$4</f>
        <v/>
      </c>
      <c r="R4" s="2">
        <f>Time!R$4</f>
        <v/>
      </c>
      <c r="S4" s="2">
        <f>Time!S$4</f>
        <v/>
      </c>
      <c r="T4" s="2">
        <f>Time!T$4</f>
        <v/>
      </c>
      <c r="U4" s="2">
        <f>Time!U$4</f>
        <v/>
      </c>
      <c r="V4" s="2">
        <f>Time!V$4</f>
        <v/>
      </c>
      <c r="W4" s="2">
        <f>Time!W$4</f>
        <v/>
      </c>
      <c r="X4" s="2">
        <f>Time!X$4</f>
        <v/>
      </c>
      <c r="Y4" s="2">
        <f>Time!Y$4</f>
        <v/>
      </c>
      <c r="Z4" s="2">
        <f>Time!Z$4</f>
        <v/>
      </c>
      <c r="AA4" s="2">
        <f>Time!AA$4</f>
        <v/>
      </c>
      <c r="AB4" s="2">
        <f>Time!AB$4</f>
        <v/>
      </c>
      <c r="AC4" s="2">
        <f>Time!AC$4</f>
        <v/>
      </c>
      <c r="AD4" s="2">
        <f>Time!AD$4</f>
        <v/>
      </c>
      <c r="AE4" s="2">
        <f>Time!AE$4</f>
        <v/>
      </c>
      <c r="AF4" s="2">
        <f>Time!AF$4</f>
        <v/>
      </c>
      <c r="AG4" s="2">
        <f>Time!AG$4</f>
        <v/>
      </c>
      <c r="AH4" s="2">
        <f>Time!AH$4</f>
        <v/>
      </c>
      <c r="AI4" s="2">
        <f>Time!AI$4</f>
        <v/>
      </c>
      <c r="AJ4" s="2">
        <f>Time!AJ$4</f>
        <v/>
      </c>
      <c r="AK4" s="2">
        <f>Time!AK$4</f>
        <v/>
      </c>
      <c r="AL4" s="2">
        <f>Time!AL$4</f>
        <v/>
      </c>
      <c r="AM4" s="2">
        <f>Time!AM$4</f>
        <v/>
      </c>
      <c r="AN4" s="2">
        <f>Time!AN$4</f>
        <v/>
      </c>
      <c r="AO4" s="2">
        <f>Time!AO$4</f>
        <v/>
      </c>
      <c r="AP4" s="2">
        <f>Time!AP$4</f>
        <v/>
      </c>
      <c r="AQ4" s="2">
        <f>Time!AQ$4</f>
        <v/>
      </c>
      <c r="AR4" s="2">
        <f>Time!AR$4</f>
        <v/>
      </c>
      <c r="AS4" s="2">
        <f>Time!AS$4</f>
        <v/>
      </c>
      <c r="AT4" s="2">
        <f>Time!AT$4</f>
        <v/>
      </c>
      <c r="AU4" s="2">
        <f>Time!AU$4</f>
        <v/>
      </c>
    </row>
    <row r="5">
      <c r="D5" t="inlineStr">
        <is>
          <t>Period end</t>
        </is>
      </c>
      <c r="J5" s="3">
        <f>Time!J$6</f>
        <v/>
      </c>
      <c r="K5" s="3">
        <f>Time!K$6</f>
        <v/>
      </c>
      <c r="L5" s="3">
        <f>Time!L$6</f>
        <v/>
      </c>
      <c r="M5" s="3">
        <f>Time!M$6</f>
        <v/>
      </c>
      <c r="N5" s="3">
        <f>Time!N$6</f>
        <v/>
      </c>
      <c r="O5" s="3">
        <f>Time!O$6</f>
        <v/>
      </c>
      <c r="P5" s="3">
        <f>Time!P$6</f>
        <v/>
      </c>
      <c r="Q5" s="3">
        <f>Time!Q$6</f>
        <v/>
      </c>
      <c r="R5" s="3">
        <f>Time!R$6</f>
        <v/>
      </c>
      <c r="S5" s="3">
        <f>Time!S$6</f>
        <v/>
      </c>
      <c r="T5" s="3">
        <f>Time!T$6</f>
        <v/>
      </c>
      <c r="U5" s="3">
        <f>Time!U$6</f>
        <v/>
      </c>
      <c r="V5" s="3">
        <f>Time!V$6</f>
        <v/>
      </c>
      <c r="W5" s="3">
        <f>Time!W$6</f>
        <v/>
      </c>
      <c r="X5" s="3">
        <f>Time!X$6</f>
        <v/>
      </c>
      <c r="Y5" s="3">
        <f>Time!Y$6</f>
        <v/>
      </c>
      <c r="Z5" s="3">
        <f>Time!Z$6</f>
        <v/>
      </c>
      <c r="AA5" s="3">
        <f>Time!AA$6</f>
        <v/>
      </c>
      <c r="AB5" s="3">
        <f>Time!AB$6</f>
        <v/>
      </c>
      <c r="AC5" s="3">
        <f>Time!AC$6</f>
        <v/>
      </c>
      <c r="AD5" s="3">
        <f>Time!AD$6</f>
        <v/>
      </c>
      <c r="AE5" s="3">
        <f>Time!AE$6</f>
        <v/>
      </c>
      <c r="AF5" s="3">
        <f>Time!AF$6</f>
        <v/>
      </c>
      <c r="AG5" s="3">
        <f>Time!AG$6</f>
        <v/>
      </c>
      <c r="AH5" s="3">
        <f>Time!AH$6</f>
        <v/>
      </c>
      <c r="AI5" s="3">
        <f>Time!AI$6</f>
        <v/>
      </c>
      <c r="AJ5" s="3">
        <f>Time!AJ$6</f>
        <v/>
      </c>
      <c r="AK5" s="3">
        <f>Time!AK$6</f>
        <v/>
      </c>
      <c r="AL5" s="3">
        <f>Time!AL$6</f>
        <v/>
      </c>
      <c r="AM5" s="3">
        <f>Time!AM$6</f>
        <v/>
      </c>
      <c r="AN5" s="3">
        <f>Time!AN$6</f>
        <v/>
      </c>
      <c r="AO5" s="3">
        <f>Time!AO$6</f>
        <v/>
      </c>
      <c r="AP5" s="3">
        <f>Time!AP$6</f>
        <v/>
      </c>
      <c r="AQ5" s="3">
        <f>Time!AQ$6</f>
        <v/>
      </c>
      <c r="AR5" s="3">
        <f>Time!AR$6</f>
        <v/>
      </c>
      <c r="AS5" s="3">
        <f>Time!AS$6</f>
        <v/>
      </c>
      <c r="AT5" s="3">
        <f>Time!AT$6</f>
        <v/>
      </c>
      <c r="AU5" s="3">
        <f>Time!AU$6</f>
        <v/>
      </c>
    </row>
    <row r="7">
      <c r="A7" s="4" t="inlineStr">
        <is>
          <t>Switches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D8" t="inlineStr">
        <is>
          <t>Scenario (1 base, 2 low, 3 high prices and captures)</t>
        </is>
      </c>
      <c r="E8" t="inlineStr">
        <is>
          <t>index</t>
        </is>
      </c>
      <c r="F8" s="6" t="n">
        <v>1</v>
      </c>
    </row>
    <row r="9">
      <c r="D9" t="inlineStr">
        <is>
          <t>Volume case (1 P50, 2 P90 one-year, 3 P90 ten-year, 4 P99 one-year)</t>
        </is>
      </c>
      <c r="E9" t="inlineStr">
        <is>
          <t>index</t>
        </is>
      </c>
      <c r="F9" s="6" t="n">
        <v>1</v>
      </c>
    </row>
    <row r="10">
      <c r="D10" t="inlineStr">
        <is>
          <t>Refinancing switch (1 = 2025 refinancing, 0 = status quo)</t>
        </is>
      </c>
      <c r="E10" t="inlineStr">
        <is>
          <t>flag</t>
        </is>
      </c>
      <c r="F10" s="6" t="n">
        <v>1</v>
      </c>
    </row>
    <row r="11">
      <c r="D11" t="inlineStr">
        <is>
          <t>Sensitivity: West solar capture shift</t>
        </is>
      </c>
      <c r="E11" t="inlineStr">
        <is>
          <t>points</t>
        </is>
      </c>
      <c r="F11" s="7" t="n">
        <v>0</v>
      </c>
    </row>
    <row r="12">
      <c r="D12" t="inlineStr">
        <is>
          <t>Sensitivity: battery revenue low case (1 = on)</t>
        </is>
      </c>
      <c r="E12" t="inlineStr">
        <is>
          <t>flag</t>
        </is>
      </c>
      <c r="F12" s="6" t="n">
        <v>0</v>
      </c>
    </row>
    <row r="13">
      <c r="D13" t="inlineStr">
        <is>
          <t>Sensitivity: curtailment added</t>
        </is>
      </c>
      <c r="E13" t="inlineStr">
        <is>
          <t>% points</t>
        </is>
      </c>
      <c r="F13" s="7" t="n">
        <v>0</v>
      </c>
    </row>
    <row r="14">
      <c r="D14" t="inlineStr">
        <is>
          <t>Sensitivity: opex factor</t>
        </is>
      </c>
      <c r="E14" t="inlineStr">
        <is>
          <t>factor</t>
        </is>
      </c>
      <c r="F14" s="7" t="n">
        <v>1</v>
      </c>
    </row>
    <row r="15">
      <c r="D15" t="inlineStr">
        <is>
          <t>Sensitivity: SOFR shift on unhedged debt</t>
        </is>
      </c>
      <c r="E15" t="inlineStr">
        <is>
          <t>% points</t>
        </is>
      </c>
      <c r="F15" s="7" t="n">
        <v>0</v>
      </c>
    </row>
    <row r="16">
      <c r="D16" t="inlineStr">
        <is>
          <t>Sizing case price scenario (base)</t>
        </is>
      </c>
      <c r="E16" t="inlineStr">
        <is>
          <t>index</t>
        </is>
      </c>
      <c r="F16" s="6" t="n">
        <v>1</v>
      </c>
    </row>
    <row r="17">
      <c r="D17" t="inlineStr">
        <is>
          <t>Sizing case volume case (P50)</t>
        </is>
      </c>
      <c r="E17" t="inlineStr">
        <is>
          <t>index</t>
        </is>
      </c>
      <c r="F17" s="6" t="n">
        <v>1</v>
      </c>
    </row>
    <row r="18">
      <c r="D18" t="inlineStr">
        <is>
          <t>P99 sizing test volume case</t>
        </is>
      </c>
      <c r="E18" t="inlineStr">
        <is>
          <t>index</t>
        </is>
      </c>
      <c r="F18" s="6" t="n">
        <v>4</v>
      </c>
    </row>
    <row r="19">
      <c r="D19" t="inlineStr">
        <is>
          <t>Sensitivity value in sizing cases</t>
        </is>
      </c>
      <c r="E19" t="inlineStr">
        <is>
          <t>number</t>
        </is>
      </c>
      <c r="F19" s="7" t="n">
        <v>0</v>
      </c>
    </row>
    <row r="20">
      <c r="D20" t="inlineStr">
        <is>
          <t>Opex factor in sizing cases</t>
        </is>
      </c>
      <c r="E20" t="inlineStr">
        <is>
          <t>factor</t>
        </is>
      </c>
      <c r="F20" s="7" t="n">
        <v>1</v>
      </c>
    </row>
    <row r="22">
      <c r="A22" s="4" t="inlineStr">
        <is>
          <t>General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</row>
    <row r="23">
      <c r="D23" t="inlineStr">
        <is>
          <t>First model year</t>
        </is>
      </c>
      <c r="E23" t="inlineStr">
        <is>
          <t>year</t>
        </is>
      </c>
      <c r="F23" s="6" t="n">
        <v>2022</v>
      </c>
    </row>
    <row r="24">
      <c r="D24" t="inlineStr">
        <is>
          <t>Price base year for escalation</t>
        </is>
      </c>
      <c r="E24" t="inlineStr">
        <is>
          <t>year</t>
        </is>
      </c>
      <c r="F24" s="6" t="n">
        <v>2022</v>
      </c>
    </row>
    <row r="25">
      <c r="D25" t="inlineStr">
        <is>
          <t>Opex inflation</t>
        </is>
      </c>
      <c r="E25" t="inlineStr">
        <is>
          <t>% pa</t>
        </is>
      </c>
      <c r="F25" s="7" t="n">
        <v>2.5</v>
      </c>
    </row>
    <row r="26">
      <c r="D26" t="inlineStr">
        <is>
          <t>Model end date</t>
        </is>
      </c>
      <c r="E26" t="inlineStr">
        <is>
          <t>date</t>
        </is>
      </c>
      <c r="F26" s="8" t="n">
        <v>58440</v>
      </c>
    </row>
    <row r="27">
      <c r="D27" t="inlineStr">
        <is>
          <t>Days per year for discounting (unit conversion)</t>
        </is>
      </c>
      <c r="E27" t="inlineStr">
        <is>
          <t>days</t>
        </is>
      </c>
      <c r="F27" s="6" t="n">
        <v>365</v>
      </c>
    </row>
    <row r="28">
      <c r="D28" t="inlineStr">
        <is>
          <t>Large number for MIN tests</t>
        </is>
      </c>
      <c r="E28" t="inlineStr">
        <is>
          <t>number</t>
        </is>
      </c>
      <c r="F28" s="7" t="n">
        <v>1000000000</v>
      </c>
    </row>
    <row r="29">
      <c r="D29" t="inlineStr">
        <is>
          <t>Debt service below which ratios are not shown</t>
        </is>
      </c>
      <c r="E29" t="inlineStr">
        <is>
          <t>USD m</t>
        </is>
      </c>
      <c r="F29" s="7" t="n">
        <v>0.001</v>
      </c>
    </row>
    <row r="30">
      <c r="D30" t="inlineStr">
        <is>
          <t>Standard normal z for P90</t>
        </is>
      </c>
      <c r="E30" t="inlineStr">
        <is>
          <t>number</t>
        </is>
      </c>
      <c r="F30" s="7" t="n">
        <v>1.2816</v>
      </c>
    </row>
    <row r="31">
      <c r="D31" t="inlineStr">
        <is>
          <t>Standard normal z for P99</t>
        </is>
      </c>
      <c r="E31" t="inlineStr">
        <is>
          <t>number</t>
        </is>
      </c>
      <c r="F31" s="7" t="n">
        <v>2.3263</v>
      </c>
    </row>
    <row r="32">
      <c r="D32" t="inlineStr">
        <is>
          <t>Years in the long-horizon P-value</t>
        </is>
      </c>
      <c r="E32" t="inlineStr">
        <is>
          <t>years</t>
        </is>
      </c>
      <c r="F32" s="6" t="n">
        <v>10</v>
      </c>
    </row>
    <row r="34">
      <c r="A34" s="4" t="inlineStr">
        <is>
          <t>Prices and capture (Illustrative)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</row>
    <row r="35">
      <c r="D35" t="inlineStr">
        <is>
          <t>Hub ratio to North Hub: West Hub</t>
        </is>
      </c>
      <c r="E35" t="inlineStr">
        <is>
          <t>ratio</t>
        </is>
      </c>
      <c r="F35" s="7" t="n">
        <v>0.968</v>
      </c>
    </row>
    <row r="36">
      <c r="D36" t="inlineStr">
        <is>
          <t>Hub ratio to North Hub: South Hub</t>
        </is>
      </c>
      <c r="E36" t="inlineStr">
        <is>
          <t>ratio</t>
        </is>
      </c>
      <c r="F36" s="7" t="n">
        <v>0.991</v>
      </c>
    </row>
    <row r="37">
      <c r="D37" t="inlineStr">
        <is>
          <t>Hub ratio to North Hub: Houston Hub</t>
        </is>
      </c>
      <c r="E37" t="inlineStr">
        <is>
          <t>ratio</t>
        </is>
      </c>
      <c r="F37" s="7" t="n">
        <v>1.012</v>
      </c>
    </row>
    <row r="38">
      <c r="D38" t="inlineStr">
        <is>
          <t>Low case: capture decline multiplier</t>
        </is>
      </c>
      <c r="E38" t="inlineStr">
        <is>
          <t>x</t>
        </is>
      </c>
      <c r="F38" s="7" t="n">
        <v>1.5</v>
      </c>
    </row>
    <row r="39">
      <c r="D39" t="inlineStr">
        <is>
          <t>Low case: floor adjustment</t>
        </is>
      </c>
      <c r="E39" t="inlineStr">
        <is>
          <t>ratio</t>
        </is>
      </c>
      <c r="F39" s="7" t="n">
        <v>-0.04</v>
      </c>
    </row>
    <row r="40">
      <c r="D40" t="inlineStr">
        <is>
          <t>High case: capture decline multiplier</t>
        </is>
      </c>
      <c r="E40" t="inlineStr">
        <is>
          <t>x</t>
        </is>
      </c>
      <c r="F40" s="7" t="n">
        <v>0.5</v>
      </c>
    </row>
    <row r="41">
      <c r="D41" t="inlineStr">
        <is>
          <t>Hub capture ratio 2022: west_wind</t>
        </is>
      </c>
      <c r="E41" t="inlineStr">
        <is>
          <t>ratio</t>
        </is>
      </c>
      <c r="F41" s="7" t="n">
        <v>0.74</v>
      </c>
    </row>
    <row r="42">
      <c r="D42" t="inlineStr">
        <is>
          <t>Hub capture decline: west_wind</t>
        </is>
      </c>
      <c r="E42" t="inlineStr">
        <is>
          <t>points pa</t>
        </is>
      </c>
      <c r="F42" s="7" t="n">
        <v>0.6</v>
      </c>
    </row>
    <row r="43">
      <c r="D43" t="inlineStr">
        <is>
          <t>Hub capture floor: west_wind</t>
        </is>
      </c>
      <c r="E43" t="inlineStr">
        <is>
          <t>ratio</t>
        </is>
      </c>
      <c r="F43" s="7" t="n">
        <v>0.62</v>
      </c>
    </row>
    <row r="44">
      <c r="D44" t="inlineStr">
        <is>
          <t>Hub-to-node basis: west_wind</t>
        </is>
      </c>
      <c r="E44" t="inlineStr">
        <is>
          <t>ratio</t>
        </is>
      </c>
      <c r="F44" s="7" t="n">
        <v>0.04</v>
      </c>
    </row>
    <row r="45">
      <c r="D45" t="inlineStr">
        <is>
          <t>Hub capture ratio 2022: panhandle_wind</t>
        </is>
      </c>
      <c r="E45" t="inlineStr">
        <is>
          <t>ratio</t>
        </is>
      </c>
      <c r="F45" s="7" t="n">
        <v>0.66</v>
      </c>
    </row>
    <row r="46">
      <c r="D46" t="inlineStr">
        <is>
          <t>Hub capture decline: panhandle_wind</t>
        </is>
      </c>
      <c r="E46" t="inlineStr">
        <is>
          <t>points pa</t>
        </is>
      </c>
      <c r="F46" s="7" t="n">
        <v>0.5</v>
      </c>
    </row>
    <row r="47">
      <c r="D47" t="inlineStr">
        <is>
          <t>Hub capture floor: panhandle_wind</t>
        </is>
      </c>
      <c r="E47" t="inlineStr">
        <is>
          <t>ratio</t>
        </is>
      </c>
      <c r="F47" s="7" t="n">
        <v>0.58</v>
      </c>
    </row>
    <row r="48">
      <c r="D48" t="inlineStr">
        <is>
          <t>Hub-to-node basis: panhandle_wind</t>
        </is>
      </c>
      <c r="E48" t="inlineStr">
        <is>
          <t>ratio</t>
        </is>
      </c>
      <c r="F48" s="7" t="n">
        <v>0.07000000000000001</v>
      </c>
    </row>
    <row r="49">
      <c r="D49" t="inlineStr">
        <is>
          <t>Hub capture ratio 2022: west_solar</t>
        </is>
      </c>
      <c r="E49" t="inlineStr">
        <is>
          <t>ratio</t>
        </is>
      </c>
      <c r="F49" s="7" t="n">
        <v>0.86</v>
      </c>
    </row>
    <row r="50">
      <c r="D50" t="inlineStr">
        <is>
          <t>Hub capture decline: west_solar</t>
        </is>
      </c>
      <c r="E50" t="inlineStr">
        <is>
          <t>points pa</t>
        </is>
      </c>
      <c r="F50" s="7" t="n">
        <v>2</v>
      </c>
    </row>
    <row r="51">
      <c r="D51" t="inlineStr">
        <is>
          <t>Hub capture floor: west_solar</t>
        </is>
      </c>
      <c r="E51" t="inlineStr">
        <is>
          <t>ratio</t>
        </is>
      </c>
      <c r="F51" s="7" t="n">
        <v>0.6</v>
      </c>
    </row>
    <row r="52">
      <c r="D52" t="inlineStr">
        <is>
          <t>Hub-to-node basis: west_solar</t>
        </is>
      </c>
      <c r="E52" t="inlineStr">
        <is>
          <t>ratio</t>
        </is>
      </c>
      <c r="F52" s="7" t="n">
        <v>0.03</v>
      </c>
    </row>
    <row r="53">
      <c r="D53" t="inlineStr">
        <is>
          <t>Hub capture ratio 2022: south_solar</t>
        </is>
      </c>
      <c r="E53" t="inlineStr">
        <is>
          <t>ratio</t>
        </is>
      </c>
      <c r="F53" s="7" t="n">
        <v>0.9</v>
      </c>
    </row>
    <row r="54">
      <c r="D54" t="inlineStr">
        <is>
          <t>Hub capture decline: south_solar</t>
        </is>
      </c>
      <c r="E54" t="inlineStr">
        <is>
          <t>points pa</t>
        </is>
      </c>
      <c r="F54" s="7" t="n">
        <v>1.8</v>
      </c>
    </row>
    <row r="55">
      <c r="D55" t="inlineStr">
        <is>
          <t>Hub capture floor: south_solar</t>
        </is>
      </c>
      <c r="E55" t="inlineStr">
        <is>
          <t>ratio</t>
        </is>
      </c>
      <c r="F55" s="7" t="n">
        <v>0.64</v>
      </c>
    </row>
    <row r="56">
      <c r="D56" t="inlineStr">
        <is>
          <t>Hub-to-node basis: south_solar</t>
        </is>
      </c>
      <c r="E56" t="inlineStr">
        <is>
          <t>ratio</t>
        </is>
      </c>
      <c r="F56" s="7" t="n">
        <v>0.02</v>
      </c>
    </row>
    <row r="57">
      <c r="D57" t="inlineStr">
        <is>
          <t>Hub capture ratio 2022: coastal_wind</t>
        </is>
      </c>
      <c r="E57" t="inlineStr">
        <is>
          <t>ratio</t>
        </is>
      </c>
      <c r="F57" s="7" t="n">
        <v>0.92</v>
      </c>
    </row>
    <row r="58">
      <c r="D58" t="inlineStr">
        <is>
          <t>Hub capture decline: coastal_wind</t>
        </is>
      </c>
      <c r="E58" t="inlineStr">
        <is>
          <t>points pa</t>
        </is>
      </c>
      <c r="F58" s="7" t="n">
        <v>0.3</v>
      </c>
    </row>
    <row r="59">
      <c r="D59" t="inlineStr">
        <is>
          <t>Hub capture floor: coastal_wind</t>
        </is>
      </c>
      <c r="E59" t="inlineStr">
        <is>
          <t>ratio</t>
        </is>
      </c>
      <c r="F59" s="7" t="n">
        <v>0.85</v>
      </c>
    </row>
    <row r="60">
      <c r="D60" t="inlineStr">
        <is>
          <t>Hub-to-node basis: coastal_wind</t>
        </is>
      </c>
      <c r="E60" t="inlineStr">
        <is>
          <t>ratio</t>
        </is>
      </c>
      <c r="F60" s="7" t="n">
        <v>0.01</v>
      </c>
    </row>
    <row r="61">
      <c r="D61" t="inlineStr">
        <is>
          <t>Curtailment reaches its long-run value in</t>
        </is>
      </c>
      <c r="E61" t="inlineStr">
        <is>
          <t>year</t>
        </is>
      </c>
      <c r="F61" s="6" t="n">
        <v>2025</v>
      </c>
    </row>
    <row r="62">
      <c r="D62" t="inlineStr">
        <is>
          <t>Curtailment 2022: west_wind</t>
        </is>
      </c>
      <c r="E62" t="inlineStr">
        <is>
          <t>%</t>
        </is>
      </c>
      <c r="F62" s="7" t="n">
        <v>4.5</v>
      </c>
    </row>
    <row r="63">
      <c r="D63" t="inlineStr">
        <is>
          <t>Curtailment from 2025: west_wind</t>
        </is>
      </c>
      <c r="E63" t="inlineStr">
        <is>
          <t>%</t>
        </is>
      </c>
      <c r="F63" s="7" t="n">
        <v>6</v>
      </c>
    </row>
    <row r="64">
      <c r="D64" t="inlineStr">
        <is>
          <t>Curtailment 2022: panhandle_wind</t>
        </is>
      </c>
      <c r="E64" t="inlineStr">
        <is>
          <t>%</t>
        </is>
      </c>
      <c r="F64" s="7" t="n">
        <v>5.2</v>
      </c>
    </row>
    <row r="65">
      <c r="D65" t="inlineStr">
        <is>
          <t>Curtailment from 2025: panhandle_wind</t>
        </is>
      </c>
      <c r="E65" t="inlineStr">
        <is>
          <t>%</t>
        </is>
      </c>
      <c r="F65" s="7" t="n">
        <v>7</v>
      </c>
    </row>
    <row r="66">
      <c r="D66" t="inlineStr">
        <is>
          <t>Curtailment 2022: west_solar</t>
        </is>
      </c>
      <c r="E66" t="inlineStr">
        <is>
          <t>%</t>
        </is>
      </c>
      <c r="F66" s="7" t="n">
        <v>2</v>
      </c>
    </row>
    <row r="67">
      <c r="D67" t="inlineStr">
        <is>
          <t>Curtailment from 2025: west_solar</t>
        </is>
      </c>
      <c r="E67" t="inlineStr">
        <is>
          <t>%</t>
        </is>
      </c>
      <c r="F67" s="7" t="n">
        <v>3.5</v>
      </c>
    </row>
    <row r="68">
      <c r="D68" t="inlineStr">
        <is>
          <t>Curtailment 2022: south_solar</t>
        </is>
      </c>
      <c r="E68" t="inlineStr">
        <is>
          <t>%</t>
        </is>
      </c>
      <c r="F68" s="7" t="n">
        <v>1.8</v>
      </c>
    </row>
    <row r="69">
      <c r="D69" t="inlineStr">
        <is>
          <t>Curtailment from 2025: south_solar</t>
        </is>
      </c>
      <c r="E69" t="inlineStr">
        <is>
          <t>%</t>
        </is>
      </c>
      <c r="F69" s="7" t="n">
        <v>1.8</v>
      </c>
    </row>
    <row r="70">
      <c r="D70" t="inlineStr">
        <is>
          <t>Curtailment 2022: coastal_wind</t>
        </is>
      </c>
      <c r="E70" t="inlineStr">
        <is>
          <t>%</t>
        </is>
      </c>
      <c r="F70" s="7" t="n">
        <v>1.5</v>
      </c>
    </row>
    <row r="71">
      <c r="D71" t="inlineStr">
        <is>
          <t>Curtailment from 2025: coastal_wind</t>
        </is>
      </c>
      <c r="E71" t="inlineStr">
        <is>
          <t>%</t>
        </is>
      </c>
      <c r="F71" s="7" t="n">
        <v>1.5</v>
      </c>
    </row>
    <row r="73">
      <c r="A73" s="4" t="inlineStr">
        <is>
          <t>Price paths (Illustrative)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</row>
    <row r="74">
      <c r="D74" t="inlineStr">
        <is>
          <t>North Hub ATC, base (Illustrative)</t>
        </is>
      </c>
      <c r="E74" t="inlineStr">
        <is>
          <t>USD/MWh</t>
        </is>
      </c>
      <c r="J74" s="9" t="n">
        <v>74.59999999999999</v>
      </c>
      <c r="K74" s="9" t="n">
        <v>61.2</v>
      </c>
      <c r="L74" s="9" t="n">
        <v>30.1</v>
      </c>
      <c r="M74" s="9" t="n">
        <v>39.8</v>
      </c>
      <c r="N74" s="9" t="n">
        <v>44.6</v>
      </c>
      <c r="O74" s="9" t="n">
        <v>47.3</v>
      </c>
      <c r="P74" s="9" t="n">
        <v>49.1</v>
      </c>
      <c r="Q74" s="9" t="n">
        <v>50.4</v>
      </c>
      <c r="R74" s="9" t="n">
        <v>51.8</v>
      </c>
      <c r="S74" s="9" t="n">
        <v>52.84</v>
      </c>
      <c r="T74" s="9" t="n">
        <v>53.9</v>
      </c>
      <c r="U74" s="9" t="n">
        <v>54.98</v>
      </c>
      <c r="V74" s="9" t="n">
        <v>56.08</v>
      </c>
      <c r="W74" s="9" t="n">
        <v>57.2</v>
      </c>
      <c r="X74" s="9" t="n">
        <v>58.34</v>
      </c>
      <c r="Y74" s="9" t="n">
        <v>59.51</v>
      </c>
      <c r="Z74" s="9" t="n">
        <v>60.7</v>
      </c>
      <c r="AA74" s="9" t="n">
        <v>61.91</v>
      </c>
      <c r="AB74" s="9" t="n">
        <v>63.15</v>
      </c>
      <c r="AC74" s="9" t="n">
        <v>64.41</v>
      </c>
      <c r="AD74" s="9" t="n">
        <v>65.7</v>
      </c>
      <c r="AE74" s="9" t="n">
        <v>67.01000000000001</v>
      </c>
      <c r="AF74" s="9" t="n">
        <v>68.34999999999999</v>
      </c>
      <c r="AG74" s="9" t="n">
        <v>69.72</v>
      </c>
      <c r="AH74" s="9" t="n">
        <v>71.11</v>
      </c>
      <c r="AI74" s="9" t="n">
        <v>72.53</v>
      </c>
      <c r="AJ74" s="9" t="n">
        <v>73.98</v>
      </c>
      <c r="AK74" s="9" t="n">
        <v>75.45999999999999</v>
      </c>
      <c r="AL74" s="9" t="n">
        <v>76.97</v>
      </c>
      <c r="AM74" s="9" t="n">
        <v>78.51000000000001</v>
      </c>
      <c r="AN74" s="9" t="n">
        <v>80.08</v>
      </c>
      <c r="AO74" s="9" t="n">
        <v>81.68000000000001</v>
      </c>
      <c r="AP74" s="9" t="n">
        <v>83.31</v>
      </c>
      <c r="AQ74" s="9" t="n">
        <v>84.98</v>
      </c>
      <c r="AR74" s="9" t="n">
        <v>86.68000000000001</v>
      </c>
      <c r="AS74" s="9" t="n">
        <v>88.41</v>
      </c>
      <c r="AT74" s="9" t="n">
        <v>90.18000000000001</v>
      </c>
      <c r="AU74" s="9" t="n">
        <v>91.98</v>
      </c>
    </row>
    <row r="75">
      <c r="D75" t="inlineStr">
        <is>
          <t>North Hub ATC, low (Illustrative)</t>
        </is>
      </c>
      <c r="E75" t="inlineStr">
        <is>
          <t>USD/MWh</t>
        </is>
      </c>
      <c r="J75" s="9" t="n">
        <v>74.59999999999999</v>
      </c>
      <c r="K75" s="9" t="n">
        <v>61.2</v>
      </c>
      <c r="L75" s="9" t="n">
        <v>30.1</v>
      </c>
      <c r="M75" s="9" t="n">
        <v>39.8</v>
      </c>
      <c r="N75" s="9" t="n">
        <v>35.2</v>
      </c>
      <c r="O75" s="9" t="n">
        <v>36.4</v>
      </c>
      <c r="P75" s="9" t="n">
        <v>37.3</v>
      </c>
      <c r="Q75" s="9" t="n">
        <v>38</v>
      </c>
      <c r="R75" s="9" t="n">
        <v>38.6</v>
      </c>
      <c r="S75" s="9" t="n">
        <v>38.99</v>
      </c>
      <c r="T75" s="9" t="n">
        <v>39.38</v>
      </c>
      <c r="U75" s="9" t="n">
        <v>39.77</v>
      </c>
      <c r="V75" s="9" t="n">
        <v>40.17</v>
      </c>
      <c r="W75" s="9" t="n">
        <v>40.57</v>
      </c>
      <c r="X75" s="9" t="n">
        <v>40.98</v>
      </c>
      <c r="Y75" s="9" t="n">
        <v>41.39</v>
      </c>
      <c r="Z75" s="9" t="n">
        <v>41.8</v>
      </c>
      <c r="AA75" s="9" t="n">
        <v>42.22</v>
      </c>
      <c r="AB75" s="9" t="n">
        <v>42.64</v>
      </c>
      <c r="AC75" s="9" t="n">
        <v>43.07</v>
      </c>
      <c r="AD75" s="9" t="n">
        <v>43.5</v>
      </c>
      <c r="AE75" s="9" t="n">
        <v>43.94</v>
      </c>
      <c r="AF75" s="9" t="n">
        <v>44.38</v>
      </c>
      <c r="AG75" s="9" t="n">
        <v>44.82</v>
      </c>
      <c r="AH75" s="9" t="n">
        <v>45.27</v>
      </c>
      <c r="AI75" s="9" t="n">
        <v>45.72</v>
      </c>
      <c r="AJ75" s="9" t="n">
        <v>46.18</v>
      </c>
      <c r="AK75" s="9" t="n">
        <v>46.64</v>
      </c>
      <c r="AL75" s="9" t="n">
        <v>47.11</v>
      </c>
      <c r="AM75" s="9" t="n">
        <v>47.58</v>
      </c>
      <c r="AN75" s="9" t="n">
        <v>48.06</v>
      </c>
      <c r="AO75" s="9" t="n">
        <v>48.54</v>
      </c>
      <c r="AP75" s="9" t="n">
        <v>49.03</v>
      </c>
      <c r="AQ75" s="9" t="n">
        <v>49.52</v>
      </c>
      <c r="AR75" s="9" t="n">
        <v>50.02</v>
      </c>
      <c r="AS75" s="9" t="n">
        <v>50.52</v>
      </c>
      <c r="AT75" s="9" t="n">
        <v>51.03</v>
      </c>
      <c r="AU75" s="9" t="n">
        <v>51.54</v>
      </c>
    </row>
    <row r="76">
      <c r="D76" t="inlineStr">
        <is>
          <t>North Hub ATC, high (Illustrative)</t>
        </is>
      </c>
      <c r="E76" t="inlineStr">
        <is>
          <t>USD/MWh</t>
        </is>
      </c>
      <c r="J76" s="9" t="n">
        <v>74.59999999999999</v>
      </c>
      <c r="K76" s="9" t="n">
        <v>61.2</v>
      </c>
      <c r="L76" s="9" t="n">
        <v>30.1</v>
      </c>
      <c r="M76" s="9" t="n">
        <v>39.8</v>
      </c>
      <c r="N76" s="9" t="n">
        <v>56.3</v>
      </c>
      <c r="O76" s="9" t="n">
        <v>60.4</v>
      </c>
      <c r="P76" s="9" t="n">
        <v>63.2</v>
      </c>
      <c r="Q76" s="9" t="n">
        <v>65.09999999999999</v>
      </c>
      <c r="R76" s="9" t="n">
        <v>66.90000000000001</v>
      </c>
      <c r="S76" s="9" t="n">
        <v>68.77</v>
      </c>
      <c r="T76" s="9" t="n">
        <v>70.7</v>
      </c>
      <c r="U76" s="9" t="n">
        <v>72.68000000000001</v>
      </c>
      <c r="V76" s="9" t="n">
        <v>74.72</v>
      </c>
      <c r="W76" s="9" t="n">
        <v>76.81</v>
      </c>
      <c r="X76" s="9" t="n">
        <v>78.95999999999999</v>
      </c>
      <c r="Y76" s="9" t="n">
        <v>81.17</v>
      </c>
      <c r="Z76" s="9" t="n">
        <v>83.44</v>
      </c>
      <c r="AA76" s="9" t="n">
        <v>85.78</v>
      </c>
      <c r="AB76" s="9" t="n">
        <v>88.18000000000001</v>
      </c>
      <c r="AC76" s="9" t="n">
        <v>90.65000000000001</v>
      </c>
      <c r="AD76" s="9" t="n">
        <v>93.19</v>
      </c>
      <c r="AE76" s="9" t="n">
        <v>95.8</v>
      </c>
      <c r="AF76" s="9" t="n">
        <v>98.48</v>
      </c>
      <c r="AG76" s="9" t="n">
        <v>101.24</v>
      </c>
      <c r="AH76" s="9" t="n">
        <v>104.07</v>
      </c>
      <c r="AI76" s="9" t="n">
        <v>106.98</v>
      </c>
      <c r="AJ76" s="9" t="n">
        <v>109.98</v>
      </c>
      <c r="AK76" s="9" t="n">
        <v>113.06</v>
      </c>
      <c r="AL76" s="9" t="n">
        <v>116.23</v>
      </c>
      <c r="AM76" s="9" t="n">
        <v>119.48</v>
      </c>
      <c r="AN76" s="9" t="n">
        <v>122.83</v>
      </c>
      <c r="AO76" s="9" t="n">
        <v>126.27</v>
      </c>
      <c r="AP76" s="9" t="n">
        <v>129.81</v>
      </c>
      <c r="AQ76" s="9" t="n">
        <v>133.44</v>
      </c>
      <c r="AR76" s="9" t="n">
        <v>137.18</v>
      </c>
      <c r="AS76" s="9" t="n">
        <v>141.02</v>
      </c>
      <c r="AT76" s="9" t="n">
        <v>144.97</v>
      </c>
      <c r="AU76" s="9" t="n">
        <v>149.03</v>
      </c>
    </row>
    <row r="77">
      <c r="D77" t="inlineStr">
        <is>
          <t>Battery merchant revenue, base (Illustrative)</t>
        </is>
      </c>
      <c r="E77" t="inlineStr">
        <is>
          <t>USD/kW-yr</t>
        </is>
      </c>
      <c r="J77" s="9" t="n">
        <v>0</v>
      </c>
      <c r="K77" s="9" t="n">
        <v>142.5</v>
      </c>
      <c r="L77" s="9" t="n">
        <v>61.8</v>
      </c>
      <c r="M77" s="9" t="n">
        <v>52.4</v>
      </c>
      <c r="N77" s="9" t="n">
        <v>57.9</v>
      </c>
      <c r="O77" s="9" t="n">
        <v>58.77</v>
      </c>
      <c r="P77" s="9" t="n">
        <v>59.65</v>
      </c>
      <c r="Q77" s="9" t="n">
        <v>60.54</v>
      </c>
      <c r="R77" s="9" t="n">
        <v>61.45</v>
      </c>
      <c r="S77" s="9" t="n">
        <v>62.37</v>
      </c>
      <c r="T77" s="9" t="n">
        <v>63.31</v>
      </c>
      <c r="U77" s="9" t="n">
        <v>64.26000000000001</v>
      </c>
      <c r="V77" s="9" t="n">
        <v>65.22</v>
      </c>
      <c r="W77" s="9" t="n">
        <v>66.2</v>
      </c>
      <c r="X77" s="9" t="n">
        <v>67.19</v>
      </c>
      <c r="Y77" s="9" t="n">
        <v>68.2</v>
      </c>
      <c r="Z77" s="9" t="n">
        <v>69.22</v>
      </c>
      <c r="AA77" s="9" t="n">
        <v>70.26000000000001</v>
      </c>
      <c r="AB77" s="9" t="n">
        <v>71.31</v>
      </c>
      <c r="AC77" s="9" t="n">
        <v>72.38</v>
      </c>
      <c r="AD77" s="9" t="n">
        <v>73.47</v>
      </c>
      <c r="AE77" s="9" t="n">
        <v>74.56999999999999</v>
      </c>
      <c r="AF77" s="9" t="n">
        <v>75.69</v>
      </c>
      <c r="AG77" s="9" t="n">
        <v>76.83</v>
      </c>
      <c r="AH77" s="9" t="n">
        <v>77.98</v>
      </c>
      <c r="AI77" s="9" t="n">
        <v>79.15000000000001</v>
      </c>
      <c r="AJ77" s="9" t="n">
        <v>80.34</v>
      </c>
      <c r="AK77" s="9" t="n">
        <v>81.55</v>
      </c>
      <c r="AL77" s="9" t="n">
        <v>82.77</v>
      </c>
      <c r="AM77" s="9" t="n">
        <v>84.01000000000001</v>
      </c>
      <c r="AN77" s="9" t="n">
        <v>85.27</v>
      </c>
      <c r="AO77" s="9" t="n">
        <v>86.55</v>
      </c>
      <c r="AP77" s="9" t="n">
        <v>87.84999999999999</v>
      </c>
      <c r="AQ77" s="9" t="n">
        <v>89.17</v>
      </c>
      <c r="AR77" s="9" t="n">
        <v>90.51000000000001</v>
      </c>
      <c r="AS77" s="9" t="n">
        <v>91.87</v>
      </c>
      <c r="AT77" s="9" t="n">
        <v>93.25</v>
      </c>
      <c r="AU77" s="9" t="n">
        <v>94.65000000000001</v>
      </c>
    </row>
    <row r="78">
      <c r="D78" t="inlineStr">
        <is>
          <t>Battery merchant revenue, low (Illustrative)</t>
        </is>
      </c>
      <c r="E78" t="inlineStr">
        <is>
          <t>USD/kW-yr</t>
        </is>
      </c>
      <c r="J78" s="9" t="n">
        <v>0</v>
      </c>
      <c r="K78" s="9" t="n">
        <v>142.5</v>
      </c>
      <c r="L78" s="9" t="n">
        <v>61.8</v>
      </c>
      <c r="M78" s="9" t="n">
        <v>52.4</v>
      </c>
      <c r="N78" s="9" t="n">
        <v>39</v>
      </c>
      <c r="O78" s="9" t="n">
        <v>39.19</v>
      </c>
      <c r="P78" s="9" t="n">
        <v>39.39</v>
      </c>
      <c r="Q78" s="9" t="n">
        <v>39.59</v>
      </c>
      <c r="R78" s="9" t="n">
        <v>39.79</v>
      </c>
      <c r="S78" s="9" t="n">
        <v>39.99</v>
      </c>
      <c r="T78" s="9" t="n">
        <v>40.19</v>
      </c>
      <c r="U78" s="9" t="n">
        <v>40.39</v>
      </c>
      <c r="V78" s="9" t="n">
        <v>40.59</v>
      </c>
      <c r="W78" s="9" t="n">
        <v>40.79</v>
      </c>
      <c r="X78" s="9" t="n">
        <v>40.99</v>
      </c>
      <c r="Y78" s="9" t="n">
        <v>41.19</v>
      </c>
      <c r="Z78" s="9" t="n">
        <v>41.4</v>
      </c>
      <c r="AA78" s="9" t="n">
        <v>41.61</v>
      </c>
      <c r="AB78" s="9" t="n">
        <v>41.82</v>
      </c>
      <c r="AC78" s="9" t="n">
        <v>42.03</v>
      </c>
      <c r="AD78" s="9" t="n">
        <v>42.24</v>
      </c>
      <c r="AE78" s="9" t="n">
        <v>42.45</v>
      </c>
      <c r="AF78" s="9" t="n">
        <v>42.66</v>
      </c>
      <c r="AG78" s="9" t="n">
        <v>42.87</v>
      </c>
      <c r="AH78" s="9" t="n">
        <v>43.08</v>
      </c>
      <c r="AI78" s="9" t="n">
        <v>43.3</v>
      </c>
      <c r="AJ78" s="9" t="n">
        <v>43.52</v>
      </c>
      <c r="AK78" s="9" t="n">
        <v>43.74</v>
      </c>
      <c r="AL78" s="9" t="n">
        <v>43.96</v>
      </c>
      <c r="AM78" s="9" t="n">
        <v>44.18</v>
      </c>
      <c r="AN78" s="9" t="n">
        <v>44.4</v>
      </c>
      <c r="AO78" s="9" t="n">
        <v>44.62</v>
      </c>
      <c r="AP78" s="9" t="n">
        <v>44.84</v>
      </c>
      <c r="AQ78" s="9" t="n">
        <v>45.06</v>
      </c>
      <c r="AR78" s="9" t="n">
        <v>45.29</v>
      </c>
      <c r="AS78" s="9" t="n">
        <v>45.52</v>
      </c>
      <c r="AT78" s="9" t="n">
        <v>45.75</v>
      </c>
      <c r="AU78" s="9" t="n">
        <v>45.98</v>
      </c>
    </row>
    <row r="79">
      <c r="D79" t="inlineStr">
        <is>
          <t>Battery merchant revenue, high (Illustrative)</t>
        </is>
      </c>
      <c r="E79" t="inlineStr">
        <is>
          <t>USD/kW-yr</t>
        </is>
      </c>
      <c r="J79" s="9" t="n">
        <v>0</v>
      </c>
      <c r="K79" s="9" t="n">
        <v>142.5</v>
      </c>
      <c r="L79" s="9" t="n">
        <v>61.8</v>
      </c>
      <c r="M79" s="9" t="n">
        <v>52.4</v>
      </c>
      <c r="N79" s="9" t="n">
        <v>84.5</v>
      </c>
      <c r="O79" s="9" t="n">
        <v>86.61</v>
      </c>
      <c r="P79" s="9" t="n">
        <v>88.78</v>
      </c>
      <c r="Q79" s="9" t="n">
        <v>91</v>
      </c>
      <c r="R79" s="9" t="n">
        <v>93.27</v>
      </c>
      <c r="S79" s="9" t="n">
        <v>95.59999999999999</v>
      </c>
      <c r="T79" s="9" t="n">
        <v>97.98999999999999</v>
      </c>
      <c r="U79" s="9" t="n">
        <v>100.44</v>
      </c>
      <c r="V79" s="9" t="n">
        <v>102.95</v>
      </c>
      <c r="W79" s="9" t="n">
        <v>105.52</v>
      </c>
      <c r="X79" s="9" t="n">
        <v>108.16</v>
      </c>
      <c r="Y79" s="9" t="n">
        <v>110.86</v>
      </c>
      <c r="Z79" s="9" t="n">
        <v>113.63</v>
      </c>
      <c r="AA79" s="9" t="n">
        <v>116.47</v>
      </c>
      <c r="AB79" s="9" t="n">
        <v>119.38</v>
      </c>
      <c r="AC79" s="9" t="n">
        <v>122.36</v>
      </c>
      <c r="AD79" s="9" t="n">
        <v>125.42</v>
      </c>
      <c r="AE79" s="9" t="n">
        <v>128.56</v>
      </c>
      <c r="AF79" s="9" t="n">
        <v>131.77</v>
      </c>
      <c r="AG79" s="9" t="n">
        <v>135.06</v>
      </c>
      <c r="AH79" s="9" t="n">
        <v>138.44</v>
      </c>
      <c r="AI79" s="9" t="n">
        <v>141.9</v>
      </c>
      <c r="AJ79" s="9" t="n">
        <v>145.45</v>
      </c>
      <c r="AK79" s="9" t="n">
        <v>149.09</v>
      </c>
      <c r="AL79" s="9" t="n">
        <v>152.82</v>
      </c>
      <c r="AM79" s="9" t="n">
        <v>156.64</v>
      </c>
      <c r="AN79" s="9" t="n">
        <v>160.56</v>
      </c>
      <c r="AO79" s="9" t="n">
        <v>164.57</v>
      </c>
      <c r="AP79" s="9" t="n">
        <v>168.68</v>
      </c>
      <c r="AQ79" s="9" t="n">
        <v>172.9</v>
      </c>
      <c r="AR79" s="9" t="n">
        <v>177.22</v>
      </c>
      <c r="AS79" s="9" t="n">
        <v>181.65</v>
      </c>
      <c r="AT79" s="9" t="n">
        <v>186.19</v>
      </c>
      <c r="AU79" s="9" t="n">
        <v>190.84</v>
      </c>
    </row>
    <row r="80">
      <c r="D80" t="inlineStr">
        <is>
          <t>Term SOFR 3M, annual average (approximate)</t>
        </is>
      </c>
      <c r="E80" t="inlineStr">
        <is>
          <t>%</t>
        </is>
      </c>
      <c r="J80" s="10" t="n">
        <v>2.04</v>
      </c>
      <c r="K80" s="10" t="n">
        <v>5.17</v>
      </c>
      <c r="L80" s="10" t="n">
        <v>5.16</v>
      </c>
      <c r="M80" s="10" t="n">
        <v>4.27</v>
      </c>
      <c r="N80" s="10" t="n">
        <v>3.66</v>
      </c>
      <c r="O80" s="10" t="n">
        <v>3.45</v>
      </c>
      <c r="P80" s="10" t="n">
        <v>3.5</v>
      </c>
      <c r="Q80" s="10" t="n">
        <v>3.5</v>
      </c>
      <c r="R80" s="10" t="n">
        <v>3.5</v>
      </c>
      <c r="S80" s="10" t="n">
        <v>3.5</v>
      </c>
      <c r="T80" s="10" t="n">
        <v>3.5</v>
      </c>
      <c r="U80" s="10" t="n">
        <v>3.5</v>
      </c>
      <c r="V80" s="10" t="n">
        <v>3.5</v>
      </c>
      <c r="W80" s="10" t="n">
        <v>3.5</v>
      </c>
      <c r="X80" s="10" t="n">
        <v>3.5</v>
      </c>
      <c r="Y80" s="10" t="n">
        <v>3.5</v>
      </c>
      <c r="Z80" s="10" t="n">
        <v>3.5</v>
      </c>
      <c r="AA80" s="10" t="n">
        <v>3.5</v>
      </c>
      <c r="AB80" s="10" t="n">
        <v>3.5</v>
      </c>
      <c r="AC80" s="10" t="n">
        <v>3.5</v>
      </c>
      <c r="AD80" s="10" t="n">
        <v>3.5</v>
      </c>
      <c r="AE80" s="10" t="n">
        <v>3.5</v>
      </c>
      <c r="AF80" s="10" t="n">
        <v>3.5</v>
      </c>
      <c r="AG80" s="10" t="n">
        <v>3.5</v>
      </c>
      <c r="AH80" s="10" t="n">
        <v>3.5</v>
      </c>
      <c r="AI80" s="10" t="n">
        <v>3.5</v>
      </c>
      <c r="AJ80" s="10" t="n">
        <v>3.5</v>
      </c>
      <c r="AK80" s="10" t="n">
        <v>3.5</v>
      </c>
      <c r="AL80" s="10" t="n">
        <v>3.5</v>
      </c>
      <c r="AM80" s="10" t="n">
        <v>3.5</v>
      </c>
      <c r="AN80" s="10" t="n">
        <v>3.5</v>
      </c>
      <c r="AO80" s="10" t="n">
        <v>3.5</v>
      </c>
      <c r="AP80" s="10" t="n">
        <v>3.5</v>
      </c>
      <c r="AQ80" s="10" t="n">
        <v>3.5</v>
      </c>
      <c r="AR80" s="10" t="n">
        <v>3.5</v>
      </c>
      <c r="AS80" s="10" t="n">
        <v>3.5</v>
      </c>
      <c r="AT80" s="10" t="n">
        <v>3.5</v>
      </c>
      <c r="AU80" s="10" t="n">
        <v>3.5</v>
      </c>
    </row>
    <row r="81">
      <c r="D81" t="inlineStr">
        <is>
          <t>R3 PTC rate (2026+ held at 2025 value)</t>
        </is>
      </c>
      <c r="E81" t="inlineStr">
        <is>
          <t>USD/MWh</t>
        </is>
      </c>
      <c r="J81" s="9" t="n">
        <v>26</v>
      </c>
      <c r="K81" s="9" t="n">
        <v>27.5</v>
      </c>
      <c r="L81" s="9" t="n">
        <v>30</v>
      </c>
      <c r="M81" s="9" t="n">
        <v>30</v>
      </c>
      <c r="N81" s="9" t="n">
        <v>30</v>
      </c>
      <c r="O81" s="9" t="n">
        <v>30</v>
      </c>
      <c r="P81" s="9" t="n">
        <v>30</v>
      </c>
      <c r="Q81" s="9" t="n">
        <v>30</v>
      </c>
      <c r="R81" s="9" t="n">
        <v>30</v>
      </c>
      <c r="S81" s="9" t="n">
        <v>30</v>
      </c>
      <c r="T81" s="9" t="n">
        <v>30</v>
      </c>
      <c r="U81" s="9" t="n">
        <v>30</v>
      </c>
      <c r="V81" s="9" t="n">
        <v>30</v>
      </c>
      <c r="W81" s="9" t="n">
        <v>30</v>
      </c>
      <c r="X81" s="9" t="n">
        <v>30</v>
      </c>
      <c r="Y81" s="9" t="n">
        <v>30</v>
      </c>
      <c r="Z81" s="9" t="n">
        <v>30</v>
      </c>
      <c r="AA81" s="9" t="n">
        <v>30</v>
      </c>
      <c r="AB81" s="9" t="n">
        <v>30</v>
      </c>
      <c r="AC81" s="9" t="n">
        <v>30</v>
      </c>
      <c r="AD81" s="9" t="n">
        <v>30</v>
      </c>
      <c r="AE81" s="9" t="n">
        <v>30</v>
      </c>
      <c r="AF81" s="9" t="n">
        <v>30</v>
      </c>
      <c r="AG81" s="9" t="n">
        <v>30</v>
      </c>
      <c r="AH81" s="9" t="n">
        <v>30</v>
      </c>
      <c r="AI81" s="9" t="n">
        <v>30</v>
      </c>
      <c r="AJ81" s="9" t="n">
        <v>30</v>
      </c>
      <c r="AK81" s="9" t="n">
        <v>30</v>
      </c>
      <c r="AL81" s="9" t="n">
        <v>30</v>
      </c>
      <c r="AM81" s="9" t="n">
        <v>30</v>
      </c>
      <c r="AN81" s="9" t="n">
        <v>30</v>
      </c>
      <c r="AO81" s="9" t="n">
        <v>30</v>
      </c>
      <c r="AP81" s="9" t="n">
        <v>30</v>
      </c>
      <c r="AQ81" s="9" t="n">
        <v>30</v>
      </c>
      <c r="AR81" s="9" t="n">
        <v>30</v>
      </c>
      <c r="AS81" s="9" t="n">
        <v>30</v>
      </c>
      <c r="AT81" s="9" t="n">
        <v>30</v>
      </c>
      <c r="AU81" s="9" t="n">
        <v>30</v>
      </c>
    </row>
    <row r="82">
      <c r="D82" t="inlineStr">
        <is>
          <t>MACRS 5-year rates by recovery year (column J = year 1)</t>
        </is>
      </c>
      <c r="E82" t="inlineStr">
        <is>
          <t>factor</t>
        </is>
      </c>
      <c r="J82" s="7" t="n">
        <v>0.2</v>
      </c>
      <c r="K82" s="7" t="n">
        <v>0.32</v>
      </c>
      <c r="L82" s="7" t="n">
        <v>0.192</v>
      </c>
      <c r="M82" s="7" t="n">
        <v>0.1152</v>
      </c>
      <c r="N82" s="7" t="n">
        <v>0.1152</v>
      </c>
      <c r="O82" s="7" t="n">
        <v>0.0576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</row>
    <row r="83">
      <c r="D83" t="inlineStr">
        <is>
          <t>MACRS 15-year rates by recovery year (column J = year 1)</t>
        </is>
      </c>
      <c r="E83" t="inlineStr">
        <is>
          <t>factor</t>
        </is>
      </c>
      <c r="J83" s="7" t="n">
        <v>0.05</v>
      </c>
      <c r="K83" s="7" t="n">
        <v>0.095</v>
      </c>
      <c r="L83" s="7" t="n">
        <v>0.08550000000000001</v>
      </c>
      <c r="M83" s="7" t="n">
        <v>0.077</v>
      </c>
      <c r="N83" s="7" t="n">
        <v>0.0693</v>
      </c>
      <c r="O83" s="7" t="n">
        <v>0.0623</v>
      </c>
      <c r="P83" s="7" t="n">
        <v>0.059</v>
      </c>
      <c r="Q83" s="7" t="n">
        <v>0.059</v>
      </c>
      <c r="R83" s="7" t="n">
        <v>0.0591</v>
      </c>
      <c r="S83" s="7" t="n">
        <v>0.059</v>
      </c>
      <c r="T83" s="7" t="n">
        <v>0.0591</v>
      </c>
      <c r="U83" s="7" t="n">
        <v>0.059</v>
      </c>
      <c r="V83" s="7" t="n">
        <v>0.0591</v>
      </c>
      <c r="W83" s="7" t="n">
        <v>0.059</v>
      </c>
      <c r="X83" s="7" t="n">
        <v>0.0591</v>
      </c>
      <c r="Y83" s="7" t="n">
        <v>0.0295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</row>
    <row r="84">
      <c r="D84" t="inlineStr">
        <is>
          <t>MACRS 5-year recovery years</t>
        </is>
      </c>
      <c r="E84" t="inlineStr">
        <is>
          <t>years</t>
        </is>
      </c>
      <c r="F84" s="6" t="n">
        <v>6</v>
      </c>
    </row>
    <row r="85">
      <c r="D85" t="inlineStr">
        <is>
          <t>MACRS 15-year recovery years</t>
        </is>
      </c>
      <c r="E85" t="inlineStr">
        <is>
          <t>years</t>
        </is>
      </c>
      <c r="F85" s="6" t="n">
        <v>16</v>
      </c>
    </row>
    <row r="87">
      <c r="A87" s="4" t="inlineStr">
        <is>
          <t>Assets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</row>
    <row r="88">
      <c r="D88" t="inlineStr">
        <is>
          <t>R1 capacity</t>
        </is>
      </c>
      <c r="E88" t="inlineStr">
        <is>
          <t>MWac</t>
        </is>
      </c>
      <c r="F88" s="7" t="n">
        <v>201.6</v>
      </c>
    </row>
    <row r="89">
      <c r="D89" t="inlineStr">
        <is>
          <t>R1 COD</t>
        </is>
      </c>
      <c r="E89" t="inlineStr">
        <is>
          <t>date</t>
        </is>
      </c>
      <c r="F89" s="8" t="n">
        <v>41988</v>
      </c>
    </row>
    <row r="90">
      <c r="D90" t="inlineStr">
        <is>
          <t>R1 useful life end</t>
        </is>
      </c>
      <c r="E90" t="inlineStr">
        <is>
          <t>date</t>
        </is>
      </c>
      <c r="F90" s="8" t="n">
        <v>52962</v>
      </c>
    </row>
    <row r="91">
      <c r="D91" t="inlineStr">
        <is>
          <t>R1 ownership start</t>
        </is>
      </c>
      <c r="E91" t="inlineStr">
        <is>
          <t>date</t>
        </is>
      </c>
      <c r="F91" s="8" t="n">
        <v>44642</v>
      </c>
    </row>
    <row r="92">
      <c r="D92" t="inlineStr">
        <is>
          <t>R1 opex (2022 prices)</t>
        </is>
      </c>
      <c r="E92" t="inlineStr">
        <is>
          <t>USD/kW-yr</t>
        </is>
      </c>
      <c r="F92" s="7" t="n">
        <v>41.5</v>
      </c>
    </row>
    <row r="93">
      <c r="D93" t="inlineStr">
        <is>
          <t>R1 decommissioning net of salvage (2022)</t>
        </is>
      </c>
      <c r="E93" t="inlineStr">
        <is>
          <t>USD/kW</t>
        </is>
      </c>
      <c r="F93" s="7" t="n">
        <v>62</v>
      </c>
    </row>
    <row r="94">
      <c r="D94" t="inlineStr">
        <is>
          <t>R1 P50</t>
        </is>
      </c>
      <c r="E94" t="inlineStr">
        <is>
          <t>GWh/yr</t>
        </is>
      </c>
      <c r="F94" s="7" t="n">
        <v>695.8</v>
      </c>
    </row>
    <row r="95">
      <c r="D95" t="inlineStr">
        <is>
          <t>R1 P90 one-year</t>
        </is>
      </c>
      <c r="E95" t="inlineStr">
        <is>
          <t>% of P50</t>
        </is>
      </c>
      <c r="F95" s="7" t="n">
        <v>87.59999999999999</v>
      </c>
    </row>
    <row r="96">
      <c r="D96" t="inlineStr">
        <is>
          <t>R1 P90 ten-year</t>
        </is>
      </c>
      <c r="E96" t="inlineStr">
        <is>
          <t>% of P50</t>
        </is>
      </c>
      <c r="F96" s="7" t="n">
        <v>92.90000000000001</v>
      </c>
    </row>
    <row r="97">
      <c r="D97" t="inlineStr">
        <is>
          <t>R1 degradation</t>
        </is>
      </c>
      <c r="E97" t="inlineStr">
        <is>
          <t>% pa</t>
        </is>
      </c>
      <c r="F97" s="7" t="n">
        <v>0.2</v>
      </c>
    </row>
    <row r="98">
      <c r="D98" t="inlineStr">
        <is>
          <t>R1 P50 reference year</t>
        </is>
      </c>
      <c r="E98" t="inlineStr">
        <is>
          <t>year</t>
        </is>
      </c>
      <c r="F98" s="6" t="n">
        <v>2022</v>
      </c>
    </row>
    <row r="99">
      <c r="D99" t="inlineStr">
        <is>
          <t>R2 capacity</t>
        </is>
      </c>
      <c r="E99" t="inlineStr">
        <is>
          <t>MWac</t>
        </is>
      </c>
      <c r="F99" s="7" t="n">
        <v>248.4</v>
      </c>
    </row>
    <row r="100">
      <c r="D100" t="inlineStr">
        <is>
          <t>R2 COD</t>
        </is>
      </c>
      <c r="E100" t="inlineStr">
        <is>
          <t>date</t>
        </is>
      </c>
      <c r="F100" s="8" t="n">
        <v>42916</v>
      </c>
    </row>
    <row r="101">
      <c r="D101" t="inlineStr">
        <is>
          <t>R2 useful life end</t>
        </is>
      </c>
      <c r="E101" t="inlineStr">
        <is>
          <t>date</t>
        </is>
      </c>
      <c r="F101" s="8" t="n">
        <v>53873</v>
      </c>
    </row>
    <row r="102">
      <c r="D102" t="inlineStr">
        <is>
          <t>R2 ownership start</t>
        </is>
      </c>
      <c r="E102" t="inlineStr">
        <is>
          <t>date</t>
        </is>
      </c>
      <c r="F102" s="8" t="n">
        <v>44642</v>
      </c>
    </row>
    <row r="103">
      <c r="D103" t="inlineStr">
        <is>
          <t>R2 opex (2022 prices)</t>
        </is>
      </c>
      <c r="E103" t="inlineStr">
        <is>
          <t>USD/kW-yr</t>
        </is>
      </c>
      <c r="F103" s="7" t="n">
        <v>41.5</v>
      </c>
    </row>
    <row r="104">
      <c r="D104" t="inlineStr">
        <is>
          <t>R2 decommissioning net of salvage (2022)</t>
        </is>
      </c>
      <c r="E104" t="inlineStr">
        <is>
          <t>USD/kW</t>
        </is>
      </c>
      <c r="F104" s="7" t="n">
        <v>62</v>
      </c>
    </row>
    <row r="105">
      <c r="D105" t="inlineStr">
        <is>
          <t>R2 P50</t>
        </is>
      </c>
      <c r="E105" t="inlineStr">
        <is>
          <t>GWh/yr</t>
        </is>
      </c>
      <c r="F105" s="7" t="n">
        <v>785.5</v>
      </c>
    </row>
    <row r="106">
      <c r="D106" t="inlineStr">
        <is>
          <t>R2 P90 one-year</t>
        </is>
      </c>
      <c r="E106" t="inlineStr">
        <is>
          <t>% of P50</t>
        </is>
      </c>
      <c r="F106" s="7" t="n">
        <v>89.2</v>
      </c>
    </row>
    <row r="107">
      <c r="D107" t="inlineStr">
        <is>
          <t>R2 P90 ten-year</t>
        </is>
      </c>
      <c r="E107" t="inlineStr">
        <is>
          <t>% of P50</t>
        </is>
      </c>
      <c r="F107" s="7" t="n">
        <v>94.09999999999999</v>
      </c>
    </row>
    <row r="108">
      <c r="D108" t="inlineStr">
        <is>
          <t>R2 degradation</t>
        </is>
      </c>
      <c r="E108" t="inlineStr">
        <is>
          <t>% pa</t>
        </is>
      </c>
      <c r="F108" s="7" t="n">
        <v>0.2</v>
      </c>
    </row>
    <row r="109">
      <c r="D109" t="inlineStr">
        <is>
          <t>R2 P50 reference year</t>
        </is>
      </c>
      <c r="E109" t="inlineStr">
        <is>
          <t>year</t>
        </is>
      </c>
      <c r="F109" s="6" t="n">
        <v>2022</v>
      </c>
    </row>
    <row r="110">
      <c r="D110" t="inlineStr">
        <is>
          <t>R3 capacity</t>
        </is>
      </c>
      <c r="E110" t="inlineStr">
        <is>
          <t>MWac</t>
        </is>
      </c>
      <c r="F110" s="7" t="n">
        <v>153</v>
      </c>
    </row>
    <row r="111">
      <c r="D111" t="inlineStr">
        <is>
          <t>R3 COD</t>
        </is>
      </c>
      <c r="E111" t="inlineStr">
        <is>
          <t>date</t>
        </is>
      </c>
      <c r="F111" s="8" t="n">
        <v>43789</v>
      </c>
    </row>
    <row r="112">
      <c r="D112" t="inlineStr">
        <is>
          <t>R3 useful life end</t>
        </is>
      </c>
      <c r="E112" t="inlineStr">
        <is>
          <t>date</t>
        </is>
      </c>
      <c r="F112" s="8" t="n">
        <v>54757</v>
      </c>
    </row>
    <row r="113">
      <c r="D113" t="inlineStr">
        <is>
          <t>R3 ownership start</t>
        </is>
      </c>
      <c r="E113" t="inlineStr">
        <is>
          <t>date</t>
        </is>
      </c>
      <c r="F113" s="8" t="n">
        <v>44642</v>
      </c>
    </row>
    <row r="114">
      <c r="D114" t="inlineStr">
        <is>
          <t>R3 opex (2022 prices)</t>
        </is>
      </c>
      <c r="E114" t="inlineStr">
        <is>
          <t>USD/kW-yr</t>
        </is>
      </c>
      <c r="F114" s="7" t="n">
        <v>37.2</v>
      </c>
    </row>
    <row r="115">
      <c r="D115" t="inlineStr">
        <is>
          <t>R3 decommissioning net of salvage (2022)</t>
        </is>
      </c>
      <c r="E115" t="inlineStr">
        <is>
          <t>USD/kW</t>
        </is>
      </c>
      <c r="F115" s="7" t="n">
        <v>62</v>
      </c>
    </row>
    <row r="116">
      <c r="D116" t="inlineStr">
        <is>
          <t>R3 P50</t>
        </is>
      </c>
      <c r="E116" t="inlineStr">
        <is>
          <t>GWh/yr</t>
        </is>
      </c>
      <c r="F116" s="7" t="n">
        <v>619.2</v>
      </c>
    </row>
    <row r="117">
      <c r="D117" t="inlineStr">
        <is>
          <t>R3 P90 one-year</t>
        </is>
      </c>
      <c r="E117" t="inlineStr">
        <is>
          <t>% of P50</t>
        </is>
      </c>
      <c r="F117" s="7" t="n">
        <v>86.90000000000001</v>
      </c>
    </row>
    <row r="118">
      <c r="D118" t="inlineStr">
        <is>
          <t>R3 P90 ten-year</t>
        </is>
      </c>
      <c r="E118" t="inlineStr">
        <is>
          <t>% of P50</t>
        </is>
      </c>
      <c r="F118" s="7" t="n">
        <v>92.40000000000001</v>
      </c>
    </row>
    <row r="119">
      <c r="D119" t="inlineStr">
        <is>
          <t>R3 degradation</t>
        </is>
      </c>
      <c r="E119" t="inlineStr">
        <is>
          <t>% pa</t>
        </is>
      </c>
      <c r="F119" s="7" t="n">
        <v>0.2</v>
      </c>
    </row>
    <row r="120">
      <c r="D120" t="inlineStr">
        <is>
          <t>R3 P50 reference year</t>
        </is>
      </c>
      <c r="E120" t="inlineStr">
        <is>
          <t>year</t>
        </is>
      </c>
      <c r="F120" s="6" t="n">
        <v>2022</v>
      </c>
    </row>
    <row r="121">
      <c r="D121" t="inlineStr">
        <is>
          <t>R4 capacity</t>
        </is>
      </c>
      <c r="E121" t="inlineStr">
        <is>
          <t>MWac</t>
        </is>
      </c>
      <c r="F121" s="7" t="n">
        <v>98.7</v>
      </c>
    </row>
    <row r="122">
      <c r="D122" t="inlineStr">
        <is>
          <t>R4 COD</t>
        </is>
      </c>
      <c r="E122" t="inlineStr">
        <is>
          <t>date</t>
        </is>
      </c>
      <c r="F122" s="8" t="n">
        <v>44113</v>
      </c>
    </row>
    <row r="123">
      <c r="D123" t="inlineStr">
        <is>
          <t>R4 useful life end</t>
        </is>
      </c>
      <c r="E123" t="inlineStr">
        <is>
          <t>date</t>
        </is>
      </c>
      <c r="F123" s="8" t="n">
        <v>56918</v>
      </c>
    </row>
    <row r="124">
      <c r="D124" t="inlineStr">
        <is>
          <t>R4 ownership start</t>
        </is>
      </c>
      <c r="E124" t="inlineStr">
        <is>
          <t>date</t>
        </is>
      </c>
      <c r="F124" s="8" t="n">
        <v>44642</v>
      </c>
    </row>
    <row r="125">
      <c r="D125" t="inlineStr">
        <is>
          <t>R4 opex (2022 prices)</t>
        </is>
      </c>
      <c r="E125" t="inlineStr">
        <is>
          <t>USD/kW-yr</t>
        </is>
      </c>
      <c r="F125" s="7" t="n">
        <v>18.4</v>
      </c>
    </row>
    <row r="126">
      <c r="D126" t="inlineStr">
        <is>
          <t>R4 decommissioning net of salvage (2022)</t>
        </is>
      </c>
      <c r="E126" t="inlineStr">
        <is>
          <t>USD/kW</t>
        </is>
      </c>
      <c r="F126" s="7" t="n">
        <v>38</v>
      </c>
    </row>
    <row r="127">
      <c r="D127" t="inlineStr">
        <is>
          <t>R4 P50</t>
        </is>
      </c>
      <c r="E127" t="inlineStr">
        <is>
          <t>GWh/yr</t>
        </is>
      </c>
      <c r="F127" s="7" t="n">
        <v>234.3</v>
      </c>
    </row>
    <row r="128">
      <c r="D128" t="inlineStr">
        <is>
          <t>R4 P90 one-year</t>
        </is>
      </c>
      <c r="E128" t="inlineStr">
        <is>
          <t>% of P50</t>
        </is>
      </c>
      <c r="F128" s="7" t="n">
        <v>94.59999999999999</v>
      </c>
    </row>
    <row r="129">
      <c r="D129" t="inlineStr">
        <is>
          <t>R4 P90 ten-year</t>
        </is>
      </c>
      <c r="E129" t="inlineStr">
        <is>
          <t>% of P50</t>
        </is>
      </c>
      <c r="F129" s="7" t="n">
        <v>96.8</v>
      </c>
    </row>
    <row r="130">
      <c r="D130" t="inlineStr">
        <is>
          <t>R4 degradation</t>
        </is>
      </c>
      <c r="E130" t="inlineStr">
        <is>
          <t>% pa</t>
        </is>
      </c>
      <c r="F130" s="7" t="n">
        <v>0.45</v>
      </c>
    </row>
    <row r="131">
      <c r="D131" t="inlineStr">
        <is>
          <t>R4 P50 reference year</t>
        </is>
      </c>
      <c r="E131" t="inlineStr">
        <is>
          <t>year</t>
        </is>
      </c>
      <c r="F131" s="6" t="n">
        <v>2022</v>
      </c>
    </row>
    <row r="132">
      <c r="D132" t="inlineStr">
        <is>
          <t>R5 capacity</t>
        </is>
      </c>
      <c r="E132" t="inlineStr">
        <is>
          <t>MWac</t>
        </is>
      </c>
      <c r="F132" s="7" t="n">
        <v>182.4</v>
      </c>
    </row>
    <row r="133">
      <c r="D133" t="inlineStr">
        <is>
          <t>R5 COD</t>
        </is>
      </c>
      <c r="E133" t="inlineStr">
        <is>
          <t>date</t>
        </is>
      </c>
      <c r="F133" s="8" t="n">
        <v>44375</v>
      </c>
    </row>
    <row r="134">
      <c r="D134" t="inlineStr">
        <is>
          <t>R5 useful life end</t>
        </is>
      </c>
      <c r="E134" t="inlineStr">
        <is>
          <t>date</t>
        </is>
      </c>
      <c r="F134" s="8" t="n">
        <v>57161</v>
      </c>
    </row>
    <row r="135">
      <c r="D135" t="inlineStr">
        <is>
          <t>R5 ownership start</t>
        </is>
      </c>
      <c r="E135" t="inlineStr">
        <is>
          <t>date</t>
        </is>
      </c>
      <c r="F135" s="8" t="n">
        <v>44642</v>
      </c>
    </row>
    <row r="136">
      <c r="D136" t="inlineStr">
        <is>
          <t>R5 opex (2022 prices)</t>
        </is>
      </c>
      <c r="E136" t="inlineStr">
        <is>
          <t>USD/kW-yr</t>
        </is>
      </c>
      <c r="F136" s="7" t="n">
        <v>18.4</v>
      </c>
    </row>
    <row r="137">
      <c r="D137" t="inlineStr">
        <is>
          <t>R5 decommissioning net of salvage (2022)</t>
        </is>
      </c>
      <c r="E137" t="inlineStr">
        <is>
          <t>USD/kW</t>
        </is>
      </c>
      <c r="F137" s="7" t="n">
        <v>38</v>
      </c>
    </row>
    <row r="138">
      <c r="D138" t="inlineStr">
        <is>
          <t>R5 P50</t>
        </is>
      </c>
      <c r="E138" t="inlineStr">
        <is>
          <t>GWh/yr</t>
        </is>
      </c>
      <c r="F138" s="7" t="n">
        <v>452.2</v>
      </c>
    </row>
    <row r="139">
      <c r="D139" t="inlineStr">
        <is>
          <t>R5 P90 one-year</t>
        </is>
      </c>
      <c r="E139" t="inlineStr">
        <is>
          <t>% of P50</t>
        </is>
      </c>
      <c r="F139" s="7" t="n">
        <v>94.2</v>
      </c>
    </row>
    <row r="140">
      <c r="D140" t="inlineStr">
        <is>
          <t>R5 P90 ten-year</t>
        </is>
      </c>
      <c r="E140" t="inlineStr">
        <is>
          <t>% of P50</t>
        </is>
      </c>
      <c r="F140" s="7" t="n">
        <v>96.5</v>
      </c>
    </row>
    <row r="141">
      <c r="D141" t="inlineStr">
        <is>
          <t>R5 degradation</t>
        </is>
      </c>
      <c r="E141" t="inlineStr">
        <is>
          <t>% pa</t>
        </is>
      </c>
      <c r="F141" s="7" t="n">
        <v>0.45</v>
      </c>
    </row>
    <row r="142">
      <c r="D142" t="inlineStr">
        <is>
          <t>R5 P50 reference year</t>
        </is>
      </c>
      <c r="E142" t="inlineStr">
        <is>
          <t>year</t>
        </is>
      </c>
      <c r="F142" s="6" t="n">
        <v>2022</v>
      </c>
    </row>
    <row r="143">
      <c r="D143" t="inlineStr">
        <is>
          <t>R6 capacity</t>
        </is>
      </c>
      <c r="E143" t="inlineStr">
        <is>
          <t>MWac</t>
        </is>
      </c>
      <c r="F143" s="7" t="n">
        <v>100</v>
      </c>
    </row>
    <row r="144">
      <c r="D144" t="inlineStr">
        <is>
          <t>R6 COD</t>
        </is>
      </c>
      <c r="E144" t="inlineStr">
        <is>
          <t>date</t>
        </is>
      </c>
      <c r="F144" s="8" t="n">
        <v>45121</v>
      </c>
    </row>
    <row r="145">
      <c r="D145" t="inlineStr">
        <is>
          <t>R6 useful life end</t>
        </is>
      </c>
      <c r="E145" t="inlineStr">
        <is>
          <t>date</t>
        </is>
      </c>
      <c r="F145" s="8" t="n">
        <v>52443</v>
      </c>
    </row>
    <row r="146">
      <c r="D146" t="inlineStr">
        <is>
          <t>R6 ownership start</t>
        </is>
      </c>
      <c r="E146" t="inlineStr">
        <is>
          <t>date</t>
        </is>
      </c>
      <c r="F146" s="8" t="n">
        <v>45169</v>
      </c>
    </row>
    <row r="147">
      <c r="D147" t="inlineStr">
        <is>
          <t>R6 opex (2022 prices)</t>
        </is>
      </c>
      <c r="E147" t="inlineStr">
        <is>
          <t>USD/kW-yr</t>
        </is>
      </c>
      <c r="F147" s="7" t="n">
        <v>14.6</v>
      </c>
    </row>
    <row r="148">
      <c r="D148" t="inlineStr">
        <is>
          <t>R6 decommissioning net of salvage (2022)</t>
        </is>
      </c>
      <c r="E148" t="inlineStr">
        <is>
          <t>USD/kW</t>
        </is>
      </c>
      <c r="F148" s="7" t="n">
        <v>21</v>
      </c>
    </row>
    <row r="149">
      <c r="D149" t="inlineStr">
        <is>
          <t>R6 energy capacity</t>
        </is>
      </c>
      <c r="E149" t="inlineStr">
        <is>
          <t>MWh</t>
        </is>
      </c>
      <c r="F149" s="7" t="n">
        <v>200</v>
      </c>
    </row>
    <row r="150">
      <c r="D150" t="inlineStr">
        <is>
          <t>R6 availability</t>
        </is>
      </c>
      <c r="E150" t="inlineStr">
        <is>
          <t>%</t>
        </is>
      </c>
      <c r="F150" s="7" t="n">
        <v>97.5</v>
      </c>
    </row>
    <row r="151">
      <c r="D151" t="inlineStr">
        <is>
          <t>R6 augmentation year 1 after COD year</t>
        </is>
      </c>
      <c r="E151" t="inlineStr">
        <is>
          <t>years</t>
        </is>
      </c>
      <c r="F151" s="6" t="n">
        <v>5</v>
      </c>
    </row>
    <row r="152">
      <c r="D152" t="inlineStr">
        <is>
          <t>R6 augmentation year 2 after COD year</t>
        </is>
      </c>
      <c r="E152" t="inlineStr">
        <is>
          <t>years</t>
        </is>
      </c>
      <c r="F152" s="6" t="n">
        <v>9</v>
      </c>
    </row>
    <row r="153">
      <c r="D153" t="inlineStr">
        <is>
          <t>R6 augmentation share of MWh</t>
        </is>
      </c>
      <c r="E153" t="inlineStr">
        <is>
          <t>%</t>
        </is>
      </c>
      <c r="F153" s="7" t="n">
        <v>6</v>
      </c>
    </row>
    <row r="154">
      <c r="D154" t="inlineStr">
        <is>
          <t>R6 augmentation cost (2025 prices)</t>
        </is>
      </c>
      <c r="E154" t="inlineStr">
        <is>
          <t>USD/kWh</t>
        </is>
      </c>
      <c r="F154" s="7" t="n">
        <v>41</v>
      </c>
    </row>
    <row r="155">
      <c r="D155" t="inlineStr">
        <is>
          <t>R7 capacity</t>
        </is>
      </c>
      <c r="E155" t="inlineStr">
        <is>
          <t>MWac</t>
        </is>
      </c>
      <c r="F155" s="7" t="n">
        <v>150</v>
      </c>
    </row>
    <row r="156">
      <c r="D156" t="inlineStr">
        <is>
          <t>R7 COD</t>
        </is>
      </c>
      <c r="E156" t="inlineStr">
        <is>
          <t>date</t>
        </is>
      </c>
      <c r="F156" s="8" t="n">
        <v>45384</v>
      </c>
    </row>
    <row r="157">
      <c r="D157" t="inlineStr">
        <is>
          <t>R7 useful life end</t>
        </is>
      </c>
      <c r="E157" t="inlineStr">
        <is>
          <t>date</t>
        </is>
      </c>
      <c r="F157" s="8" t="n">
        <v>52687</v>
      </c>
    </row>
    <row r="158">
      <c r="D158" t="inlineStr">
        <is>
          <t>R7 ownership start</t>
        </is>
      </c>
      <c r="E158" t="inlineStr">
        <is>
          <t>date</t>
        </is>
      </c>
      <c r="F158" s="8" t="n">
        <v>45384</v>
      </c>
    </row>
    <row r="159">
      <c r="D159" t="inlineStr">
        <is>
          <t>R7 opex (2022 prices)</t>
        </is>
      </c>
      <c r="E159" t="inlineStr">
        <is>
          <t>USD/kW-yr</t>
        </is>
      </c>
      <c r="F159" s="7" t="n">
        <v>14.6</v>
      </c>
    </row>
    <row r="160">
      <c r="D160" t="inlineStr">
        <is>
          <t>R7 decommissioning net of salvage (2022)</t>
        </is>
      </c>
      <c r="E160" t="inlineStr">
        <is>
          <t>USD/kW</t>
        </is>
      </c>
      <c r="F160" s="7" t="n">
        <v>21</v>
      </c>
    </row>
    <row r="161">
      <c r="D161" t="inlineStr">
        <is>
          <t>R7 energy capacity</t>
        </is>
      </c>
      <c r="E161" t="inlineStr">
        <is>
          <t>MWh</t>
        </is>
      </c>
      <c r="F161" s="7" t="n">
        <v>300</v>
      </c>
    </row>
    <row r="162">
      <c r="D162" t="inlineStr">
        <is>
          <t>R7 availability</t>
        </is>
      </c>
      <c r="E162" t="inlineStr">
        <is>
          <t>%</t>
        </is>
      </c>
      <c r="F162" s="7" t="n">
        <v>97.5</v>
      </c>
    </row>
    <row r="163">
      <c r="D163" t="inlineStr">
        <is>
          <t>R7 augmentation year 1 after COD year</t>
        </is>
      </c>
      <c r="E163" t="inlineStr">
        <is>
          <t>years</t>
        </is>
      </c>
      <c r="F163" s="6" t="n">
        <v>5</v>
      </c>
    </row>
    <row r="164">
      <c r="D164" t="inlineStr">
        <is>
          <t>R7 augmentation year 2 after COD year</t>
        </is>
      </c>
      <c r="E164" t="inlineStr">
        <is>
          <t>years</t>
        </is>
      </c>
      <c r="F164" s="6" t="n">
        <v>9</v>
      </c>
    </row>
    <row r="165">
      <c r="D165" t="inlineStr">
        <is>
          <t>R7 augmentation share of MWh</t>
        </is>
      </c>
      <c r="E165" t="inlineStr">
        <is>
          <t>%</t>
        </is>
      </c>
      <c r="F165" s="7" t="n">
        <v>6</v>
      </c>
    </row>
    <row r="166">
      <c r="D166" t="inlineStr">
        <is>
          <t>R7 augmentation cost (2025 prices)</t>
        </is>
      </c>
      <c r="E166" t="inlineStr">
        <is>
          <t>USD/kWh</t>
        </is>
      </c>
      <c r="F166" s="7" t="n">
        <v>41</v>
      </c>
    </row>
    <row r="167">
      <c r="D167" t="inlineStr">
        <is>
          <t>R8 capacity</t>
        </is>
      </c>
      <c r="E167" t="inlineStr">
        <is>
          <t>MWac</t>
        </is>
      </c>
      <c r="F167" s="7" t="n">
        <v>120</v>
      </c>
    </row>
    <row r="168">
      <c r="D168" t="inlineStr">
        <is>
          <t>R8 COD</t>
        </is>
      </c>
      <c r="E168" t="inlineStr">
        <is>
          <t>date</t>
        </is>
      </c>
      <c r="F168" s="8" t="n">
        <v>45645</v>
      </c>
    </row>
    <row r="169">
      <c r="D169" t="inlineStr">
        <is>
          <t>R8 useful life end</t>
        </is>
      </c>
      <c r="E169" t="inlineStr">
        <is>
          <t>date</t>
        </is>
      </c>
      <c r="F169" s="8" t="n">
        <v>58440</v>
      </c>
    </row>
    <row r="170">
      <c r="D170" t="inlineStr">
        <is>
          <t>R8 ownership start</t>
        </is>
      </c>
      <c r="E170" t="inlineStr">
        <is>
          <t>date</t>
        </is>
      </c>
      <c r="F170" s="8" t="n">
        <v>45645</v>
      </c>
    </row>
    <row r="171">
      <c r="D171" t="inlineStr">
        <is>
          <t>R8 opex (2022 prices)</t>
        </is>
      </c>
      <c r="E171" t="inlineStr">
        <is>
          <t>USD/kW-yr</t>
        </is>
      </c>
      <c r="F171" s="7" t="n">
        <v>18.4</v>
      </c>
    </row>
    <row r="172">
      <c r="D172" t="inlineStr">
        <is>
          <t>R8 decommissioning net of salvage (2022)</t>
        </is>
      </c>
      <c r="E172" t="inlineStr">
        <is>
          <t>USD/kW</t>
        </is>
      </c>
      <c r="F172" s="7" t="n">
        <v>38</v>
      </c>
    </row>
    <row r="173">
      <c r="D173" t="inlineStr">
        <is>
          <t>R8 P50</t>
        </is>
      </c>
      <c r="E173" t="inlineStr">
        <is>
          <t>GWh/yr</t>
        </is>
      </c>
      <c r="F173" s="7" t="n">
        <v>290.1</v>
      </c>
    </row>
    <row r="174">
      <c r="D174" t="inlineStr">
        <is>
          <t>R8 P90 one-year</t>
        </is>
      </c>
      <c r="E174" t="inlineStr">
        <is>
          <t>% of P50</t>
        </is>
      </c>
      <c r="F174" s="7" t="n">
        <v>94.40000000000001</v>
      </c>
    </row>
    <row r="175">
      <c r="D175" t="inlineStr">
        <is>
          <t>R8 P90 ten-year</t>
        </is>
      </c>
      <c r="E175" t="inlineStr">
        <is>
          <t>% of P50</t>
        </is>
      </c>
      <c r="F175" s="7" t="n">
        <v>96.59999999999999</v>
      </c>
    </row>
    <row r="176">
      <c r="D176" t="inlineStr">
        <is>
          <t>R8 degradation</t>
        </is>
      </c>
      <c r="E176" t="inlineStr">
        <is>
          <t>% pa</t>
        </is>
      </c>
      <c r="F176" s="7" t="n">
        <v>0.4</v>
      </c>
    </row>
    <row r="177">
      <c r="D177" t="inlineStr">
        <is>
          <t>R8 P50 reference year</t>
        </is>
      </c>
      <c r="E177" t="inlineStr">
        <is>
          <t>year</t>
        </is>
      </c>
      <c r="F177" s="6" t="n">
        <v>2025</v>
      </c>
    </row>
    <row r="178">
      <c r="D178" t="inlineStr">
        <is>
          <t>Yield correlation: iav_wind_west_west</t>
        </is>
      </c>
      <c r="E178" t="inlineStr">
        <is>
          <t>rho</t>
        </is>
      </c>
      <c r="F178" s="7" t="n">
        <v>0.6</v>
      </c>
    </row>
    <row r="179">
      <c r="D179" t="inlineStr">
        <is>
          <t>Yield correlation: iav_wind_west_coastal</t>
        </is>
      </c>
      <c r="E179" t="inlineStr">
        <is>
          <t>rho</t>
        </is>
      </c>
      <c r="F179" s="7" t="n">
        <v>0.3</v>
      </c>
    </row>
    <row r="180">
      <c r="D180" t="inlineStr">
        <is>
          <t>Yield correlation: iav_solar_west_west</t>
        </is>
      </c>
      <c r="E180" t="inlineStr">
        <is>
          <t>rho</t>
        </is>
      </c>
      <c r="F180" s="7" t="n">
        <v>0.85</v>
      </c>
    </row>
    <row r="181">
      <c r="D181" t="inlineStr">
        <is>
          <t>Yield correlation: iav_solar_west_south</t>
        </is>
      </c>
      <c r="E181" t="inlineStr">
        <is>
          <t>rho</t>
        </is>
      </c>
      <c r="F181" s="7" t="n">
        <v>0.5</v>
      </c>
    </row>
    <row r="182">
      <c r="D182" t="inlineStr">
        <is>
          <t>Yield correlation: iav_wind_solar</t>
        </is>
      </c>
      <c r="E182" t="inlineStr">
        <is>
          <t>rho</t>
        </is>
      </c>
      <c r="F182" s="7" t="n">
        <v>-0.1</v>
      </c>
    </row>
    <row r="183">
      <c r="D183" t="inlineStr">
        <is>
          <t>Yield correlation: lt_same_technology</t>
        </is>
      </c>
      <c r="E183" t="inlineStr">
        <is>
          <t>rho</t>
        </is>
      </c>
      <c r="F183" s="7" t="n">
        <v>0.5</v>
      </c>
    </row>
    <row r="184">
      <c r="D184" t="inlineStr">
        <is>
          <t>Yield correlation: lt_cross_technology</t>
        </is>
      </c>
      <c r="E184" t="inlineStr">
        <is>
          <t>rho</t>
        </is>
      </c>
      <c r="F184" s="7" t="n">
        <v>0</v>
      </c>
    </row>
    <row r="185">
      <c r="D185" t="inlineStr">
        <is>
          <t>Wind and solar availability relative to P50 basis</t>
        </is>
      </c>
      <c r="E185" t="inlineStr">
        <is>
          <t>%</t>
        </is>
      </c>
      <c r="F185" s="7" t="n">
        <v>100</v>
      </c>
    </row>
    <row r="186">
      <c r="D186" t="inlineStr">
        <is>
          <t>Augmentation cost base year</t>
        </is>
      </c>
      <c r="E186" t="inlineStr">
        <is>
          <t>year</t>
        </is>
      </c>
      <c r="F186" s="6" t="n">
        <v>2025</v>
      </c>
    </row>
    <row r="187">
      <c r="D187" t="inlineStr">
        <is>
          <t>Augmentation cost escalation</t>
        </is>
      </c>
      <c r="E187" t="inlineStr">
        <is>
          <t>% pa</t>
        </is>
      </c>
      <c r="F187" s="7" t="n">
        <v>2.5</v>
      </c>
    </row>
    <row r="189">
      <c r="A189" s="4" t="inlineStr">
        <is>
          <t>Contracts and hedges</t>
        </is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</row>
    <row r="190">
      <c r="D190" t="inlineStr">
        <is>
          <t>R1 swap volume (7x24)</t>
        </is>
      </c>
      <c r="E190" t="inlineStr">
        <is>
          <t>MW</t>
        </is>
      </c>
      <c r="F190" s="7" t="n">
        <v>40</v>
      </c>
    </row>
    <row r="191">
      <c r="D191" t="inlineStr">
        <is>
          <t>R1 swap price (West Hub)</t>
        </is>
      </c>
      <c r="E191" t="inlineStr">
        <is>
          <t>USD/MWh</t>
        </is>
      </c>
      <c r="F191" s="7" t="n">
        <v>48.25</v>
      </c>
    </row>
    <row r="192">
      <c r="D192" t="inlineStr">
        <is>
          <t>R1 swap start</t>
        </is>
      </c>
      <c r="E192" t="inlineStr">
        <is>
          <t>date</t>
        </is>
      </c>
      <c r="F192" s="8" t="n">
        <v>44927</v>
      </c>
    </row>
    <row r="193">
      <c r="D193" t="inlineStr">
        <is>
          <t>R1 swap end</t>
        </is>
      </c>
      <c r="E193" t="inlineStr">
        <is>
          <t>date</t>
        </is>
      </c>
      <c r="F193" s="8" t="n">
        <v>46752</v>
      </c>
    </row>
    <row r="194">
      <c r="D194" t="inlineStr">
        <is>
          <t>Hours per day (unit conversion)</t>
        </is>
      </c>
      <c r="E194" t="inlineStr">
        <is>
          <t>hours</t>
        </is>
      </c>
      <c r="F194" s="6" t="n">
        <v>24</v>
      </c>
    </row>
    <row r="195">
      <c r="D195" t="inlineStr">
        <is>
          <t>R2 PPA price</t>
        </is>
      </c>
      <c r="E195" t="inlineStr">
        <is>
          <t>USD/MWh</t>
        </is>
      </c>
      <c r="F195" s="7" t="n">
        <v>31.4</v>
      </c>
    </row>
    <row r="196">
      <c r="D196" t="inlineStr">
        <is>
          <t>R2 PPA end</t>
        </is>
      </c>
      <c r="E196" t="inlineStr">
        <is>
          <t>date</t>
        </is>
      </c>
      <c r="F196" s="8" t="n">
        <v>47299</v>
      </c>
    </row>
    <row r="197">
      <c r="D197" t="inlineStr">
        <is>
          <t>R3 PRS fixed payment</t>
        </is>
      </c>
      <c r="E197" t="inlineStr">
        <is>
          <t>USD m pa</t>
        </is>
      </c>
      <c r="F197" s="7" t="n">
        <v>25.84</v>
      </c>
    </row>
    <row r="198">
      <c r="D198" t="inlineStr">
        <is>
          <t>R3 PRS start</t>
        </is>
      </c>
      <c r="E198" t="inlineStr">
        <is>
          <t>date</t>
        </is>
      </c>
      <c r="F198" s="8" t="n">
        <v>43831</v>
      </c>
    </row>
    <row r="199">
      <c r="D199" t="inlineStr">
        <is>
          <t>R3 PRS end</t>
        </is>
      </c>
      <c r="E199" t="inlineStr">
        <is>
          <t>date</t>
        </is>
      </c>
      <c r="F199" s="8" t="n">
        <v>47483</v>
      </c>
    </row>
    <row r="200">
      <c r="D200" t="inlineStr">
        <is>
          <t>R4 shape hedge volume</t>
        </is>
      </c>
      <c r="E200" t="inlineStr">
        <is>
          <t>GWh pa</t>
        </is>
      </c>
      <c r="F200" s="7" t="n">
        <v>168.4</v>
      </c>
    </row>
    <row r="201">
      <c r="D201" t="inlineStr">
        <is>
          <t>R4 shape hedge price</t>
        </is>
      </c>
      <c r="E201" t="inlineStr">
        <is>
          <t>USD/MWh</t>
        </is>
      </c>
      <c r="F201" s="7" t="n">
        <v>44.1</v>
      </c>
    </row>
    <row r="202">
      <c r="D202" t="inlineStr">
        <is>
          <t>R4 hedge start</t>
        </is>
      </c>
      <c r="E202" t="inlineStr">
        <is>
          <t>date</t>
        </is>
      </c>
      <c r="F202" s="8" t="n">
        <v>44562</v>
      </c>
    </row>
    <row r="203">
      <c r="D203" t="inlineStr">
        <is>
          <t>R4 hedge end</t>
        </is>
      </c>
      <c r="E203" t="inlineStr">
        <is>
          <t>date</t>
        </is>
      </c>
      <c r="F203" s="8" t="n">
        <v>46387</v>
      </c>
    </row>
    <row r="204">
      <c r="D204" t="inlineStr">
        <is>
          <t>R5 vPPA strike</t>
        </is>
      </c>
      <c r="E204" t="inlineStr">
        <is>
          <t>USD/MWh</t>
        </is>
      </c>
      <c r="F204" s="7" t="n">
        <v>27.85</v>
      </c>
    </row>
    <row r="205">
      <c r="D205" t="inlineStr">
        <is>
          <t>R5 vPPA end</t>
        </is>
      </c>
      <c r="E205" t="inlineStr">
        <is>
          <t>date</t>
        </is>
      </c>
      <c r="F205" s="8" t="n">
        <v>48760</v>
      </c>
    </row>
    <row r="206">
      <c r="D206" t="inlineStr">
        <is>
          <t>R6 toll</t>
        </is>
      </c>
      <c r="E206" t="inlineStr">
        <is>
          <t>USD/kW-month</t>
        </is>
      </c>
      <c r="F206" s="7" t="n">
        <v>9.15</v>
      </c>
    </row>
    <row r="207">
      <c r="D207" t="inlineStr">
        <is>
          <t>Months per year</t>
        </is>
      </c>
      <c r="E207" t="inlineStr">
        <is>
          <t>months</t>
        </is>
      </c>
      <c r="F207" s="6" t="n">
        <v>12</v>
      </c>
    </row>
    <row r="208">
      <c r="D208" t="inlineStr">
        <is>
          <t>R6 toll start</t>
        </is>
      </c>
      <c r="E208" t="inlineStr">
        <is>
          <t>date</t>
        </is>
      </c>
      <c r="F208" s="8" t="n">
        <v>45121</v>
      </c>
    </row>
    <row r="209">
      <c r="D209" t="inlineStr">
        <is>
          <t>R6 toll end</t>
        </is>
      </c>
      <c r="E209" t="inlineStr">
        <is>
          <t>date</t>
        </is>
      </c>
      <c r="F209" s="8" t="n">
        <v>47677</v>
      </c>
    </row>
    <row r="210">
      <c r="D210" t="inlineStr">
        <is>
          <t>R6 availability guarantee</t>
        </is>
      </c>
      <c r="E210" t="inlineStr">
        <is>
          <t>%</t>
        </is>
      </c>
      <c r="F210" s="7" t="n">
        <v>97</v>
      </c>
    </row>
    <row r="211">
      <c r="D211" t="inlineStr">
        <is>
          <t>R7 revenue floor</t>
        </is>
      </c>
      <c r="E211" t="inlineStr">
        <is>
          <t>USD/kW-yr</t>
        </is>
      </c>
      <c r="F211" s="7" t="n">
        <v>74</v>
      </c>
    </row>
    <row r="212">
      <c r="D212" t="inlineStr">
        <is>
          <t>R7 floor premium</t>
        </is>
      </c>
      <c r="E212" t="inlineStr">
        <is>
          <t>USD/kW-yr</t>
        </is>
      </c>
      <c r="F212" s="7" t="n">
        <v>5.8</v>
      </c>
    </row>
    <row r="213">
      <c r="D213" t="inlineStr">
        <is>
          <t>R7 upside share to Galloway</t>
        </is>
      </c>
      <c r="E213" t="inlineStr">
        <is>
          <t>%</t>
        </is>
      </c>
      <c r="F213" s="7" t="n">
        <v>20</v>
      </c>
    </row>
    <row r="214">
      <c r="D214" t="inlineStr">
        <is>
          <t>R7 upside share threshold</t>
        </is>
      </c>
      <c r="E214" t="inlineStr">
        <is>
          <t>USD/kW-yr</t>
        </is>
      </c>
      <c r="F214" s="7" t="n">
        <v>140</v>
      </c>
    </row>
    <row r="215">
      <c r="D215" t="inlineStr">
        <is>
          <t>R7 floor start</t>
        </is>
      </c>
      <c r="E215" t="inlineStr">
        <is>
          <t>date</t>
        </is>
      </c>
      <c r="F215" s="8" t="n">
        <v>45384</v>
      </c>
    </row>
    <row r="216">
      <c r="D216" t="inlineStr">
        <is>
          <t>R7 floor end</t>
        </is>
      </c>
      <c r="E216" t="inlineStr">
        <is>
          <t>date</t>
        </is>
      </c>
      <c r="F216" s="8" t="n">
        <v>48305</v>
      </c>
    </row>
    <row r="217">
      <c r="D217" t="inlineStr">
        <is>
          <t>R8 shape hedge volume</t>
        </is>
      </c>
      <c r="E217" t="inlineStr">
        <is>
          <t>GWh pa</t>
        </is>
      </c>
      <c r="F217" s="7" t="n">
        <v>174.1</v>
      </c>
    </row>
    <row r="218">
      <c r="D218" t="inlineStr">
        <is>
          <t>R8 shape hedge price (South Hub)</t>
        </is>
      </c>
      <c r="E218" t="inlineStr">
        <is>
          <t>USD/MWh</t>
        </is>
      </c>
      <c r="F218" s="7" t="n">
        <v>38.9</v>
      </c>
    </row>
    <row r="219">
      <c r="D219" t="inlineStr">
        <is>
          <t>R8 hedge start</t>
        </is>
      </c>
      <c r="E219" t="inlineStr">
        <is>
          <t>date</t>
        </is>
      </c>
      <c r="F219" s="8" t="n">
        <v>45658</v>
      </c>
    </row>
    <row r="220">
      <c r="D220" t="inlineStr">
        <is>
          <t>R8 hedge end</t>
        </is>
      </c>
      <c r="E220" t="inlineStr">
        <is>
          <t>date</t>
        </is>
      </c>
      <c r="F220" s="8" t="n">
        <v>49309</v>
      </c>
    </row>
    <row r="221">
      <c r="D221" t="inlineStr">
        <is>
          <t>R3 tax equity cash share before flip</t>
        </is>
      </c>
      <c r="E221" t="inlineStr">
        <is>
          <t>%</t>
        </is>
      </c>
      <c r="F221" s="7" t="n">
        <v>40</v>
      </c>
    </row>
    <row r="222">
      <c r="D222" t="inlineStr">
        <is>
          <t>R3 tax equity tax share before flip</t>
        </is>
      </c>
      <c r="E222" t="inlineStr">
        <is>
          <t>%</t>
        </is>
      </c>
      <c r="F222" s="7" t="n">
        <v>99</v>
      </c>
    </row>
    <row r="223">
      <c r="D223" t="inlineStr">
        <is>
          <t>R3 tax equity share after flip</t>
        </is>
      </c>
      <c r="E223" t="inlineStr">
        <is>
          <t>%</t>
        </is>
      </c>
      <c r="F223" s="7" t="n">
        <v>5</v>
      </c>
    </row>
    <row r="224">
      <c r="D224" t="inlineStr">
        <is>
          <t>R3 expected flip date</t>
        </is>
      </c>
      <c r="E224" t="inlineStr">
        <is>
          <t>date</t>
        </is>
      </c>
      <c r="F224" s="8" t="n">
        <v>47483</v>
      </c>
    </row>
    <row r="225">
      <c r="D225" t="inlineStr">
        <is>
          <t>R5 tax equity cash share before flip</t>
        </is>
      </c>
      <c r="E225" t="inlineStr">
        <is>
          <t>%</t>
        </is>
      </c>
      <c r="F225" s="7" t="n">
        <v>20</v>
      </c>
    </row>
    <row r="226">
      <c r="D226" t="inlineStr">
        <is>
          <t>R5 tax equity tax share before flip</t>
        </is>
      </c>
      <c r="E226" t="inlineStr">
        <is>
          <t>%</t>
        </is>
      </c>
      <c r="F226" s="7" t="n">
        <v>99</v>
      </c>
    </row>
    <row r="227">
      <c r="D227" t="inlineStr">
        <is>
          <t>R5 tax equity share after flip</t>
        </is>
      </c>
      <c r="E227" t="inlineStr">
        <is>
          <t>%</t>
        </is>
      </c>
      <c r="F227" s="7" t="n">
        <v>5</v>
      </c>
    </row>
    <row r="228">
      <c r="D228" t="inlineStr">
        <is>
          <t>R5 expected flip date</t>
        </is>
      </c>
      <c r="E228" t="inlineStr">
        <is>
          <t>date</t>
        </is>
      </c>
      <c r="F228" s="8" t="n">
        <v>46568</v>
      </c>
    </row>
    <row r="229">
      <c r="D229" t="inlineStr">
        <is>
          <t>PTC term</t>
        </is>
      </c>
      <c r="E229" t="inlineStr">
        <is>
          <t>years</t>
        </is>
      </c>
      <c r="F229" s="6" t="n">
        <v>10</v>
      </c>
    </row>
    <row r="231">
      <c r="A231" s="4" t="inlineStr">
        <is>
          <t>Operating costs and tax</t>
        </is>
      </c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</row>
    <row r="232">
      <c r="D232" t="inlineStr">
        <is>
          <t>Wind land lease</t>
        </is>
      </c>
      <c r="E232" t="inlineStr">
        <is>
          <t>% of revenue</t>
        </is>
      </c>
      <c r="F232" s="7" t="n">
        <v>4</v>
      </c>
    </row>
    <row r="233">
      <c r="D233" t="inlineStr">
        <is>
          <t>Insurance step-up</t>
        </is>
      </c>
      <c r="E233" t="inlineStr">
        <is>
          <t>%</t>
        </is>
      </c>
      <c r="F233" s="7" t="n">
        <v>22</v>
      </c>
    </row>
    <row r="234">
      <c r="D234" t="inlineStr">
        <is>
          <t>Insurance share of opex</t>
        </is>
      </c>
      <c r="E234" t="inlineStr">
        <is>
          <t>%</t>
        </is>
      </c>
      <c r="F234" s="7" t="n">
        <v>15</v>
      </c>
    </row>
    <row r="235">
      <c r="D235" t="inlineStr">
        <is>
          <t>Insurance step-up year</t>
        </is>
      </c>
      <c r="E235" t="inlineStr">
        <is>
          <t>year</t>
        </is>
      </c>
      <c r="F235" s="6" t="n">
        <v>2023</v>
      </c>
    </row>
    <row r="236">
      <c r="D236" t="inlineStr">
        <is>
          <t>Decommissioning surety cost</t>
        </is>
      </c>
      <c r="E236" t="inlineStr">
        <is>
          <t>% of bond pa</t>
        </is>
      </c>
      <c r="F236" s="7" t="n">
        <v>0.6</v>
      </c>
    </row>
    <row r="237">
      <c r="D237" t="inlineStr">
        <is>
          <t>Texas margin tax rate</t>
        </is>
      </c>
      <c r="E237" t="inlineStr">
        <is>
          <t>%</t>
        </is>
      </c>
      <c r="F237" s="7" t="n">
        <v>0.75</v>
      </c>
    </row>
    <row r="238">
      <c r="D238" t="inlineStr">
        <is>
          <t>Texas margin tax deemed margin</t>
        </is>
      </c>
      <c r="E238" t="inlineStr">
        <is>
          <t>% of revenue</t>
        </is>
      </c>
      <c r="F238" s="7" t="n">
        <v>70</v>
      </c>
    </row>
    <row r="239">
      <c r="D239" t="inlineStr">
        <is>
          <t>Asset management cost (2022 prices)</t>
        </is>
      </c>
      <c r="E239" t="inlineStr">
        <is>
          <t>USD m pa</t>
        </is>
      </c>
      <c r="F239" s="7" t="n">
        <v>3.2</v>
      </c>
    </row>
    <row r="240">
      <c r="D240" t="inlineStr">
        <is>
          <t>Asset management cost start</t>
        </is>
      </c>
      <c r="E240" t="inlineStr">
        <is>
          <t>date</t>
        </is>
      </c>
      <c r="F240" s="8" t="n">
        <v>44642</v>
      </c>
    </row>
    <row r="241">
      <c r="D241" t="inlineStr">
        <is>
          <t>Federal income tax rate</t>
        </is>
      </c>
      <c r="E241" t="inlineStr">
        <is>
          <t>%</t>
        </is>
      </c>
      <c r="F241" s="7" t="n">
        <v>21</v>
      </c>
    </row>
    <row r="242">
      <c r="D242" t="inlineStr">
        <is>
          <t>NOL use limit</t>
        </is>
      </c>
      <c r="E242" t="inlineStr">
        <is>
          <t>% of taxable income</t>
        </is>
      </c>
      <c r="F242" s="7" t="n">
        <v>80</v>
      </c>
    </row>
    <row r="243">
      <c r="D243" t="inlineStr">
        <is>
          <t>Purchase price allocated to 5-year MACRS</t>
        </is>
      </c>
      <c r="E243" t="inlineStr">
        <is>
          <t>%</t>
        </is>
      </c>
      <c r="F243" s="7" t="n">
        <v>85</v>
      </c>
    </row>
    <row r="244">
      <c r="D244" t="inlineStr">
        <is>
          <t>Purchase price allocated to 15-year MACRS</t>
        </is>
      </c>
      <c r="E244" t="inlineStr">
        <is>
          <t>%</t>
        </is>
      </c>
      <c r="F244" s="7" t="n">
        <v>10</v>
      </c>
    </row>
    <row r="245">
      <c r="D245" t="inlineStr">
        <is>
          <t>Bonus depreciation, 2022 acquisitions</t>
        </is>
      </c>
      <c r="E245" t="inlineStr">
        <is>
          <t>%</t>
        </is>
      </c>
      <c r="F245" s="7" t="n">
        <v>100</v>
      </c>
    </row>
    <row r="246">
      <c r="D246" t="inlineStr">
        <is>
          <t>Bonus depreciation, 2023 acquisitions</t>
        </is>
      </c>
      <c r="E246" t="inlineStr">
        <is>
          <t>%</t>
        </is>
      </c>
      <c r="F246" s="7" t="n">
        <v>80</v>
      </c>
    </row>
    <row r="247">
      <c r="D247" t="inlineStr">
        <is>
          <t>Bonus depreciation, 2024 acquisitions</t>
        </is>
      </c>
      <c r="E247" t="inlineStr">
        <is>
          <t>%</t>
        </is>
      </c>
      <c r="F247" s="7" t="n">
        <v>60</v>
      </c>
    </row>
    <row r="248">
      <c r="D248" t="inlineStr">
        <is>
          <t>R7 ITC rate</t>
        </is>
      </c>
      <c r="E248" t="inlineStr">
        <is>
          <t>%</t>
        </is>
      </c>
      <c r="F248" s="7" t="n">
        <v>30</v>
      </c>
    </row>
    <row r="249">
      <c r="D249" t="inlineStr">
        <is>
          <t>R7 ITC eligible basis</t>
        </is>
      </c>
      <c r="E249" t="inlineStr">
        <is>
          <t>% of price</t>
        </is>
      </c>
      <c r="F249" s="7" t="n">
        <v>92</v>
      </c>
    </row>
    <row r="250">
      <c r="D250" t="inlineStr">
        <is>
          <t>R8 ITC rate</t>
        </is>
      </c>
      <c r="E250" t="inlineStr">
        <is>
          <t>%</t>
        </is>
      </c>
      <c r="F250" s="7" t="n">
        <v>30</v>
      </c>
    </row>
    <row r="251">
      <c r="D251" t="inlineStr">
        <is>
          <t>R8 ITC eligible basis</t>
        </is>
      </c>
      <c r="E251" t="inlineStr">
        <is>
          <t>% of price</t>
        </is>
      </c>
      <c r="F251" s="7" t="n">
        <v>94</v>
      </c>
    </row>
    <row r="252">
      <c r="D252" t="inlineStr">
        <is>
          <t>ITC transfer price</t>
        </is>
      </c>
      <c r="E252" t="inlineStr">
        <is>
          <t>USD per USD of credit</t>
        </is>
      </c>
      <c r="F252" s="7" t="n">
        <v>0.925</v>
      </c>
    </row>
    <row r="253">
      <c r="D253" t="inlineStr">
        <is>
          <t>ITC basis reduction</t>
        </is>
      </c>
      <c r="E253" t="inlineStr">
        <is>
          <t>share of credit</t>
        </is>
      </c>
      <c r="F253" s="7" t="n">
        <v>0.5</v>
      </c>
    </row>
    <row r="255">
      <c r="A255" s="4" t="inlineStr">
        <is>
          <t>Acquisitions</t>
        </is>
      </c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</row>
    <row r="256">
      <c r="D256" t="inlineStr">
        <is>
          <t>A1 closing</t>
        </is>
      </c>
      <c r="E256" t="inlineStr">
        <is>
          <t>date</t>
        </is>
      </c>
      <c r="F256" s="8" t="n">
        <v>44642</v>
      </c>
    </row>
    <row r="257">
      <c r="D257" t="inlineStr">
        <is>
          <t>A1 enterprise value (bid price)</t>
        </is>
      </c>
      <c r="E257" t="inlineStr">
        <is>
          <t>USD m</t>
        </is>
      </c>
      <c r="F257" s="7" t="n">
        <v>446.3</v>
      </c>
    </row>
    <row r="258">
      <c r="D258" t="inlineStr">
        <is>
          <t>A1 transaction costs</t>
        </is>
      </c>
      <c r="E258" t="inlineStr">
        <is>
          <t>USD m</t>
        </is>
      </c>
      <c r="F258" s="7" t="n">
        <v>14.9</v>
      </c>
    </row>
    <row r="259">
      <c r="D259" t="inlineStr">
        <is>
          <t>A2 closing</t>
        </is>
      </c>
      <c r="E259" t="inlineStr">
        <is>
          <t>date</t>
        </is>
      </c>
      <c r="F259" s="8" t="n">
        <v>45169</v>
      </c>
    </row>
    <row r="260">
      <c r="D260" t="inlineStr">
        <is>
          <t>A2 price</t>
        </is>
      </c>
      <c r="E260" t="inlineStr">
        <is>
          <t>USD m</t>
        </is>
      </c>
      <c r="F260" s="7" t="n">
        <v>63.7</v>
      </c>
    </row>
    <row r="261">
      <c r="D261" t="inlineStr">
        <is>
          <t>A2 transaction costs</t>
        </is>
      </c>
      <c r="E261" t="inlineStr">
        <is>
          <t>USD m</t>
        </is>
      </c>
      <c r="F261" s="7" t="n">
        <v>2.6</v>
      </c>
    </row>
    <row r="262">
      <c r="D262" t="inlineStr">
        <is>
          <t>A3 signing and deposit</t>
        </is>
      </c>
      <c r="E262" t="inlineStr">
        <is>
          <t>date</t>
        </is>
      </c>
      <c r="F262" s="8" t="n">
        <v>45337</v>
      </c>
    </row>
    <row r="263">
      <c r="D263" t="inlineStr">
        <is>
          <t>A3 R7 price</t>
        </is>
      </c>
      <c r="E263" t="inlineStr">
        <is>
          <t>USD m</t>
        </is>
      </c>
      <c r="F263" s="7" t="n">
        <v>87.40000000000001</v>
      </c>
    </row>
    <row r="264">
      <c r="D264" t="inlineStr">
        <is>
          <t>A3 R8 price</t>
        </is>
      </c>
      <c r="E264" t="inlineStr">
        <is>
          <t>USD m</t>
        </is>
      </c>
      <c r="F264" s="7" t="n">
        <v>101.9</v>
      </c>
    </row>
    <row r="265">
      <c r="D265" t="inlineStr">
        <is>
          <t>R8 deposit</t>
        </is>
      </c>
      <c r="E265" t="inlineStr">
        <is>
          <t>% of price</t>
        </is>
      </c>
      <c r="F265" s="7" t="n">
        <v>20</v>
      </c>
    </row>
    <row r="266">
      <c r="D266" t="inlineStr">
        <is>
          <t>A3 transaction costs</t>
        </is>
      </c>
      <c r="E266" t="inlineStr">
        <is>
          <t>USD m</t>
        </is>
      </c>
      <c r="F266" s="7" t="n">
        <v>4.4</v>
      </c>
    </row>
    <row r="268">
      <c r="A268" s="4" t="inlineStr">
        <is>
          <t>Debt</t>
        </is>
      </c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</row>
    <row r="269">
      <c r="D269" t="inlineStr">
        <is>
          <t>Opco TL date</t>
        </is>
      </c>
      <c r="E269" t="inlineStr">
        <is>
          <t>date</t>
        </is>
      </c>
      <c r="F269" s="8" t="n">
        <v>44642</v>
      </c>
    </row>
    <row r="270">
      <c r="D270" t="inlineStr">
        <is>
          <t>Opco TL notional amortization to</t>
        </is>
      </c>
      <c r="E270" t="inlineStr">
        <is>
          <t>date</t>
        </is>
      </c>
      <c r="F270" s="8" t="n">
        <v>51501</v>
      </c>
    </row>
    <row r="271">
      <c r="D271" t="inlineStr">
        <is>
          <t>Opco TL margin to step date</t>
        </is>
      </c>
      <c r="E271" t="inlineStr">
        <is>
          <t>%</t>
        </is>
      </c>
      <c r="F271" s="7" t="n">
        <v>1.625</v>
      </c>
    </row>
    <row r="272">
      <c r="D272" t="inlineStr">
        <is>
          <t>Opco TL margin after step date</t>
        </is>
      </c>
      <c r="E272" t="inlineStr">
        <is>
          <t>%</t>
        </is>
      </c>
      <c r="F272" s="7" t="n">
        <v>1.875</v>
      </c>
    </row>
    <row r="273">
      <c r="D273" t="inlineStr">
        <is>
          <t>Opco TL margin step date</t>
        </is>
      </c>
      <c r="E273" t="inlineStr">
        <is>
          <t>date</t>
        </is>
      </c>
      <c r="F273" s="8" t="n">
        <v>46103</v>
      </c>
    </row>
    <row r="274">
      <c r="D274" t="inlineStr">
        <is>
          <t>Opco TL upfront fee</t>
        </is>
      </c>
      <c r="E274" t="inlineStr">
        <is>
          <t>%</t>
        </is>
      </c>
      <c r="F274" s="7" t="n">
        <v>1.5</v>
      </c>
    </row>
    <row r="275">
      <c r="D275" t="inlineStr">
        <is>
          <t>Opco TL sizing DSCR, contracted</t>
        </is>
      </c>
      <c r="E275" t="inlineStr">
        <is>
          <t>x</t>
        </is>
      </c>
      <c r="F275" s="11" t="n">
        <v>1.3</v>
      </c>
    </row>
    <row r="276">
      <c r="D276" t="inlineStr">
        <is>
          <t>Opco TL sizing DSCR, hedged</t>
        </is>
      </c>
      <c r="E276" t="inlineStr">
        <is>
          <t>x</t>
        </is>
      </c>
      <c r="F276" s="11" t="n">
        <v>1.4</v>
      </c>
    </row>
    <row r="277">
      <c r="D277" t="inlineStr">
        <is>
          <t>Opco TL sizing DSCR, merchant</t>
        </is>
      </c>
      <c r="E277" t="inlineStr">
        <is>
          <t>x</t>
        </is>
      </c>
      <c r="F277" s="11" t="n">
        <v>2</v>
      </c>
    </row>
    <row r="278">
      <c r="D278" t="inlineStr">
        <is>
          <t>Opco TL P99 one-year minimum DSCR</t>
        </is>
      </c>
      <c r="E278" t="inlineStr">
        <is>
          <t>x</t>
        </is>
      </c>
      <c r="F278" s="11" t="n">
        <v>1</v>
      </c>
    </row>
    <row r="279">
      <c r="D279" t="inlineStr">
        <is>
          <t>Opco TL hedge ratio</t>
        </is>
      </c>
      <c r="E279" t="inlineStr">
        <is>
          <t>%</t>
        </is>
      </c>
      <c r="F279" s="7" t="n">
        <v>85</v>
      </c>
    </row>
    <row r="280">
      <c r="D280" t="inlineStr">
        <is>
          <t>Opco TL swap fixed rate</t>
        </is>
      </c>
      <c r="E280" t="inlineStr">
        <is>
          <t>%</t>
        </is>
      </c>
      <c r="F280" s="7" t="n">
        <v>2.41</v>
      </c>
    </row>
    <row r="281">
      <c r="D281" t="inlineStr">
        <is>
          <t>Opco TL swap end</t>
        </is>
      </c>
      <c r="E281" t="inlineStr">
        <is>
          <t>date</t>
        </is>
      </c>
      <c r="F281" s="8" t="n">
        <v>47199</v>
      </c>
    </row>
    <row r="282">
      <c r="D282" t="inlineStr">
        <is>
          <t>Holdco TLB date</t>
        </is>
      </c>
      <c r="E282" t="inlineStr">
        <is>
          <t>date</t>
        </is>
      </c>
      <c r="F282" s="8" t="n">
        <v>44642</v>
      </c>
    </row>
    <row r="283">
      <c r="D283" t="inlineStr">
        <is>
          <t>Holdco TLB maturity</t>
        </is>
      </c>
      <c r="E283" t="inlineStr">
        <is>
          <t>date</t>
        </is>
      </c>
      <c r="F283" s="8" t="n">
        <v>46834</v>
      </c>
    </row>
    <row r="284">
      <c r="D284" t="inlineStr">
        <is>
          <t>Holdco TLB margin</t>
        </is>
      </c>
      <c r="E284" t="inlineStr">
        <is>
          <t>%</t>
        </is>
      </c>
      <c r="F284" s="7" t="n">
        <v>4.75</v>
      </c>
    </row>
    <row r="285">
      <c r="D285" t="inlineStr">
        <is>
          <t>Holdco SOFR floor</t>
        </is>
      </c>
      <c r="E285" t="inlineStr">
        <is>
          <t>%</t>
        </is>
      </c>
      <c r="F285" s="7" t="n">
        <v>0.5</v>
      </c>
    </row>
    <row r="286">
      <c r="D286" t="inlineStr">
        <is>
          <t>Holdco TLB OID</t>
        </is>
      </c>
      <c r="E286" t="inlineStr">
        <is>
          <t>% of face</t>
        </is>
      </c>
      <c r="F286" s="7" t="n">
        <v>98</v>
      </c>
    </row>
    <row r="287">
      <c r="D287" t="inlineStr">
        <is>
          <t>Holdco TLB amortization</t>
        </is>
      </c>
      <c r="E287" t="inlineStr">
        <is>
          <t>% pa</t>
        </is>
      </c>
      <c r="F287" s="7" t="n">
        <v>1</v>
      </c>
    </row>
    <row r="288">
      <c r="D288" t="inlineStr">
        <is>
          <t>Holdco excess cash sweep</t>
        </is>
      </c>
      <c r="E288" t="inlineStr">
        <is>
          <t>%</t>
        </is>
      </c>
      <c r="F288" s="7" t="n">
        <v>50</v>
      </c>
    </row>
    <row r="289">
      <c r="D289" t="inlineStr">
        <is>
          <t>Holdco sizing coverage</t>
        </is>
      </c>
      <c r="E289" t="inlineStr">
        <is>
          <t>x</t>
        </is>
      </c>
      <c r="F289" s="11" t="n">
        <v>1.75</v>
      </c>
    </row>
    <row r="290">
      <c r="D290" t="inlineStr">
        <is>
          <t>Holdco debt cap</t>
        </is>
      </c>
      <c r="E290" t="inlineStr">
        <is>
          <t>% of opco equity value</t>
        </is>
      </c>
      <c r="F290" s="7" t="n">
        <v>45</v>
      </c>
    </row>
    <row r="291">
      <c r="D291" t="inlineStr">
        <is>
          <t>Holdco TLB test years from</t>
        </is>
      </c>
      <c r="E291" t="inlineStr">
        <is>
          <t>year</t>
        </is>
      </c>
      <c r="F291" s="6" t="n">
        <v>2023</v>
      </c>
    </row>
    <row r="292">
      <c r="D292" t="inlineStr">
        <is>
          <t>Holdco TLB test years to</t>
        </is>
      </c>
      <c r="E292" t="inlineStr">
        <is>
          <t>year</t>
        </is>
      </c>
      <c r="F292" s="6" t="n">
        <v>2027</v>
      </c>
    </row>
    <row r="293">
      <c r="D293" t="inlineStr">
        <is>
          <t>Redfern loan date</t>
        </is>
      </c>
      <c r="E293" t="inlineStr">
        <is>
          <t>date</t>
        </is>
      </c>
      <c r="F293" s="8" t="n">
        <v>45169</v>
      </c>
    </row>
    <row r="294">
      <c r="D294" t="inlineStr">
        <is>
          <t>Redfern loan maturity</t>
        </is>
      </c>
      <c r="E294" t="inlineStr">
        <is>
          <t>date</t>
        </is>
      </c>
      <c r="F294" s="8" t="n">
        <v>47664</v>
      </c>
    </row>
    <row r="295">
      <c r="D295" t="inlineStr">
        <is>
          <t>Redfern margin</t>
        </is>
      </c>
      <c r="E295" t="inlineStr">
        <is>
          <t>%</t>
        </is>
      </c>
      <c r="F295" s="7" t="n">
        <v>2.1</v>
      </c>
    </row>
    <row r="296">
      <c r="D296" t="inlineStr">
        <is>
          <t>Redfern upfront fee</t>
        </is>
      </c>
      <c r="E296" t="inlineStr">
        <is>
          <t>%</t>
        </is>
      </c>
      <c r="F296" s="7" t="n">
        <v>1.4</v>
      </c>
    </row>
    <row r="297">
      <c r="D297" t="inlineStr">
        <is>
          <t>Redfern sizing DSCR on toll cash flow</t>
        </is>
      </c>
      <c r="E297" t="inlineStr">
        <is>
          <t>x</t>
        </is>
      </c>
      <c r="F297" s="11" t="n">
        <v>1.35</v>
      </c>
    </row>
    <row r="298">
      <c r="D298" t="inlineStr">
        <is>
          <t>Redfern hedge ratio</t>
        </is>
      </c>
      <c r="E298" t="inlineStr">
        <is>
          <t>%</t>
        </is>
      </c>
      <c r="F298" s="7" t="n">
        <v>75</v>
      </c>
    </row>
    <row r="299">
      <c r="D299" t="inlineStr">
        <is>
          <t>Redfern swap fixed rate</t>
        </is>
      </c>
      <c r="E299" t="inlineStr">
        <is>
          <t>%</t>
        </is>
      </c>
      <c r="F299" s="7" t="n">
        <v>4.38</v>
      </c>
    </row>
    <row r="300">
      <c r="D300" t="inlineStr">
        <is>
          <t>Holdco incremental date</t>
        </is>
      </c>
      <c r="E300" t="inlineStr">
        <is>
          <t>date</t>
        </is>
      </c>
      <c r="F300" s="8" t="n">
        <v>45337</v>
      </c>
    </row>
    <row r="301">
      <c r="D301" t="inlineStr">
        <is>
          <t>Holdco incremental maturity</t>
        </is>
      </c>
      <c r="E301" t="inlineStr">
        <is>
          <t>date</t>
        </is>
      </c>
      <c r="F301" s="8" t="n">
        <v>46834</v>
      </c>
    </row>
    <row r="302">
      <c r="D302" t="inlineStr">
        <is>
          <t>Holdco incremental margin</t>
        </is>
      </c>
      <c r="E302" t="inlineStr">
        <is>
          <t>%</t>
        </is>
      </c>
      <c r="F302" s="7" t="n">
        <v>4.25</v>
      </c>
    </row>
    <row r="303">
      <c r="D303" t="inlineStr">
        <is>
          <t>Holdco incremental OID</t>
        </is>
      </c>
      <c r="E303" t="inlineStr">
        <is>
          <t>% of face</t>
        </is>
      </c>
      <c r="F303" s="7" t="n">
        <v>99</v>
      </c>
    </row>
    <row r="304">
      <c r="D304" t="inlineStr">
        <is>
          <t>Holdco incremental amortization</t>
        </is>
      </c>
      <c r="E304" t="inlineStr">
        <is>
          <t>% pa</t>
        </is>
      </c>
      <c r="F304" s="7" t="n">
        <v>1</v>
      </c>
    </row>
    <row r="305">
      <c r="D305" t="inlineStr">
        <is>
          <t>Incremental test years from</t>
        </is>
      </c>
      <c r="E305" t="inlineStr">
        <is>
          <t>year</t>
        </is>
      </c>
      <c r="F305" s="6" t="n">
        <v>2025</v>
      </c>
    </row>
    <row r="306">
      <c r="D306" t="inlineStr">
        <is>
          <t>Incremental test years to</t>
        </is>
      </c>
      <c r="E306" t="inlineStr">
        <is>
          <t>year</t>
        </is>
      </c>
      <c r="F306" s="6" t="n">
        <v>2027</v>
      </c>
    </row>
    <row r="307">
      <c r="D307" t="inlineStr">
        <is>
          <t>Refinancing year (modeled at December 31)</t>
        </is>
      </c>
      <c r="E307" t="inlineStr">
        <is>
          <t>year</t>
        </is>
      </c>
      <c r="F307" s="6" t="n">
        <v>2025</v>
      </c>
    </row>
    <row r="308">
      <c r="D308" t="inlineStr">
        <is>
          <t>Refinancing date (modeled)</t>
        </is>
      </c>
      <c r="E308" t="inlineStr">
        <is>
          <t>date</t>
        </is>
      </c>
      <c r="F308" s="8" t="n">
        <v>46022</v>
      </c>
    </row>
    <row r="309">
      <c r="D309" t="inlineStr">
        <is>
          <t>USPP first debt service year</t>
        </is>
      </c>
      <c r="E309" t="inlineStr">
        <is>
          <t>year</t>
        </is>
      </c>
      <c r="F309" s="6" t="n">
        <v>2026</v>
      </c>
    </row>
    <row r="310">
      <c r="D310" t="inlineStr">
        <is>
          <t>USPP Series A tenor</t>
        </is>
      </c>
      <c r="E310" t="inlineStr">
        <is>
          <t>years</t>
        </is>
      </c>
      <c r="F310" s="6" t="n">
        <v>7</v>
      </c>
    </row>
    <row r="311">
      <c r="D311" t="inlineStr">
        <is>
          <t>USPP Series A coupon</t>
        </is>
      </c>
      <c r="E311" t="inlineStr">
        <is>
          <t>%</t>
        </is>
      </c>
      <c r="F311" s="7" t="n">
        <v>5.71</v>
      </c>
    </row>
    <row r="312">
      <c r="D312" t="inlineStr">
        <is>
          <t>USPP Series B tenor</t>
        </is>
      </c>
      <c r="E312" t="inlineStr">
        <is>
          <t>years</t>
        </is>
      </c>
      <c r="F312" s="6" t="n">
        <v>12</v>
      </c>
    </row>
    <row r="313">
      <c r="D313" t="inlineStr">
        <is>
          <t>USPP Series B coupon</t>
        </is>
      </c>
      <c r="E313" t="inlineStr">
        <is>
          <t>%</t>
        </is>
      </c>
      <c r="F313" s="7" t="n">
        <v>6.08</v>
      </c>
    </row>
    <row r="314">
      <c r="D314" t="inlineStr">
        <is>
          <t>USPP Series C tenor</t>
        </is>
      </c>
      <c r="E314" t="inlineStr">
        <is>
          <t>years</t>
        </is>
      </c>
      <c r="F314" s="6" t="n">
        <v>18</v>
      </c>
    </row>
    <row r="315">
      <c r="D315" t="inlineStr">
        <is>
          <t>USPP Series C coupon</t>
        </is>
      </c>
      <c r="E315" t="inlineStr">
        <is>
          <t>%</t>
        </is>
      </c>
      <c r="F315" s="7" t="n">
        <v>6.39</v>
      </c>
    </row>
    <row r="316">
      <c r="D316" t="inlineStr">
        <is>
          <t>USPP sizing DSCR, contracted</t>
        </is>
      </c>
      <c r="E316" t="inlineStr">
        <is>
          <t>x</t>
        </is>
      </c>
      <c r="F316" s="11" t="n">
        <v>1.35</v>
      </c>
    </row>
    <row r="317">
      <c r="D317" t="inlineStr">
        <is>
          <t>USPP sizing DSCR, hedged</t>
        </is>
      </c>
      <c r="E317" t="inlineStr">
        <is>
          <t>x</t>
        </is>
      </c>
      <c r="F317" s="11" t="n">
        <v>1.5</v>
      </c>
    </row>
    <row r="318">
      <c r="D318" t="inlineStr">
        <is>
          <t>USPP sizing DSCR, merchant</t>
        </is>
      </c>
      <c r="E318" t="inlineStr">
        <is>
          <t>x</t>
        </is>
      </c>
      <c r="F318" s="11" t="n">
        <v>2.25</v>
      </c>
    </row>
    <row r="319">
      <c r="D319" t="inlineStr">
        <is>
          <t>USPP P99 one-year minimum DSCR</t>
        </is>
      </c>
      <c r="E319" t="inlineStr">
        <is>
          <t>x</t>
        </is>
      </c>
      <c r="F319" s="11" t="n">
        <v>1.05</v>
      </c>
    </row>
    <row r="320">
      <c r="D320" t="inlineStr">
        <is>
          <t>USPP transaction costs</t>
        </is>
      </c>
      <c r="E320" t="inlineStr">
        <is>
          <t>% of notes</t>
        </is>
      </c>
      <c r="F320" s="7" t="n">
        <v>1.1</v>
      </c>
    </row>
    <row r="321">
      <c r="D321" t="inlineStr">
        <is>
          <t>SOFR swap rate for unwinds</t>
        </is>
      </c>
      <c r="E321" t="inlineStr">
        <is>
          <t>%</t>
        </is>
      </c>
      <c r="F321" s="7" t="n">
        <v>3.55</v>
      </c>
    </row>
    <row r="322">
      <c r="D322" t="inlineStr">
        <is>
          <t>Repriced holdco margin</t>
        </is>
      </c>
      <c r="E322" t="inlineStr">
        <is>
          <t>%</t>
        </is>
      </c>
      <c r="F322" s="7" t="n">
        <v>3.5</v>
      </c>
    </row>
    <row r="323">
      <c r="D323" t="inlineStr">
        <is>
          <t>Repriced holdco maturity</t>
        </is>
      </c>
      <c r="E323" t="inlineStr">
        <is>
          <t>date</t>
        </is>
      </c>
      <c r="F323" s="8" t="n">
        <v>48213</v>
      </c>
    </row>
    <row r="324">
      <c r="D324" t="inlineStr">
        <is>
          <t>Repriced holdco OID</t>
        </is>
      </c>
      <c r="E324" t="inlineStr">
        <is>
          <t>% of face</t>
        </is>
      </c>
      <c r="F324" s="7" t="n">
        <v>99.5</v>
      </c>
    </row>
    <row r="325">
      <c r="D325" t="inlineStr">
        <is>
          <t>Repriced holdco amortization</t>
        </is>
      </c>
      <c r="E325" t="inlineStr">
        <is>
          <t>% pa</t>
        </is>
      </c>
      <c r="F325" s="7" t="n">
        <v>1</v>
      </c>
    </row>
    <row r="326">
      <c r="D326" t="inlineStr">
        <is>
          <t>Repricing test years from</t>
        </is>
      </c>
      <c r="E326" t="inlineStr">
        <is>
          <t>year</t>
        </is>
      </c>
      <c r="F326" s="6" t="n">
        <v>2026</v>
      </c>
    </row>
    <row r="327">
      <c r="D327" t="inlineStr">
        <is>
          <t>Repricing test years to</t>
        </is>
      </c>
      <c r="E327" t="inlineStr">
        <is>
          <t>year</t>
        </is>
      </c>
      <c r="F327" s="6" t="n">
        <v>2031</v>
      </c>
    </row>
    <row r="329">
      <c r="A329" s="4" t="inlineStr">
        <is>
          <t>Valuation</t>
        </is>
      </c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</row>
    <row r="330">
      <c r="D330" t="inlineStr">
        <is>
          <t>Unlevered discount rate, contracted</t>
        </is>
      </c>
      <c r="E330" t="inlineStr">
        <is>
          <t>%</t>
        </is>
      </c>
      <c r="F330" s="7" t="n">
        <v>6.75</v>
      </c>
    </row>
    <row r="331">
      <c r="D331" t="inlineStr">
        <is>
          <t>Unlevered discount rate, hedged</t>
        </is>
      </c>
      <c r="E331" t="inlineStr">
        <is>
          <t>%</t>
        </is>
      </c>
      <c r="F331" s="7" t="n">
        <v>7.75</v>
      </c>
    </row>
    <row r="332">
      <c r="D332" t="inlineStr">
        <is>
          <t>Unlevered discount rate, merchant</t>
        </is>
      </c>
      <c r="E332" t="inlineStr">
        <is>
          <t>%</t>
        </is>
      </c>
      <c r="F332" s="7" t="n">
        <v>9.25</v>
      </c>
    </row>
    <row r="333">
      <c r="D333" t="inlineStr">
        <is>
          <t>Unlevered discount rate, storage_merchant</t>
        </is>
      </c>
      <c r="E333" t="inlineStr">
        <is>
          <t>%</t>
        </is>
      </c>
      <c r="F333" s="7" t="n">
        <v>10.25</v>
      </c>
    </row>
    <row r="334">
      <c r="D334" t="inlineStr">
        <is>
          <t>Unlevered discount rate, terminal_post_2040</t>
        </is>
      </c>
      <c r="E334" t="inlineStr">
        <is>
          <t>%</t>
        </is>
      </c>
      <c r="F334" s="7" t="n">
        <v>10.5</v>
      </c>
    </row>
    <row r="335">
      <c r="D335" t="inlineStr">
        <is>
          <t>Terminal rate applies to cash flows after</t>
        </is>
      </c>
      <c r="E335" t="inlineStr">
        <is>
          <t>year</t>
        </is>
      </c>
      <c r="F335" s="6" t="n">
        <v>2040</v>
      </c>
    </row>
    <row r="336">
      <c r="D336" t="inlineStr">
        <is>
          <t>Levered equity discount rate, contracted</t>
        </is>
      </c>
      <c r="E336" t="inlineStr">
        <is>
          <t>%</t>
        </is>
      </c>
      <c r="F336" s="7" t="n">
        <v>8.25</v>
      </c>
    </row>
    <row r="337">
      <c r="D337" t="inlineStr">
        <is>
          <t>Levered equity discount rate, hedged</t>
        </is>
      </c>
      <c r="E337" t="inlineStr">
        <is>
          <t>%</t>
        </is>
      </c>
      <c r="F337" s="7" t="n">
        <v>9.5</v>
      </c>
    </row>
    <row r="338">
      <c r="D338" t="inlineStr">
        <is>
          <t>Levered equity discount rate, merchant</t>
        </is>
      </c>
      <c r="E338" t="inlineStr">
        <is>
          <t>%</t>
        </is>
      </c>
      <c r="F338" s="7" t="n">
        <v>11.5</v>
      </c>
    </row>
    <row r="339">
      <c r="D339" t="inlineStr">
        <is>
          <t>Levered equity discount rate, storage_merchant</t>
        </is>
      </c>
      <c r="E339" t="inlineStr">
        <is>
          <t>%</t>
        </is>
      </c>
      <c r="F339" s="7" t="n">
        <v>12.5</v>
      </c>
    </row>
    <row r="340">
      <c r="D340" t="inlineStr">
        <is>
          <t>NAV date</t>
        </is>
      </c>
      <c r="E340" t="inlineStr">
        <is>
          <t>date</t>
        </is>
      </c>
      <c r="F340" s="8" t="n">
        <v>46022</v>
      </c>
    </row>
    <row r="342">
      <c r="A342" s="4" t="inlineStr">
        <is>
          <t>Uri-type stress (R1)</t>
        </is>
      </c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</row>
    <row r="343">
      <c r="D343" t="inlineStr">
        <is>
          <t>Event duration</t>
        </is>
      </c>
      <c r="E343" t="inlineStr">
        <is>
          <t>hours</t>
        </is>
      </c>
      <c r="F343" s="7" t="n">
        <v>72</v>
      </c>
    </row>
    <row r="344">
      <c r="D344" t="inlineStr">
        <is>
          <t>Price during event</t>
        </is>
      </c>
      <c r="E344" t="inlineStr">
        <is>
          <t>USD/MWh</t>
        </is>
      </c>
      <c r="F344" s="7" t="n">
        <v>5000</v>
      </c>
    </row>
    <row r="345">
      <c r="D345" t="inlineStr">
        <is>
          <t>R1 availability during event</t>
        </is>
      </c>
      <c r="E345" t="inlineStr">
        <is>
          <t>%</t>
        </is>
      </c>
      <c r="F345" s="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Time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D4" t="inlineStr">
        <is>
          <t>Year</t>
        </is>
      </c>
      <c r="E4" t="inlineStr">
        <is>
          <t>year</t>
        </is>
      </c>
      <c r="J4" s="12">
        <f>Inputs!$F$23</f>
        <v/>
      </c>
      <c r="K4" s="12">
        <f>J4+1</f>
        <v/>
      </c>
      <c r="L4" s="12">
        <f>K4+1</f>
        <v/>
      </c>
      <c r="M4" s="12">
        <f>L4+1</f>
        <v/>
      </c>
      <c r="N4" s="12">
        <f>M4+1</f>
        <v/>
      </c>
      <c r="O4" s="12">
        <f>N4+1</f>
        <v/>
      </c>
      <c r="P4" s="12">
        <f>O4+1</f>
        <v/>
      </c>
      <c r="Q4" s="12">
        <f>P4+1</f>
        <v/>
      </c>
      <c r="R4" s="12">
        <f>Q4+1</f>
        <v/>
      </c>
      <c r="S4" s="12">
        <f>R4+1</f>
        <v/>
      </c>
      <c r="T4" s="12">
        <f>S4+1</f>
        <v/>
      </c>
      <c r="U4" s="12">
        <f>T4+1</f>
        <v/>
      </c>
      <c r="V4" s="12">
        <f>U4+1</f>
        <v/>
      </c>
      <c r="W4" s="12">
        <f>V4+1</f>
        <v/>
      </c>
      <c r="X4" s="12">
        <f>W4+1</f>
        <v/>
      </c>
      <c r="Y4" s="12">
        <f>X4+1</f>
        <v/>
      </c>
      <c r="Z4" s="12">
        <f>Y4+1</f>
        <v/>
      </c>
      <c r="AA4" s="12">
        <f>Z4+1</f>
        <v/>
      </c>
      <c r="AB4" s="12">
        <f>AA4+1</f>
        <v/>
      </c>
      <c r="AC4" s="12">
        <f>AB4+1</f>
        <v/>
      </c>
      <c r="AD4" s="12">
        <f>AC4+1</f>
        <v/>
      </c>
      <c r="AE4" s="12">
        <f>AD4+1</f>
        <v/>
      </c>
      <c r="AF4" s="12">
        <f>AE4+1</f>
        <v/>
      </c>
      <c r="AG4" s="12">
        <f>AF4+1</f>
        <v/>
      </c>
      <c r="AH4" s="12">
        <f>AG4+1</f>
        <v/>
      </c>
      <c r="AI4" s="12">
        <f>AH4+1</f>
        <v/>
      </c>
      <c r="AJ4" s="12">
        <f>AI4+1</f>
        <v/>
      </c>
      <c r="AK4" s="12">
        <f>AJ4+1</f>
        <v/>
      </c>
      <c r="AL4" s="12">
        <f>AK4+1</f>
        <v/>
      </c>
      <c r="AM4" s="12">
        <f>AL4+1</f>
        <v/>
      </c>
      <c r="AN4" s="12">
        <f>AM4+1</f>
        <v/>
      </c>
      <c r="AO4" s="12">
        <f>AN4+1</f>
        <v/>
      </c>
      <c r="AP4" s="12">
        <f>AO4+1</f>
        <v/>
      </c>
      <c r="AQ4" s="12">
        <f>AP4+1</f>
        <v/>
      </c>
      <c r="AR4" s="12">
        <f>AQ4+1</f>
        <v/>
      </c>
      <c r="AS4" s="12">
        <f>AR4+1</f>
        <v/>
      </c>
      <c r="AT4" s="12">
        <f>AS4+1</f>
        <v/>
      </c>
      <c r="AU4" s="12">
        <f>AT4+1</f>
        <v/>
      </c>
    </row>
    <row r="5">
      <c r="D5" t="inlineStr">
        <is>
          <t>Period start (prior December 31)</t>
        </is>
      </c>
      <c r="E5" t="inlineStr">
        <is>
          <t>date</t>
        </is>
      </c>
      <c r="J5" s="13">
        <f>DATE(J4,1,1)-1</f>
        <v/>
      </c>
      <c r="K5" s="13">
        <f>DATE(K4,1,1)-1</f>
        <v/>
      </c>
      <c r="L5" s="13">
        <f>DATE(L4,1,1)-1</f>
        <v/>
      </c>
      <c r="M5" s="13">
        <f>DATE(M4,1,1)-1</f>
        <v/>
      </c>
      <c r="N5" s="13">
        <f>DATE(N4,1,1)-1</f>
        <v/>
      </c>
      <c r="O5" s="13">
        <f>DATE(O4,1,1)-1</f>
        <v/>
      </c>
      <c r="P5" s="13">
        <f>DATE(P4,1,1)-1</f>
        <v/>
      </c>
      <c r="Q5" s="13">
        <f>DATE(Q4,1,1)-1</f>
        <v/>
      </c>
      <c r="R5" s="13">
        <f>DATE(R4,1,1)-1</f>
        <v/>
      </c>
      <c r="S5" s="13">
        <f>DATE(S4,1,1)-1</f>
        <v/>
      </c>
      <c r="T5" s="13">
        <f>DATE(T4,1,1)-1</f>
        <v/>
      </c>
      <c r="U5" s="13">
        <f>DATE(U4,1,1)-1</f>
        <v/>
      </c>
      <c r="V5" s="13">
        <f>DATE(V4,1,1)-1</f>
        <v/>
      </c>
      <c r="W5" s="13">
        <f>DATE(W4,1,1)-1</f>
        <v/>
      </c>
      <c r="X5" s="13">
        <f>DATE(X4,1,1)-1</f>
        <v/>
      </c>
      <c r="Y5" s="13">
        <f>DATE(Y4,1,1)-1</f>
        <v/>
      </c>
      <c r="Z5" s="13">
        <f>DATE(Z4,1,1)-1</f>
        <v/>
      </c>
      <c r="AA5" s="13">
        <f>DATE(AA4,1,1)-1</f>
        <v/>
      </c>
      <c r="AB5" s="13">
        <f>DATE(AB4,1,1)-1</f>
        <v/>
      </c>
      <c r="AC5" s="13">
        <f>DATE(AC4,1,1)-1</f>
        <v/>
      </c>
      <c r="AD5" s="13">
        <f>DATE(AD4,1,1)-1</f>
        <v/>
      </c>
      <c r="AE5" s="13">
        <f>DATE(AE4,1,1)-1</f>
        <v/>
      </c>
      <c r="AF5" s="13">
        <f>DATE(AF4,1,1)-1</f>
        <v/>
      </c>
      <c r="AG5" s="13">
        <f>DATE(AG4,1,1)-1</f>
        <v/>
      </c>
      <c r="AH5" s="13">
        <f>DATE(AH4,1,1)-1</f>
        <v/>
      </c>
      <c r="AI5" s="13">
        <f>DATE(AI4,1,1)-1</f>
        <v/>
      </c>
      <c r="AJ5" s="13">
        <f>DATE(AJ4,1,1)-1</f>
        <v/>
      </c>
      <c r="AK5" s="13">
        <f>DATE(AK4,1,1)-1</f>
        <v/>
      </c>
      <c r="AL5" s="13">
        <f>DATE(AL4,1,1)-1</f>
        <v/>
      </c>
      <c r="AM5" s="13">
        <f>DATE(AM4,1,1)-1</f>
        <v/>
      </c>
      <c r="AN5" s="13">
        <f>DATE(AN4,1,1)-1</f>
        <v/>
      </c>
      <c r="AO5" s="13">
        <f>DATE(AO4,1,1)-1</f>
        <v/>
      </c>
      <c r="AP5" s="13">
        <f>DATE(AP4,1,1)-1</f>
        <v/>
      </c>
      <c r="AQ5" s="13">
        <f>DATE(AQ4,1,1)-1</f>
        <v/>
      </c>
      <c r="AR5" s="13">
        <f>DATE(AR4,1,1)-1</f>
        <v/>
      </c>
      <c r="AS5" s="13">
        <f>DATE(AS4,1,1)-1</f>
        <v/>
      </c>
      <c r="AT5" s="13">
        <f>DATE(AT4,1,1)-1</f>
        <v/>
      </c>
      <c r="AU5" s="13">
        <f>DATE(AU4,1,1)-1</f>
        <v/>
      </c>
    </row>
    <row r="6">
      <c r="D6" t="inlineStr">
        <is>
          <t>Period end (December 31)</t>
        </is>
      </c>
      <c r="E6" t="inlineStr">
        <is>
          <t>date</t>
        </is>
      </c>
      <c r="J6" s="13">
        <f>DATE(J4+1,1,1)-1</f>
        <v/>
      </c>
      <c r="K6" s="13">
        <f>DATE(K4+1,1,1)-1</f>
        <v/>
      </c>
      <c r="L6" s="13">
        <f>DATE(L4+1,1,1)-1</f>
        <v/>
      </c>
      <c r="M6" s="13">
        <f>DATE(M4+1,1,1)-1</f>
        <v/>
      </c>
      <c r="N6" s="13">
        <f>DATE(N4+1,1,1)-1</f>
        <v/>
      </c>
      <c r="O6" s="13">
        <f>DATE(O4+1,1,1)-1</f>
        <v/>
      </c>
      <c r="P6" s="13">
        <f>DATE(P4+1,1,1)-1</f>
        <v/>
      </c>
      <c r="Q6" s="13">
        <f>DATE(Q4+1,1,1)-1</f>
        <v/>
      </c>
      <c r="R6" s="13">
        <f>DATE(R4+1,1,1)-1</f>
        <v/>
      </c>
      <c r="S6" s="13">
        <f>DATE(S4+1,1,1)-1</f>
        <v/>
      </c>
      <c r="T6" s="13">
        <f>DATE(T4+1,1,1)-1</f>
        <v/>
      </c>
      <c r="U6" s="13">
        <f>DATE(U4+1,1,1)-1</f>
        <v/>
      </c>
      <c r="V6" s="13">
        <f>DATE(V4+1,1,1)-1</f>
        <v/>
      </c>
      <c r="W6" s="13">
        <f>DATE(W4+1,1,1)-1</f>
        <v/>
      </c>
      <c r="X6" s="13">
        <f>DATE(X4+1,1,1)-1</f>
        <v/>
      </c>
      <c r="Y6" s="13">
        <f>DATE(Y4+1,1,1)-1</f>
        <v/>
      </c>
      <c r="Z6" s="13">
        <f>DATE(Z4+1,1,1)-1</f>
        <v/>
      </c>
      <c r="AA6" s="13">
        <f>DATE(AA4+1,1,1)-1</f>
        <v/>
      </c>
      <c r="AB6" s="13">
        <f>DATE(AB4+1,1,1)-1</f>
        <v/>
      </c>
      <c r="AC6" s="13">
        <f>DATE(AC4+1,1,1)-1</f>
        <v/>
      </c>
      <c r="AD6" s="13">
        <f>DATE(AD4+1,1,1)-1</f>
        <v/>
      </c>
      <c r="AE6" s="13">
        <f>DATE(AE4+1,1,1)-1</f>
        <v/>
      </c>
      <c r="AF6" s="13">
        <f>DATE(AF4+1,1,1)-1</f>
        <v/>
      </c>
      <c r="AG6" s="13">
        <f>DATE(AG4+1,1,1)-1</f>
        <v/>
      </c>
      <c r="AH6" s="13">
        <f>DATE(AH4+1,1,1)-1</f>
        <v/>
      </c>
      <c r="AI6" s="13">
        <f>DATE(AI4+1,1,1)-1</f>
        <v/>
      </c>
      <c r="AJ6" s="13">
        <f>DATE(AJ4+1,1,1)-1</f>
        <v/>
      </c>
      <c r="AK6" s="13">
        <f>DATE(AK4+1,1,1)-1</f>
        <v/>
      </c>
      <c r="AL6" s="13">
        <f>DATE(AL4+1,1,1)-1</f>
        <v/>
      </c>
      <c r="AM6" s="13">
        <f>DATE(AM4+1,1,1)-1</f>
        <v/>
      </c>
      <c r="AN6" s="13">
        <f>DATE(AN4+1,1,1)-1</f>
        <v/>
      </c>
      <c r="AO6" s="13">
        <f>DATE(AO4+1,1,1)-1</f>
        <v/>
      </c>
      <c r="AP6" s="13">
        <f>DATE(AP4+1,1,1)-1</f>
        <v/>
      </c>
      <c r="AQ6" s="13">
        <f>DATE(AQ4+1,1,1)-1</f>
        <v/>
      </c>
      <c r="AR6" s="13">
        <f>DATE(AR4+1,1,1)-1</f>
        <v/>
      </c>
      <c r="AS6" s="13">
        <f>DATE(AS4+1,1,1)-1</f>
        <v/>
      </c>
      <c r="AT6" s="13">
        <f>DATE(AT4+1,1,1)-1</f>
        <v/>
      </c>
      <c r="AU6" s="13">
        <f>DATE(AU4+1,1,1)-1</f>
        <v/>
      </c>
    </row>
    <row r="7">
      <c r="D7" t="inlineStr">
        <is>
          <t>Days in period</t>
        </is>
      </c>
      <c r="E7" t="inlineStr">
        <is>
          <t>days</t>
        </is>
      </c>
      <c r="J7" s="12">
        <f>J6-J5</f>
        <v/>
      </c>
      <c r="K7" s="12">
        <f>K6-K5</f>
        <v/>
      </c>
      <c r="L7" s="12">
        <f>L6-L5</f>
        <v/>
      </c>
      <c r="M7" s="12">
        <f>M6-M5</f>
        <v/>
      </c>
      <c r="N7" s="12">
        <f>N6-N5</f>
        <v/>
      </c>
      <c r="O7" s="12">
        <f>O6-O5</f>
        <v/>
      </c>
      <c r="P7" s="12">
        <f>P6-P5</f>
        <v/>
      </c>
      <c r="Q7" s="12">
        <f>Q6-Q5</f>
        <v/>
      </c>
      <c r="R7" s="12">
        <f>R6-R5</f>
        <v/>
      </c>
      <c r="S7" s="12">
        <f>S6-S5</f>
        <v/>
      </c>
      <c r="T7" s="12">
        <f>T6-T5</f>
        <v/>
      </c>
      <c r="U7" s="12">
        <f>U6-U5</f>
        <v/>
      </c>
      <c r="V7" s="12">
        <f>V6-V5</f>
        <v/>
      </c>
      <c r="W7" s="12">
        <f>W6-W5</f>
        <v/>
      </c>
      <c r="X7" s="12">
        <f>X6-X5</f>
        <v/>
      </c>
      <c r="Y7" s="12">
        <f>Y6-Y5</f>
        <v/>
      </c>
      <c r="Z7" s="12">
        <f>Z6-Z5</f>
        <v/>
      </c>
      <c r="AA7" s="12">
        <f>AA6-AA5</f>
        <v/>
      </c>
      <c r="AB7" s="12">
        <f>AB6-AB5</f>
        <v/>
      </c>
      <c r="AC7" s="12">
        <f>AC6-AC5</f>
        <v/>
      </c>
      <c r="AD7" s="12">
        <f>AD6-AD5</f>
        <v/>
      </c>
      <c r="AE7" s="12">
        <f>AE6-AE5</f>
        <v/>
      </c>
      <c r="AF7" s="12">
        <f>AF6-AF5</f>
        <v/>
      </c>
      <c r="AG7" s="12">
        <f>AG6-AG5</f>
        <v/>
      </c>
      <c r="AH7" s="12">
        <f>AH6-AH5</f>
        <v/>
      </c>
      <c r="AI7" s="12">
        <f>AI6-AI5</f>
        <v/>
      </c>
      <c r="AJ7" s="12">
        <f>AJ6-AJ5</f>
        <v/>
      </c>
      <c r="AK7" s="12">
        <f>AK6-AK5</f>
        <v/>
      </c>
      <c r="AL7" s="12">
        <f>AL6-AL5</f>
        <v/>
      </c>
      <c r="AM7" s="12">
        <f>AM6-AM5</f>
        <v/>
      </c>
      <c r="AN7" s="12">
        <f>AN6-AN5</f>
        <v/>
      </c>
      <c r="AO7" s="12">
        <f>AO6-AO5</f>
        <v/>
      </c>
      <c r="AP7" s="12">
        <f>AP6-AP5</f>
        <v/>
      </c>
      <c r="AQ7" s="12">
        <f>AQ6-AQ5</f>
        <v/>
      </c>
      <c r="AR7" s="12">
        <f>AR6-AR5</f>
        <v/>
      </c>
      <c r="AS7" s="12">
        <f>AS6-AS5</f>
        <v/>
      </c>
      <c r="AT7" s="12">
        <f>AT6-AT5</f>
        <v/>
      </c>
      <c r="AU7" s="12">
        <f>AU6-AU5</f>
        <v/>
      </c>
    </row>
    <row r="8">
      <c r="D8" t="inlineStr">
        <is>
          <t>Years since price base year</t>
        </is>
      </c>
      <c r="E8" t="inlineStr">
        <is>
          <t>years</t>
        </is>
      </c>
      <c r="J8" s="12">
        <f>J4-Inputs!$F$24</f>
        <v/>
      </c>
      <c r="K8" s="12">
        <f>K4-Inputs!$F$24</f>
        <v/>
      </c>
      <c r="L8" s="12">
        <f>L4-Inputs!$F$24</f>
        <v/>
      </c>
      <c r="M8" s="12">
        <f>M4-Inputs!$F$24</f>
        <v/>
      </c>
      <c r="N8" s="12">
        <f>N4-Inputs!$F$24</f>
        <v/>
      </c>
      <c r="O8" s="12">
        <f>O4-Inputs!$F$24</f>
        <v/>
      </c>
      <c r="P8" s="12">
        <f>P4-Inputs!$F$24</f>
        <v/>
      </c>
      <c r="Q8" s="12">
        <f>Q4-Inputs!$F$24</f>
        <v/>
      </c>
      <c r="R8" s="12">
        <f>R4-Inputs!$F$24</f>
        <v/>
      </c>
      <c r="S8" s="12">
        <f>S4-Inputs!$F$24</f>
        <v/>
      </c>
      <c r="T8" s="12">
        <f>T4-Inputs!$F$24</f>
        <v/>
      </c>
      <c r="U8" s="12">
        <f>U4-Inputs!$F$24</f>
        <v/>
      </c>
      <c r="V8" s="12">
        <f>V4-Inputs!$F$24</f>
        <v/>
      </c>
      <c r="W8" s="12">
        <f>W4-Inputs!$F$24</f>
        <v/>
      </c>
      <c r="X8" s="12">
        <f>X4-Inputs!$F$24</f>
        <v/>
      </c>
      <c r="Y8" s="12">
        <f>Y4-Inputs!$F$24</f>
        <v/>
      </c>
      <c r="Z8" s="12">
        <f>Z4-Inputs!$F$24</f>
        <v/>
      </c>
      <c r="AA8" s="12">
        <f>AA4-Inputs!$F$24</f>
        <v/>
      </c>
      <c r="AB8" s="12">
        <f>AB4-Inputs!$F$24</f>
        <v/>
      </c>
      <c r="AC8" s="12">
        <f>AC4-Inputs!$F$24</f>
        <v/>
      </c>
      <c r="AD8" s="12">
        <f>AD4-Inputs!$F$24</f>
        <v/>
      </c>
      <c r="AE8" s="12">
        <f>AE4-Inputs!$F$24</f>
        <v/>
      </c>
      <c r="AF8" s="12">
        <f>AF4-Inputs!$F$24</f>
        <v/>
      </c>
      <c r="AG8" s="12">
        <f>AG4-Inputs!$F$24</f>
        <v/>
      </c>
      <c r="AH8" s="12">
        <f>AH4-Inputs!$F$24</f>
        <v/>
      </c>
      <c r="AI8" s="12">
        <f>AI4-Inputs!$F$24</f>
        <v/>
      </c>
      <c r="AJ8" s="12">
        <f>AJ4-Inputs!$F$24</f>
        <v/>
      </c>
      <c r="AK8" s="12">
        <f>AK4-Inputs!$F$24</f>
        <v/>
      </c>
      <c r="AL8" s="12">
        <f>AL4-Inputs!$F$24</f>
        <v/>
      </c>
      <c r="AM8" s="12">
        <f>AM4-Inputs!$F$24</f>
        <v/>
      </c>
      <c r="AN8" s="12">
        <f>AN4-Inputs!$F$24</f>
        <v/>
      </c>
      <c r="AO8" s="12">
        <f>AO4-Inputs!$F$24</f>
        <v/>
      </c>
      <c r="AP8" s="12">
        <f>AP4-Inputs!$F$24</f>
        <v/>
      </c>
      <c r="AQ8" s="12">
        <f>AQ4-Inputs!$F$24</f>
        <v/>
      </c>
      <c r="AR8" s="12">
        <f>AR4-Inputs!$F$24</f>
        <v/>
      </c>
      <c r="AS8" s="12">
        <f>AS4-Inputs!$F$24</f>
        <v/>
      </c>
      <c r="AT8" s="12">
        <f>AT4-Inputs!$F$24</f>
        <v/>
      </c>
      <c r="AU8" s="12">
        <f>AU4-Inputs!$F$24</f>
        <v/>
      </c>
    </row>
    <row r="9">
      <c r="D9" t="inlineStr">
        <is>
          <t>Opex escalation factor</t>
        </is>
      </c>
      <c r="E9" t="inlineStr">
        <is>
          <t>factor</t>
        </is>
      </c>
      <c r="J9" s="14">
        <f>(1+Inputs!$F$25/100)^J8</f>
        <v/>
      </c>
      <c r="K9" s="14">
        <f>(1+Inputs!$F$25/100)^K8</f>
        <v/>
      </c>
      <c r="L9" s="14">
        <f>(1+Inputs!$F$25/100)^L8</f>
        <v/>
      </c>
      <c r="M9" s="14">
        <f>(1+Inputs!$F$25/100)^M8</f>
        <v/>
      </c>
      <c r="N9" s="14">
        <f>(1+Inputs!$F$25/100)^N8</f>
        <v/>
      </c>
      <c r="O9" s="14">
        <f>(1+Inputs!$F$25/100)^O8</f>
        <v/>
      </c>
      <c r="P9" s="14">
        <f>(1+Inputs!$F$25/100)^P8</f>
        <v/>
      </c>
      <c r="Q9" s="14">
        <f>(1+Inputs!$F$25/100)^Q8</f>
        <v/>
      </c>
      <c r="R9" s="14">
        <f>(1+Inputs!$F$25/100)^R8</f>
        <v/>
      </c>
      <c r="S9" s="14">
        <f>(1+Inputs!$F$25/100)^S8</f>
        <v/>
      </c>
      <c r="T9" s="14">
        <f>(1+Inputs!$F$25/100)^T8</f>
        <v/>
      </c>
      <c r="U9" s="14">
        <f>(1+Inputs!$F$25/100)^U8</f>
        <v/>
      </c>
      <c r="V9" s="14">
        <f>(1+Inputs!$F$25/100)^V8</f>
        <v/>
      </c>
      <c r="W9" s="14">
        <f>(1+Inputs!$F$25/100)^W8</f>
        <v/>
      </c>
      <c r="X9" s="14">
        <f>(1+Inputs!$F$25/100)^X8</f>
        <v/>
      </c>
      <c r="Y9" s="14">
        <f>(1+Inputs!$F$25/100)^Y8</f>
        <v/>
      </c>
      <c r="Z9" s="14">
        <f>(1+Inputs!$F$25/100)^Z8</f>
        <v/>
      </c>
      <c r="AA9" s="14">
        <f>(1+Inputs!$F$25/100)^AA8</f>
        <v/>
      </c>
      <c r="AB9" s="14">
        <f>(1+Inputs!$F$25/100)^AB8</f>
        <v/>
      </c>
      <c r="AC9" s="14">
        <f>(1+Inputs!$F$25/100)^AC8</f>
        <v/>
      </c>
      <c r="AD9" s="14">
        <f>(1+Inputs!$F$25/100)^AD8</f>
        <v/>
      </c>
      <c r="AE9" s="14">
        <f>(1+Inputs!$F$25/100)^AE8</f>
        <v/>
      </c>
      <c r="AF9" s="14">
        <f>(1+Inputs!$F$25/100)^AF8</f>
        <v/>
      </c>
      <c r="AG9" s="14">
        <f>(1+Inputs!$F$25/100)^AG8</f>
        <v/>
      </c>
      <c r="AH9" s="14">
        <f>(1+Inputs!$F$25/100)^AH8</f>
        <v/>
      </c>
      <c r="AI9" s="14">
        <f>(1+Inputs!$F$25/100)^AI8</f>
        <v/>
      </c>
      <c r="AJ9" s="14">
        <f>(1+Inputs!$F$25/100)^AJ8</f>
        <v/>
      </c>
      <c r="AK9" s="14">
        <f>(1+Inputs!$F$25/100)^AK8</f>
        <v/>
      </c>
      <c r="AL9" s="14">
        <f>(1+Inputs!$F$25/100)^AL8</f>
        <v/>
      </c>
      <c r="AM9" s="14">
        <f>(1+Inputs!$F$25/100)^AM8</f>
        <v/>
      </c>
      <c r="AN9" s="14">
        <f>(1+Inputs!$F$25/100)^AN8</f>
        <v/>
      </c>
      <c r="AO9" s="14">
        <f>(1+Inputs!$F$25/100)^AO8</f>
        <v/>
      </c>
      <c r="AP9" s="14">
        <f>(1+Inputs!$F$25/100)^AP8</f>
        <v/>
      </c>
      <c r="AQ9" s="14">
        <f>(1+Inputs!$F$25/100)^AQ8</f>
        <v/>
      </c>
      <c r="AR9" s="14">
        <f>(1+Inputs!$F$25/100)^AR8</f>
        <v/>
      </c>
      <c r="AS9" s="14">
        <f>(1+Inputs!$F$25/100)^AS8</f>
        <v/>
      </c>
      <c r="AT9" s="14">
        <f>(1+Inputs!$F$25/100)^AT8</f>
        <v/>
      </c>
      <c r="AU9" s="14">
        <f>(1+Inputs!$F$25/100)^AU8</f>
        <v/>
      </c>
    </row>
    <row r="10">
      <c r="D10" t="inlineStr">
        <is>
          <t>Insurance step-up factor</t>
        </is>
      </c>
      <c r="E10" t="inlineStr">
        <is>
          <t>factor</t>
        </is>
      </c>
      <c r="J10" s="14">
        <f>1+Inputs!$F$234/100*Inputs!$F$233/100*(J4&gt;=Inputs!$F$235)</f>
        <v/>
      </c>
      <c r="K10" s="14">
        <f>1+Inputs!$F$234/100*Inputs!$F$233/100*(K4&gt;=Inputs!$F$235)</f>
        <v/>
      </c>
      <c r="L10" s="14">
        <f>1+Inputs!$F$234/100*Inputs!$F$233/100*(L4&gt;=Inputs!$F$235)</f>
        <v/>
      </c>
      <c r="M10" s="14">
        <f>1+Inputs!$F$234/100*Inputs!$F$233/100*(M4&gt;=Inputs!$F$235)</f>
        <v/>
      </c>
      <c r="N10" s="14">
        <f>1+Inputs!$F$234/100*Inputs!$F$233/100*(N4&gt;=Inputs!$F$235)</f>
        <v/>
      </c>
      <c r="O10" s="14">
        <f>1+Inputs!$F$234/100*Inputs!$F$233/100*(O4&gt;=Inputs!$F$235)</f>
        <v/>
      </c>
      <c r="P10" s="14">
        <f>1+Inputs!$F$234/100*Inputs!$F$233/100*(P4&gt;=Inputs!$F$235)</f>
        <v/>
      </c>
      <c r="Q10" s="14">
        <f>1+Inputs!$F$234/100*Inputs!$F$233/100*(Q4&gt;=Inputs!$F$235)</f>
        <v/>
      </c>
      <c r="R10" s="14">
        <f>1+Inputs!$F$234/100*Inputs!$F$233/100*(R4&gt;=Inputs!$F$235)</f>
        <v/>
      </c>
      <c r="S10" s="14">
        <f>1+Inputs!$F$234/100*Inputs!$F$233/100*(S4&gt;=Inputs!$F$235)</f>
        <v/>
      </c>
      <c r="T10" s="14">
        <f>1+Inputs!$F$234/100*Inputs!$F$233/100*(T4&gt;=Inputs!$F$235)</f>
        <v/>
      </c>
      <c r="U10" s="14">
        <f>1+Inputs!$F$234/100*Inputs!$F$233/100*(U4&gt;=Inputs!$F$235)</f>
        <v/>
      </c>
      <c r="V10" s="14">
        <f>1+Inputs!$F$234/100*Inputs!$F$233/100*(V4&gt;=Inputs!$F$235)</f>
        <v/>
      </c>
      <c r="W10" s="14">
        <f>1+Inputs!$F$234/100*Inputs!$F$233/100*(W4&gt;=Inputs!$F$235)</f>
        <v/>
      </c>
      <c r="X10" s="14">
        <f>1+Inputs!$F$234/100*Inputs!$F$233/100*(X4&gt;=Inputs!$F$235)</f>
        <v/>
      </c>
      <c r="Y10" s="14">
        <f>1+Inputs!$F$234/100*Inputs!$F$233/100*(Y4&gt;=Inputs!$F$235)</f>
        <v/>
      </c>
      <c r="Z10" s="14">
        <f>1+Inputs!$F$234/100*Inputs!$F$233/100*(Z4&gt;=Inputs!$F$235)</f>
        <v/>
      </c>
      <c r="AA10" s="14">
        <f>1+Inputs!$F$234/100*Inputs!$F$233/100*(AA4&gt;=Inputs!$F$235)</f>
        <v/>
      </c>
      <c r="AB10" s="14">
        <f>1+Inputs!$F$234/100*Inputs!$F$233/100*(AB4&gt;=Inputs!$F$235)</f>
        <v/>
      </c>
      <c r="AC10" s="14">
        <f>1+Inputs!$F$234/100*Inputs!$F$233/100*(AC4&gt;=Inputs!$F$235)</f>
        <v/>
      </c>
      <c r="AD10" s="14">
        <f>1+Inputs!$F$234/100*Inputs!$F$233/100*(AD4&gt;=Inputs!$F$235)</f>
        <v/>
      </c>
      <c r="AE10" s="14">
        <f>1+Inputs!$F$234/100*Inputs!$F$233/100*(AE4&gt;=Inputs!$F$235)</f>
        <v/>
      </c>
      <c r="AF10" s="14">
        <f>1+Inputs!$F$234/100*Inputs!$F$233/100*(AF4&gt;=Inputs!$F$235)</f>
        <v/>
      </c>
      <c r="AG10" s="14">
        <f>1+Inputs!$F$234/100*Inputs!$F$233/100*(AG4&gt;=Inputs!$F$235)</f>
        <v/>
      </c>
      <c r="AH10" s="14">
        <f>1+Inputs!$F$234/100*Inputs!$F$233/100*(AH4&gt;=Inputs!$F$235)</f>
        <v/>
      </c>
      <c r="AI10" s="14">
        <f>1+Inputs!$F$234/100*Inputs!$F$233/100*(AI4&gt;=Inputs!$F$235)</f>
        <v/>
      </c>
      <c r="AJ10" s="14">
        <f>1+Inputs!$F$234/100*Inputs!$F$233/100*(AJ4&gt;=Inputs!$F$235)</f>
        <v/>
      </c>
      <c r="AK10" s="14">
        <f>1+Inputs!$F$234/100*Inputs!$F$233/100*(AK4&gt;=Inputs!$F$235)</f>
        <v/>
      </c>
      <c r="AL10" s="14">
        <f>1+Inputs!$F$234/100*Inputs!$F$233/100*(AL4&gt;=Inputs!$F$235)</f>
        <v/>
      </c>
      <c r="AM10" s="14">
        <f>1+Inputs!$F$234/100*Inputs!$F$233/100*(AM4&gt;=Inputs!$F$235)</f>
        <v/>
      </c>
      <c r="AN10" s="14">
        <f>1+Inputs!$F$234/100*Inputs!$F$233/100*(AN4&gt;=Inputs!$F$235)</f>
        <v/>
      </c>
      <c r="AO10" s="14">
        <f>1+Inputs!$F$234/100*Inputs!$F$233/100*(AO4&gt;=Inputs!$F$235)</f>
        <v/>
      </c>
      <c r="AP10" s="14">
        <f>1+Inputs!$F$234/100*Inputs!$F$233/100*(AP4&gt;=Inputs!$F$235)</f>
        <v/>
      </c>
      <c r="AQ10" s="14">
        <f>1+Inputs!$F$234/100*Inputs!$F$233/100*(AQ4&gt;=Inputs!$F$235)</f>
        <v/>
      </c>
      <c r="AR10" s="14">
        <f>1+Inputs!$F$234/100*Inputs!$F$233/100*(AR4&gt;=Inputs!$F$235)</f>
        <v/>
      </c>
      <c r="AS10" s="14">
        <f>1+Inputs!$F$234/100*Inputs!$F$233/100*(AS4&gt;=Inputs!$F$235)</f>
        <v/>
      </c>
      <c r="AT10" s="14">
        <f>1+Inputs!$F$234/100*Inputs!$F$233/100*(AT4&gt;=Inputs!$F$235)</f>
        <v/>
      </c>
      <c r="AU10" s="14">
        <f>1+Inputs!$F$234/100*Inputs!$F$233/100*(AU4&gt;=Inputs!$F$235)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19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Operations: asset yield, hedges, revenue buckets, opex and cash flow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D4" t="inlineStr">
        <is>
          <t>Year</t>
        </is>
      </c>
      <c r="J4" s="2">
        <f>Time!J$4</f>
        <v/>
      </c>
      <c r="K4" s="2">
        <f>Time!K$4</f>
        <v/>
      </c>
      <c r="L4" s="2">
        <f>Time!L$4</f>
        <v/>
      </c>
      <c r="M4" s="2">
        <f>Time!M$4</f>
        <v/>
      </c>
      <c r="N4" s="2">
        <f>Time!N$4</f>
        <v/>
      </c>
      <c r="O4" s="2">
        <f>Time!O$4</f>
        <v/>
      </c>
      <c r="P4" s="2">
        <f>Time!P$4</f>
        <v/>
      </c>
      <c r="Q4" s="2">
        <f>Time!Q$4</f>
        <v/>
      </c>
      <c r="R4" s="2">
        <f>Time!R$4</f>
        <v/>
      </c>
      <c r="S4" s="2">
        <f>Time!S$4</f>
        <v/>
      </c>
      <c r="T4" s="2">
        <f>Time!T$4</f>
        <v/>
      </c>
      <c r="U4" s="2">
        <f>Time!U$4</f>
        <v/>
      </c>
      <c r="V4" s="2">
        <f>Time!V$4</f>
        <v/>
      </c>
      <c r="W4" s="2">
        <f>Time!W$4</f>
        <v/>
      </c>
      <c r="X4" s="2">
        <f>Time!X$4</f>
        <v/>
      </c>
      <c r="Y4" s="2">
        <f>Time!Y$4</f>
        <v/>
      </c>
      <c r="Z4" s="2">
        <f>Time!Z$4</f>
        <v/>
      </c>
      <c r="AA4" s="2">
        <f>Time!AA$4</f>
        <v/>
      </c>
      <c r="AB4" s="2">
        <f>Time!AB$4</f>
        <v/>
      </c>
      <c r="AC4" s="2">
        <f>Time!AC$4</f>
        <v/>
      </c>
      <c r="AD4" s="2">
        <f>Time!AD$4</f>
        <v/>
      </c>
      <c r="AE4" s="2">
        <f>Time!AE$4</f>
        <v/>
      </c>
      <c r="AF4" s="2">
        <f>Time!AF$4</f>
        <v/>
      </c>
      <c r="AG4" s="2">
        <f>Time!AG$4</f>
        <v/>
      </c>
      <c r="AH4" s="2">
        <f>Time!AH$4</f>
        <v/>
      </c>
      <c r="AI4" s="2">
        <f>Time!AI$4</f>
        <v/>
      </c>
      <c r="AJ4" s="2">
        <f>Time!AJ$4</f>
        <v/>
      </c>
      <c r="AK4" s="2">
        <f>Time!AK$4</f>
        <v/>
      </c>
      <c r="AL4" s="2">
        <f>Time!AL$4</f>
        <v/>
      </c>
      <c r="AM4" s="2">
        <f>Time!AM$4</f>
        <v/>
      </c>
      <c r="AN4" s="2">
        <f>Time!AN$4</f>
        <v/>
      </c>
      <c r="AO4" s="2">
        <f>Time!AO$4</f>
        <v/>
      </c>
      <c r="AP4" s="2">
        <f>Time!AP$4</f>
        <v/>
      </c>
      <c r="AQ4" s="2">
        <f>Time!AQ$4</f>
        <v/>
      </c>
      <c r="AR4" s="2">
        <f>Time!AR$4</f>
        <v/>
      </c>
      <c r="AS4" s="2">
        <f>Time!AS$4</f>
        <v/>
      </c>
      <c r="AT4" s="2">
        <f>Time!AT$4</f>
        <v/>
      </c>
      <c r="AU4" s="2">
        <f>Time!AU$4</f>
        <v/>
      </c>
    </row>
    <row r="5">
      <c r="D5" t="inlineStr">
        <is>
          <t>Period end</t>
        </is>
      </c>
      <c r="J5" s="3">
        <f>Time!J$6</f>
        <v/>
      </c>
      <c r="K5" s="3">
        <f>Time!K$6</f>
        <v/>
      </c>
      <c r="L5" s="3">
        <f>Time!L$6</f>
        <v/>
      </c>
      <c r="M5" s="3">
        <f>Time!M$6</f>
        <v/>
      </c>
      <c r="N5" s="3">
        <f>Time!N$6</f>
        <v/>
      </c>
      <c r="O5" s="3">
        <f>Time!O$6</f>
        <v/>
      </c>
      <c r="P5" s="3">
        <f>Time!P$6</f>
        <v/>
      </c>
      <c r="Q5" s="3">
        <f>Time!Q$6</f>
        <v/>
      </c>
      <c r="R5" s="3">
        <f>Time!R$6</f>
        <v/>
      </c>
      <c r="S5" s="3">
        <f>Time!S$6</f>
        <v/>
      </c>
      <c r="T5" s="3">
        <f>Time!T$6</f>
        <v/>
      </c>
      <c r="U5" s="3">
        <f>Time!U$6</f>
        <v/>
      </c>
      <c r="V5" s="3">
        <f>Time!V$6</f>
        <v/>
      </c>
      <c r="W5" s="3">
        <f>Time!W$6</f>
        <v/>
      </c>
      <c r="X5" s="3">
        <f>Time!X$6</f>
        <v/>
      </c>
      <c r="Y5" s="3">
        <f>Time!Y$6</f>
        <v/>
      </c>
      <c r="Z5" s="3">
        <f>Time!Z$6</f>
        <v/>
      </c>
      <c r="AA5" s="3">
        <f>Time!AA$6</f>
        <v/>
      </c>
      <c r="AB5" s="3">
        <f>Time!AB$6</f>
        <v/>
      </c>
      <c r="AC5" s="3">
        <f>Time!AC$6</f>
        <v/>
      </c>
      <c r="AD5" s="3">
        <f>Time!AD$6</f>
        <v/>
      </c>
      <c r="AE5" s="3">
        <f>Time!AE$6</f>
        <v/>
      </c>
      <c r="AF5" s="3">
        <f>Time!AF$6</f>
        <v/>
      </c>
      <c r="AG5" s="3">
        <f>Time!AG$6</f>
        <v/>
      </c>
      <c r="AH5" s="3">
        <f>Time!AH$6</f>
        <v/>
      </c>
      <c r="AI5" s="3">
        <f>Time!AI$6</f>
        <v/>
      </c>
      <c r="AJ5" s="3">
        <f>Time!AJ$6</f>
        <v/>
      </c>
      <c r="AK5" s="3">
        <f>Time!AK$6</f>
        <v/>
      </c>
      <c r="AL5" s="3">
        <f>Time!AL$6</f>
        <v/>
      </c>
      <c r="AM5" s="3">
        <f>Time!AM$6</f>
        <v/>
      </c>
      <c r="AN5" s="3">
        <f>Time!AN$6</f>
        <v/>
      </c>
      <c r="AO5" s="3">
        <f>Time!AO$6</f>
        <v/>
      </c>
      <c r="AP5" s="3">
        <f>Time!AP$6</f>
        <v/>
      </c>
      <c r="AQ5" s="3">
        <f>Time!AQ$6</f>
        <v/>
      </c>
      <c r="AR5" s="3">
        <f>Time!AR$6</f>
        <v/>
      </c>
      <c r="AS5" s="3">
        <f>Time!AS$6</f>
        <v/>
      </c>
      <c r="AT5" s="3">
        <f>Time!AT$6</f>
        <v/>
      </c>
      <c r="AU5" s="3">
        <f>Time!AU$6</f>
        <v/>
      </c>
    </row>
    <row r="7">
      <c r="A7" s="4" t="inlineStr">
        <is>
          <t>Yield statistics (normal; sigma_1^2 = sigma_LT^2 + sigma_IAV^2; sigma_10^2 = sigma_LT^2 + sigma_IAV^2/10)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D8" t="inlineStr">
        <is>
          <t>R1 sigma one-year</t>
        </is>
      </c>
      <c r="E8" t="inlineStr">
        <is>
          <t>fraction of P50</t>
        </is>
      </c>
      <c r="F8" s="14">
        <f>(1-Inputs!$F$95/100)/Inputs!$F$30</f>
        <v/>
      </c>
    </row>
    <row r="9">
      <c r="D9" t="inlineStr">
        <is>
          <t>R1 sigma ten-year</t>
        </is>
      </c>
      <c r="E9" t="inlineStr">
        <is>
          <t>fraction of P50</t>
        </is>
      </c>
      <c r="F9" s="14">
        <f>(1-Inputs!$F$96/100)/Inputs!$F$30</f>
        <v/>
      </c>
    </row>
    <row r="10">
      <c r="D10" t="inlineStr">
        <is>
          <t>R1 sigma inter-annual variability</t>
        </is>
      </c>
      <c r="E10" t="inlineStr">
        <is>
          <t>fraction of P50</t>
        </is>
      </c>
      <c r="F10" s="14">
        <f>SQRT((Operations!$F$8^2-Operations!$F$9^2)*Inputs!$F$32/(Inputs!$F$32-1))</f>
        <v/>
      </c>
    </row>
    <row r="11">
      <c r="D11" t="inlineStr">
        <is>
          <t>R1 sigma long-term</t>
        </is>
      </c>
      <c r="E11" t="inlineStr">
        <is>
          <t>fraction of P50</t>
        </is>
      </c>
      <c r="F11" s="14">
        <f>SQRT(Operations!$F$9^2-Operations!$F$10^2/Inputs!$F$32)</f>
        <v/>
      </c>
    </row>
    <row r="12">
      <c r="D12" t="inlineStr">
        <is>
          <t>R1 P99 one-year</t>
        </is>
      </c>
      <c r="E12" t="inlineStr">
        <is>
          <t>% of P50</t>
        </is>
      </c>
      <c r="F12" s="15">
        <f>100*(1-Inputs!$F$31*Operations!$F$8)</f>
        <v/>
      </c>
    </row>
    <row r="13">
      <c r="D13" t="inlineStr">
        <is>
          <t>R1 P99 ten-year</t>
        </is>
      </c>
      <c r="E13" t="inlineStr">
        <is>
          <t>% of P50</t>
        </is>
      </c>
      <c r="F13" s="15">
        <f>100*(1-Inputs!$F$31*Operations!$F$9)</f>
        <v/>
      </c>
    </row>
    <row r="14">
      <c r="D14" t="inlineStr">
        <is>
          <t>R2 sigma one-year</t>
        </is>
      </c>
      <c r="E14" t="inlineStr">
        <is>
          <t>fraction of P50</t>
        </is>
      </c>
      <c r="F14" s="14">
        <f>(1-Inputs!$F$106/100)/Inputs!$F$30</f>
        <v/>
      </c>
    </row>
    <row r="15">
      <c r="D15" t="inlineStr">
        <is>
          <t>R2 sigma ten-year</t>
        </is>
      </c>
      <c r="E15" t="inlineStr">
        <is>
          <t>fraction of P50</t>
        </is>
      </c>
      <c r="F15" s="14">
        <f>(1-Inputs!$F$107/100)/Inputs!$F$30</f>
        <v/>
      </c>
    </row>
    <row r="16">
      <c r="D16" t="inlineStr">
        <is>
          <t>R2 sigma inter-annual variability</t>
        </is>
      </c>
      <c r="E16" t="inlineStr">
        <is>
          <t>fraction of P50</t>
        </is>
      </c>
      <c r="F16" s="14">
        <f>SQRT((Operations!$F$14^2-Operations!$F$15^2)*Inputs!$F$32/(Inputs!$F$32-1))</f>
        <v/>
      </c>
    </row>
    <row r="17">
      <c r="D17" t="inlineStr">
        <is>
          <t>R2 sigma long-term</t>
        </is>
      </c>
      <c r="E17" t="inlineStr">
        <is>
          <t>fraction of P50</t>
        </is>
      </c>
      <c r="F17" s="14">
        <f>SQRT(Operations!$F$15^2-Operations!$F$16^2/Inputs!$F$32)</f>
        <v/>
      </c>
    </row>
    <row r="18">
      <c r="D18" t="inlineStr">
        <is>
          <t>R2 P99 one-year</t>
        </is>
      </c>
      <c r="E18" t="inlineStr">
        <is>
          <t>% of P50</t>
        </is>
      </c>
      <c r="F18" s="15">
        <f>100*(1-Inputs!$F$31*Operations!$F$14)</f>
        <v/>
      </c>
    </row>
    <row r="19">
      <c r="D19" t="inlineStr">
        <is>
          <t>R2 P99 ten-year</t>
        </is>
      </c>
      <c r="E19" t="inlineStr">
        <is>
          <t>% of P50</t>
        </is>
      </c>
      <c r="F19" s="15">
        <f>100*(1-Inputs!$F$31*Operations!$F$15)</f>
        <v/>
      </c>
    </row>
    <row r="20">
      <c r="D20" t="inlineStr">
        <is>
          <t>R3 sigma one-year</t>
        </is>
      </c>
      <c r="E20" t="inlineStr">
        <is>
          <t>fraction of P50</t>
        </is>
      </c>
      <c r="F20" s="14">
        <f>(1-Inputs!$F$117/100)/Inputs!$F$30</f>
        <v/>
      </c>
    </row>
    <row r="21">
      <c r="D21" t="inlineStr">
        <is>
          <t>R3 sigma ten-year</t>
        </is>
      </c>
      <c r="E21" t="inlineStr">
        <is>
          <t>fraction of P50</t>
        </is>
      </c>
      <c r="F21" s="14">
        <f>(1-Inputs!$F$118/100)/Inputs!$F$30</f>
        <v/>
      </c>
    </row>
    <row r="22">
      <c r="D22" t="inlineStr">
        <is>
          <t>R3 sigma inter-annual variability</t>
        </is>
      </c>
      <c r="E22" t="inlineStr">
        <is>
          <t>fraction of P50</t>
        </is>
      </c>
      <c r="F22" s="14">
        <f>SQRT((Operations!$F$20^2-Operations!$F$21^2)*Inputs!$F$32/(Inputs!$F$32-1))</f>
        <v/>
      </c>
    </row>
    <row r="23">
      <c r="D23" t="inlineStr">
        <is>
          <t>R3 sigma long-term</t>
        </is>
      </c>
      <c r="E23" t="inlineStr">
        <is>
          <t>fraction of P50</t>
        </is>
      </c>
      <c r="F23" s="14">
        <f>SQRT(Operations!$F$21^2-Operations!$F$22^2/Inputs!$F$32)</f>
        <v/>
      </c>
    </row>
    <row r="24">
      <c r="D24" t="inlineStr">
        <is>
          <t>R3 P99 one-year</t>
        </is>
      </c>
      <c r="E24" t="inlineStr">
        <is>
          <t>% of P50</t>
        </is>
      </c>
      <c r="F24" s="15">
        <f>100*(1-Inputs!$F$31*Operations!$F$20)</f>
        <v/>
      </c>
    </row>
    <row r="25">
      <c r="D25" t="inlineStr">
        <is>
          <t>R3 P99 ten-year</t>
        </is>
      </c>
      <c r="E25" t="inlineStr">
        <is>
          <t>% of P50</t>
        </is>
      </c>
      <c r="F25" s="15">
        <f>100*(1-Inputs!$F$31*Operations!$F$21)</f>
        <v/>
      </c>
    </row>
    <row r="26">
      <c r="D26" t="inlineStr">
        <is>
          <t>R4 sigma one-year</t>
        </is>
      </c>
      <c r="E26" t="inlineStr">
        <is>
          <t>fraction of P50</t>
        </is>
      </c>
      <c r="F26" s="14">
        <f>(1-Inputs!$F$128/100)/Inputs!$F$30</f>
        <v/>
      </c>
    </row>
    <row r="27">
      <c r="D27" t="inlineStr">
        <is>
          <t>R4 sigma ten-year</t>
        </is>
      </c>
      <c r="E27" t="inlineStr">
        <is>
          <t>fraction of P50</t>
        </is>
      </c>
      <c r="F27" s="14">
        <f>(1-Inputs!$F$129/100)/Inputs!$F$30</f>
        <v/>
      </c>
    </row>
    <row r="28">
      <c r="D28" t="inlineStr">
        <is>
          <t>R4 sigma inter-annual variability</t>
        </is>
      </c>
      <c r="E28" t="inlineStr">
        <is>
          <t>fraction of P50</t>
        </is>
      </c>
      <c r="F28" s="14">
        <f>SQRT((Operations!$F$26^2-Operations!$F$27^2)*Inputs!$F$32/(Inputs!$F$32-1))</f>
        <v/>
      </c>
    </row>
    <row r="29">
      <c r="D29" t="inlineStr">
        <is>
          <t>R4 sigma long-term</t>
        </is>
      </c>
      <c r="E29" t="inlineStr">
        <is>
          <t>fraction of P50</t>
        </is>
      </c>
      <c r="F29" s="14">
        <f>SQRT(Operations!$F$27^2-Operations!$F$28^2/Inputs!$F$32)</f>
        <v/>
      </c>
    </row>
    <row r="30">
      <c r="D30" t="inlineStr">
        <is>
          <t>R4 P99 one-year</t>
        </is>
      </c>
      <c r="E30" t="inlineStr">
        <is>
          <t>% of P50</t>
        </is>
      </c>
      <c r="F30" s="15">
        <f>100*(1-Inputs!$F$31*Operations!$F$26)</f>
        <v/>
      </c>
    </row>
    <row r="31">
      <c r="D31" t="inlineStr">
        <is>
          <t>R4 P99 ten-year</t>
        </is>
      </c>
      <c r="E31" t="inlineStr">
        <is>
          <t>% of P50</t>
        </is>
      </c>
      <c r="F31" s="15">
        <f>100*(1-Inputs!$F$31*Operations!$F$27)</f>
        <v/>
      </c>
    </row>
    <row r="32">
      <c r="D32" t="inlineStr">
        <is>
          <t>R5 sigma one-year</t>
        </is>
      </c>
      <c r="E32" t="inlineStr">
        <is>
          <t>fraction of P50</t>
        </is>
      </c>
      <c r="F32" s="14">
        <f>(1-Inputs!$F$139/100)/Inputs!$F$30</f>
        <v/>
      </c>
    </row>
    <row r="33">
      <c r="D33" t="inlineStr">
        <is>
          <t>R5 sigma ten-year</t>
        </is>
      </c>
      <c r="E33" t="inlineStr">
        <is>
          <t>fraction of P50</t>
        </is>
      </c>
      <c r="F33" s="14">
        <f>(1-Inputs!$F$140/100)/Inputs!$F$30</f>
        <v/>
      </c>
    </row>
    <row r="34">
      <c r="D34" t="inlineStr">
        <is>
          <t>R5 sigma inter-annual variability</t>
        </is>
      </c>
      <c r="E34" t="inlineStr">
        <is>
          <t>fraction of P50</t>
        </is>
      </c>
      <c r="F34" s="14">
        <f>SQRT((Operations!$F$32^2-Operations!$F$33^2)*Inputs!$F$32/(Inputs!$F$32-1))</f>
        <v/>
      </c>
    </row>
    <row r="35">
      <c r="D35" t="inlineStr">
        <is>
          <t>R5 sigma long-term</t>
        </is>
      </c>
      <c r="E35" t="inlineStr">
        <is>
          <t>fraction of P50</t>
        </is>
      </c>
      <c r="F35" s="14">
        <f>SQRT(Operations!$F$33^2-Operations!$F$34^2/Inputs!$F$32)</f>
        <v/>
      </c>
    </row>
    <row r="36">
      <c r="D36" t="inlineStr">
        <is>
          <t>R5 P99 one-year</t>
        </is>
      </c>
      <c r="E36" t="inlineStr">
        <is>
          <t>% of P50</t>
        </is>
      </c>
      <c r="F36" s="15">
        <f>100*(1-Inputs!$F$31*Operations!$F$32)</f>
        <v/>
      </c>
    </row>
    <row r="37">
      <c r="D37" t="inlineStr">
        <is>
          <t>R5 P99 ten-year</t>
        </is>
      </c>
      <c r="E37" t="inlineStr">
        <is>
          <t>% of P50</t>
        </is>
      </c>
      <c r="F37" s="15">
        <f>100*(1-Inputs!$F$31*Operations!$F$33)</f>
        <v/>
      </c>
    </row>
    <row r="38">
      <c r="D38" t="inlineStr">
        <is>
          <t>R8 sigma one-year</t>
        </is>
      </c>
      <c r="E38" t="inlineStr">
        <is>
          <t>fraction of P50</t>
        </is>
      </c>
      <c r="F38" s="14">
        <f>(1-Inputs!$F$174/100)/Inputs!$F$30</f>
        <v/>
      </c>
    </row>
    <row r="39">
      <c r="D39" t="inlineStr">
        <is>
          <t>R8 sigma ten-year</t>
        </is>
      </c>
      <c r="E39" t="inlineStr">
        <is>
          <t>fraction of P50</t>
        </is>
      </c>
      <c r="F39" s="14">
        <f>(1-Inputs!$F$175/100)/Inputs!$F$30</f>
        <v/>
      </c>
    </row>
    <row r="40">
      <c r="D40" t="inlineStr">
        <is>
          <t>R8 sigma inter-annual variability</t>
        </is>
      </c>
      <c r="E40" t="inlineStr">
        <is>
          <t>fraction of P50</t>
        </is>
      </c>
      <c r="F40" s="14">
        <f>SQRT((Operations!$F$38^2-Operations!$F$39^2)*Inputs!$F$32/(Inputs!$F$32-1))</f>
        <v/>
      </c>
    </row>
    <row r="41">
      <c r="D41" t="inlineStr">
        <is>
          <t>R8 sigma long-term</t>
        </is>
      </c>
      <c r="E41" t="inlineStr">
        <is>
          <t>fraction of P50</t>
        </is>
      </c>
      <c r="F41" s="14">
        <f>SQRT(Operations!$F$39^2-Operations!$F$40^2/Inputs!$F$32)</f>
        <v/>
      </c>
    </row>
    <row r="42">
      <c r="D42" t="inlineStr">
        <is>
          <t>R8 P99 one-year</t>
        </is>
      </c>
      <c r="E42" t="inlineStr">
        <is>
          <t>% of P50</t>
        </is>
      </c>
      <c r="F42" s="15">
        <f>100*(1-Inputs!$F$31*Operations!$F$38)</f>
        <v/>
      </c>
    </row>
    <row r="43">
      <c r="D43" t="inlineStr">
        <is>
          <t>R8 P99 ten-year</t>
        </is>
      </c>
      <c r="E43" t="inlineStr">
        <is>
          <t>% of P50</t>
        </is>
      </c>
      <c r="F43" s="15">
        <f>100*(1-Inputs!$F$31*Operations!$F$39)</f>
        <v/>
      </c>
    </row>
    <row r="45">
      <c r="A45" s="4" t="inlineStr">
        <is>
          <t>Block L: LIVE case (Inputs switches)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</row>
    <row r="46">
      <c r="D46" t="inlineStr">
        <is>
          <t>Price scenario index</t>
        </is>
      </c>
      <c r="E46" t="inlineStr">
        <is>
          <t>index</t>
        </is>
      </c>
      <c r="F46" s="16">
        <f>Inputs!$F$8</f>
        <v/>
      </c>
    </row>
    <row r="47">
      <c r="D47" t="inlineStr">
        <is>
          <t>Volume case index</t>
        </is>
      </c>
      <c r="E47" t="inlineStr">
        <is>
          <t>index</t>
        </is>
      </c>
      <c r="F47" s="16">
        <f>Inputs!$F$9</f>
        <v/>
      </c>
    </row>
    <row r="48">
      <c r="D48" t="inlineStr">
        <is>
          <t>West solar capture shift</t>
        </is>
      </c>
      <c r="E48" t="inlineStr">
        <is>
          <t>points</t>
        </is>
      </c>
      <c r="F48" s="17">
        <f>Inputs!$F$11</f>
        <v/>
      </c>
    </row>
    <row r="49">
      <c r="D49" t="inlineStr">
        <is>
          <t>Curtailment added</t>
        </is>
      </c>
      <c r="E49" t="inlineStr">
        <is>
          <t>% points</t>
        </is>
      </c>
      <c r="F49" s="17">
        <f>Inputs!$F$13</f>
        <v/>
      </c>
    </row>
    <row r="50">
      <c r="D50" t="inlineStr">
        <is>
          <t>Opex factor</t>
        </is>
      </c>
      <c r="E50" t="inlineStr">
        <is>
          <t>factor</t>
        </is>
      </c>
      <c r="F50" s="17">
        <f>Inputs!$F$14</f>
        <v/>
      </c>
    </row>
    <row r="51">
      <c r="D51" t="inlineStr">
        <is>
          <t>Battery revenue curve index</t>
        </is>
      </c>
      <c r="E51" t="inlineStr">
        <is>
          <t>index</t>
        </is>
      </c>
      <c r="F51" s="12">
        <f>IF(Inputs!$F$12=1,2,Operations!$F$46)</f>
        <v/>
      </c>
    </row>
    <row r="52">
      <c r="D52" t="inlineStr">
        <is>
          <t>North Hub ATC</t>
        </is>
      </c>
      <c r="E52" t="inlineStr">
        <is>
          <t>USD/MWh</t>
        </is>
      </c>
      <c r="J52" s="18">
        <f>CHOOSE(Operations!$F$46,Inputs!J74,Inputs!J75,Inputs!J76)</f>
        <v/>
      </c>
      <c r="K52" s="18">
        <f>CHOOSE(Operations!$F$46,Inputs!K74,Inputs!K75,Inputs!K76)</f>
        <v/>
      </c>
      <c r="L52" s="18">
        <f>CHOOSE(Operations!$F$46,Inputs!L74,Inputs!L75,Inputs!L76)</f>
        <v/>
      </c>
      <c r="M52" s="18">
        <f>CHOOSE(Operations!$F$46,Inputs!M74,Inputs!M75,Inputs!M76)</f>
        <v/>
      </c>
      <c r="N52" s="18">
        <f>CHOOSE(Operations!$F$46,Inputs!N74,Inputs!N75,Inputs!N76)</f>
        <v/>
      </c>
      <c r="O52" s="18">
        <f>CHOOSE(Operations!$F$46,Inputs!O74,Inputs!O75,Inputs!O76)</f>
        <v/>
      </c>
      <c r="P52" s="18">
        <f>CHOOSE(Operations!$F$46,Inputs!P74,Inputs!P75,Inputs!P76)</f>
        <v/>
      </c>
      <c r="Q52" s="18">
        <f>CHOOSE(Operations!$F$46,Inputs!Q74,Inputs!Q75,Inputs!Q76)</f>
        <v/>
      </c>
      <c r="R52" s="18">
        <f>CHOOSE(Operations!$F$46,Inputs!R74,Inputs!R75,Inputs!R76)</f>
        <v/>
      </c>
      <c r="S52" s="18">
        <f>CHOOSE(Operations!$F$46,Inputs!S74,Inputs!S75,Inputs!S76)</f>
        <v/>
      </c>
      <c r="T52" s="18">
        <f>CHOOSE(Operations!$F$46,Inputs!T74,Inputs!T75,Inputs!T76)</f>
        <v/>
      </c>
      <c r="U52" s="18">
        <f>CHOOSE(Operations!$F$46,Inputs!U74,Inputs!U75,Inputs!U76)</f>
        <v/>
      </c>
      <c r="V52" s="18">
        <f>CHOOSE(Operations!$F$46,Inputs!V74,Inputs!V75,Inputs!V76)</f>
        <v/>
      </c>
      <c r="W52" s="18">
        <f>CHOOSE(Operations!$F$46,Inputs!W74,Inputs!W75,Inputs!W76)</f>
        <v/>
      </c>
      <c r="X52" s="18">
        <f>CHOOSE(Operations!$F$46,Inputs!X74,Inputs!X75,Inputs!X76)</f>
        <v/>
      </c>
      <c r="Y52" s="18">
        <f>CHOOSE(Operations!$F$46,Inputs!Y74,Inputs!Y75,Inputs!Y76)</f>
        <v/>
      </c>
      <c r="Z52" s="18">
        <f>CHOOSE(Operations!$F$46,Inputs!Z74,Inputs!Z75,Inputs!Z76)</f>
        <v/>
      </c>
      <c r="AA52" s="18">
        <f>CHOOSE(Operations!$F$46,Inputs!AA74,Inputs!AA75,Inputs!AA76)</f>
        <v/>
      </c>
      <c r="AB52" s="18">
        <f>CHOOSE(Operations!$F$46,Inputs!AB74,Inputs!AB75,Inputs!AB76)</f>
        <v/>
      </c>
      <c r="AC52" s="18">
        <f>CHOOSE(Operations!$F$46,Inputs!AC74,Inputs!AC75,Inputs!AC76)</f>
        <v/>
      </c>
      <c r="AD52" s="18">
        <f>CHOOSE(Operations!$F$46,Inputs!AD74,Inputs!AD75,Inputs!AD76)</f>
        <v/>
      </c>
      <c r="AE52" s="18">
        <f>CHOOSE(Operations!$F$46,Inputs!AE74,Inputs!AE75,Inputs!AE76)</f>
        <v/>
      </c>
      <c r="AF52" s="18">
        <f>CHOOSE(Operations!$F$46,Inputs!AF74,Inputs!AF75,Inputs!AF76)</f>
        <v/>
      </c>
      <c r="AG52" s="18">
        <f>CHOOSE(Operations!$F$46,Inputs!AG74,Inputs!AG75,Inputs!AG76)</f>
        <v/>
      </c>
      <c r="AH52" s="18">
        <f>CHOOSE(Operations!$F$46,Inputs!AH74,Inputs!AH75,Inputs!AH76)</f>
        <v/>
      </c>
      <c r="AI52" s="18">
        <f>CHOOSE(Operations!$F$46,Inputs!AI74,Inputs!AI75,Inputs!AI76)</f>
        <v/>
      </c>
      <c r="AJ52" s="18">
        <f>CHOOSE(Operations!$F$46,Inputs!AJ74,Inputs!AJ75,Inputs!AJ76)</f>
        <v/>
      </c>
      <c r="AK52" s="18">
        <f>CHOOSE(Operations!$F$46,Inputs!AK74,Inputs!AK75,Inputs!AK76)</f>
        <v/>
      </c>
      <c r="AL52" s="18">
        <f>CHOOSE(Operations!$F$46,Inputs!AL74,Inputs!AL75,Inputs!AL76)</f>
        <v/>
      </c>
      <c r="AM52" s="18">
        <f>CHOOSE(Operations!$F$46,Inputs!AM74,Inputs!AM75,Inputs!AM76)</f>
        <v/>
      </c>
      <c r="AN52" s="18">
        <f>CHOOSE(Operations!$F$46,Inputs!AN74,Inputs!AN75,Inputs!AN76)</f>
        <v/>
      </c>
      <c r="AO52" s="18">
        <f>CHOOSE(Operations!$F$46,Inputs!AO74,Inputs!AO75,Inputs!AO76)</f>
        <v/>
      </c>
      <c r="AP52" s="18">
        <f>CHOOSE(Operations!$F$46,Inputs!AP74,Inputs!AP75,Inputs!AP76)</f>
        <v/>
      </c>
      <c r="AQ52" s="18">
        <f>CHOOSE(Operations!$F$46,Inputs!AQ74,Inputs!AQ75,Inputs!AQ76)</f>
        <v/>
      </c>
      <c r="AR52" s="18">
        <f>CHOOSE(Operations!$F$46,Inputs!AR74,Inputs!AR75,Inputs!AR76)</f>
        <v/>
      </c>
      <c r="AS52" s="18">
        <f>CHOOSE(Operations!$F$46,Inputs!AS74,Inputs!AS75,Inputs!AS76)</f>
        <v/>
      </c>
      <c r="AT52" s="18">
        <f>CHOOSE(Operations!$F$46,Inputs!AT74,Inputs!AT75,Inputs!AT76)</f>
        <v/>
      </c>
      <c r="AU52" s="18">
        <f>CHOOSE(Operations!$F$46,Inputs!AU74,Inputs!AU75,Inputs!AU76)</f>
        <v/>
      </c>
    </row>
    <row r="53">
      <c r="D53" t="inlineStr">
        <is>
          <t>West Hub ATC</t>
        </is>
      </c>
      <c r="E53" t="inlineStr">
        <is>
          <t>USD/MWh</t>
        </is>
      </c>
      <c r="J53" s="18">
        <f>Operations!J52*Inputs!$F$35</f>
        <v/>
      </c>
      <c r="K53" s="18">
        <f>Operations!K52*Inputs!$F$35</f>
        <v/>
      </c>
      <c r="L53" s="18">
        <f>Operations!L52*Inputs!$F$35</f>
        <v/>
      </c>
      <c r="M53" s="18">
        <f>Operations!M52*Inputs!$F$35</f>
        <v/>
      </c>
      <c r="N53" s="18">
        <f>Operations!N52*Inputs!$F$35</f>
        <v/>
      </c>
      <c r="O53" s="18">
        <f>Operations!O52*Inputs!$F$35</f>
        <v/>
      </c>
      <c r="P53" s="18">
        <f>Operations!P52*Inputs!$F$35</f>
        <v/>
      </c>
      <c r="Q53" s="18">
        <f>Operations!Q52*Inputs!$F$35</f>
        <v/>
      </c>
      <c r="R53" s="18">
        <f>Operations!R52*Inputs!$F$35</f>
        <v/>
      </c>
      <c r="S53" s="18">
        <f>Operations!S52*Inputs!$F$35</f>
        <v/>
      </c>
      <c r="T53" s="18">
        <f>Operations!T52*Inputs!$F$35</f>
        <v/>
      </c>
      <c r="U53" s="18">
        <f>Operations!U52*Inputs!$F$35</f>
        <v/>
      </c>
      <c r="V53" s="18">
        <f>Operations!V52*Inputs!$F$35</f>
        <v/>
      </c>
      <c r="W53" s="18">
        <f>Operations!W52*Inputs!$F$35</f>
        <v/>
      </c>
      <c r="X53" s="18">
        <f>Operations!X52*Inputs!$F$35</f>
        <v/>
      </c>
      <c r="Y53" s="18">
        <f>Operations!Y52*Inputs!$F$35</f>
        <v/>
      </c>
      <c r="Z53" s="18">
        <f>Operations!Z52*Inputs!$F$35</f>
        <v/>
      </c>
      <c r="AA53" s="18">
        <f>Operations!AA52*Inputs!$F$35</f>
        <v/>
      </c>
      <c r="AB53" s="18">
        <f>Operations!AB52*Inputs!$F$35</f>
        <v/>
      </c>
      <c r="AC53" s="18">
        <f>Operations!AC52*Inputs!$F$35</f>
        <v/>
      </c>
      <c r="AD53" s="18">
        <f>Operations!AD52*Inputs!$F$35</f>
        <v/>
      </c>
      <c r="AE53" s="18">
        <f>Operations!AE52*Inputs!$F$35</f>
        <v/>
      </c>
      <c r="AF53" s="18">
        <f>Operations!AF52*Inputs!$F$35</f>
        <v/>
      </c>
      <c r="AG53" s="18">
        <f>Operations!AG52*Inputs!$F$35</f>
        <v/>
      </c>
      <c r="AH53" s="18">
        <f>Operations!AH52*Inputs!$F$35</f>
        <v/>
      </c>
      <c r="AI53" s="18">
        <f>Operations!AI52*Inputs!$F$35</f>
        <v/>
      </c>
      <c r="AJ53" s="18">
        <f>Operations!AJ52*Inputs!$F$35</f>
        <v/>
      </c>
      <c r="AK53" s="18">
        <f>Operations!AK52*Inputs!$F$35</f>
        <v/>
      </c>
      <c r="AL53" s="18">
        <f>Operations!AL52*Inputs!$F$35</f>
        <v/>
      </c>
      <c r="AM53" s="18">
        <f>Operations!AM52*Inputs!$F$35</f>
        <v/>
      </c>
      <c r="AN53" s="18">
        <f>Operations!AN52*Inputs!$F$35</f>
        <v/>
      </c>
      <c r="AO53" s="18">
        <f>Operations!AO52*Inputs!$F$35</f>
        <v/>
      </c>
      <c r="AP53" s="18">
        <f>Operations!AP52*Inputs!$F$35</f>
        <v/>
      </c>
      <c r="AQ53" s="18">
        <f>Operations!AQ52*Inputs!$F$35</f>
        <v/>
      </c>
      <c r="AR53" s="18">
        <f>Operations!AR52*Inputs!$F$35</f>
        <v/>
      </c>
      <c r="AS53" s="18">
        <f>Operations!AS52*Inputs!$F$35</f>
        <v/>
      </c>
      <c r="AT53" s="18">
        <f>Operations!AT52*Inputs!$F$35</f>
        <v/>
      </c>
      <c r="AU53" s="18">
        <f>Operations!AU52*Inputs!$F$35</f>
        <v/>
      </c>
    </row>
    <row r="54">
      <c r="D54" t="inlineStr">
        <is>
          <t>South Hub ATC</t>
        </is>
      </c>
      <c r="E54" t="inlineStr">
        <is>
          <t>USD/MWh</t>
        </is>
      </c>
      <c r="J54" s="18">
        <f>Operations!J52*Inputs!$F$36</f>
        <v/>
      </c>
      <c r="K54" s="18">
        <f>Operations!K52*Inputs!$F$36</f>
        <v/>
      </c>
      <c r="L54" s="18">
        <f>Operations!L52*Inputs!$F$36</f>
        <v/>
      </c>
      <c r="M54" s="18">
        <f>Operations!M52*Inputs!$F$36</f>
        <v/>
      </c>
      <c r="N54" s="18">
        <f>Operations!N52*Inputs!$F$36</f>
        <v/>
      </c>
      <c r="O54" s="18">
        <f>Operations!O52*Inputs!$F$36</f>
        <v/>
      </c>
      <c r="P54" s="18">
        <f>Operations!P52*Inputs!$F$36</f>
        <v/>
      </c>
      <c r="Q54" s="18">
        <f>Operations!Q52*Inputs!$F$36</f>
        <v/>
      </c>
      <c r="R54" s="18">
        <f>Operations!R52*Inputs!$F$36</f>
        <v/>
      </c>
      <c r="S54" s="18">
        <f>Operations!S52*Inputs!$F$36</f>
        <v/>
      </c>
      <c r="T54" s="18">
        <f>Operations!T52*Inputs!$F$36</f>
        <v/>
      </c>
      <c r="U54" s="18">
        <f>Operations!U52*Inputs!$F$36</f>
        <v/>
      </c>
      <c r="V54" s="18">
        <f>Operations!V52*Inputs!$F$36</f>
        <v/>
      </c>
      <c r="W54" s="18">
        <f>Operations!W52*Inputs!$F$36</f>
        <v/>
      </c>
      <c r="X54" s="18">
        <f>Operations!X52*Inputs!$F$36</f>
        <v/>
      </c>
      <c r="Y54" s="18">
        <f>Operations!Y52*Inputs!$F$36</f>
        <v/>
      </c>
      <c r="Z54" s="18">
        <f>Operations!Z52*Inputs!$F$36</f>
        <v/>
      </c>
      <c r="AA54" s="18">
        <f>Operations!AA52*Inputs!$F$36</f>
        <v/>
      </c>
      <c r="AB54" s="18">
        <f>Operations!AB52*Inputs!$F$36</f>
        <v/>
      </c>
      <c r="AC54" s="18">
        <f>Operations!AC52*Inputs!$F$36</f>
        <v/>
      </c>
      <c r="AD54" s="18">
        <f>Operations!AD52*Inputs!$F$36</f>
        <v/>
      </c>
      <c r="AE54" s="18">
        <f>Operations!AE52*Inputs!$F$36</f>
        <v/>
      </c>
      <c r="AF54" s="18">
        <f>Operations!AF52*Inputs!$F$36</f>
        <v/>
      </c>
      <c r="AG54" s="18">
        <f>Operations!AG52*Inputs!$F$36</f>
        <v/>
      </c>
      <c r="AH54" s="18">
        <f>Operations!AH52*Inputs!$F$36</f>
        <v/>
      </c>
      <c r="AI54" s="18">
        <f>Operations!AI52*Inputs!$F$36</f>
        <v/>
      </c>
      <c r="AJ54" s="18">
        <f>Operations!AJ52*Inputs!$F$36</f>
        <v/>
      </c>
      <c r="AK54" s="18">
        <f>Operations!AK52*Inputs!$F$36</f>
        <v/>
      </c>
      <c r="AL54" s="18">
        <f>Operations!AL52*Inputs!$F$36</f>
        <v/>
      </c>
      <c r="AM54" s="18">
        <f>Operations!AM52*Inputs!$F$36</f>
        <v/>
      </c>
      <c r="AN54" s="18">
        <f>Operations!AN52*Inputs!$F$36</f>
        <v/>
      </c>
      <c r="AO54" s="18">
        <f>Operations!AO52*Inputs!$F$36</f>
        <v/>
      </c>
      <c r="AP54" s="18">
        <f>Operations!AP52*Inputs!$F$36</f>
        <v/>
      </c>
      <c r="AQ54" s="18">
        <f>Operations!AQ52*Inputs!$F$36</f>
        <v/>
      </c>
      <c r="AR54" s="18">
        <f>Operations!AR52*Inputs!$F$36</f>
        <v/>
      </c>
      <c r="AS54" s="18">
        <f>Operations!AS52*Inputs!$F$36</f>
        <v/>
      </c>
      <c r="AT54" s="18">
        <f>Operations!AT52*Inputs!$F$36</f>
        <v/>
      </c>
      <c r="AU54" s="18">
        <f>Operations!AU52*Inputs!$F$36</f>
        <v/>
      </c>
    </row>
    <row r="55">
      <c r="D55" t="inlineStr">
        <is>
          <t>Houston Hub ATC</t>
        </is>
      </c>
      <c r="E55" t="inlineStr">
        <is>
          <t>USD/MWh</t>
        </is>
      </c>
      <c r="J55" s="18">
        <f>Operations!J52*Inputs!$F$37</f>
        <v/>
      </c>
      <c r="K55" s="18">
        <f>Operations!K52*Inputs!$F$37</f>
        <v/>
      </c>
      <c r="L55" s="18">
        <f>Operations!L52*Inputs!$F$37</f>
        <v/>
      </c>
      <c r="M55" s="18">
        <f>Operations!M52*Inputs!$F$37</f>
        <v/>
      </c>
      <c r="N55" s="18">
        <f>Operations!N52*Inputs!$F$37</f>
        <v/>
      </c>
      <c r="O55" s="18">
        <f>Operations!O52*Inputs!$F$37</f>
        <v/>
      </c>
      <c r="P55" s="18">
        <f>Operations!P52*Inputs!$F$37</f>
        <v/>
      </c>
      <c r="Q55" s="18">
        <f>Operations!Q52*Inputs!$F$37</f>
        <v/>
      </c>
      <c r="R55" s="18">
        <f>Operations!R52*Inputs!$F$37</f>
        <v/>
      </c>
      <c r="S55" s="18">
        <f>Operations!S52*Inputs!$F$37</f>
        <v/>
      </c>
      <c r="T55" s="18">
        <f>Operations!T52*Inputs!$F$37</f>
        <v/>
      </c>
      <c r="U55" s="18">
        <f>Operations!U52*Inputs!$F$37</f>
        <v/>
      </c>
      <c r="V55" s="18">
        <f>Operations!V52*Inputs!$F$37</f>
        <v/>
      </c>
      <c r="W55" s="18">
        <f>Operations!W52*Inputs!$F$37</f>
        <v/>
      </c>
      <c r="X55" s="18">
        <f>Operations!X52*Inputs!$F$37</f>
        <v/>
      </c>
      <c r="Y55" s="18">
        <f>Operations!Y52*Inputs!$F$37</f>
        <v/>
      </c>
      <c r="Z55" s="18">
        <f>Operations!Z52*Inputs!$F$37</f>
        <v/>
      </c>
      <c r="AA55" s="18">
        <f>Operations!AA52*Inputs!$F$37</f>
        <v/>
      </c>
      <c r="AB55" s="18">
        <f>Operations!AB52*Inputs!$F$37</f>
        <v/>
      </c>
      <c r="AC55" s="18">
        <f>Operations!AC52*Inputs!$F$37</f>
        <v/>
      </c>
      <c r="AD55" s="18">
        <f>Operations!AD52*Inputs!$F$37</f>
        <v/>
      </c>
      <c r="AE55" s="18">
        <f>Operations!AE52*Inputs!$F$37</f>
        <v/>
      </c>
      <c r="AF55" s="18">
        <f>Operations!AF52*Inputs!$F$37</f>
        <v/>
      </c>
      <c r="AG55" s="18">
        <f>Operations!AG52*Inputs!$F$37</f>
        <v/>
      </c>
      <c r="AH55" s="18">
        <f>Operations!AH52*Inputs!$F$37</f>
        <v/>
      </c>
      <c r="AI55" s="18">
        <f>Operations!AI52*Inputs!$F$37</f>
        <v/>
      </c>
      <c r="AJ55" s="18">
        <f>Operations!AJ52*Inputs!$F$37</f>
        <v/>
      </c>
      <c r="AK55" s="18">
        <f>Operations!AK52*Inputs!$F$37</f>
        <v/>
      </c>
      <c r="AL55" s="18">
        <f>Operations!AL52*Inputs!$F$37</f>
        <v/>
      </c>
      <c r="AM55" s="18">
        <f>Operations!AM52*Inputs!$F$37</f>
        <v/>
      </c>
      <c r="AN55" s="18">
        <f>Operations!AN52*Inputs!$F$37</f>
        <v/>
      </c>
      <c r="AO55" s="18">
        <f>Operations!AO52*Inputs!$F$37</f>
        <v/>
      </c>
      <c r="AP55" s="18">
        <f>Operations!AP52*Inputs!$F$37</f>
        <v/>
      </c>
      <c r="AQ55" s="18">
        <f>Operations!AQ52*Inputs!$F$37</f>
        <v/>
      </c>
      <c r="AR55" s="18">
        <f>Operations!AR52*Inputs!$F$37</f>
        <v/>
      </c>
      <c r="AS55" s="18">
        <f>Operations!AS52*Inputs!$F$37</f>
        <v/>
      </c>
      <c r="AT55" s="18">
        <f>Operations!AT52*Inputs!$F$37</f>
        <v/>
      </c>
      <c r="AU55" s="18">
        <f>Operations!AU52*Inputs!$F$37</f>
        <v/>
      </c>
    </row>
    <row r="56">
      <c r="D56" t="inlineStr">
        <is>
          <t>Battery merchant revenue</t>
        </is>
      </c>
      <c r="E56" t="inlineStr">
        <is>
          <t>USD/kW-yr</t>
        </is>
      </c>
      <c r="J56" s="18">
        <f>CHOOSE(Operations!$F$51,Inputs!J77,Inputs!J78,Inputs!J79)</f>
        <v/>
      </c>
      <c r="K56" s="18">
        <f>CHOOSE(Operations!$F$51,Inputs!K77,Inputs!K78,Inputs!K79)</f>
        <v/>
      </c>
      <c r="L56" s="18">
        <f>CHOOSE(Operations!$F$51,Inputs!L77,Inputs!L78,Inputs!L79)</f>
        <v/>
      </c>
      <c r="M56" s="18">
        <f>CHOOSE(Operations!$F$51,Inputs!M77,Inputs!M78,Inputs!M79)</f>
        <v/>
      </c>
      <c r="N56" s="18">
        <f>CHOOSE(Operations!$F$51,Inputs!N77,Inputs!N78,Inputs!N79)</f>
        <v/>
      </c>
      <c r="O56" s="18">
        <f>CHOOSE(Operations!$F$51,Inputs!O77,Inputs!O78,Inputs!O79)</f>
        <v/>
      </c>
      <c r="P56" s="18">
        <f>CHOOSE(Operations!$F$51,Inputs!P77,Inputs!P78,Inputs!P79)</f>
        <v/>
      </c>
      <c r="Q56" s="18">
        <f>CHOOSE(Operations!$F$51,Inputs!Q77,Inputs!Q78,Inputs!Q79)</f>
        <v/>
      </c>
      <c r="R56" s="18">
        <f>CHOOSE(Operations!$F$51,Inputs!R77,Inputs!R78,Inputs!R79)</f>
        <v/>
      </c>
      <c r="S56" s="18">
        <f>CHOOSE(Operations!$F$51,Inputs!S77,Inputs!S78,Inputs!S79)</f>
        <v/>
      </c>
      <c r="T56" s="18">
        <f>CHOOSE(Operations!$F$51,Inputs!T77,Inputs!T78,Inputs!T79)</f>
        <v/>
      </c>
      <c r="U56" s="18">
        <f>CHOOSE(Operations!$F$51,Inputs!U77,Inputs!U78,Inputs!U79)</f>
        <v/>
      </c>
      <c r="V56" s="18">
        <f>CHOOSE(Operations!$F$51,Inputs!V77,Inputs!V78,Inputs!V79)</f>
        <v/>
      </c>
      <c r="W56" s="18">
        <f>CHOOSE(Operations!$F$51,Inputs!W77,Inputs!W78,Inputs!W79)</f>
        <v/>
      </c>
      <c r="X56" s="18">
        <f>CHOOSE(Operations!$F$51,Inputs!X77,Inputs!X78,Inputs!X79)</f>
        <v/>
      </c>
      <c r="Y56" s="18">
        <f>CHOOSE(Operations!$F$51,Inputs!Y77,Inputs!Y78,Inputs!Y79)</f>
        <v/>
      </c>
      <c r="Z56" s="18">
        <f>CHOOSE(Operations!$F$51,Inputs!Z77,Inputs!Z78,Inputs!Z79)</f>
        <v/>
      </c>
      <c r="AA56" s="18">
        <f>CHOOSE(Operations!$F$51,Inputs!AA77,Inputs!AA78,Inputs!AA79)</f>
        <v/>
      </c>
      <c r="AB56" s="18">
        <f>CHOOSE(Operations!$F$51,Inputs!AB77,Inputs!AB78,Inputs!AB79)</f>
        <v/>
      </c>
      <c r="AC56" s="18">
        <f>CHOOSE(Operations!$F$51,Inputs!AC77,Inputs!AC78,Inputs!AC79)</f>
        <v/>
      </c>
      <c r="AD56" s="18">
        <f>CHOOSE(Operations!$F$51,Inputs!AD77,Inputs!AD78,Inputs!AD79)</f>
        <v/>
      </c>
      <c r="AE56" s="18">
        <f>CHOOSE(Operations!$F$51,Inputs!AE77,Inputs!AE78,Inputs!AE79)</f>
        <v/>
      </c>
      <c r="AF56" s="18">
        <f>CHOOSE(Operations!$F$51,Inputs!AF77,Inputs!AF78,Inputs!AF79)</f>
        <v/>
      </c>
      <c r="AG56" s="18">
        <f>CHOOSE(Operations!$F$51,Inputs!AG77,Inputs!AG78,Inputs!AG79)</f>
        <v/>
      </c>
      <c r="AH56" s="18">
        <f>CHOOSE(Operations!$F$51,Inputs!AH77,Inputs!AH78,Inputs!AH79)</f>
        <v/>
      </c>
      <c r="AI56" s="18">
        <f>CHOOSE(Operations!$F$51,Inputs!AI77,Inputs!AI78,Inputs!AI79)</f>
        <v/>
      </c>
      <c r="AJ56" s="18">
        <f>CHOOSE(Operations!$F$51,Inputs!AJ77,Inputs!AJ78,Inputs!AJ79)</f>
        <v/>
      </c>
      <c r="AK56" s="18">
        <f>CHOOSE(Operations!$F$51,Inputs!AK77,Inputs!AK78,Inputs!AK79)</f>
        <v/>
      </c>
      <c r="AL56" s="18">
        <f>CHOOSE(Operations!$F$51,Inputs!AL77,Inputs!AL78,Inputs!AL79)</f>
        <v/>
      </c>
      <c r="AM56" s="18">
        <f>CHOOSE(Operations!$F$51,Inputs!AM77,Inputs!AM78,Inputs!AM79)</f>
        <v/>
      </c>
      <c r="AN56" s="18">
        <f>CHOOSE(Operations!$F$51,Inputs!AN77,Inputs!AN78,Inputs!AN79)</f>
        <v/>
      </c>
      <c r="AO56" s="18">
        <f>CHOOSE(Operations!$F$51,Inputs!AO77,Inputs!AO78,Inputs!AO79)</f>
        <v/>
      </c>
      <c r="AP56" s="18">
        <f>CHOOSE(Operations!$F$51,Inputs!AP77,Inputs!AP78,Inputs!AP79)</f>
        <v/>
      </c>
      <c r="AQ56" s="18">
        <f>CHOOSE(Operations!$F$51,Inputs!AQ77,Inputs!AQ78,Inputs!AQ79)</f>
        <v/>
      </c>
      <c r="AR56" s="18">
        <f>CHOOSE(Operations!$F$51,Inputs!AR77,Inputs!AR78,Inputs!AR79)</f>
        <v/>
      </c>
      <c r="AS56" s="18">
        <f>CHOOSE(Operations!$F$51,Inputs!AS77,Inputs!AS78,Inputs!AS79)</f>
        <v/>
      </c>
      <c r="AT56" s="18">
        <f>CHOOSE(Operations!$F$51,Inputs!AT77,Inputs!AT78,Inputs!AT79)</f>
        <v/>
      </c>
      <c r="AU56" s="18">
        <f>CHOOSE(Operations!$F$51,Inputs!AU77,Inputs!AU78,Inputs!AU79)</f>
        <v/>
      </c>
    </row>
    <row r="57">
      <c r="D57" t="inlineStr">
        <is>
          <t>Hub capture ratio: west_wind</t>
        </is>
      </c>
      <c r="E57" t="inlineStr">
        <is>
          <t>ratio</t>
        </is>
      </c>
      <c r="J57" s="14">
        <f>MAX(Inputs!$F$43+CHOOSE(Operations!$F$46,0,Inputs!$F$39,0),Inputs!$F$41-Inputs!$F$42/100*CHOOSE(Operations!$F$46,1,Inputs!$F$38,Inputs!$F$40)*Time!J$8)</f>
        <v/>
      </c>
      <c r="K57" s="14">
        <f>MAX(Inputs!$F$43+CHOOSE(Operations!$F$46,0,Inputs!$F$39,0),Inputs!$F$41-Inputs!$F$42/100*CHOOSE(Operations!$F$46,1,Inputs!$F$38,Inputs!$F$40)*Time!K$8)</f>
        <v/>
      </c>
      <c r="L57" s="14">
        <f>MAX(Inputs!$F$43+CHOOSE(Operations!$F$46,0,Inputs!$F$39,0),Inputs!$F$41-Inputs!$F$42/100*CHOOSE(Operations!$F$46,1,Inputs!$F$38,Inputs!$F$40)*Time!L$8)</f>
        <v/>
      </c>
      <c r="M57" s="14">
        <f>MAX(Inputs!$F$43+CHOOSE(Operations!$F$46,0,Inputs!$F$39,0),Inputs!$F$41-Inputs!$F$42/100*CHOOSE(Operations!$F$46,1,Inputs!$F$38,Inputs!$F$40)*Time!M$8)</f>
        <v/>
      </c>
      <c r="N57" s="14">
        <f>MAX(Inputs!$F$43+CHOOSE(Operations!$F$46,0,Inputs!$F$39,0),Inputs!$F$41-Inputs!$F$42/100*CHOOSE(Operations!$F$46,1,Inputs!$F$38,Inputs!$F$40)*Time!N$8)</f>
        <v/>
      </c>
      <c r="O57" s="14">
        <f>MAX(Inputs!$F$43+CHOOSE(Operations!$F$46,0,Inputs!$F$39,0),Inputs!$F$41-Inputs!$F$42/100*CHOOSE(Operations!$F$46,1,Inputs!$F$38,Inputs!$F$40)*Time!O$8)</f>
        <v/>
      </c>
      <c r="P57" s="14">
        <f>MAX(Inputs!$F$43+CHOOSE(Operations!$F$46,0,Inputs!$F$39,0),Inputs!$F$41-Inputs!$F$42/100*CHOOSE(Operations!$F$46,1,Inputs!$F$38,Inputs!$F$40)*Time!P$8)</f>
        <v/>
      </c>
      <c r="Q57" s="14">
        <f>MAX(Inputs!$F$43+CHOOSE(Operations!$F$46,0,Inputs!$F$39,0),Inputs!$F$41-Inputs!$F$42/100*CHOOSE(Operations!$F$46,1,Inputs!$F$38,Inputs!$F$40)*Time!Q$8)</f>
        <v/>
      </c>
      <c r="R57" s="14">
        <f>MAX(Inputs!$F$43+CHOOSE(Operations!$F$46,0,Inputs!$F$39,0),Inputs!$F$41-Inputs!$F$42/100*CHOOSE(Operations!$F$46,1,Inputs!$F$38,Inputs!$F$40)*Time!R$8)</f>
        <v/>
      </c>
      <c r="S57" s="14">
        <f>MAX(Inputs!$F$43+CHOOSE(Operations!$F$46,0,Inputs!$F$39,0),Inputs!$F$41-Inputs!$F$42/100*CHOOSE(Operations!$F$46,1,Inputs!$F$38,Inputs!$F$40)*Time!S$8)</f>
        <v/>
      </c>
      <c r="T57" s="14">
        <f>MAX(Inputs!$F$43+CHOOSE(Operations!$F$46,0,Inputs!$F$39,0),Inputs!$F$41-Inputs!$F$42/100*CHOOSE(Operations!$F$46,1,Inputs!$F$38,Inputs!$F$40)*Time!T$8)</f>
        <v/>
      </c>
      <c r="U57" s="14">
        <f>MAX(Inputs!$F$43+CHOOSE(Operations!$F$46,0,Inputs!$F$39,0),Inputs!$F$41-Inputs!$F$42/100*CHOOSE(Operations!$F$46,1,Inputs!$F$38,Inputs!$F$40)*Time!U$8)</f>
        <v/>
      </c>
      <c r="V57" s="14">
        <f>MAX(Inputs!$F$43+CHOOSE(Operations!$F$46,0,Inputs!$F$39,0),Inputs!$F$41-Inputs!$F$42/100*CHOOSE(Operations!$F$46,1,Inputs!$F$38,Inputs!$F$40)*Time!V$8)</f>
        <v/>
      </c>
      <c r="W57" s="14">
        <f>MAX(Inputs!$F$43+CHOOSE(Operations!$F$46,0,Inputs!$F$39,0),Inputs!$F$41-Inputs!$F$42/100*CHOOSE(Operations!$F$46,1,Inputs!$F$38,Inputs!$F$40)*Time!W$8)</f>
        <v/>
      </c>
      <c r="X57" s="14">
        <f>MAX(Inputs!$F$43+CHOOSE(Operations!$F$46,0,Inputs!$F$39,0),Inputs!$F$41-Inputs!$F$42/100*CHOOSE(Operations!$F$46,1,Inputs!$F$38,Inputs!$F$40)*Time!X$8)</f>
        <v/>
      </c>
      <c r="Y57" s="14">
        <f>MAX(Inputs!$F$43+CHOOSE(Operations!$F$46,0,Inputs!$F$39,0),Inputs!$F$41-Inputs!$F$42/100*CHOOSE(Operations!$F$46,1,Inputs!$F$38,Inputs!$F$40)*Time!Y$8)</f>
        <v/>
      </c>
      <c r="Z57" s="14">
        <f>MAX(Inputs!$F$43+CHOOSE(Operations!$F$46,0,Inputs!$F$39,0),Inputs!$F$41-Inputs!$F$42/100*CHOOSE(Operations!$F$46,1,Inputs!$F$38,Inputs!$F$40)*Time!Z$8)</f>
        <v/>
      </c>
      <c r="AA57" s="14">
        <f>MAX(Inputs!$F$43+CHOOSE(Operations!$F$46,0,Inputs!$F$39,0),Inputs!$F$41-Inputs!$F$42/100*CHOOSE(Operations!$F$46,1,Inputs!$F$38,Inputs!$F$40)*Time!AA$8)</f>
        <v/>
      </c>
      <c r="AB57" s="14">
        <f>MAX(Inputs!$F$43+CHOOSE(Operations!$F$46,0,Inputs!$F$39,0),Inputs!$F$41-Inputs!$F$42/100*CHOOSE(Operations!$F$46,1,Inputs!$F$38,Inputs!$F$40)*Time!AB$8)</f>
        <v/>
      </c>
      <c r="AC57" s="14">
        <f>MAX(Inputs!$F$43+CHOOSE(Operations!$F$46,0,Inputs!$F$39,0),Inputs!$F$41-Inputs!$F$42/100*CHOOSE(Operations!$F$46,1,Inputs!$F$38,Inputs!$F$40)*Time!AC$8)</f>
        <v/>
      </c>
      <c r="AD57" s="14">
        <f>MAX(Inputs!$F$43+CHOOSE(Operations!$F$46,0,Inputs!$F$39,0),Inputs!$F$41-Inputs!$F$42/100*CHOOSE(Operations!$F$46,1,Inputs!$F$38,Inputs!$F$40)*Time!AD$8)</f>
        <v/>
      </c>
      <c r="AE57" s="14">
        <f>MAX(Inputs!$F$43+CHOOSE(Operations!$F$46,0,Inputs!$F$39,0),Inputs!$F$41-Inputs!$F$42/100*CHOOSE(Operations!$F$46,1,Inputs!$F$38,Inputs!$F$40)*Time!AE$8)</f>
        <v/>
      </c>
      <c r="AF57" s="14">
        <f>MAX(Inputs!$F$43+CHOOSE(Operations!$F$46,0,Inputs!$F$39,0),Inputs!$F$41-Inputs!$F$42/100*CHOOSE(Operations!$F$46,1,Inputs!$F$38,Inputs!$F$40)*Time!AF$8)</f>
        <v/>
      </c>
      <c r="AG57" s="14">
        <f>MAX(Inputs!$F$43+CHOOSE(Operations!$F$46,0,Inputs!$F$39,0),Inputs!$F$41-Inputs!$F$42/100*CHOOSE(Operations!$F$46,1,Inputs!$F$38,Inputs!$F$40)*Time!AG$8)</f>
        <v/>
      </c>
      <c r="AH57" s="14">
        <f>MAX(Inputs!$F$43+CHOOSE(Operations!$F$46,0,Inputs!$F$39,0),Inputs!$F$41-Inputs!$F$42/100*CHOOSE(Operations!$F$46,1,Inputs!$F$38,Inputs!$F$40)*Time!AH$8)</f>
        <v/>
      </c>
      <c r="AI57" s="14">
        <f>MAX(Inputs!$F$43+CHOOSE(Operations!$F$46,0,Inputs!$F$39,0),Inputs!$F$41-Inputs!$F$42/100*CHOOSE(Operations!$F$46,1,Inputs!$F$38,Inputs!$F$40)*Time!AI$8)</f>
        <v/>
      </c>
      <c r="AJ57" s="14">
        <f>MAX(Inputs!$F$43+CHOOSE(Operations!$F$46,0,Inputs!$F$39,0),Inputs!$F$41-Inputs!$F$42/100*CHOOSE(Operations!$F$46,1,Inputs!$F$38,Inputs!$F$40)*Time!AJ$8)</f>
        <v/>
      </c>
      <c r="AK57" s="14">
        <f>MAX(Inputs!$F$43+CHOOSE(Operations!$F$46,0,Inputs!$F$39,0),Inputs!$F$41-Inputs!$F$42/100*CHOOSE(Operations!$F$46,1,Inputs!$F$38,Inputs!$F$40)*Time!AK$8)</f>
        <v/>
      </c>
      <c r="AL57" s="14">
        <f>MAX(Inputs!$F$43+CHOOSE(Operations!$F$46,0,Inputs!$F$39,0),Inputs!$F$41-Inputs!$F$42/100*CHOOSE(Operations!$F$46,1,Inputs!$F$38,Inputs!$F$40)*Time!AL$8)</f>
        <v/>
      </c>
      <c r="AM57" s="14">
        <f>MAX(Inputs!$F$43+CHOOSE(Operations!$F$46,0,Inputs!$F$39,0),Inputs!$F$41-Inputs!$F$42/100*CHOOSE(Operations!$F$46,1,Inputs!$F$38,Inputs!$F$40)*Time!AM$8)</f>
        <v/>
      </c>
      <c r="AN57" s="14">
        <f>MAX(Inputs!$F$43+CHOOSE(Operations!$F$46,0,Inputs!$F$39,0),Inputs!$F$41-Inputs!$F$42/100*CHOOSE(Operations!$F$46,1,Inputs!$F$38,Inputs!$F$40)*Time!AN$8)</f>
        <v/>
      </c>
      <c r="AO57" s="14">
        <f>MAX(Inputs!$F$43+CHOOSE(Operations!$F$46,0,Inputs!$F$39,0),Inputs!$F$41-Inputs!$F$42/100*CHOOSE(Operations!$F$46,1,Inputs!$F$38,Inputs!$F$40)*Time!AO$8)</f>
        <v/>
      </c>
      <c r="AP57" s="14">
        <f>MAX(Inputs!$F$43+CHOOSE(Operations!$F$46,0,Inputs!$F$39,0),Inputs!$F$41-Inputs!$F$42/100*CHOOSE(Operations!$F$46,1,Inputs!$F$38,Inputs!$F$40)*Time!AP$8)</f>
        <v/>
      </c>
      <c r="AQ57" s="14">
        <f>MAX(Inputs!$F$43+CHOOSE(Operations!$F$46,0,Inputs!$F$39,0),Inputs!$F$41-Inputs!$F$42/100*CHOOSE(Operations!$F$46,1,Inputs!$F$38,Inputs!$F$40)*Time!AQ$8)</f>
        <v/>
      </c>
      <c r="AR57" s="14">
        <f>MAX(Inputs!$F$43+CHOOSE(Operations!$F$46,0,Inputs!$F$39,0),Inputs!$F$41-Inputs!$F$42/100*CHOOSE(Operations!$F$46,1,Inputs!$F$38,Inputs!$F$40)*Time!AR$8)</f>
        <v/>
      </c>
      <c r="AS57" s="14">
        <f>MAX(Inputs!$F$43+CHOOSE(Operations!$F$46,0,Inputs!$F$39,0),Inputs!$F$41-Inputs!$F$42/100*CHOOSE(Operations!$F$46,1,Inputs!$F$38,Inputs!$F$40)*Time!AS$8)</f>
        <v/>
      </c>
      <c r="AT57" s="14">
        <f>MAX(Inputs!$F$43+CHOOSE(Operations!$F$46,0,Inputs!$F$39,0),Inputs!$F$41-Inputs!$F$42/100*CHOOSE(Operations!$F$46,1,Inputs!$F$38,Inputs!$F$40)*Time!AT$8)</f>
        <v/>
      </c>
      <c r="AU57" s="14">
        <f>MAX(Inputs!$F$43+CHOOSE(Operations!$F$46,0,Inputs!$F$39,0),Inputs!$F$41-Inputs!$F$42/100*CHOOSE(Operations!$F$46,1,Inputs!$F$38,Inputs!$F$40)*Time!AU$8)</f>
        <v/>
      </c>
    </row>
    <row r="58">
      <c r="D58" t="inlineStr">
        <is>
          <t>Hub capture ratio: panhandle_wind</t>
        </is>
      </c>
      <c r="E58" t="inlineStr">
        <is>
          <t>ratio</t>
        </is>
      </c>
      <c r="J58" s="14">
        <f>MAX(Inputs!$F$47+CHOOSE(Operations!$F$46,0,Inputs!$F$39,0),Inputs!$F$45-Inputs!$F$46/100*CHOOSE(Operations!$F$46,1,Inputs!$F$38,Inputs!$F$40)*Time!J$8)</f>
        <v/>
      </c>
      <c r="K58" s="14">
        <f>MAX(Inputs!$F$47+CHOOSE(Operations!$F$46,0,Inputs!$F$39,0),Inputs!$F$45-Inputs!$F$46/100*CHOOSE(Operations!$F$46,1,Inputs!$F$38,Inputs!$F$40)*Time!K$8)</f>
        <v/>
      </c>
      <c r="L58" s="14">
        <f>MAX(Inputs!$F$47+CHOOSE(Operations!$F$46,0,Inputs!$F$39,0),Inputs!$F$45-Inputs!$F$46/100*CHOOSE(Operations!$F$46,1,Inputs!$F$38,Inputs!$F$40)*Time!L$8)</f>
        <v/>
      </c>
      <c r="M58" s="14">
        <f>MAX(Inputs!$F$47+CHOOSE(Operations!$F$46,0,Inputs!$F$39,0),Inputs!$F$45-Inputs!$F$46/100*CHOOSE(Operations!$F$46,1,Inputs!$F$38,Inputs!$F$40)*Time!M$8)</f>
        <v/>
      </c>
      <c r="N58" s="14">
        <f>MAX(Inputs!$F$47+CHOOSE(Operations!$F$46,0,Inputs!$F$39,0),Inputs!$F$45-Inputs!$F$46/100*CHOOSE(Operations!$F$46,1,Inputs!$F$38,Inputs!$F$40)*Time!N$8)</f>
        <v/>
      </c>
      <c r="O58" s="14">
        <f>MAX(Inputs!$F$47+CHOOSE(Operations!$F$46,0,Inputs!$F$39,0),Inputs!$F$45-Inputs!$F$46/100*CHOOSE(Operations!$F$46,1,Inputs!$F$38,Inputs!$F$40)*Time!O$8)</f>
        <v/>
      </c>
      <c r="P58" s="14">
        <f>MAX(Inputs!$F$47+CHOOSE(Operations!$F$46,0,Inputs!$F$39,0),Inputs!$F$45-Inputs!$F$46/100*CHOOSE(Operations!$F$46,1,Inputs!$F$38,Inputs!$F$40)*Time!P$8)</f>
        <v/>
      </c>
      <c r="Q58" s="14">
        <f>MAX(Inputs!$F$47+CHOOSE(Operations!$F$46,0,Inputs!$F$39,0),Inputs!$F$45-Inputs!$F$46/100*CHOOSE(Operations!$F$46,1,Inputs!$F$38,Inputs!$F$40)*Time!Q$8)</f>
        <v/>
      </c>
      <c r="R58" s="14">
        <f>MAX(Inputs!$F$47+CHOOSE(Operations!$F$46,0,Inputs!$F$39,0),Inputs!$F$45-Inputs!$F$46/100*CHOOSE(Operations!$F$46,1,Inputs!$F$38,Inputs!$F$40)*Time!R$8)</f>
        <v/>
      </c>
      <c r="S58" s="14">
        <f>MAX(Inputs!$F$47+CHOOSE(Operations!$F$46,0,Inputs!$F$39,0),Inputs!$F$45-Inputs!$F$46/100*CHOOSE(Operations!$F$46,1,Inputs!$F$38,Inputs!$F$40)*Time!S$8)</f>
        <v/>
      </c>
      <c r="T58" s="14">
        <f>MAX(Inputs!$F$47+CHOOSE(Operations!$F$46,0,Inputs!$F$39,0),Inputs!$F$45-Inputs!$F$46/100*CHOOSE(Operations!$F$46,1,Inputs!$F$38,Inputs!$F$40)*Time!T$8)</f>
        <v/>
      </c>
      <c r="U58" s="14">
        <f>MAX(Inputs!$F$47+CHOOSE(Operations!$F$46,0,Inputs!$F$39,0),Inputs!$F$45-Inputs!$F$46/100*CHOOSE(Operations!$F$46,1,Inputs!$F$38,Inputs!$F$40)*Time!U$8)</f>
        <v/>
      </c>
      <c r="V58" s="14">
        <f>MAX(Inputs!$F$47+CHOOSE(Operations!$F$46,0,Inputs!$F$39,0),Inputs!$F$45-Inputs!$F$46/100*CHOOSE(Operations!$F$46,1,Inputs!$F$38,Inputs!$F$40)*Time!V$8)</f>
        <v/>
      </c>
      <c r="W58" s="14">
        <f>MAX(Inputs!$F$47+CHOOSE(Operations!$F$46,0,Inputs!$F$39,0),Inputs!$F$45-Inputs!$F$46/100*CHOOSE(Operations!$F$46,1,Inputs!$F$38,Inputs!$F$40)*Time!W$8)</f>
        <v/>
      </c>
      <c r="X58" s="14">
        <f>MAX(Inputs!$F$47+CHOOSE(Operations!$F$46,0,Inputs!$F$39,0),Inputs!$F$45-Inputs!$F$46/100*CHOOSE(Operations!$F$46,1,Inputs!$F$38,Inputs!$F$40)*Time!X$8)</f>
        <v/>
      </c>
      <c r="Y58" s="14">
        <f>MAX(Inputs!$F$47+CHOOSE(Operations!$F$46,0,Inputs!$F$39,0),Inputs!$F$45-Inputs!$F$46/100*CHOOSE(Operations!$F$46,1,Inputs!$F$38,Inputs!$F$40)*Time!Y$8)</f>
        <v/>
      </c>
      <c r="Z58" s="14">
        <f>MAX(Inputs!$F$47+CHOOSE(Operations!$F$46,0,Inputs!$F$39,0),Inputs!$F$45-Inputs!$F$46/100*CHOOSE(Operations!$F$46,1,Inputs!$F$38,Inputs!$F$40)*Time!Z$8)</f>
        <v/>
      </c>
      <c r="AA58" s="14">
        <f>MAX(Inputs!$F$47+CHOOSE(Operations!$F$46,0,Inputs!$F$39,0),Inputs!$F$45-Inputs!$F$46/100*CHOOSE(Operations!$F$46,1,Inputs!$F$38,Inputs!$F$40)*Time!AA$8)</f>
        <v/>
      </c>
      <c r="AB58" s="14">
        <f>MAX(Inputs!$F$47+CHOOSE(Operations!$F$46,0,Inputs!$F$39,0),Inputs!$F$45-Inputs!$F$46/100*CHOOSE(Operations!$F$46,1,Inputs!$F$38,Inputs!$F$40)*Time!AB$8)</f>
        <v/>
      </c>
      <c r="AC58" s="14">
        <f>MAX(Inputs!$F$47+CHOOSE(Operations!$F$46,0,Inputs!$F$39,0),Inputs!$F$45-Inputs!$F$46/100*CHOOSE(Operations!$F$46,1,Inputs!$F$38,Inputs!$F$40)*Time!AC$8)</f>
        <v/>
      </c>
      <c r="AD58" s="14">
        <f>MAX(Inputs!$F$47+CHOOSE(Operations!$F$46,0,Inputs!$F$39,0),Inputs!$F$45-Inputs!$F$46/100*CHOOSE(Operations!$F$46,1,Inputs!$F$38,Inputs!$F$40)*Time!AD$8)</f>
        <v/>
      </c>
      <c r="AE58" s="14">
        <f>MAX(Inputs!$F$47+CHOOSE(Operations!$F$46,0,Inputs!$F$39,0),Inputs!$F$45-Inputs!$F$46/100*CHOOSE(Operations!$F$46,1,Inputs!$F$38,Inputs!$F$40)*Time!AE$8)</f>
        <v/>
      </c>
      <c r="AF58" s="14">
        <f>MAX(Inputs!$F$47+CHOOSE(Operations!$F$46,0,Inputs!$F$39,0),Inputs!$F$45-Inputs!$F$46/100*CHOOSE(Operations!$F$46,1,Inputs!$F$38,Inputs!$F$40)*Time!AF$8)</f>
        <v/>
      </c>
      <c r="AG58" s="14">
        <f>MAX(Inputs!$F$47+CHOOSE(Operations!$F$46,0,Inputs!$F$39,0),Inputs!$F$45-Inputs!$F$46/100*CHOOSE(Operations!$F$46,1,Inputs!$F$38,Inputs!$F$40)*Time!AG$8)</f>
        <v/>
      </c>
      <c r="AH58" s="14">
        <f>MAX(Inputs!$F$47+CHOOSE(Operations!$F$46,0,Inputs!$F$39,0),Inputs!$F$45-Inputs!$F$46/100*CHOOSE(Operations!$F$46,1,Inputs!$F$38,Inputs!$F$40)*Time!AH$8)</f>
        <v/>
      </c>
      <c r="AI58" s="14">
        <f>MAX(Inputs!$F$47+CHOOSE(Operations!$F$46,0,Inputs!$F$39,0),Inputs!$F$45-Inputs!$F$46/100*CHOOSE(Operations!$F$46,1,Inputs!$F$38,Inputs!$F$40)*Time!AI$8)</f>
        <v/>
      </c>
      <c r="AJ58" s="14">
        <f>MAX(Inputs!$F$47+CHOOSE(Operations!$F$46,0,Inputs!$F$39,0),Inputs!$F$45-Inputs!$F$46/100*CHOOSE(Operations!$F$46,1,Inputs!$F$38,Inputs!$F$40)*Time!AJ$8)</f>
        <v/>
      </c>
      <c r="AK58" s="14">
        <f>MAX(Inputs!$F$47+CHOOSE(Operations!$F$46,0,Inputs!$F$39,0),Inputs!$F$45-Inputs!$F$46/100*CHOOSE(Operations!$F$46,1,Inputs!$F$38,Inputs!$F$40)*Time!AK$8)</f>
        <v/>
      </c>
      <c r="AL58" s="14">
        <f>MAX(Inputs!$F$47+CHOOSE(Operations!$F$46,0,Inputs!$F$39,0),Inputs!$F$45-Inputs!$F$46/100*CHOOSE(Operations!$F$46,1,Inputs!$F$38,Inputs!$F$40)*Time!AL$8)</f>
        <v/>
      </c>
      <c r="AM58" s="14">
        <f>MAX(Inputs!$F$47+CHOOSE(Operations!$F$46,0,Inputs!$F$39,0),Inputs!$F$45-Inputs!$F$46/100*CHOOSE(Operations!$F$46,1,Inputs!$F$38,Inputs!$F$40)*Time!AM$8)</f>
        <v/>
      </c>
      <c r="AN58" s="14">
        <f>MAX(Inputs!$F$47+CHOOSE(Operations!$F$46,0,Inputs!$F$39,0),Inputs!$F$45-Inputs!$F$46/100*CHOOSE(Operations!$F$46,1,Inputs!$F$38,Inputs!$F$40)*Time!AN$8)</f>
        <v/>
      </c>
      <c r="AO58" s="14">
        <f>MAX(Inputs!$F$47+CHOOSE(Operations!$F$46,0,Inputs!$F$39,0),Inputs!$F$45-Inputs!$F$46/100*CHOOSE(Operations!$F$46,1,Inputs!$F$38,Inputs!$F$40)*Time!AO$8)</f>
        <v/>
      </c>
      <c r="AP58" s="14">
        <f>MAX(Inputs!$F$47+CHOOSE(Operations!$F$46,0,Inputs!$F$39,0),Inputs!$F$45-Inputs!$F$46/100*CHOOSE(Operations!$F$46,1,Inputs!$F$38,Inputs!$F$40)*Time!AP$8)</f>
        <v/>
      </c>
      <c r="AQ58" s="14">
        <f>MAX(Inputs!$F$47+CHOOSE(Operations!$F$46,0,Inputs!$F$39,0),Inputs!$F$45-Inputs!$F$46/100*CHOOSE(Operations!$F$46,1,Inputs!$F$38,Inputs!$F$40)*Time!AQ$8)</f>
        <v/>
      </c>
      <c r="AR58" s="14">
        <f>MAX(Inputs!$F$47+CHOOSE(Operations!$F$46,0,Inputs!$F$39,0),Inputs!$F$45-Inputs!$F$46/100*CHOOSE(Operations!$F$46,1,Inputs!$F$38,Inputs!$F$40)*Time!AR$8)</f>
        <v/>
      </c>
      <c r="AS58" s="14">
        <f>MAX(Inputs!$F$47+CHOOSE(Operations!$F$46,0,Inputs!$F$39,0),Inputs!$F$45-Inputs!$F$46/100*CHOOSE(Operations!$F$46,1,Inputs!$F$38,Inputs!$F$40)*Time!AS$8)</f>
        <v/>
      </c>
      <c r="AT58" s="14">
        <f>MAX(Inputs!$F$47+CHOOSE(Operations!$F$46,0,Inputs!$F$39,0),Inputs!$F$45-Inputs!$F$46/100*CHOOSE(Operations!$F$46,1,Inputs!$F$38,Inputs!$F$40)*Time!AT$8)</f>
        <v/>
      </c>
      <c r="AU58" s="14">
        <f>MAX(Inputs!$F$47+CHOOSE(Operations!$F$46,0,Inputs!$F$39,0),Inputs!$F$45-Inputs!$F$46/100*CHOOSE(Operations!$F$46,1,Inputs!$F$38,Inputs!$F$40)*Time!AU$8)</f>
        <v/>
      </c>
    </row>
    <row r="59">
      <c r="D59" t="inlineStr">
        <is>
          <t>Hub capture ratio: west_solar</t>
        </is>
      </c>
      <c r="E59" t="inlineStr">
        <is>
          <t>ratio</t>
        </is>
      </c>
      <c r="J59" s="14">
        <f>MAX(Inputs!$F$51+CHOOSE(Operations!$F$46,0,Inputs!$F$39,0),Inputs!$F$49-Inputs!$F$50/100*CHOOSE(Operations!$F$46,1,Inputs!$F$38,Inputs!$F$40)*Time!J$8)+Operations!$F$48/100</f>
        <v/>
      </c>
      <c r="K59" s="14">
        <f>MAX(Inputs!$F$51+CHOOSE(Operations!$F$46,0,Inputs!$F$39,0),Inputs!$F$49-Inputs!$F$50/100*CHOOSE(Operations!$F$46,1,Inputs!$F$38,Inputs!$F$40)*Time!K$8)+Operations!$F$48/100</f>
        <v/>
      </c>
      <c r="L59" s="14">
        <f>MAX(Inputs!$F$51+CHOOSE(Operations!$F$46,0,Inputs!$F$39,0),Inputs!$F$49-Inputs!$F$50/100*CHOOSE(Operations!$F$46,1,Inputs!$F$38,Inputs!$F$40)*Time!L$8)+Operations!$F$48/100</f>
        <v/>
      </c>
      <c r="M59" s="14">
        <f>MAX(Inputs!$F$51+CHOOSE(Operations!$F$46,0,Inputs!$F$39,0),Inputs!$F$49-Inputs!$F$50/100*CHOOSE(Operations!$F$46,1,Inputs!$F$38,Inputs!$F$40)*Time!M$8)+Operations!$F$48/100</f>
        <v/>
      </c>
      <c r="N59" s="14">
        <f>MAX(Inputs!$F$51+CHOOSE(Operations!$F$46,0,Inputs!$F$39,0),Inputs!$F$49-Inputs!$F$50/100*CHOOSE(Operations!$F$46,1,Inputs!$F$38,Inputs!$F$40)*Time!N$8)+Operations!$F$48/100</f>
        <v/>
      </c>
      <c r="O59" s="14">
        <f>MAX(Inputs!$F$51+CHOOSE(Operations!$F$46,0,Inputs!$F$39,0),Inputs!$F$49-Inputs!$F$50/100*CHOOSE(Operations!$F$46,1,Inputs!$F$38,Inputs!$F$40)*Time!O$8)+Operations!$F$48/100</f>
        <v/>
      </c>
      <c r="P59" s="14">
        <f>MAX(Inputs!$F$51+CHOOSE(Operations!$F$46,0,Inputs!$F$39,0),Inputs!$F$49-Inputs!$F$50/100*CHOOSE(Operations!$F$46,1,Inputs!$F$38,Inputs!$F$40)*Time!P$8)+Operations!$F$48/100</f>
        <v/>
      </c>
      <c r="Q59" s="14">
        <f>MAX(Inputs!$F$51+CHOOSE(Operations!$F$46,0,Inputs!$F$39,0),Inputs!$F$49-Inputs!$F$50/100*CHOOSE(Operations!$F$46,1,Inputs!$F$38,Inputs!$F$40)*Time!Q$8)+Operations!$F$48/100</f>
        <v/>
      </c>
      <c r="R59" s="14">
        <f>MAX(Inputs!$F$51+CHOOSE(Operations!$F$46,0,Inputs!$F$39,0),Inputs!$F$49-Inputs!$F$50/100*CHOOSE(Operations!$F$46,1,Inputs!$F$38,Inputs!$F$40)*Time!R$8)+Operations!$F$48/100</f>
        <v/>
      </c>
      <c r="S59" s="14">
        <f>MAX(Inputs!$F$51+CHOOSE(Operations!$F$46,0,Inputs!$F$39,0),Inputs!$F$49-Inputs!$F$50/100*CHOOSE(Operations!$F$46,1,Inputs!$F$38,Inputs!$F$40)*Time!S$8)+Operations!$F$48/100</f>
        <v/>
      </c>
      <c r="T59" s="14">
        <f>MAX(Inputs!$F$51+CHOOSE(Operations!$F$46,0,Inputs!$F$39,0),Inputs!$F$49-Inputs!$F$50/100*CHOOSE(Operations!$F$46,1,Inputs!$F$38,Inputs!$F$40)*Time!T$8)+Operations!$F$48/100</f>
        <v/>
      </c>
      <c r="U59" s="14">
        <f>MAX(Inputs!$F$51+CHOOSE(Operations!$F$46,0,Inputs!$F$39,0),Inputs!$F$49-Inputs!$F$50/100*CHOOSE(Operations!$F$46,1,Inputs!$F$38,Inputs!$F$40)*Time!U$8)+Operations!$F$48/100</f>
        <v/>
      </c>
      <c r="V59" s="14">
        <f>MAX(Inputs!$F$51+CHOOSE(Operations!$F$46,0,Inputs!$F$39,0),Inputs!$F$49-Inputs!$F$50/100*CHOOSE(Operations!$F$46,1,Inputs!$F$38,Inputs!$F$40)*Time!V$8)+Operations!$F$48/100</f>
        <v/>
      </c>
      <c r="W59" s="14">
        <f>MAX(Inputs!$F$51+CHOOSE(Operations!$F$46,0,Inputs!$F$39,0),Inputs!$F$49-Inputs!$F$50/100*CHOOSE(Operations!$F$46,1,Inputs!$F$38,Inputs!$F$40)*Time!W$8)+Operations!$F$48/100</f>
        <v/>
      </c>
      <c r="X59" s="14">
        <f>MAX(Inputs!$F$51+CHOOSE(Operations!$F$46,0,Inputs!$F$39,0),Inputs!$F$49-Inputs!$F$50/100*CHOOSE(Operations!$F$46,1,Inputs!$F$38,Inputs!$F$40)*Time!X$8)+Operations!$F$48/100</f>
        <v/>
      </c>
      <c r="Y59" s="14">
        <f>MAX(Inputs!$F$51+CHOOSE(Operations!$F$46,0,Inputs!$F$39,0),Inputs!$F$49-Inputs!$F$50/100*CHOOSE(Operations!$F$46,1,Inputs!$F$38,Inputs!$F$40)*Time!Y$8)+Operations!$F$48/100</f>
        <v/>
      </c>
      <c r="Z59" s="14">
        <f>MAX(Inputs!$F$51+CHOOSE(Operations!$F$46,0,Inputs!$F$39,0),Inputs!$F$49-Inputs!$F$50/100*CHOOSE(Operations!$F$46,1,Inputs!$F$38,Inputs!$F$40)*Time!Z$8)+Operations!$F$48/100</f>
        <v/>
      </c>
      <c r="AA59" s="14">
        <f>MAX(Inputs!$F$51+CHOOSE(Operations!$F$46,0,Inputs!$F$39,0),Inputs!$F$49-Inputs!$F$50/100*CHOOSE(Operations!$F$46,1,Inputs!$F$38,Inputs!$F$40)*Time!AA$8)+Operations!$F$48/100</f>
        <v/>
      </c>
      <c r="AB59" s="14">
        <f>MAX(Inputs!$F$51+CHOOSE(Operations!$F$46,0,Inputs!$F$39,0),Inputs!$F$49-Inputs!$F$50/100*CHOOSE(Operations!$F$46,1,Inputs!$F$38,Inputs!$F$40)*Time!AB$8)+Operations!$F$48/100</f>
        <v/>
      </c>
      <c r="AC59" s="14">
        <f>MAX(Inputs!$F$51+CHOOSE(Operations!$F$46,0,Inputs!$F$39,0),Inputs!$F$49-Inputs!$F$50/100*CHOOSE(Operations!$F$46,1,Inputs!$F$38,Inputs!$F$40)*Time!AC$8)+Operations!$F$48/100</f>
        <v/>
      </c>
      <c r="AD59" s="14">
        <f>MAX(Inputs!$F$51+CHOOSE(Operations!$F$46,0,Inputs!$F$39,0),Inputs!$F$49-Inputs!$F$50/100*CHOOSE(Operations!$F$46,1,Inputs!$F$38,Inputs!$F$40)*Time!AD$8)+Operations!$F$48/100</f>
        <v/>
      </c>
      <c r="AE59" s="14">
        <f>MAX(Inputs!$F$51+CHOOSE(Operations!$F$46,0,Inputs!$F$39,0),Inputs!$F$49-Inputs!$F$50/100*CHOOSE(Operations!$F$46,1,Inputs!$F$38,Inputs!$F$40)*Time!AE$8)+Operations!$F$48/100</f>
        <v/>
      </c>
      <c r="AF59" s="14">
        <f>MAX(Inputs!$F$51+CHOOSE(Operations!$F$46,0,Inputs!$F$39,0),Inputs!$F$49-Inputs!$F$50/100*CHOOSE(Operations!$F$46,1,Inputs!$F$38,Inputs!$F$40)*Time!AF$8)+Operations!$F$48/100</f>
        <v/>
      </c>
      <c r="AG59" s="14">
        <f>MAX(Inputs!$F$51+CHOOSE(Operations!$F$46,0,Inputs!$F$39,0),Inputs!$F$49-Inputs!$F$50/100*CHOOSE(Operations!$F$46,1,Inputs!$F$38,Inputs!$F$40)*Time!AG$8)+Operations!$F$48/100</f>
        <v/>
      </c>
      <c r="AH59" s="14">
        <f>MAX(Inputs!$F$51+CHOOSE(Operations!$F$46,0,Inputs!$F$39,0),Inputs!$F$49-Inputs!$F$50/100*CHOOSE(Operations!$F$46,1,Inputs!$F$38,Inputs!$F$40)*Time!AH$8)+Operations!$F$48/100</f>
        <v/>
      </c>
      <c r="AI59" s="14">
        <f>MAX(Inputs!$F$51+CHOOSE(Operations!$F$46,0,Inputs!$F$39,0),Inputs!$F$49-Inputs!$F$50/100*CHOOSE(Operations!$F$46,1,Inputs!$F$38,Inputs!$F$40)*Time!AI$8)+Operations!$F$48/100</f>
        <v/>
      </c>
      <c r="AJ59" s="14">
        <f>MAX(Inputs!$F$51+CHOOSE(Operations!$F$46,0,Inputs!$F$39,0),Inputs!$F$49-Inputs!$F$50/100*CHOOSE(Operations!$F$46,1,Inputs!$F$38,Inputs!$F$40)*Time!AJ$8)+Operations!$F$48/100</f>
        <v/>
      </c>
      <c r="AK59" s="14">
        <f>MAX(Inputs!$F$51+CHOOSE(Operations!$F$46,0,Inputs!$F$39,0),Inputs!$F$49-Inputs!$F$50/100*CHOOSE(Operations!$F$46,1,Inputs!$F$38,Inputs!$F$40)*Time!AK$8)+Operations!$F$48/100</f>
        <v/>
      </c>
      <c r="AL59" s="14">
        <f>MAX(Inputs!$F$51+CHOOSE(Operations!$F$46,0,Inputs!$F$39,0),Inputs!$F$49-Inputs!$F$50/100*CHOOSE(Operations!$F$46,1,Inputs!$F$38,Inputs!$F$40)*Time!AL$8)+Operations!$F$48/100</f>
        <v/>
      </c>
      <c r="AM59" s="14">
        <f>MAX(Inputs!$F$51+CHOOSE(Operations!$F$46,0,Inputs!$F$39,0),Inputs!$F$49-Inputs!$F$50/100*CHOOSE(Operations!$F$46,1,Inputs!$F$38,Inputs!$F$40)*Time!AM$8)+Operations!$F$48/100</f>
        <v/>
      </c>
      <c r="AN59" s="14">
        <f>MAX(Inputs!$F$51+CHOOSE(Operations!$F$46,0,Inputs!$F$39,0),Inputs!$F$49-Inputs!$F$50/100*CHOOSE(Operations!$F$46,1,Inputs!$F$38,Inputs!$F$40)*Time!AN$8)+Operations!$F$48/100</f>
        <v/>
      </c>
      <c r="AO59" s="14">
        <f>MAX(Inputs!$F$51+CHOOSE(Operations!$F$46,0,Inputs!$F$39,0),Inputs!$F$49-Inputs!$F$50/100*CHOOSE(Operations!$F$46,1,Inputs!$F$38,Inputs!$F$40)*Time!AO$8)+Operations!$F$48/100</f>
        <v/>
      </c>
      <c r="AP59" s="14">
        <f>MAX(Inputs!$F$51+CHOOSE(Operations!$F$46,0,Inputs!$F$39,0),Inputs!$F$49-Inputs!$F$50/100*CHOOSE(Operations!$F$46,1,Inputs!$F$38,Inputs!$F$40)*Time!AP$8)+Operations!$F$48/100</f>
        <v/>
      </c>
      <c r="AQ59" s="14">
        <f>MAX(Inputs!$F$51+CHOOSE(Operations!$F$46,0,Inputs!$F$39,0),Inputs!$F$49-Inputs!$F$50/100*CHOOSE(Operations!$F$46,1,Inputs!$F$38,Inputs!$F$40)*Time!AQ$8)+Operations!$F$48/100</f>
        <v/>
      </c>
      <c r="AR59" s="14">
        <f>MAX(Inputs!$F$51+CHOOSE(Operations!$F$46,0,Inputs!$F$39,0),Inputs!$F$49-Inputs!$F$50/100*CHOOSE(Operations!$F$46,1,Inputs!$F$38,Inputs!$F$40)*Time!AR$8)+Operations!$F$48/100</f>
        <v/>
      </c>
      <c r="AS59" s="14">
        <f>MAX(Inputs!$F$51+CHOOSE(Operations!$F$46,0,Inputs!$F$39,0),Inputs!$F$49-Inputs!$F$50/100*CHOOSE(Operations!$F$46,1,Inputs!$F$38,Inputs!$F$40)*Time!AS$8)+Operations!$F$48/100</f>
        <v/>
      </c>
      <c r="AT59" s="14">
        <f>MAX(Inputs!$F$51+CHOOSE(Operations!$F$46,0,Inputs!$F$39,0),Inputs!$F$49-Inputs!$F$50/100*CHOOSE(Operations!$F$46,1,Inputs!$F$38,Inputs!$F$40)*Time!AT$8)+Operations!$F$48/100</f>
        <v/>
      </c>
      <c r="AU59" s="14">
        <f>MAX(Inputs!$F$51+CHOOSE(Operations!$F$46,0,Inputs!$F$39,0),Inputs!$F$49-Inputs!$F$50/100*CHOOSE(Operations!$F$46,1,Inputs!$F$38,Inputs!$F$40)*Time!AU$8)+Operations!$F$48/100</f>
        <v/>
      </c>
    </row>
    <row r="60">
      <c r="D60" t="inlineStr">
        <is>
          <t>Hub capture ratio: south_solar</t>
        </is>
      </c>
      <c r="E60" t="inlineStr">
        <is>
          <t>ratio</t>
        </is>
      </c>
      <c r="J60" s="14">
        <f>MAX(Inputs!$F$55+CHOOSE(Operations!$F$46,0,Inputs!$F$39,0),Inputs!$F$53-Inputs!$F$54/100*CHOOSE(Operations!$F$46,1,Inputs!$F$38,Inputs!$F$40)*Time!J$8)</f>
        <v/>
      </c>
      <c r="K60" s="14">
        <f>MAX(Inputs!$F$55+CHOOSE(Operations!$F$46,0,Inputs!$F$39,0),Inputs!$F$53-Inputs!$F$54/100*CHOOSE(Operations!$F$46,1,Inputs!$F$38,Inputs!$F$40)*Time!K$8)</f>
        <v/>
      </c>
      <c r="L60" s="14">
        <f>MAX(Inputs!$F$55+CHOOSE(Operations!$F$46,0,Inputs!$F$39,0),Inputs!$F$53-Inputs!$F$54/100*CHOOSE(Operations!$F$46,1,Inputs!$F$38,Inputs!$F$40)*Time!L$8)</f>
        <v/>
      </c>
      <c r="M60" s="14">
        <f>MAX(Inputs!$F$55+CHOOSE(Operations!$F$46,0,Inputs!$F$39,0),Inputs!$F$53-Inputs!$F$54/100*CHOOSE(Operations!$F$46,1,Inputs!$F$38,Inputs!$F$40)*Time!M$8)</f>
        <v/>
      </c>
      <c r="N60" s="14">
        <f>MAX(Inputs!$F$55+CHOOSE(Operations!$F$46,0,Inputs!$F$39,0),Inputs!$F$53-Inputs!$F$54/100*CHOOSE(Operations!$F$46,1,Inputs!$F$38,Inputs!$F$40)*Time!N$8)</f>
        <v/>
      </c>
      <c r="O60" s="14">
        <f>MAX(Inputs!$F$55+CHOOSE(Operations!$F$46,0,Inputs!$F$39,0),Inputs!$F$53-Inputs!$F$54/100*CHOOSE(Operations!$F$46,1,Inputs!$F$38,Inputs!$F$40)*Time!O$8)</f>
        <v/>
      </c>
      <c r="P60" s="14">
        <f>MAX(Inputs!$F$55+CHOOSE(Operations!$F$46,0,Inputs!$F$39,0),Inputs!$F$53-Inputs!$F$54/100*CHOOSE(Operations!$F$46,1,Inputs!$F$38,Inputs!$F$40)*Time!P$8)</f>
        <v/>
      </c>
      <c r="Q60" s="14">
        <f>MAX(Inputs!$F$55+CHOOSE(Operations!$F$46,0,Inputs!$F$39,0),Inputs!$F$53-Inputs!$F$54/100*CHOOSE(Operations!$F$46,1,Inputs!$F$38,Inputs!$F$40)*Time!Q$8)</f>
        <v/>
      </c>
      <c r="R60" s="14">
        <f>MAX(Inputs!$F$55+CHOOSE(Operations!$F$46,0,Inputs!$F$39,0),Inputs!$F$53-Inputs!$F$54/100*CHOOSE(Operations!$F$46,1,Inputs!$F$38,Inputs!$F$40)*Time!R$8)</f>
        <v/>
      </c>
      <c r="S60" s="14">
        <f>MAX(Inputs!$F$55+CHOOSE(Operations!$F$46,0,Inputs!$F$39,0),Inputs!$F$53-Inputs!$F$54/100*CHOOSE(Operations!$F$46,1,Inputs!$F$38,Inputs!$F$40)*Time!S$8)</f>
        <v/>
      </c>
      <c r="T60" s="14">
        <f>MAX(Inputs!$F$55+CHOOSE(Operations!$F$46,0,Inputs!$F$39,0),Inputs!$F$53-Inputs!$F$54/100*CHOOSE(Operations!$F$46,1,Inputs!$F$38,Inputs!$F$40)*Time!T$8)</f>
        <v/>
      </c>
      <c r="U60" s="14">
        <f>MAX(Inputs!$F$55+CHOOSE(Operations!$F$46,0,Inputs!$F$39,0),Inputs!$F$53-Inputs!$F$54/100*CHOOSE(Operations!$F$46,1,Inputs!$F$38,Inputs!$F$40)*Time!U$8)</f>
        <v/>
      </c>
      <c r="V60" s="14">
        <f>MAX(Inputs!$F$55+CHOOSE(Operations!$F$46,0,Inputs!$F$39,0),Inputs!$F$53-Inputs!$F$54/100*CHOOSE(Operations!$F$46,1,Inputs!$F$38,Inputs!$F$40)*Time!V$8)</f>
        <v/>
      </c>
      <c r="W60" s="14">
        <f>MAX(Inputs!$F$55+CHOOSE(Operations!$F$46,0,Inputs!$F$39,0),Inputs!$F$53-Inputs!$F$54/100*CHOOSE(Operations!$F$46,1,Inputs!$F$38,Inputs!$F$40)*Time!W$8)</f>
        <v/>
      </c>
      <c r="X60" s="14">
        <f>MAX(Inputs!$F$55+CHOOSE(Operations!$F$46,0,Inputs!$F$39,0),Inputs!$F$53-Inputs!$F$54/100*CHOOSE(Operations!$F$46,1,Inputs!$F$38,Inputs!$F$40)*Time!X$8)</f>
        <v/>
      </c>
      <c r="Y60" s="14">
        <f>MAX(Inputs!$F$55+CHOOSE(Operations!$F$46,0,Inputs!$F$39,0),Inputs!$F$53-Inputs!$F$54/100*CHOOSE(Operations!$F$46,1,Inputs!$F$38,Inputs!$F$40)*Time!Y$8)</f>
        <v/>
      </c>
      <c r="Z60" s="14">
        <f>MAX(Inputs!$F$55+CHOOSE(Operations!$F$46,0,Inputs!$F$39,0),Inputs!$F$53-Inputs!$F$54/100*CHOOSE(Operations!$F$46,1,Inputs!$F$38,Inputs!$F$40)*Time!Z$8)</f>
        <v/>
      </c>
      <c r="AA60" s="14">
        <f>MAX(Inputs!$F$55+CHOOSE(Operations!$F$46,0,Inputs!$F$39,0),Inputs!$F$53-Inputs!$F$54/100*CHOOSE(Operations!$F$46,1,Inputs!$F$38,Inputs!$F$40)*Time!AA$8)</f>
        <v/>
      </c>
      <c r="AB60" s="14">
        <f>MAX(Inputs!$F$55+CHOOSE(Operations!$F$46,0,Inputs!$F$39,0),Inputs!$F$53-Inputs!$F$54/100*CHOOSE(Operations!$F$46,1,Inputs!$F$38,Inputs!$F$40)*Time!AB$8)</f>
        <v/>
      </c>
      <c r="AC60" s="14">
        <f>MAX(Inputs!$F$55+CHOOSE(Operations!$F$46,0,Inputs!$F$39,0),Inputs!$F$53-Inputs!$F$54/100*CHOOSE(Operations!$F$46,1,Inputs!$F$38,Inputs!$F$40)*Time!AC$8)</f>
        <v/>
      </c>
      <c r="AD60" s="14">
        <f>MAX(Inputs!$F$55+CHOOSE(Operations!$F$46,0,Inputs!$F$39,0),Inputs!$F$53-Inputs!$F$54/100*CHOOSE(Operations!$F$46,1,Inputs!$F$38,Inputs!$F$40)*Time!AD$8)</f>
        <v/>
      </c>
      <c r="AE60" s="14">
        <f>MAX(Inputs!$F$55+CHOOSE(Operations!$F$46,0,Inputs!$F$39,0),Inputs!$F$53-Inputs!$F$54/100*CHOOSE(Operations!$F$46,1,Inputs!$F$38,Inputs!$F$40)*Time!AE$8)</f>
        <v/>
      </c>
      <c r="AF60" s="14">
        <f>MAX(Inputs!$F$55+CHOOSE(Operations!$F$46,0,Inputs!$F$39,0),Inputs!$F$53-Inputs!$F$54/100*CHOOSE(Operations!$F$46,1,Inputs!$F$38,Inputs!$F$40)*Time!AF$8)</f>
        <v/>
      </c>
      <c r="AG60" s="14">
        <f>MAX(Inputs!$F$55+CHOOSE(Operations!$F$46,0,Inputs!$F$39,0),Inputs!$F$53-Inputs!$F$54/100*CHOOSE(Operations!$F$46,1,Inputs!$F$38,Inputs!$F$40)*Time!AG$8)</f>
        <v/>
      </c>
      <c r="AH60" s="14">
        <f>MAX(Inputs!$F$55+CHOOSE(Operations!$F$46,0,Inputs!$F$39,0),Inputs!$F$53-Inputs!$F$54/100*CHOOSE(Operations!$F$46,1,Inputs!$F$38,Inputs!$F$40)*Time!AH$8)</f>
        <v/>
      </c>
      <c r="AI60" s="14">
        <f>MAX(Inputs!$F$55+CHOOSE(Operations!$F$46,0,Inputs!$F$39,0),Inputs!$F$53-Inputs!$F$54/100*CHOOSE(Operations!$F$46,1,Inputs!$F$38,Inputs!$F$40)*Time!AI$8)</f>
        <v/>
      </c>
      <c r="AJ60" s="14">
        <f>MAX(Inputs!$F$55+CHOOSE(Operations!$F$46,0,Inputs!$F$39,0),Inputs!$F$53-Inputs!$F$54/100*CHOOSE(Operations!$F$46,1,Inputs!$F$38,Inputs!$F$40)*Time!AJ$8)</f>
        <v/>
      </c>
      <c r="AK60" s="14">
        <f>MAX(Inputs!$F$55+CHOOSE(Operations!$F$46,0,Inputs!$F$39,0),Inputs!$F$53-Inputs!$F$54/100*CHOOSE(Operations!$F$46,1,Inputs!$F$38,Inputs!$F$40)*Time!AK$8)</f>
        <v/>
      </c>
      <c r="AL60" s="14">
        <f>MAX(Inputs!$F$55+CHOOSE(Operations!$F$46,0,Inputs!$F$39,0),Inputs!$F$53-Inputs!$F$54/100*CHOOSE(Operations!$F$46,1,Inputs!$F$38,Inputs!$F$40)*Time!AL$8)</f>
        <v/>
      </c>
      <c r="AM60" s="14">
        <f>MAX(Inputs!$F$55+CHOOSE(Operations!$F$46,0,Inputs!$F$39,0),Inputs!$F$53-Inputs!$F$54/100*CHOOSE(Operations!$F$46,1,Inputs!$F$38,Inputs!$F$40)*Time!AM$8)</f>
        <v/>
      </c>
      <c r="AN60" s="14">
        <f>MAX(Inputs!$F$55+CHOOSE(Operations!$F$46,0,Inputs!$F$39,0),Inputs!$F$53-Inputs!$F$54/100*CHOOSE(Operations!$F$46,1,Inputs!$F$38,Inputs!$F$40)*Time!AN$8)</f>
        <v/>
      </c>
      <c r="AO60" s="14">
        <f>MAX(Inputs!$F$55+CHOOSE(Operations!$F$46,0,Inputs!$F$39,0),Inputs!$F$53-Inputs!$F$54/100*CHOOSE(Operations!$F$46,1,Inputs!$F$38,Inputs!$F$40)*Time!AO$8)</f>
        <v/>
      </c>
      <c r="AP60" s="14">
        <f>MAX(Inputs!$F$55+CHOOSE(Operations!$F$46,0,Inputs!$F$39,0),Inputs!$F$53-Inputs!$F$54/100*CHOOSE(Operations!$F$46,1,Inputs!$F$38,Inputs!$F$40)*Time!AP$8)</f>
        <v/>
      </c>
      <c r="AQ60" s="14">
        <f>MAX(Inputs!$F$55+CHOOSE(Operations!$F$46,0,Inputs!$F$39,0),Inputs!$F$53-Inputs!$F$54/100*CHOOSE(Operations!$F$46,1,Inputs!$F$38,Inputs!$F$40)*Time!AQ$8)</f>
        <v/>
      </c>
      <c r="AR60" s="14">
        <f>MAX(Inputs!$F$55+CHOOSE(Operations!$F$46,0,Inputs!$F$39,0),Inputs!$F$53-Inputs!$F$54/100*CHOOSE(Operations!$F$46,1,Inputs!$F$38,Inputs!$F$40)*Time!AR$8)</f>
        <v/>
      </c>
      <c r="AS60" s="14">
        <f>MAX(Inputs!$F$55+CHOOSE(Operations!$F$46,0,Inputs!$F$39,0),Inputs!$F$53-Inputs!$F$54/100*CHOOSE(Operations!$F$46,1,Inputs!$F$38,Inputs!$F$40)*Time!AS$8)</f>
        <v/>
      </c>
      <c r="AT60" s="14">
        <f>MAX(Inputs!$F$55+CHOOSE(Operations!$F$46,0,Inputs!$F$39,0),Inputs!$F$53-Inputs!$F$54/100*CHOOSE(Operations!$F$46,1,Inputs!$F$38,Inputs!$F$40)*Time!AT$8)</f>
        <v/>
      </c>
      <c r="AU60" s="14">
        <f>MAX(Inputs!$F$55+CHOOSE(Operations!$F$46,0,Inputs!$F$39,0),Inputs!$F$53-Inputs!$F$54/100*CHOOSE(Operations!$F$46,1,Inputs!$F$38,Inputs!$F$40)*Time!AU$8)</f>
        <v/>
      </c>
    </row>
    <row r="61">
      <c r="D61" t="inlineStr">
        <is>
          <t>Hub capture ratio: coastal_wind</t>
        </is>
      </c>
      <c r="E61" t="inlineStr">
        <is>
          <t>ratio</t>
        </is>
      </c>
      <c r="J61" s="14">
        <f>MAX(Inputs!$F$59+CHOOSE(Operations!$F$46,0,Inputs!$F$39,0),Inputs!$F$57-Inputs!$F$58/100*CHOOSE(Operations!$F$46,1,Inputs!$F$38,Inputs!$F$40)*Time!J$8)</f>
        <v/>
      </c>
      <c r="K61" s="14">
        <f>MAX(Inputs!$F$59+CHOOSE(Operations!$F$46,0,Inputs!$F$39,0),Inputs!$F$57-Inputs!$F$58/100*CHOOSE(Operations!$F$46,1,Inputs!$F$38,Inputs!$F$40)*Time!K$8)</f>
        <v/>
      </c>
      <c r="L61" s="14">
        <f>MAX(Inputs!$F$59+CHOOSE(Operations!$F$46,0,Inputs!$F$39,0),Inputs!$F$57-Inputs!$F$58/100*CHOOSE(Operations!$F$46,1,Inputs!$F$38,Inputs!$F$40)*Time!L$8)</f>
        <v/>
      </c>
      <c r="M61" s="14">
        <f>MAX(Inputs!$F$59+CHOOSE(Operations!$F$46,0,Inputs!$F$39,0),Inputs!$F$57-Inputs!$F$58/100*CHOOSE(Operations!$F$46,1,Inputs!$F$38,Inputs!$F$40)*Time!M$8)</f>
        <v/>
      </c>
      <c r="N61" s="14">
        <f>MAX(Inputs!$F$59+CHOOSE(Operations!$F$46,0,Inputs!$F$39,0),Inputs!$F$57-Inputs!$F$58/100*CHOOSE(Operations!$F$46,1,Inputs!$F$38,Inputs!$F$40)*Time!N$8)</f>
        <v/>
      </c>
      <c r="O61" s="14">
        <f>MAX(Inputs!$F$59+CHOOSE(Operations!$F$46,0,Inputs!$F$39,0),Inputs!$F$57-Inputs!$F$58/100*CHOOSE(Operations!$F$46,1,Inputs!$F$38,Inputs!$F$40)*Time!O$8)</f>
        <v/>
      </c>
      <c r="P61" s="14">
        <f>MAX(Inputs!$F$59+CHOOSE(Operations!$F$46,0,Inputs!$F$39,0),Inputs!$F$57-Inputs!$F$58/100*CHOOSE(Operations!$F$46,1,Inputs!$F$38,Inputs!$F$40)*Time!P$8)</f>
        <v/>
      </c>
      <c r="Q61" s="14">
        <f>MAX(Inputs!$F$59+CHOOSE(Operations!$F$46,0,Inputs!$F$39,0),Inputs!$F$57-Inputs!$F$58/100*CHOOSE(Operations!$F$46,1,Inputs!$F$38,Inputs!$F$40)*Time!Q$8)</f>
        <v/>
      </c>
      <c r="R61" s="14">
        <f>MAX(Inputs!$F$59+CHOOSE(Operations!$F$46,0,Inputs!$F$39,0),Inputs!$F$57-Inputs!$F$58/100*CHOOSE(Operations!$F$46,1,Inputs!$F$38,Inputs!$F$40)*Time!R$8)</f>
        <v/>
      </c>
      <c r="S61" s="14">
        <f>MAX(Inputs!$F$59+CHOOSE(Operations!$F$46,0,Inputs!$F$39,0),Inputs!$F$57-Inputs!$F$58/100*CHOOSE(Operations!$F$46,1,Inputs!$F$38,Inputs!$F$40)*Time!S$8)</f>
        <v/>
      </c>
      <c r="T61" s="14">
        <f>MAX(Inputs!$F$59+CHOOSE(Operations!$F$46,0,Inputs!$F$39,0),Inputs!$F$57-Inputs!$F$58/100*CHOOSE(Operations!$F$46,1,Inputs!$F$38,Inputs!$F$40)*Time!T$8)</f>
        <v/>
      </c>
      <c r="U61" s="14">
        <f>MAX(Inputs!$F$59+CHOOSE(Operations!$F$46,0,Inputs!$F$39,0),Inputs!$F$57-Inputs!$F$58/100*CHOOSE(Operations!$F$46,1,Inputs!$F$38,Inputs!$F$40)*Time!U$8)</f>
        <v/>
      </c>
      <c r="V61" s="14">
        <f>MAX(Inputs!$F$59+CHOOSE(Operations!$F$46,0,Inputs!$F$39,0),Inputs!$F$57-Inputs!$F$58/100*CHOOSE(Operations!$F$46,1,Inputs!$F$38,Inputs!$F$40)*Time!V$8)</f>
        <v/>
      </c>
      <c r="W61" s="14">
        <f>MAX(Inputs!$F$59+CHOOSE(Operations!$F$46,0,Inputs!$F$39,0),Inputs!$F$57-Inputs!$F$58/100*CHOOSE(Operations!$F$46,1,Inputs!$F$38,Inputs!$F$40)*Time!W$8)</f>
        <v/>
      </c>
      <c r="X61" s="14">
        <f>MAX(Inputs!$F$59+CHOOSE(Operations!$F$46,0,Inputs!$F$39,0),Inputs!$F$57-Inputs!$F$58/100*CHOOSE(Operations!$F$46,1,Inputs!$F$38,Inputs!$F$40)*Time!X$8)</f>
        <v/>
      </c>
      <c r="Y61" s="14">
        <f>MAX(Inputs!$F$59+CHOOSE(Operations!$F$46,0,Inputs!$F$39,0),Inputs!$F$57-Inputs!$F$58/100*CHOOSE(Operations!$F$46,1,Inputs!$F$38,Inputs!$F$40)*Time!Y$8)</f>
        <v/>
      </c>
      <c r="Z61" s="14">
        <f>MAX(Inputs!$F$59+CHOOSE(Operations!$F$46,0,Inputs!$F$39,0),Inputs!$F$57-Inputs!$F$58/100*CHOOSE(Operations!$F$46,1,Inputs!$F$38,Inputs!$F$40)*Time!Z$8)</f>
        <v/>
      </c>
      <c r="AA61" s="14">
        <f>MAX(Inputs!$F$59+CHOOSE(Operations!$F$46,0,Inputs!$F$39,0),Inputs!$F$57-Inputs!$F$58/100*CHOOSE(Operations!$F$46,1,Inputs!$F$38,Inputs!$F$40)*Time!AA$8)</f>
        <v/>
      </c>
      <c r="AB61" s="14">
        <f>MAX(Inputs!$F$59+CHOOSE(Operations!$F$46,0,Inputs!$F$39,0),Inputs!$F$57-Inputs!$F$58/100*CHOOSE(Operations!$F$46,1,Inputs!$F$38,Inputs!$F$40)*Time!AB$8)</f>
        <v/>
      </c>
      <c r="AC61" s="14">
        <f>MAX(Inputs!$F$59+CHOOSE(Operations!$F$46,0,Inputs!$F$39,0),Inputs!$F$57-Inputs!$F$58/100*CHOOSE(Operations!$F$46,1,Inputs!$F$38,Inputs!$F$40)*Time!AC$8)</f>
        <v/>
      </c>
      <c r="AD61" s="14">
        <f>MAX(Inputs!$F$59+CHOOSE(Operations!$F$46,0,Inputs!$F$39,0),Inputs!$F$57-Inputs!$F$58/100*CHOOSE(Operations!$F$46,1,Inputs!$F$38,Inputs!$F$40)*Time!AD$8)</f>
        <v/>
      </c>
      <c r="AE61" s="14">
        <f>MAX(Inputs!$F$59+CHOOSE(Operations!$F$46,0,Inputs!$F$39,0),Inputs!$F$57-Inputs!$F$58/100*CHOOSE(Operations!$F$46,1,Inputs!$F$38,Inputs!$F$40)*Time!AE$8)</f>
        <v/>
      </c>
      <c r="AF61" s="14">
        <f>MAX(Inputs!$F$59+CHOOSE(Operations!$F$46,0,Inputs!$F$39,0),Inputs!$F$57-Inputs!$F$58/100*CHOOSE(Operations!$F$46,1,Inputs!$F$38,Inputs!$F$40)*Time!AF$8)</f>
        <v/>
      </c>
      <c r="AG61" s="14">
        <f>MAX(Inputs!$F$59+CHOOSE(Operations!$F$46,0,Inputs!$F$39,0),Inputs!$F$57-Inputs!$F$58/100*CHOOSE(Operations!$F$46,1,Inputs!$F$38,Inputs!$F$40)*Time!AG$8)</f>
        <v/>
      </c>
      <c r="AH61" s="14">
        <f>MAX(Inputs!$F$59+CHOOSE(Operations!$F$46,0,Inputs!$F$39,0),Inputs!$F$57-Inputs!$F$58/100*CHOOSE(Operations!$F$46,1,Inputs!$F$38,Inputs!$F$40)*Time!AH$8)</f>
        <v/>
      </c>
      <c r="AI61" s="14">
        <f>MAX(Inputs!$F$59+CHOOSE(Operations!$F$46,0,Inputs!$F$39,0),Inputs!$F$57-Inputs!$F$58/100*CHOOSE(Operations!$F$46,1,Inputs!$F$38,Inputs!$F$40)*Time!AI$8)</f>
        <v/>
      </c>
      <c r="AJ61" s="14">
        <f>MAX(Inputs!$F$59+CHOOSE(Operations!$F$46,0,Inputs!$F$39,0),Inputs!$F$57-Inputs!$F$58/100*CHOOSE(Operations!$F$46,1,Inputs!$F$38,Inputs!$F$40)*Time!AJ$8)</f>
        <v/>
      </c>
      <c r="AK61" s="14">
        <f>MAX(Inputs!$F$59+CHOOSE(Operations!$F$46,0,Inputs!$F$39,0),Inputs!$F$57-Inputs!$F$58/100*CHOOSE(Operations!$F$46,1,Inputs!$F$38,Inputs!$F$40)*Time!AK$8)</f>
        <v/>
      </c>
      <c r="AL61" s="14">
        <f>MAX(Inputs!$F$59+CHOOSE(Operations!$F$46,0,Inputs!$F$39,0),Inputs!$F$57-Inputs!$F$58/100*CHOOSE(Operations!$F$46,1,Inputs!$F$38,Inputs!$F$40)*Time!AL$8)</f>
        <v/>
      </c>
      <c r="AM61" s="14">
        <f>MAX(Inputs!$F$59+CHOOSE(Operations!$F$46,0,Inputs!$F$39,0),Inputs!$F$57-Inputs!$F$58/100*CHOOSE(Operations!$F$46,1,Inputs!$F$38,Inputs!$F$40)*Time!AM$8)</f>
        <v/>
      </c>
      <c r="AN61" s="14">
        <f>MAX(Inputs!$F$59+CHOOSE(Operations!$F$46,0,Inputs!$F$39,0),Inputs!$F$57-Inputs!$F$58/100*CHOOSE(Operations!$F$46,1,Inputs!$F$38,Inputs!$F$40)*Time!AN$8)</f>
        <v/>
      </c>
      <c r="AO61" s="14">
        <f>MAX(Inputs!$F$59+CHOOSE(Operations!$F$46,0,Inputs!$F$39,0),Inputs!$F$57-Inputs!$F$58/100*CHOOSE(Operations!$F$46,1,Inputs!$F$38,Inputs!$F$40)*Time!AO$8)</f>
        <v/>
      </c>
      <c r="AP61" s="14">
        <f>MAX(Inputs!$F$59+CHOOSE(Operations!$F$46,0,Inputs!$F$39,0),Inputs!$F$57-Inputs!$F$58/100*CHOOSE(Operations!$F$46,1,Inputs!$F$38,Inputs!$F$40)*Time!AP$8)</f>
        <v/>
      </c>
      <c r="AQ61" s="14">
        <f>MAX(Inputs!$F$59+CHOOSE(Operations!$F$46,0,Inputs!$F$39,0),Inputs!$F$57-Inputs!$F$58/100*CHOOSE(Operations!$F$46,1,Inputs!$F$38,Inputs!$F$40)*Time!AQ$8)</f>
        <v/>
      </c>
      <c r="AR61" s="14">
        <f>MAX(Inputs!$F$59+CHOOSE(Operations!$F$46,0,Inputs!$F$39,0),Inputs!$F$57-Inputs!$F$58/100*CHOOSE(Operations!$F$46,1,Inputs!$F$38,Inputs!$F$40)*Time!AR$8)</f>
        <v/>
      </c>
      <c r="AS61" s="14">
        <f>MAX(Inputs!$F$59+CHOOSE(Operations!$F$46,0,Inputs!$F$39,0),Inputs!$F$57-Inputs!$F$58/100*CHOOSE(Operations!$F$46,1,Inputs!$F$38,Inputs!$F$40)*Time!AS$8)</f>
        <v/>
      </c>
      <c r="AT61" s="14">
        <f>MAX(Inputs!$F$59+CHOOSE(Operations!$F$46,0,Inputs!$F$39,0),Inputs!$F$57-Inputs!$F$58/100*CHOOSE(Operations!$F$46,1,Inputs!$F$38,Inputs!$F$40)*Time!AT$8)</f>
        <v/>
      </c>
      <c r="AU61" s="14">
        <f>MAX(Inputs!$F$59+CHOOSE(Operations!$F$46,0,Inputs!$F$39,0),Inputs!$F$57-Inputs!$F$58/100*CHOOSE(Operations!$F$46,1,Inputs!$F$38,Inputs!$F$40)*Time!AU$8)</f>
        <v/>
      </c>
    </row>
    <row r="62">
      <c r="D62" s="19" t="inlineStr">
        <is>
          <t>R1 Thatcher Flats Wind (onshore wind)</t>
        </is>
      </c>
    </row>
    <row r="63">
      <c r="D63" t="inlineStr">
        <is>
          <t>R1 operating fraction</t>
        </is>
      </c>
      <c r="E63" t="inlineStr">
        <is>
          <t>fraction</t>
        </is>
      </c>
      <c r="J63" s="14">
        <f>MAX(0,MIN(Inputs!$F$90,Time!J$6)-MAX(Inputs!$F$89,Time!J$5))/Time!J$7</f>
        <v/>
      </c>
      <c r="K63" s="14">
        <f>MAX(0,MIN(Inputs!$F$90,Time!K$6)-MAX(Inputs!$F$89,Time!K$5))/Time!K$7</f>
        <v/>
      </c>
      <c r="L63" s="14">
        <f>MAX(0,MIN(Inputs!$F$90,Time!L$6)-MAX(Inputs!$F$89,Time!L$5))/Time!L$7</f>
        <v/>
      </c>
      <c r="M63" s="14">
        <f>MAX(0,MIN(Inputs!$F$90,Time!M$6)-MAX(Inputs!$F$89,Time!M$5))/Time!M$7</f>
        <v/>
      </c>
      <c r="N63" s="14">
        <f>MAX(0,MIN(Inputs!$F$90,Time!N$6)-MAX(Inputs!$F$89,Time!N$5))/Time!N$7</f>
        <v/>
      </c>
      <c r="O63" s="14">
        <f>MAX(0,MIN(Inputs!$F$90,Time!O$6)-MAX(Inputs!$F$89,Time!O$5))/Time!O$7</f>
        <v/>
      </c>
      <c r="P63" s="14">
        <f>MAX(0,MIN(Inputs!$F$90,Time!P$6)-MAX(Inputs!$F$89,Time!P$5))/Time!P$7</f>
        <v/>
      </c>
      <c r="Q63" s="14">
        <f>MAX(0,MIN(Inputs!$F$90,Time!Q$6)-MAX(Inputs!$F$89,Time!Q$5))/Time!Q$7</f>
        <v/>
      </c>
      <c r="R63" s="14">
        <f>MAX(0,MIN(Inputs!$F$90,Time!R$6)-MAX(Inputs!$F$89,Time!R$5))/Time!R$7</f>
        <v/>
      </c>
      <c r="S63" s="14">
        <f>MAX(0,MIN(Inputs!$F$90,Time!S$6)-MAX(Inputs!$F$89,Time!S$5))/Time!S$7</f>
        <v/>
      </c>
      <c r="T63" s="14">
        <f>MAX(0,MIN(Inputs!$F$90,Time!T$6)-MAX(Inputs!$F$89,Time!T$5))/Time!T$7</f>
        <v/>
      </c>
      <c r="U63" s="14">
        <f>MAX(0,MIN(Inputs!$F$90,Time!U$6)-MAX(Inputs!$F$89,Time!U$5))/Time!U$7</f>
        <v/>
      </c>
      <c r="V63" s="14">
        <f>MAX(0,MIN(Inputs!$F$90,Time!V$6)-MAX(Inputs!$F$89,Time!V$5))/Time!V$7</f>
        <v/>
      </c>
      <c r="W63" s="14">
        <f>MAX(0,MIN(Inputs!$F$90,Time!W$6)-MAX(Inputs!$F$89,Time!W$5))/Time!W$7</f>
        <v/>
      </c>
      <c r="X63" s="14">
        <f>MAX(0,MIN(Inputs!$F$90,Time!X$6)-MAX(Inputs!$F$89,Time!X$5))/Time!X$7</f>
        <v/>
      </c>
      <c r="Y63" s="14">
        <f>MAX(0,MIN(Inputs!$F$90,Time!Y$6)-MAX(Inputs!$F$89,Time!Y$5))/Time!Y$7</f>
        <v/>
      </c>
      <c r="Z63" s="14">
        <f>MAX(0,MIN(Inputs!$F$90,Time!Z$6)-MAX(Inputs!$F$89,Time!Z$5))/Time!Z$7</f>
        <v/>
      </c>
      <c r="AA63" s="14">
        <f>MAX(0,MIN(Inputs!$F$90,Time!AA$6)-MAX(Inputs!$F$89,Time!AA$5))/Time!AA$7</f>
        <v/>
      </c>
      <c r="AB63" s="14">
        <f>MAX(0,MIN(Inputs!$F$90,Time!AB$6)-MAX(Inputs!$F$89,Time!AB$5))/Time!AB$7</f>
        <v/>
      </c>
      <c r="AC63" s="14">
        <f>MAX(0,MIN(Inputs!$F$90,Time!AC$6)-MAX(Inputs!$F$89,Time!AC$5))/Time!AC$7</f>
        <v/>
      </c>
      <c r="AD63" s="14">
        <f>MAX(0,MIN(Inputs!$F$90,Time!AD$6)-MAX(Inputs!$F$89,Time!AD$5))/Time!AD$7</f>
        <v/>
      </c>
      <c r="AE63" s="14">
        <f>MAX(0,MIN(Inputs!$F$90,Time!AE$6)-MAX(Inputs!$F$89,Time!AE$5))/Time!AE$7</f>
        <v/>
      </c>
      <c r="AF63" s="14">
        <f>MAX(0,MIN(Inputs!$F$90,Time!AF$6)-MAX(Inputs!$F$89,Time!AF$5))/Time!AF$7</f>
        <v/>
      </c>
      <c r="AG63" s="14">
        <f>MAX(0,MIN(Inputs!$F$90,Time!AG$6)-MAX(Inputs!$F$89,Time!AG$5))/Time!AG$7</f>
        <v/>
      </c>
      <c r="AH63" s="14">
        <f>MAX(0,MIN(Inputs!$F$90,Time!AH$6)-MAX(Inputs!$F$89,Time!AH$5))/Time!AH$7</f>
        <v/>
      </c>
      <c r="AI63" s="14">
        <f>MAX(0,MIN(Inputs!$F$90,Time!AI$6)-MAX(Inputs!$F$89,Time!AI$5))/Time!AI$7</f>
        <v/>
      </c>
      <c r="AJ63" s="14">
        <f>MAX(0,MIN(Inputs!$F$90,Time!AJ$6)-MAX(Inputs!$F$89,Time!AJ$5))/Time!AJ$7</f>
        <v/>
      </c>
      <c r="AK63" s="14">
        <f>MAX(0,MIN(Inputs!$F$90,Time!AK$6)-MAX(Inputs!$F$89,Time!AK$5))/Time!AK$7</f>
        <v/>
      </c>
      <c r="AL63" s="14">
        <f>MAX(0,MIN(Inputs!$F$90,Time!AL$6)-MAX(Inputs!$F$89,Time!AL$5))/Time!AL$7</f>
        <v/>
      </c>
      <c r="AM63" s="14">
        <f>MAX(0,MIN(Inputs!$F$90,Time!AM$6)-MAX(Inputs!$F$89,Time!AM$5))/Time!AM$7</f>
        <v/>
      </c>
      <c r="AN63" s="14">
        <f>MAX(0,MIN(Inputs!$F$90,Time!AN$6)-MAX(Inputs!$F$89,Time!AN$5))/Time!AN$7</f>
        <v/>
      </c>
      <c r="AO63" s="14">
        <f>MAX(0,MIN(Inputs!$F$90,Time!AO$6)-MAX(Inputs!$F$89,Time!AO$5))/Time!AO$7</f>
        <v/>
      </c>
      <c r="AP63" s="14">
        <f>MAX(0,MIN(Inputs!$F$90,Time!AP$6)-MAX(Inputs!$F$89,Time!AP$5))/Time!AP$7</f>
        <v/>
      </c>
      <c r="AQ63" s="14">
        <f>MAX(0,MIN(Inputs!$F$90,Time!AQ$6)-MAX(Inputs!$F$89,Time!AQ$5))/Time!AQ$7</f>
        <v/>
      </c>
      <c r="AR63" s="14">
        <f>MAX(0,MIN(Inputs!$F$90,Time!AR$6)-MAX(Inputs!$F$89,Time!AR$5))/Time!AR$7</f>
        <v/>
      </c>
      <c r="AS63" s="14">
        <f>MAX(0,MIN(Inputs!$F$90,Time!AS$6)-MAX(Inputs!$F$89,Time!AS$5))/Time!AS$7</f>
        <v/>
      </c>
      <c r="AT63" s="14">
        <f>MAX(0,MIN(Inputs!$F$90,Time!AT$6)-MAX(Inputs!$F$89,Time!AT$5))/Time!AT$7</f>
        <v/>
      </c>
      <c r="AU63" s="14">
        <f>MAX(0,MIN(Inputs!$F$90,Time!AU$6)-MAX(Inputs!$F$89,Time!AU$5))/Time!AU$7</f>
        <v/>
      </c>
    </row>
    <row r="64">
      <c r="D64" t="inlineStr">
        <is>
          <t>R1 owned fraction</t>
        </is>
      </c>
      <c r="E64" t="inlineStr">
        <is>
          <t>fraction</t>
        </is>
      </c>
      <c r="J64" s="14">
        <f>MAX(0,MIN(Inputs!$F$90,Time!J$6)-MAX(MAX(Inputs!$F$91,Inputs!$F$89),Time!J$5))/Time!J$7</f>
        <v/>
      </c>
      <c r="K64" s="14">
        <f>MAX(0,MIN(Inputs!$F$90,Time!K$6)-MAX(MAX(Inputs!$F$91,Inputs!$F$89),Time!K$5))/Time!K$7</f>
        <v/>
      </c>
      <c r="L64" s="14">
        <f>MAX(0,MIN(Inputs!$F$90,Time!L$6)-MAX(MAX(Inputs!$F$91,Inputs!$F$89),Time!L$5))/Time!L$7</f>
        <v/>
      </c>
      <c r="M64" s="14">
        <f>MAX(0,MIN(Inputs!$F$90,Time!M$6)-MAX(MAX(Inputs!$F$91,Inputs!$F$89),Time!M$5))/Time!M$7</f>
        <v/>
      </c>
      <c r="N64" s="14">
        <f>MAX(0,MIN(Inputs!$F$90,Time!N$6)-MAX(MAX(Inputs!$F$91,Inputs!$F$89),Time!N$5))/Time!N$7</f>
        <v/>
      </c>
      <c r="O64" s="14">
        <f>MAX(0,MIN(Inputs!$F$90,Time!O$6)-MAX(MAX(Inputs!$F$91,Inputs!$F$89),Time!O$5))/Time!O$7</f>
        <v/>
      </c>
      <c r="P64" s="14">
        <f>MAX(0,MIN(Inputs!$F$90,Time!P$6)-MAX(MAX(Inputs!$F$91,Inputs!$F$89),Time!P$5))/Time!P$7</f>
        <v/>
      </c>
      <c r="Q64" s="14">
        <f>MAX(0,MIN(Inputs!$F$90,Time!Q$6)-MAX(MAX(Inputs!$F$91,Inputs!$F$89),Time!Q$5))/Time!Q$7</f>
        <v/>
      </c>
      <c r="R64" s="14">
        <f>MAX(0,MIN(Inputs!$F$90,Time!R$6)-MAX(MAX(Inputs!$F$91,Inputs!$F$89),Time!R$5))/Time!R$7</f>
        <v/>
      </c>
      <c r="S64" s="14">
        <f>MAX(0,MIN(Inputs!$F$90,Time!S$6)-MAX(MAX(Inputs!$F$91,Inputs!$F$89),Time!S$5))/Time!S$7</f>
        <v/>
      </c>
      <c r="T64" s="14">
        <f>MAX(0,MIN(Inputs!$F$90,Time!T$6)-MAX(MAX(Inputs!$F$91,Inputs!$F$89),Time!T$5))/Time!T$7</f>
        <v/>
      </c>
      <c r="U64" s="14">
        <f>MAX(0,MIN(Inputs!$F$90,Time!U$6)-MAX(MAX(Inputs!$F$91,Inputs!$F$89),Time!U$5))/Time!U$7</f>
        <v/>
      </c>
      <c r="V64" s="14">
        <f>MAX(0,MIN(Inputs!$F$90,Time!V$6)-MAX(MAX(Inputs!$F$91,Inputs!$F$89),Time!V$5))/Time!V$7</f>
        <v/>
      </c>
      <c r="W64" s="14">
        <f>MAX(0,MIN(Inputs!$F$90,Time!W$6)-MAX(MAX(Inputs!$F$91,Inputs!$F$89),Time!W$5))/Time!W$7</f>
        <v/>
      </c>
      <c r="X64" s="14">
        <f>MAX(0,MIN(Inputs!$F$90,Time!X$6)-MAX(MAX(Inputs!$F$91,Inputs!$F$89),Time!X$5))/Time!X$7</f>
        <v/>
      </c>
      <c r="Y64" s="14">
        <f>MAX(0,MIN(Inputs!$F$90,Time!Y$6)-MAX(MAX(Inputs!$F$91,Inputs!$F$89),Time!Y$5))/Time!Y$7</f>
        <v/>
      </c>
      <c r="Z64" s="14">
        <f>MAX(0,MIN(Inputs!$F$90,Time!Z$6)-MAX(MAX(Inputs!$F$91,Inputs!$F$89),Time!Z$5))/Time!Z$7</f>
        <v/>
      </c>
      <c r="AA64" s="14">
        <f>MAX(0,MIN(Inputs!$F$90,Time!AA$6)-MAX(MAX(Inputs!$F$91,Inputs!$F$89),Time!AA$5))/Time!AA$7</f>
        <v/>
      </c>
      <c r="AB64" s="14">
        <f>MAX(0,MIN(Inputs!$F$90,Time!AB$6)-MAX(MAX(Inputs!$F$91,Inputs!$F$89),Time!AB$5))/Time!AB$7</f>
        <v/>
      </c>
      <c r="AC64" s="14">
        <f>MAX(0,MIN(Inputs!$F$90,Time!AC$6)-MAX(MAX(Inputs!$F$91,Inputs!$F$89),Time!AC$5))/Time!AC$7</f>
        <v/>
      </c>
      <c r="AD64" s="14">
        <f>MAX(0,MIN(Inputs!$F$90,Time!AD$6)-MAX(MAX(Inputs!$F$91,Inputs!$F$89),Time!AD$5))/Time!AD$7</f>
        <v/>
      </c>
      <c r="AE64" s="14">
        <f>MAX(0,MIN(Inputs!$F$90,Time!AE$6)-MAX(MAX(Inputs!$F$91,Inputs!$F$89),Time!AE$5))/Time!AE$7</f>
        <v/>
      </c>
      <c r="AF64" s="14">
        <f>MAX(0,MIN(Inputs!$F$90,Time!AF$6)-MAX(MAX(Inputs!$F$91,Inputs!$F$89),Time!AF$5))/Time!AF$7</f>
        <v/>
      </c>
      <c r="AG64" s="14">
        <f>MAX(0,MIN(Inputs!$F$90,Time!AG$6)-MAX(MAX(Inputs!$F$91,Inputs!$F$89),Time!AG$5))/Time!AG$7</f>
        <v/>
      </c>
      <c r="AH64" s="14">
        <f>MAX(0,MIN(Inputs!$F$90,Time!AH$6)-MAX(MAX(Inputs!$F$91,Inputs!$F$89),Time!AH$5))/Time!AH$7</f>
        <v/>
      </c>
      <c r="AI64" s="14">
        <f>MAX(0,MIN(Inputs!$F$90,Time!AI$6)-MAX(MAX(Inputs!$F$91,Inputs!$F$89),Time!AI$5))/Time!AI$7</f>
        <v/>
      </c>
      <c r="AJ64" s="14">
        <f>MAX(0,MIN(Inputs!$F$90,Time!AJ$6)-MAX(MAX(Inputs!$F$91,Inputs!$F$89),Time!AJ$5))/Time!AJ$7</f>
        <v/>
      </c>
      <c r="AK64" s="14">
        <f>MAX(0,MIN(Inputs!$F$90,Time!AK$6)-MAX(MAX(Inputs!$F$91,Inputs!$F$89),Time!AK$5))/Time!AK$7</f>
        <v/>
      </c>
      <c r="AL64" s="14">
        <f>MAX(0,MIN(Inputs!$F$90,Time!AL$6)-MAX(MAX(Inputs!$F$91,Inputs!$F$89),Time!AL$5))/Time!AL$7</f>
        <v/>
      </c>
      <c r="AM64" s="14">
        <f>MAX(0,MIN(Inputs!$F$90,Time!AM$6)-MAX(MAX(Inputs!$F$91,Inputs!$F$89),Time!AM$5))/Time!AM$7</f>
        <v/>
      </c>
      <c r="AN64" s="14">
        <f>MAX(0,MIN(Inputs!$F$90,Time!AN$6)-MAX(MAX(Inputs!$F$91,Inputs!$F$89),Time!AN$5))/Time!AN$7</f>
        <v/>
      </c>
      <c r="AO64" s="14">
        <f>MAX(0,MIN(Inputs!$F$90,Time!AO$6)-MAX(MAX(Inputs!$F$91,Inputs!$F$89),Time!AO$5))/Time!AO$7</f>
        <v/>
      </c>
      <c r="AP64" s="14">
        <f>MAX(0,MIN(Inputs!$F$90,Time!AP$6)-MAX(MAX(Inputs!$F$91,Inputs!$F$89),Time!AP$5))/Time!AP$7</f>
        <v/>
      </c>
      <c r="AQ64" s="14">
        <f>MAX(0,MIN(Inputs!$F$90,Time!AQ$6)-MAX(MAX(Inputs!$F$91,Inputs!$F$89),Time!AQ$5))/Time!AQ$7</f>
        <v/>
      </c>
      <c r="AR64" s="14">
        <f>MAX(0,MIN(Inputs!$F$90,Time!AR$6)-MAX(MAX(Inputs!$F$91,Inputs!$F$89),Time!AR$5))/Time!AR$7</f>
        <v/>
      </c>
      <c r="AS64" s="14">
        <f>MAX(0,MIN(Inputs!$F$90,Time!AS$6)-MAX(MAX(Inputs!$F$91,Inputs!$F$89),Time!AS$5))/Time!AS$7</f>
        <v/>
      </c>
      <c r="AT64" s="14">
        <f>MAX(0,MIN(Inputs!$F$90,Time!AT$6)-MAX(MAX(Inputs!$F$91,Inputs!$F$89),Time!AT$5))/Time!AT$7</f>
        <v/>
      </c>
      <c r="AU64" s="14">
        <f>MAX(0,MIN(Inputs!$F$90,Time!AU$6)-MAX(MAX(Inputs!$F$91,Inputs!$F$89),Time!AU$5))/Time!AU$7</f>
        <v/>
      </c>
    </row>
    <row r="65">
      <c r="D65" t="inlineStr">
        <is>
          <t>R1 owned share of operating period</t>
        </is>
      </c>
      <c r="E65" t="inlineStr">
        <is>
          <t>fraction</t>
        </is>
      </c>
      <c r="J65" s="14">
        <f>IF(Operations!J63&gt;0,Operations!J64/Operations!J63,0)</f>
        <v/>
      </c>
      <c r="K65" s="14">
        <f>IF(Operations!K63&gt;0,Operations!K64/Operations!K63,0)</f>
        <v/>
      </c>
      <c r="L65" s="14">
        <f>IF(Operations!L63&gt;0,Operations!L64/Operations!L63,0)</f>
        <v/>
      </c>
      <c r="M65" s="14">
        <f>IF(Operations!M63&gt;0,Operations!M64/Operations!M63,0)</f>
        <v/>
      </c>
      <c r="N65" s="14">
        <f>IF(Operations!N63&gt;0,Operations!N64/Operations!N63,0)</f>
        <v/>
      </c>
      <c r="O65" s="14">
        <f>IF(Operations!O63&gt;0,Operations!O64/Operations!O63,0)</f>
        <v/>
      </c>
      <c r="P65" s="14">
        <f>IF(Operations!P63&gt;0,Operations!P64/Operations!P63,0)</f>
        <v/>
      </c>
      <c r="Q65" s="14">
        <f>IF(Operations!Q63&gt;0,Operations!Q64/Operations!Q63,0)</f>
        <v/>
      </c>
      <c r="R65" s="14">
        <f>IF(Operations!R63&gt;0,Operations!R64/Operations!R63,0)</f>
        <v/>
      </c>
      <c r="S65" s="14">
        <f>IF(Operations!S63&gt;0,Operations!S64/Operations!S63,0)</f>
        <v/>
      </c>
      <c r="T65" s="14">
        <f>IF(Operations!T63&gt;0,Operations!T64/Operations!T63,0)</f>
        <v/>
      </c>
      <c r="U65" s="14">
        <f>IF(Operations!U63&gt;0,Operations!U64/Operations!U63,0)</f>
        <v/>
      </c>
      <c r="V65" s="14">
        <f>IF(Operations!V63&gt;0,Operations!V64/Operations!V63,0)</f>
        <v/>
      </c>
      <c r="W65" s="14">
        <f>IF(Operations!W63&gt;0,Operations!W64/Operations!W63,0)</f>
        <v/>
      </c>
      <c r="X65" s="14">
        <f>IF(Operations!X63&gt;0,Operations!X64/Operations!X63,0)</f>
        <v/>
      </c>
      <c r="Y65" s="14">
        <f>IF(Operations!Y63&gt;0,Operations!Y64/Operations!Y63,0)</f>
        <v/>
      </c>
      <c r="Z65" s="14">
        <f>IF(Operations!Z63&gt;0,Operations!Z64/Operations!Z63,0)</f>
        <v/>
      </c>
      <c r="AA65" s="14">
        <f>IF(Operations!AA63&gt;0,Operations!AA64/Operations!AA63,0)</f>
        <v/>
      </c>
      <c r="AB65" s="14">
        <f>IF(Operations!AB63&gt;0,Operations!AB64/Operations!AB63,0)</f>
        <v/>
      </c>
      <c r="AC65" s="14">
        <f>IF(Operations!AC63&gt;0,Operations!AC64/Operations!AC63,0)</f>
        <v/>
      </c>
      <c r="AD65" s="14">
        <f>IF(Operations!AD63&gt;0,Operations!AD64/Operations!AD63,0)</f>
        <v/>
      </c>
      <c r="AE65" s="14">
        <f>IF(Operations!AE63&gt;0,Operations!AE64/Operations!AE63,0)</f>
        <v/>
      </c>
      <c r="AF65" s="14">
        <f>IF(Operations!AF63&gt;0,Operations!AF64/Operations!AF63,0)</f>
        <v/>
      </c>
      <c r="AG65" s="14">
        <f>IF(Operations!AG63&gt;0,Operations!AG64/Operations!AG63,0)</f>
        <v/>
      </c>
      <c r="AH65" s="14">
        <f>IF(Operations!AH63&gt;0,Operations!AH64/Operations!AH63,0)</f>
        <v/>
      </c>
      <c r="AI65" s="14">
        <f>IF(Operations!AI63&gt;0,Operations!AI64/Operations!AI63,0)</f>
        <v/>
      </c>
      <c r="AJ65" s="14">
        <f>IF(Operations!AJ63&gt;0,Operations!AJ64/Operations!AJ63,0)</f>
        <v/>
      </c>
      <c r="AK65" s="14">
        <f>IF(Operations!AK63&gt;0,Operations!AK64/Operations!AK63,0)</f>
        <v/>
      </c>
      <c r="AL65" s="14">
        <f>IF(Operations!AL63&gt;0,Operations!AL64/Operations!AL63,0)</f>
        <v/>
      </c>
      <c r="AM65" s="14">
        <f>IF(Operations!AM63&gt;0,Operations!AM64/Operations!AM63,0)</f>
        <v/>
      </c>
      <c r="AN65" s="14">
        <f>IF(Operations!AN63&gt;0,Operations!AN64/Operations!AN63,0)</f>
        <v/>
      </c>
      <c r="AO65" s="14">
        <f>IF(Operations!AO63&gt;0,Operations!AO64/Operations!AO63,0)</f>
        <v/>
      </c>
      <c r="AP65" s="14">
        <f>IF(Operations!AP63&gt;0,Operations!AP64/Operations!AP63,0)</f>
        <v/>
      </c>
      <c r="AQ65" s="14">
        <f>IF(Operations!AQ63&gt;0,Operations!AQ64/Operations!AQ63,0)</f>
        <v/>
      </c>
      <c r="AR65" s="14">
        <f>IF(Operations!AR63&gt;0,Operations!AR64/Operations!AR63,0)</f>
        <v/>
      </c>
      <c r="AS65" s="14">
        <f>IF(Operations!AS63&gt;0,Operations!AS64/Operations!AS63,0)</f>
        <v/>
      </c>
      <c r="AT65" s="14">
        <f>IF(Operations!AT63&gt;0,Operations!AT64/Operations!AT63,0)</f>
        <v/>
      </c>
      <c r="AU65" s="14">
        <f>IF(Operations!AU63&gt;0,Operations!AU64/Operations!AU63,0)</f>
        <v/>
      </c>
    </row>
    <row r="66">
      <c r="D66" t="inlineStr">
        <is>
          <t>R1 own hub ATC</t>
        </is>
      </c>
      <c r="E66" t="inlineStr">
        <is>
          <t>USD/MWh</t>
        </is>
      </c>
      <c r="J66" s="18">
        <f>Operations!J53</f>
        <v/>
      </c>
      <c r="K66" s="18">
        <f>Operations!K53</f>
        <v/>
      </c>
      <c r="L66" s="18">
        <f>Operations!L53</f>
        <v/>
      </c>
      <c r="M66" s="18">
        <f>Operations!M53</f>
        <v/>
      </c>
      <c r="N66" s="18">
        <f>Operations!N53</f>
        <v/>
      </c>
      <c r="O66" s="18">
        <f>Operations!O53</f>
        <v/>
      </c>
      <c r="P66" s="18">
        <f>Operations!P53</f>
        <v/>
      </c>
      <c r="Q66" s="18">
        <f>Operations!Q53</f>
        <v/>
      </c>
      <c r="R66" s="18">
        <f>Operations!R53</f>
        <v/>
      </c>
      <c r="S66" s="18">
        <f>Operations!S53</f>
        <v/>
      </c>
      <c r="T66" s="18">
        <f>Operations!T53</f>
        <v/>
      </c>
      <c r="U66" s="18">
        <f>Operations!U53</f>
        <v/>
      </c>
      <c r="V66" s="18">
        <f>Operations!V53</f>
        <v/>
      </c>
      <c r="W66" s="18">
        <f>Operations!W53</f>
        <v/>
      </c>
      <c r="X66" s="18">
        <f>Operations!X53</f>
        <v/>
      </c>
      <c r="Y66" s="18">
        <f>Operations!Y53</f>
        <v/>
      </c>
      <c r="Z66" s="18">
        <f>Operations!Z53</f>
        <v/>
      </c>
      <c r="AA66" s="18">
        <f>Operations!AA53</f>
        <v/>
      </c>
      <c r="AB66" s="18">
        <f>Operations!AB53</f>
        <v/>
      </c>
      <c r="AC66" s="18">
        <f>Operations!AC53</f>
        <v/>
      </c>
      <c r="AD66" s="18">
        <f>Operations!AD53</f>
        <v/>
      </c>
      <c r="AE66" s="18">
        <f>Operations!AE53</f>
        <v/>
      </c>
      <c r="AF66" s="18">
        <f>Operations!AF53</f>
        <v/>
      </c>
      <c r="AG66" s="18">
        <f>Operations!AG53</f>
        <v/>
      </c>
      <c r="AH66" s="18">
        <f>Operations!AH53</f>
        <v/>
      </c>
      <c r="AI66" s="18">
        <f>Operations!AI53</f>
        <v/>
      </c>
      <c r="AJ66" s="18">
        <f>Operations!AJ53</f>
        <v/>
      </c>
      <c r="AK66" s="18">
        <f>Operations!AK53</f>
        <v/>
      </c>
      <c r="AL66" s="18">
        <f>Operations!AL53</f>
        <v/>
      </c>
      <c r="AM66" s="18">
        <f>Operations!AM53</f>
        <v/>
      </c>
      <c r="AN66" s="18">
        <f>Operations!AN53</f>
        <v/>
      </c>
      <c r="AO66" s="18">
        <f>Operations!AO53</f>
        <v/>
      </c>
      <c r="AP66" s="18">
        <f>Operations!AP53</f>
        <v/>
      </c>
      <c r="AQ66" s="18">
        <f>Operations!AQ53</f>
        <v/>
      </c>
      <c r="AR66" s="18">
        <f>Operations!AR53</f>
        <v/>
      </c>
      <c r="AS66" s="18">
        <f>Operations!AS53</f>
        <v/>
      </c>
      <c r="AT66" s="18">
        <f>Operations!AT53</f>
        <v/>
      </c>
      <c r="AU66" s="18">
        <f>Operations!AU53</f>
        <v/>
      </c>
    </row>
    <row r="67">
      <c r="D67" t="inlineStr">
        <is>
          <t>R1 volume factor</t>
        </is>
      </c>
      <c r="E67" t="inlineStr">
        <is>
          <t>factor</t>
        </is>
      </c>
      <c r="J67" s="14">
        <f>CHOOSE(Operations!$F$47,1,Inputs!$F$95/100,Inputs!$F$96/100,Operations!$F$12/100)</f>
        <v/>
      </c>
      <c r="K67" s="14">
        <f>CHOOSE(Operations!$F$47,1,Inputs!$F$95/100,Inputs!$F$96/100,Operations!$F$12/100)</f>
        <v/>
      </c>
      <c r="L67" s="14">
        <f>CHOOSE(Operations!$F$47,1,Inputs!$F$95/100,Inputs!$F$96/100,Operations!$F$12/100)</f>
        <v/>
      </c>
      <c r="M67" s="14">
        <f>CHOOSE(Operations!$F$47,1,Inputs!$F$95/100,Inputs!$F$96/100,Operations!$F$12/100)</f>
        <v/>
      </c>
      <c r="N67" s="14">
        <f>CHOOSE(Operations!$F$47,1,Inputs!$F$95/100,Inputs!$F$96/100,Operations!$F$12/100)</f>
        <v/>
      </c>
      <c r="O67" s="14">
        <f>CHOOSE(Operations!$F$47,1,Inputs!$F$95/100,Inputs!$F$96/100,Operations!$F$12/100)</f>
        <v/>
      </c>
      <c r="P67" s="14">
        <f>CHOOSE(Operations!$F$47,1,Inputs!$F$95/100,Inputs!$F$96/100,Operations!$F$12/100)</f>
        <v/>
      </c>
      <c r="Q67" s="14">
        <f>CHOOSE(Operations!$F$47,1,Inputs!$F$95/100,Inputs!$F$96/100,Operations!$F$12/100)</f>
        <v/>
      </c>
      <c r="R67" s="14">
        <f>CHOOSE(Operations!$F$47,1,Inputs!$F$95/100,Inputs!$F$96/100,Operations!$F$12/100)</f>
        <v/>
      </c>
      <c r="S67" s="14">
        <f>CHOOSE(Operations!$F$47,1,Inputs!$F$95/100,Inputs!$F$96/100,Operations!$F$12/100)</f>
        <v/>
      </c>
      <c r="T67" s="14">
        <f>CHOOSE(Operations!$F$47,1,Inputs!$F$95/100,Inputs!$F$96/100,Operations!$F$12/100)</f>
        <v/>
      </c>
      <c r="U67" s="14">
        <f>CHOOSE(Operations!$F$47,1,Inputs!$F$95/100,Inputs!$F$96/100,Operations!$F$12/100)</f>
        <v/>
      </c>
      <c r="V67" s="14">
        <f>CHOOSE(Operations!$F$47,1,Inputs!$F$95/100,Inputs!$F$96/100,Operations!$F$12/100)</f>
        <v/>
      </c>
      <c r="W67" s="14">
        <f>CHOOSE(Operations!$F$47,1,Inputs!$F$95/100,Inputs!$F$96/100,Operations!$F$12/100)</f>
        <v/>
      </c>
      <c r="X67" s="14">
        <f>CHOOSE(Operations!$F$47,1,Inputs!$F$95/100,Inputs!$F$96/100,Operations!$F$12/100)</f>
        <v/>
      </c>
      <c r="Y67" s="14">
        <f>CHOOSE(Operations!$F$47,1,Inputs!$F$95/100,Inputs!$F$96/100,Operations!$F$12/100)</f>
        <v/>
      </c>
      <c r="Z67" s="14">
        <f>CHOOSE(Operations!$F$47,1,Inputs!$F$95/100,Inputs!$F$96/100,Operations!$F$12/100)</f>
        <v/>
      </c>
      <c r="AA67" s="14">
        <f>CHOOSE(Operations!$F$47,1,Inputs!$F$95/100,Inputs!$F$96/100,Operations!$F$12/100)</f>
        <v/>
      </c>
      <c r="AB67" s="14">
        <f>CHOOSE(Operations!$F$47,1,Inputs!$F$95/100,Inputs!$F$96/100,Operations!$F$12/100)</f>
        <v/>
      </c>
      <c r="AC67" s="14">
        <f>CHOOSE(Operations!$F$47,1,Inputs!$F$95/100,Inputs!$F$96/100,Operations!$F$12/100)</f>
        <v/>
      </c>
      <c r="AD67" s="14">
        <f>CHOOSE(Operations!$F$47,1,Inputs!$F$95/100,Inputs!$F$96/100,Operations!$F$12/100)</f>
        <v/>
      </c>
      <c r="AE67" s="14">
        <f>CHOOSE(Operations!$F$47,1,Inputs!$F$95/100,Inputs!$F$96/100,Operations!$F$12/100)</f>
        <v/>
      </c>
      <c r="AF67" s="14">
        <f>CHOOSE(Operations!$F$47,1,Inputs!$F$95/100,Inputs!$F$96/100,Operations!$F$12/100)</f>
        <v/>
      </c>
      <c r="AG67" s="14">
        <f>CHOOSE(Operations!$F$47,1,Inputs!$F$95/100,Inputs!$F$96/100,Operations!$F$12/100)</f>
        <v/>
      </c>
      <c r="AH67" s="14">
        <f>CHOOSE(Operations!$F$47,1,Inputs!$F$95/100,Inputs!$F$96/100,Operations!$F$12/100)</f>
        <v/>
      </c>
      <c r="AI67" s="14">
        <f>CHOOSE(Operations!$F$47,1,Inputs!$F$95/100,Inputs!$F$96/100,Operations!$F$12/100)</f>
        <v/>
      </c>
      <c r="AJ67" s="14">
        <f>CHOOSE(Operations!$F$47,1,Inputs!$F$95/100,Inputs!$F$96/100,Operations!$F$12/100)</f>
        <v/>
      </c>
      <c r="AK67" s="14">
        <f>CHOOSE(Operations!$F$47,1,Inputs!$F$95/100,Inputs!$F$96/100,Operations!$F$12/100)</f>
        <v/>
      </c>
      <c r="AL67" s="14">
        <f>CHOOSE(Operations!$F$47,1,Inputs!$F$95/100,Inputs!$F$96/100,Operations!$F$12/100)</f>
        <v/>
      </c>
      <c r="AM67" s="14">
        <f>CHOOSE(Operations!$F$47,1,Inputs!$F$95/100,Inputs!$F$96/100,Operations!$F$12/100)</f>
        <v/>
      </c>
      <c r="AN67" s="14">
        <f>CHOOSE(Operations!$F$47,1,Inputs!$F$95/100,Inputs!$F$96/100,Operations!$F$12/100)</f>
        <v/>
      </c>
      <c r="AO67" s="14">
        <f>CHOOSE(Operations!$F$47,1,Inputs!$F$95/100,Inputs!$F$96/100,Operations!$F$12/100)</f>
        <v/>
      </c>
      <c r="AP67" s="14">
        <f>CHOOSE(Operations!$F$47,1,Inputs!$F$95/100,Inputs!$F$96/100,Operations!$F$12/100)</f>
        <v/>
      </c>
      <c r="AQ67" s="14">
        <f>CHOOSE(Operations!$F$47,1,Inputs!$F$95/100,Inputs!$F$96/100,Operations!$F$12/100)</f>
        <v/>
      </c>
      <c r="AR67" s="14">
        <f>CHOOSE(Operations!$F$47,1,Inputs!$F$95/100,Inputs!$F$96/100,Operations!$F$12/100)</f>
        <v/>
      </c>
      <c r="AS67" s="14">
        <f>CHOOSE(Operations!$F$47,1,Inputs!$F$95/100,Inputs!$F$96/100,Operations!$F$12/100)</f>
        <v/>
      </c>
      <c r="AT67" s="14">
        <f>CHOOSE(Operations!$F$47,1,Inputs!$F$95/100,Inputs!$F$96/100,Operations!$F$12/100)</f>
        <v/>
      </c>
      <c r="AU67" s="14">
        <f>CHOOSE(Operations!$F$47,1,Inputs!$F$95/100,Inputs!$F$96/100,Operations!$F$12/100)</f>
        <v/>
      </c>
    </row>
    <row r="68">
      <c r="D68" t="inlineStr">
        <is>
          <t>R1 degradation factor</t>
        </is>
      </c>
      <c r="E68" t="inlineStr">
        <is>
          <t>factor</t>
        </is>
      </c>
      <c r="J68" s="14">
        <f>(1-Inputs!$F$97/100)^MAX(0,Time!J$4-Inputs!$F$98)</f>
        <v/>
      </c>
      <c r="K68" s="14">
        <f>(1-Inputs!$F$97/100)^MAX(0,Time!K$4-Inputs!$F$98)</f>
        <v/>
      </c>
      <c r="L68" s="14">
        <f>(1-Inputs!$F$97/100)^MAX(0,Time!L$4-Inputs!$F$98)</f>
        <v/>
      </c>
      <c r="M68" s="14">
        <f>(1-Inputs!$F$97/100)^MAX(0,Time!M$4-Inputs!$F$98)</f>
        <v/>
      </c>
      <c r="N68" s="14">
        <f>(1-Inputs!$F$97/100)^MAX(0,Time!N$4-Inputs!$F$98)</f>
        <v/>
      </c>
      <c r="O68" s="14">
        <f>(1-Inputs!$F$97/100)^MAX(0,Time!O$4-Inputs!$F$98)</f>
        <v/>
      </c>
      <c r="P68" s="14">
        <f>(1-Inputs!$F$97/100)^MAX(0,Time!P$4-Inputs!$F$98)</f>
        <v/>
      </c>
      <c r="Q68" s="14">
        <f>(1-Inputs!$F$97/100)^MAX(0,Time!Q$4-Inputs!$F$98)</f>
        <v/>
      </c>
      <c r="R68" s="14">
        <f>(1-Inputs!$F$97/100)^MAX(0,Time!R$4-Inputs!$F$98)</f>
        <v/>
      </c>
      <c r="S68" s="14">
        <f>(1-Inputs!$F$97/100)^MAX(0,Time!S$4-Inputs!$F$98)</f>
        <v/>
      </c>
      <c r="T68" s="14">
        <f>(1-Inputs!$F$97/100)^MAX(0,Time!T$4-Inputs!$F$98)</f>
        <v/>
      </c>
      <c r="U68" s="14">
        <f>(1-Inputs!$F$97/100)^MAX(0,Time!U$4-Inputs!$F$98)</f>
        <v/>
      </c>
      <c r="V68" s="14">
        <f>(1-Inputs!$F$97/100)^MAX(0,Time!V$4-Inputs!$F$98)</f>
        <v/>
      </c>
      <c r="W68" s="14">
        <f>(1-Inputs!$F$97/100)^MAX(0,Time!W$4-Inputs!$F$98)</f>
        <v/>
      </c>
      <c r="X68" s="14">
        <f>(1-Inputs!$F$97/100)^MAX(0,Time!X$4-Inputs!$F$98)</f>
        <v/>
      </c>
      <c r="Y68" s="14">
        <f>(1-Inputs!$F$97/100)^MAX(0,Time!Y$4-Inputs!$F$98)</f>
        <v/>
      </c>
      <c r="Z68" s="14">
        <f>(1-Inputs!$F$97/100)^MAX(0,Time!Z$4-Inputs!$F$98)</f>
        <v/>
      </c>
      <c r="AA68" s="14">
        <f>(1-Inputs!$F$97/100)^MAX(0,Time!AA$4-Inputs!$F$98)</f>
        <v/>
      </c>
      <c r="AB68" s="14">
        <f>(1-Inputs!$F$97/100)^MAX(0,Time!AB$4-Inputs!$F$98)</f>
        <v/>
      </c>
      <c r="AC68" s="14">
        <f>(1-Inputs!$F$97/100)^MAX(0,Time!AC$4-Inputs!$F$98)</f>
        <v/>
      </c>
      <c r="AD68" s="14">
        <f>(1-Inputs!$F$97/100)^MAX(0,Time!AD$4-Inputs!$F$98)</f>
        <v/>
      </c>
      <c r="AE68" s="14">
        <f>(1-Inputs!$F$97/100)^MAX(0,Time!AE$4-Inputs!$F$98)</f>
        <v/>
      </c>
      <c r="AF68" s="14">
        <f>(1-Inputs!$F$97/100)^MAX(0,Time!AF$4-Inputs!$F$98)</f>
        <v/>
      </c>
      <c r="AG68" s="14">
        <f>(1-Inputs!$F$97/100)^MAX(0,Time!AG$4-Inputs!$F$98)</f>
        <v/>
      </c>
      <c r="AH68" s="14">
        <f>(1-Inputs!$F$97/100)^MAX(0,Time!AH$4-Inputs!$F$98)</f>
        <v/>
      </c>
      <c r="AI68" s="14">
        <f>(1-Inputs!$F$97/100)^MAX(0,Time!AI$4-Inputs!$F$98)</f>
        <v/>
      </c>
      <c r="AJ68" s="14">
        <f>(1-Inputs!$F$97/100)^MAX(0,Time!AJ$4-Inputs!$F$98)</f>
        <v/>
      </c>
      <c r="AK68" s="14">
        <f>(1-Inputs!$F$97/100)^MAX(0,Time!AK$4-Inputs!$F$98)</f>
        <v/>
      </c>
      <c r="AL68" s="14">
        <f>(1-Inputs!$F$97/100)^MAX(0,Time!AL$4-Inputs!$F$98)</f>
        <v/>
      </c>
      <c r="AM68" s="14">
        <f>(1-Inputs!$F$97/100)^MAX(0,Time!AM$4-Inputs!$F$98)</f>
        <v/>
      </c>
      <c r="AN68" s="14">
        <f>(1-Inputs!$F$97/100)^MAX(0,Time!AN$4-Inputs!$F$98)</f>
        <v/>
      </c>
      <c r="AO68" s="14">
        <f>(1-Inputs!$F$97/100)^MAX(0,Time!AO$4-Inputs!$F$98)</f>
        <v/>
      </c>
      <c r="AP68" s="14">
        <f>(1-Inputs!$F$97/100)^MAX(0,Time!AP$4-Inputs!$F$98)</f>
        <v/>
      </c>
      <c r="AQ68" s="14">
        <f>(1-Inputs!$F$97/100)^MAX(0,Time!AQ$4-Inputs!$F$98)</f>
        <v/>
      </c>
      <c r="AR68" s="14">
        <f>(1-Inputs!$F$97/100)^MAX(0,Time!AR$4-Inputs!$F$98)</f>
        <v/>
      </c>
      <c r="AS68" s="14">
        <f>(1-Inputs!$F$97/100)^MAX(0,Time!AS$4-Inputs!$F$98)</f>
        <v/>
      </c>
      <c r="AT68" s="14">
        <f>(1-Inputs!$F$97/100)^MAX(0,Time!AT$4-Inputs!$F$98)</f>
        <v/>
      </c>
      <c r="AU68" s="14">
        <f>(1-Inputs!$F$97/100)^MAX(0,Time!AU$4-Inputs!$F$98)</f>
        <v/>
      </c>
    </row>
    <row r="69">
      <c r="D69" t="inlineStr">
        <is>
          <t>R1 curtailment</t>
        </is>
      </c>
      <c r="E69" t="inlineStr">
        <is>
          <t>fraction</t>
        </is>
      </c>
      <c r="J69" s="14">
        <f>(IF(Time!J$4&gt;=Inputs!$F$61,Inputs!$F$63,Inputs!$F$62+(Inputs!$F$63-Inputs!$F$62)*(Time!J$4-Inputs!$F$23)/(Inputs!$F$61-Inputs!$F$23))+Operations!$F$49)/100</f>
        <v/>
      </c>
      <c r="K69" s="14">
        <f>(IF(Time!K$4&gt;=Inputs!$F$61,Inputs!$F$63,Inputs!$F$62+(Inputs!$F$63-Inputs!$F$62)*(Time!K$4-Inputs!$F$23)/(Inputs!$F$61-Inputs!$F$23))+Operations!$F$49)/100</f>
        <v/>
      </c>
      <c r="L69" s="14">
        <f>(IF(Time!L$4&gt;=Inputs!$F$61,Inputs!$F$63,Inputs!$F$62+(Inputs!$F$63-Inputs!$F$62)*(Time!L$4-Inputs!$F$23)/(Inputs!$F$61-Inputs!$F$23))+Operations!$F$49)/100</f>
        <v/>
      </c>
      <c r="M69" s="14">
        <f>(IF(Time!M$4&gt;=Inputs!$F$61,Inputs!$F$63,Inputs!$F$62+(Inputs!$F$63-Inputs!$F$62)*(Time!M$4-Inputs!$F$23)/(Inputs!$F$61-Inputs!$F$23))+Operations!$F$49)/100</f>
        <v/>
      </c>
      <c r="N69" s="14">
        <f>(IF(Time!N$4&gt;=Inputs!$F$61,Inputs!$F$63,Inputs!$F$62+(Inputs!$F$63-Inputs!$F$62)*(Time!N$4-Inputs!$F$23)/(Inputs!$F$61-Inputs!$F$23))+Operations!$F$49)/100</f>
        <v/>
      </c>
      <c r="O69" s="14">
        <f>(IF(Time!O$4&gt;=Inputs!$F$61,Inputs!$F$63,Inputs!$F$62+(Inputs!$F$63-Inputs!$F$62)*(Time!O$4-Inputs!$F$23)/(Inputs!$F$61-Inputs!$F$23))+Operations!$F$49)/100</f>
        <v/>
      </c>
      <c r="P69" s="14">
        <f>(IF(Time!P$4&gt;=Inputs!$F$61,Inputs!$F$63,Inputs!$F$62+(Inputs!$F$63-Inputs!$F$62)*(Time!P$4-Inputs!$F$23)/(Inputs!$F$61-Inputs!$F$23))+Operations!$F$49)/100</f>
        <v/>
      </c>
      <c r="Q69" s="14">
        <f>(IF(Time!Q$4&gt;=Inputs!$F$61,Inputs!$F$63,Inputs!$F$62+(Inputs!$F$63-Inputs!$F$62)*(Time!Q$4-Inputs!$F$23)/(Inputs!$F$61-Inputs!$F$23))+Operations!$F$49)/100</f>
        <v/>
      </c>
      <c r="R69" s="14">
        <f>(IF(Time!R$4&gt;=Inputs!$F$61,Inputs!$F$63,Inputs!$F$62+(Inputs!$F$63-Inputs!$F$62)*(Time!R$4-Inputs!$F$23)/(Inputs!$F$61-Inputs!$F$23))+Operations!$F$49)/100</f>
        <v/>
      </c>
      <c r="S69" s="14">
        <f>(IF(Time!S$4&gt;=Inputs!$F$61,Inputs!$F$63,Inputs!$F$62+(Inputs!$F$63-Inputs!$F$62)*(Time!S$4-Inputs!$F$23)/(Inputs!$F$61-Inputs!$F$23))+Operations!$F$49)/100</f>
        <v/>
      </c>
      <c r="T69" s="14">
        <f>(IF(Time!T$4&gt;=Inputs!$F$61,Inputs!$F$63,Inputs!$F$62+(Inputs!$F$63-Inputs!$F$62)*(Time!T$4-Inputs!$F$23)/(Inputs!$F$61-Inputs!$F$23))+Operations!$F$49)/100</f>
        <v/>
      </c>
      <c r="U69" s="14">
        <f>(IF(Time!U$4&gt;=Inputs!$F$61,Inputs!$F$63,Inputs!$F$62+(Inputs!$F$63-Inputs!$F$62)*(Time!U$4-Inputs!$F$23)/(Inputs!$F$61-Inputs!$F$23))+Operations!$F$49)/100</f>
        <v/>
      </c>
      <c r="V69" s="14">
        <f>(IF(Time!V$4&gt;=Inputs!$F$61,Inputs!$F$63,Inputs!$F$62+(Inputs!$F$63-Inputs!$F$62)*(Time!V$4-Inputs!$F$23)/(Inputs!$F$61-Inputs!$F$23))+Operations!$F$49)/100</f>
        <v/>
      </c>
      <c r="W69" s="14">
        <f>(IF(Time!W$4&gt;=Inputs!$F$61,Inputs!$F$63,Inputs!$F$62+(Inputs!$F$63-Inputs!$F$62)*(Time!W$4-Inputs!$F$23)/(Inputs!$F$61-Inputs!$F$23))+Operations!$F$49)/100</f>
        <v/>
      </c>
      <c r="X69" s="14">
        <f>(IF(Time!X$4&gt;=Inputs!$F$61,Inputs!$F$63,Inputs!$F$62+(Inputs!$F$63-Inputs!$F$62)*(Time!X$4-Inputs!$F$23)/(Inputs!$F$61-Inputs!$F$23))+Operations!$F$49)/100</f>
        <v/>
      </c>
      <c r="Y69" s="14">
        <f>(IF(Time!Y$4&gt;=Inputs!$F$61,Inputs!$F$63,Inputs!$F$62+(Inputs!$F$63-Inputs!$F$62)*(Time!Y$4-Inputs!$F$23)/(Inputs!$F$61-Inputs!$F$23))+Operations!$F$49)/100</f>
        <v/>
      </c>
      <c r="Z69" s="14">
        <f>(IF(Time!Z$4&gt;=Inputs!$F$61,Inputs!$F$63,Inputs!$F$62+(Inputs!$F$63-Inputs!$F$62)*(Time!Z$4-Inputs!$F$23)/(Inputs!$F$61-Inputs!$F$23))+Operations!$F$49)/100</f>
        <v/>
      </c>
      <c r="AA69" s="14">
        <f>(IF(Time!AA$4&gt;=Inputs!$F$61,Inputs!$F$63,Inputs!$F$62+(Inputs!$F$63-Inputs!$F$62)*(Time!AA$4-Inputs!$F$23)/(Inputs!$F$61-Inputs!$F$23))+Operations!$F$49)/100</f>
        <v/>
      </c>
      <c r="AB69" s="14">
        <f>(IF(Time!AB$4&gt;=Inputs!$F$61,Inputs!$F$63,Inputs!$F$62+(Inputs!$F$63-Inputs!$F$62)*(Time!AB$4-Inputs!$F$23)/(Inputs!$F$61-Inputs!$F$23))+Operations!$F$49)/100</f>
        <v/>
      </c>
      <c r="AC69" s="14">
        <f>(IF(Time!AC$4&gt;=Inputs!$F$61,Inputs!$F$63,Inputs!$F$62+(Inputs!$F$63-Inputs!$F$62)*(Time!AC$4-Inputs!$F$23)/(Inputs!$F$61-Inputs!$F$23))+Operations!$F$49)/100</f>
        <v/>
      </c>
      <c r="AD69" s="14">
        <f>(IF(Time!AD$4&gt;=Inputs!$F$61,Inputs!$F$63,Inputs!$F$62+(Inputs!$F$63-Inputs!$F$62)*(Time!AD$4-Inputs!$F$23)/(Inputs!$F$61-Inputs!$F$23))+Operations!$F$49)/100</f>
        <v/>
      </c>
      <c r="AE69" s="14">
        <f>(IF(Time!AE$4&gt;=Inputs!$F$61,Inputs!$F$63,Inputs!$F$62+(Inputs!$F$63-Inputs!$F$62)*(Time!AE$4-Inputs!$F$23)/(Inputs!$F$61-Inputs!$F$23))+Operations!$F$49)/100</f>
        <v/>
      </c>
      <c r="AF69" s="14">
        <f>(IF(Time!AF$4&gt;=Inputs!$F$61,Inputs!$F$63,Inputs!$F$62+(Inputs!$F$63-Inputs!$F$62)*(Time!AF$4-Inputs!$F$23)/(Inputs!$F$61-Inputs!$F$23))+Operations!$F$49)/100</f>
        <v/>
      </c>
      <c r="AG69" s="14">
        <f>(IF(Time!AG$4&gt;=Inputs!$F$61,Inputs!$F$63,Inputs!$F$62+(Inputs!$F$63-Inputs!$F$62)*(Time!AG$4-Inputs!$F$23)/(Inputs!$F$61-Inputs!$F$23))+Operations!$F$49)/100</f>
        <v/>
      </c>
      <c r="AH69" s="14">
        <f>(IF(Time!AH$4&gt;=Inputs!$F$61,Inputs!$F$63,Inputs!$F$62+(Inputs!$F$63-Inputs!$F$62)*(Time!AH$4-Inputs!$F$23)/(Inputs!$F$61-Inputs!$F$23))+Operations!$F$49)/100</f>
        <v/>
      </c>
      <c r="AI69" s="14">
        <f>(IF(Time!AI$4&gt;=Inputs!$F$61,Inputs!$F$63,Inputs!$F$62+(Inputs!$F$63-Inputs!$F$62)*(Time!AI$4-Inputs!$F$23)/(Inputs!$F$61-Inputs!$F$23))+Operations!$F$49)/100</f>
        <v/>
      </c>
      <c r="AJ69" s="14">
        <f>(IF(Time!AJ$4&gt;=Inputs!$F$61,Inputs!$F$63,Inputs!$F$62+(Inputs!$F$63-Inputs!$F$62)*(Time!AJ$4-Inputs!$F$23)/(Inputs!$F$61-Inputs!$F$23))+Operations!$F$49)/100</f>
        <v/>
      </c>
      <c r="AK69" s="14">
        <f>(IF(Time!AK$4&gt;=Inputs!$F$61,Inputs!$F$63,Inputs!$F$62+(Inputs!$F$63-Inputs!$F$62)*(Time!AK$4-Inputs!$F$23)/(Inputs!$F$61-Inputs!$F$23))+Operations!$F$49)/100</f>
        <v/>
      </c>
      <c r="AL69" s="14">
        <f>(IF(Time!AL$4&gt;=Inputs!$F$61,Inputs!$F$63,Inputs!$F$62+(Inputs!$F$63-Inputs!$F$62)*(Time!AL$4-Inputs!$F$23)/(Inputs!$F$61-Inputs!$F$23))+Operations!$F$49)/100</f>
        <v/>
      </c>
      <c r="AM69" s="14">
        <f>(IF(Time!AM$4&gt;=Inputs!$F$61,Inputs!$F$63,Inputs!$F$62+(Inputs!$F$63-Inputs!$F$62)*(Time!AM$4-Inputs!$F$23)/(Inputs!$F$61-Inputs!$F$23))+Operations!$F$49)/100</f>
        <v/>
      </c>
      <c r="AN69" s="14">
        <f>(IF(Time!AN$4&gt;=Inputs!$F$61,Inputs!$F$63,Inputs!$F$62+(Inputs!$F$63-Inputs!$F$62)*(Time!AN$4-Inputs!$F$23)/(Inputs!$F$61-Inputs!$F$23))+Operations!$F$49)/100</f>
        <v/>
      </c>
      <c r="AO69" s="14">
        <f>(IF(Time!AO$4&gt;=Inputs!$F$61,Inputs!$F$63,Inputs!$F$62+(Inputs!$F$63-Inputs!$F$62)*(Time!AO$4-Inputs!$F$23)/(Inputs!$F$61-Inputs!$F$23))+Operations!$F$49)/100</f>
        <v/>
      </c>
      <c r="AP69" s="14">
        <f>(IF(Time!AP$4&gt;=Inputs!$F$61,Inputs!$F$63,Inputs!$F$62+(Inputs!$F$63-Inputs!$F$62)*(Time!AP$4-Inputs!$F$23)/(Inputs!$F$61-Inputs!$F$23))+Operations!$F$49)/100</f>
        <v/>
      </c>
      <c r="AQ69" s="14">
        <f>(IF(Time!AQ$4&gt;=Inputs!$F$61,Inputs!$F$63,Inputs!$F$62+(Inputs!$F$63-Inputs!$F$62)*(Time!AQ$4-Inputs!$F$23)/(Inputs!$F$61-Inputs!$F$23))+Operations!$F$49)/100</f>
        <v/>
      </c>
      <c r="AR69" s="14">
        <f>(IF(Time!AR$4&gt;=Inputs!$F$61,Inputs!$F$63,Inputs!$F$62+(Inputs!$F$63-Inputs!$F$62)*(Time!AR$4-Inputs!$F$23)/(Inputs!$F$61-Inputs!$F$23))+Operations!$F$49)/100</f>
        <v/>
      </c>
      <c r="AS69" s="14">
        <f>(IF(Time!AS$4&gt;=Inputs!$F$61,Inputs!$F$63,Inputs!$F$62+(Inputs!$F$63-Inputs!$F$62)*(Time!AS$4-Inputs!$F$23)/(Inputs!$F$61-Inputs!$F$23))+Operations!$F$49)/100</f>
        <v/>
      </c>
      <c r="AT69" s="14">
        <f>(IF(Time!AT$4&gt;=Inputs!$F$61,Inputs!$F$63,Inputs!$F$62+(Inputs!$F$63-Inputs!$F$62)*(Time!AT$4-Inputs!$F$23)/(Inputs!$F$61-Inputs!$F$23))+Operations!$F$49)/100</f>
        <v/>
      </c>
      <c r="AU69" s="14">
        <f>(IF(Time!AU$4&gt;=Inputs!$F$61,Inputs!$F$63,Inputs!$F$62+(Inputs!$F$63-Inputs!$F$62)*(Time!AU$4-Inputs!$F$23)/(Inputs!$F$61-Inputs!$F$23))+Operations!$F$49)/100</f>
        <v/>
      </c>
    </row>
    <row r="70">
      <c r="D70" t="inlineStr">
        <is>
          <t>R1 net generation, full year</t>
        </is>
      </c>
      <c r="E70" t="inlineStr">
        <is>
          <t>GWh</t>
        </is>
      </c>
      <c r="J70" s="20">
        <f>Inputs!$F$94*Operations!J67*Inputs!$F$185/100*Operations!J68*(1-Operations!J69)</f>
        <v/>
      </c>
      <c r="K70" s="20">
        <f>Inputs!$F$94*Operations!K67*Inputs!$F$185/100*Operations!K68*(1-Operations!K69)</f>
        <v/>
      </c>
      <c r="L70" s="20">
        <f>Inputs!$F$94*Operations!L67*Inputs!$F$185/100*Operations!L68*(1-Operations!L69)</f>
        <v/>
      </c>
      <c r="M70" s="20">
        <f>Inputs!$F$94*Operations!M67*Inputs!$F$185/100*Operations!M68*(1-Operations!M69)</f>
        <v/>
      </c>
      <c r="N70" s="20">
        <f>Inputs!$F$94*Operations!N67*Inputs!$F$185/100*Operations!N68*(1-Operations!N69)</f>
        <v/>
      </c>
      <c r="O70" s="20">
        <f>Inputs!$F$94*Operations!O67*Inputs!$F$185/100*Operations!O68*(1-Operations!O69)</f>
        <v/>
      </c>
      <c r="P70" s="20">
        <f>Inputs!$F$94*Operations!P67*Inputs!$F$185/100*Operations!P68*(1-Operations!P69)</f>
        <v/>
      </c>
      <c r="Q70" s="20">
        <f>Inputs!$F$94*Operations!Q67*Inputs!$F$185/100*Operations!Q68*(1-Operations!Q69)</f>
        <v/>
      </c>
      <c r="R70" s="20">
        <f>Inputs!$F$94*Operations!R67*Inputs!$F$185/100*Operations!R68*(1-Operations!R69)</f>
        <v/>
      </c>
      <c r="S70" s="20">
        <f>Inputs!$F$94*Operations!S67*Inputs!$F$185/100*Operations!S68*(1-Operations!S69)</f>
        <v/>
      </c>
      <c r="T70" s="20">
        <f>Inputs!$F$94*Operations!T67*Inputs!$F$185/100*Operations!T68*(1-Operations!T69)</f>
        <v/>
      </c>
      <c r="U70" s="20">
        <f>Inputs!$F$94*Operations!U67*Inputs!$F$185/100*Operations!U68*(1-Operations!U69)</f>
        <v/>
      </c>
      <c r="V70" s="20">
        <f>Inputs!$F$94*Operations!V67*Inputs!$F$185/100*Operations!V68*(1-Operations!V69)</f>
        <v/>
      </c>
      <c r="W70" s="20">
        <f>Inputs!$F$94*Operations!W67*Inputs!$F$185/100*Operations!W68*(1-Operations!W69)</f>
        <v/>
      </c>
      <c r="X70" s="20">
        <f>Inputs!$F$94*Operations!X67*Inputs!$F$185/100*Operations!X68*(1-Operations!X69)</f>
        <v/>
      </c>
      <c r="Y70" s="20">
        <f>Inputs!$F$94*Operations!Y67*Inputs!$F$185/100*Operations!Y68*(1-Operations!Y69)</f>
        <v/>
      </c>
      <c r="Z70" s="20">
        <f>Inputs!$F$94*Operations!Z67*Inputs!$F$185/100*Operations!Z68*(1-Operations!Z69)</f>
        <v/>
      </c>
      <c r="AA70" s="20">
        <f>Inputs!$F$94*Operations!AA67*Inputs!$F$185/100*Operations!AA68*(1-Operations!AA69)</f>
        <v/>
      </c>
      <c r="AB70" s="20">
        <f>Inputs!$F$94*Operations!AB67*Inputs!$F$185/100*Operations!AB68*(1-Operations!AB69)</f>
        <v/>
      </c>
      <c r="AC70" s="20">
        <f>Inputs!$F$94*Operations!AC67*Inputs!$F$185/100*Operations!AC68*(1-Operations!AC69)</f>
        <v/>
      </c>
      <c r="AD70" s="20">
        <f>Inputs!$F$94*Operations!AD67*Inputs!$F$185/100*Operations!AD68*(1-Operations!AD69)</f>
        <v/>
      </c>
      <c r="AE70" s="20">
        <f>Inputs!$F$94*Operations!AE67*Inputs!$F$185/100*Operations!AE68*(1-Operations!AE69)</f>
        <v/>
      </c>
      <c r="AF70" s="20">
        <f>Inputs!$F$94*Operations!AF67*Inputs!$F$185/100*Operations!AF68*(1-Operations!AF69)</f>
        <v/>
      </c>
      <c r="AG70" s="20">
        <f>Inputs!$F$94*Operations!AG67*Inputs!$F$185/100*Operations!AG68*(1-Operations!AG69)</f>
        <v/>
      </c>
      <c r="AH70" s="20">
        <f>Inputs!$F$94*Operations!AH67*Inputs!$F$185/100*Operations!AH68*(1-Operations!AH69)</f>
        <v/>
      </c>
      <c r="AI70" s="20">
        <f>Inputs!$F$94*Operations!AI67*Inputs!$F$185/100*Operations!AI68*(1-Operations!AI69)</f>
        <v/>
      </c>
      <c r="AJ70" s="20">
        <f>Inputs!$F$94*Operations!AJ67*Inputs!$F$185/100*Operations!AJ68*(1-Operations!AJ69)</f>
        <v/>
      </c>
      <c r="AK70" s="20">
        <f>Inputs!$F$94*Operations!AK67*Inputs!$F$185/100*Operations!AK68*(1-Operations!AK69)</f>
        <v/>
      </c>
      <c r="AL70" s="20">
        <f>Inputs!$F$94*Operations!AL67*Inputs!$F$185/100*Operations!AL68*(1-Operations!AL69)</f>
        <v/>
      </c>
      <c r="AM70" s="20">
        <f>Inputs!$F$94*Operations!AM67*Inputs!$F$185/100*Operations!AM68*(1-Operations!AM69)</f>
        <v/>
      </c>
      <c r="AN70" s="20">
        <f>Inputs!$F$94*Operations!AN67*Inputs!$F$185/100*Operations!AN68*(1-Operations!AN69)</f>
        <v/>
      </c>
      <c r="AO70" s="20">
        <f>Inputs!$F$94*Operations!AO67*Inputs!$F$185/100*Operations!AO68*(1-Operations!AO69)</f>
        <v/>
      </c>
      <c r="AP70" s="20">
        <f>Inputs!$F$94*Operations!AP67*Inputs!$F$185/100*Operations!AP68*(1-Operations!AP69)</f>
        <v/>
      </c>
      <c r="AQ70" s="20">
        <f>Inputs!$F$94*Operations!AQ67*Inputs!$F$185/100*Operations!AQ68*(1-Operations!AQ69)</f>
        <v/>
      </c>
      <c r="AR70" s="20">
        <f>Inputs!$F$94*Operations!AR67*Inputs!$F$185/100*Operations!AR68*(1-Operations!AR69)</f>
        <v/>
      </c>
      <c r="AS70" s="20">
        <f>Inputs!$F$94*Operations!AS67*Inputs!$F$185/100*Operations!AS68*(1-Operations!AS69)</f>
        <v/>
      </c>
      <c r="AT70" s="20">
        <f>Inputs!$F$94*Operations!AT67*Inputs!$F$185/100*Operations!AT68*(1-Operations!AT69)</f>
        <v/>
      </c>
      <c r="AU70" s="20">
        <f>Inputs!$F$94*Operations!AU67*Inputs!$F$185/100*Operations!AU68*(1-Operations!AU69)</f>
        <v/>
      </c>
    </row>
    <row r="71">
      <c r="D71" t="inlineStr">
        <is>
          <t>R1 net generation</t>
        </is>
      </c>
      <c r="E71" t="inlineStr">
        <is>
          <t>GWh</t>
        </is>
      </c>
      <c r="G71" s="20">
        <f>SUM(J71:AU71)</f>
        <v/>
      </c>
      <c r="J71" s="20">
        <f>Operations!J70*Operations!J63</f>
        <v/>
      </c>
      <c r="K71" s="20">
        <f>Operations!K70*Operations!K63</f>
        <v/>
      </c>
      <c r="L71" s="20">
        <f>Operations!L70*Operations!L63</f>
        <v/>
      </c>
      <c r="M71" s="20">
        <f>Operations!M70*Operations!M63</f>
        <v/>
      </c>
      <c r="N71" s="20">
        <f>Operations!N70*Operations!N63</f>
        <v/>
      </c>
      <c r="O71" s="20">
        <f>Operations!O70*Operations!O63</f>
        <v/>
      </c>
      <c r="P71" s="20">
        <f>Operations!P70*Operations!P63</f>
        <v/>
      </c>
      <c r="Q71" s="20">
        <f>Operations!Q70*Operations!Q63</f>
        <v/>
      </c>
      <c r="R71" s="20">
        <f>Operations!R70*Operations!R63</f>
        <v/>
      </c>
      <c r="S71" s="20">
        <f>Operations!S70*Operations!S63</f>
        <v/>
      </c>
      <c r="T71" s="20">
        <f>Operations!T70*Operations!T63</f>
        <v/>
      </c>
      <c r="U71" s="20">
        <f>Operations!U70*Operations!U63</f>
        <v/>
      </c>
      <c r="V71" s="20">
        <f>Operations!V70*Operations!V63</f>
        <v/>
      </c>
      <c r="W71" s="20">
        <f>Operations!W70*Operations!W63</f>
        <v/>
      </c>
      <c r="X71" s="20">
        <f>Operations!X70*Operations!X63</f>
        <v/>
      </c>
      <c r="Y71" s="20">
        <f>Operations!Y70*Operations!Y63</f>
        <v/>
      </c>
      <c r="Z71" s="20">
        <f>Operations!Z70*Operations!Z63</f>
        <v/>
      </c>
      <c r="AA71" s="20">
        <f>Operations!AA70*Operations!AA63</f>
        <v/>
      </c>
      <c r="AB71" s="20">
        <f>Operations!AB70*Operations!AB63</f>
        <v/>
      </c>
      <c r="AC71" s="20">
        <f>Operations!AC70*Operations!AC63</f>
        <v/>
      </c>
      <c r="AD71" s="20">
        <f>Operations!AD70*Operations!AD63</f>
        <v/>
      </c>
      <c r="AE71" s="20">
        <f>Operations!AE70*Operations!AE63</f>
        <v/>
      </c>
      <c r="AF71" s="20">
        <f>Operations!AF70*Operations!AF63</f>
        <v/>
      </c>
      <c r="AG71" s="20">
        <f>Operations!AG70*Operations!AG63</f>
        <v/>
      </c>
      <c r="AH71" s="20">
        <f>Operations!AH70*Operations!AH63</f>
        <v/>
      </c>
      <c r="AI71" s="20">
        <f>Operations!AI70*Operations!AI63</f>
        <v/>
      </c>
      <c r="AJ71" s="20">
        <f>Operations!AJ70*Operations!AJ63</f>
        <v/>
      </c>
      <c r="AK71" s="20">
        <f>Operations!AK70*Operations!AK63</f>
        <v/>
      </c>
      <c r="AL71" s="20">
        <f>Operations!AL70*Operations!AL63</f>
        <v/>
      </c>
      <c r="AM71" s="20">
        <f>Operations!AM70*Operations!AM63</f>
        <v/>
      </c>
      <c r="AN71" s="20">
        <f>Operations!AN70*Operations!AN63</f>
        <v/>
      </c>
      <c r="AO71" s="20">
        <f>Operations!AO70*Operations!AO63</f>
        <v/>
      </c>
      <c r="AP71" s="20">
        <f>Operations!AP70*Operations!AP63</f>
        <v/>
      </c>
      <c r="AQ71" s="20">
        <f>Operations!AQ70*Operations!AQ63</f>
        <v/>
      </c>
      <c r="AR71" s="20">
        <f>Operations!AR70*Operations!AR63</f>
        <v/>
      </c>
      <c r="AS71" s="20">
        <f>Operations!AS70*Operations!AS63</f>
        <v/>
      </c>
      <c r="AT71" s="20">
        <f>Operations!AT70*Operations!AT63</f>
        <v/>
      </c>
      <c r="AU71" s="20">
        <f>Operations!AU70*Operations!AU63</f>
        <v/>
      </c>
    </row>
    <row r="72">
      <c r="D72" t="inlineStr">
        <is>
          <t>R1 hub capture ratio</t>
        </is>
      </c>
      <c r="E72" t="inlineStr">
        <is>
          <t>ratio</t>
        </is>
      </c>
      <c r="J72" s="14">
        <f>Operations!J57</f>
        <v/>
      </c>
      <c r="K72" s="14">
        <f>Operations!K57</f>
        <v/>
      </c>
      <c r="L72" s="14">
        <f>Operations!L57</f>
        <v/>
      </c>
      <c r="M72" s="14">
        <f>Operations!M57</f>
        <v/>
      </c>
      <c r="N72" s="14">
        <f>Operations!N57</f>
        <v/>
      </c>
      <c r="O72" s="14">
        <f>Operations!O57</f>
        <v/>
      </c>
      <c r="P72" s="14">
        <f>Operations!P57</f>
        <v/>
      </c>
      <c r="Q72" s="14">
        <f>Operations!Q57</f>
        <v/>
      </c>
      <c r="R72" s="14">
        <f>Operations!R57</f>
        <v/>
      </c>
      <c r="S72" s="14">
        <f>Operations!S57</f>
        <v/>
      </c>
      <c r="T72" s="14">
        <f>Operations!T57</f>
        <v/>
      </c>
      <c r="U72" s="14">
        <f>Operations!U57</f>
        <v/>
      </c>
      <c r="V72" s="14">
        <f>Operations!V57</f>
        <v/>
      </c>
      <c r="W72" s="14">
        <f>Operations!W57</f>
        <v/>
      </c>
      <c r="X72" s="14">
        <f>Operations!X57</f>
        <v/>
      </c>
      <c r="Y72" s="14">
        <f>Operations!Y57</f>
        <v/>
      </c>
      <c r="Z72" s="14">
        <f>Operations!Z57</f>
        <v/>
      </c>
      <c r="AA72" s="14">
        <f>Operations!AA57</f>
        <v/>
      </c>
      <c r="AB72" s="14">
        <f>Operations!AB57</f>
        <v/>
      </c>
      <c r="AC72" s="14">
        <f>Operations!AC57</f>
        <v/>
      </c>
      <c r="AD72" s="14">
        <f>Operations!AD57</f>
        <v/>
      </c>
      <c r="AE72" s="14">
        <f>Operations!AE57</f>
        <v/>
      </c>
      <c r="AF72" s="14">
        <f>Operations!AF57</f>
        <v/>
      </c>
      <c r="AG72" s="14">
        <f>Operations!AG57</f>
        <v/>
      </c>
      <c r="AH72" s="14">
        <f>Operations!AH57</f>
        <v/>
      </c>
      <c r="AI72" s="14">
        <f>Operations!AI57</f>
        <v/>
      </c>
      <c r="AJ72" s="14">
        <f>Operations!AJ57</f>
        <v/>
      </c>
      <c r="AK72" s="14">
        <f>Operations!AK57</f>
        <v/>
      </c>
      <c r="AL72" s="14">
        <f>Operations!AL57</f>
        <v/>
      </c>
      <c r="AM72" s="14">
        <f>Operations!AM57</f>
        <v/>
      </c>
      <c r="AN72" s="14">
        <f>Operations!AN57</f>
        <v/>
      </c>
      <c r="AO72" s="14">
        <f>Operations!AO57</f>
        <v/>
      </c>
      <c r="AP72" s="14">
        <f>Operations!AP57</f>
        <v/>
      </c>
      <c r="AQ72" s="14">
        <f>Operations!AQ57</f>
        <v/>
      </c>
      <c r="AR72" s="14">
        <f>Operations!AR57</f>
        <v/>
      </c>
      <c r="AS72" s="14">
        <f>Operations!AS57</f>
        <v/>
      </c>
      <c r="AT72" s="14">
        <f>Operations!AT57</f>
        <v/>
      </c>
      <c r="AU72" s="14">
        <f>Operations!AU57</f>
        <v/>
      </c>
    </row>
    <row r="73">
      <c r="D73" t="inlineStr">
        <is>
          <t>R1 node capture ratio</t>
        </is>
      </c>
      <c r="E73" t="inlineStr">
        <is>
          <t>ratio</t>
        </is>
      </c>
      <c r="J73" s="14">
        <f>Operations!J72-Inputs!$F$44</f>
        <v/>
      </c>
      <c r="K73" s="14">
        <f>Operations!K72-Inputs!$F$44</f>
        <v/>
      </c>
      <c r="L73" s="14">
        <f>Operations!L72-Inputs!$F$44</f>
        <v/>
      </c>
      <c r="M73" s="14">
        <f>Operations!M72-Inputs!$F$44</f>
        <v/>
      </c>
      <c r="N73" s="14">
        <f>Operations!N72-Inputs!$F$44</f>
        <v/>
      </c>
      <c r="O73" s="14">
        <f>Operations!O72-Inputs!$F$44</f>
        <v/>
      </c>
      <c r="P73" s="14">
        <f>Operations!P72-Inputs!$F$44</f>
        <v/>
      </c>
      <c r="Q73" s="14">
        <f>Operations!Q72-Inputs!$F$44</f>
        <v/>
      </c>
      <c r="R73" s="14">
        <f>Operations!R72-Inputs!$F$44</f>
        <v/>
      </c>
      <c r="S73" s="14">
        <f>Operations!S72-Inputs!$F$44</f>
        <v/>
      </c>
      <c r="T73" s="14">
        <f>Operations!T72-Inputs!$F$44</f>
        <v/>
      </c>
      <c r="U73" s="14">
        <f>Operations!U72-Inputs!$F$44</f>
        <v/>
      </c>
      <c r="V73" s="14">
        <f>Operations!V72-Inputs!$F$44</f>
        <v/>
      </c>
      <c r="W73" s="14">
        <f>Operations!W72-Inputs!$F$44</f>
        <v/>
      </c>
      <c r="X73" s="14">
        <f>Operations!X72-Inputs!$F$44</f>
        <v/>
      </c>
      <c r="Y73" s="14">
        <f>Operations!Y72-Inputs!$F$44</f>
        <v/>
      </c>
      <c r="Z73" s="14">
        <f>Operations!Z72-Inputs!$F$44</f>
        <v/>
      </c>
      <c r="AA73" s="14">
        <f>Operations!AA72-Inputs!$F$44</f>
        <v/>
      </c>
      <c r="AB73" s="14">
        <f>Operations!AB72-Inputs!$F$44</f>
        <v/>
      </c>
      <c r="AC73" s="14">
        <f>Operations!AC72-Inputs!$F$44</f>
        <v/>
      </c>
      <c r="AD73" s="14">
        <f>Operations!AD72-Inputs!$F$44</f>
        <v/>
      </c>
      <c r="AE73" s="14">
        <f>Operations!AE72-Inputs!$F$44</f>
        <v/>
      </c>
      <c r="AF73" s="14">
        <f>Operations!AF72-Inputs!$F$44</f>
        <v/>
      </c>
      <c r="AG73" s="14">
        <f>Operations!AG72-Inputs!$F$44</f>
        <v/>
      </c>
      <c r="AH73" s="14">
        <f>Operations!AH72-Inputs!$F$44</f>
        <v/>
      </c>
      <c r="AI73" s="14">
        <f>Operations!AI72-Inputs!$F$44</f>
        <v/>
      </c>
      <c r="AJ73" s="14">
        <f>Operations!AJ72-Inputs!$F$44</f>
        <v/>
      </c>
      <c r="AK73" s="14">
        <f>Operations!AK72-Inputs!$F$44</f>
        <v/>
      </c>
      <c r="AL73" s="14">
        <f>Operations!AL72-Inputs!$F$44</f>
        <v/>
      </c>
      <c r="AM73" s="14">
        <f>Operations!AM72-Inputs!$F$44</f>
        <v/>
      </c>
      <c r="AN73" s="14">
        <f>Operations!AN72-Inputs!$F$44</f>
        <v/>
      </c>
      <c r="AO73" s="14">
        <f>Operations!AO72-Inputs!$F$44</f>
        <v/>
      </c>
      <c r="AP73" s="14">
        <f>Operations!AP72-Inputs!$F$44</f>
        <v/>
      </c>
      <c r="AQ73" s="14">
        <f>Operations!AQ72-Inputs!$F$44</f>
        <v/>
      </c>
      <c r="AR73" s="14">
        <f>Operations!AR72-Inputs!$F$44</f>
        <v/>
      </c>
      <c r="AS73" s="14">
        <f>Operations!AS72-Inputs!$F$44</f>
        <v/>
      </c>
      <c r="AT73" s="14">
        <f>Operations!AT72-Inputs!$F$44</f>
        <v/>
      </c>
      <c r="AU73" s="14">
        <f>Operations!AU72-Inputs!$F$44</f>
        <v/>
      </c>
    </row>
    <row r="74">
      <c r="D74" t="inlineStr">
        <is>
          <t>R1 realized node price</t>
        </is>
      </c>
      <c r="E74" t="inlineStr">
        <is>
          <t>USD/MWh</t>
        </is>
      </c>
      <c r="J74" s="18">
        <f>Operations!J66*Operations!J73</f>
        <v/>
      </c>
      <c r="K74" s="18">
        <f>Operations!K66*Operations!K73</f>
        <v/>
      </c>
      <c r="L74" s="18">
        <f>Operations!L66*Operations!L73</f>
        <v/>
      </c>
      <c r="M74" s="18">
        <f>Operations!M66*Operations!M73</f>
        <v/>
      </c>
      <c r="N74" s="18">
        <f>Operations!N66*Operations!N73</f>
        <v/>
      </c>
      <c r="O74" s="18">
        <f>Operations!O66*Operations!O73</f>
        <v/>
      </c>
      <c r="P74" s="18">
        <f>Operations!P66*Operations!P73</f>
        <v/>
      </c>
      <c r="Q74" s="18">
        <f>Operations!Q66*Operations!Q73</f>
        <v/>
      </c>
      <c r="R74" s="18">
        <f>Operations!R66*Operations!R73</f>
        <v/>
      </c>
      <c r="S74" s="18">
        <f>Operations!S66*Operations!S73</f>
        <v/>
      </c>
      <c r="T74" s="18">
        <f>Operations!T66*Operations!T73</f>
        <v/>
      </c>
      <c r="U74" s="18">
        <f>Operations!U66*Operations!U73</f>
        <v/>
      </c>
      <c r="V74" s="18">
        <f>Operations!V66*Operations!V73</f>
        <v/>
      </c>
      <c r="W74" s="18">
        <f>Operations!W66*Operations!W73</f>
        <v/>
      </c>
      <c r="X74" s="18">
        <f>Operations!X66*Operations!X73</f>
        <v/>
      </c>
      <c r="Y74" s="18">
        <f>Operations!Y66*Operations!Y73</f>
        <v/>
      </c>
      <c r="Z74" s="18">
        <f>Operations!Z66*Operations!Z73</f>
        <v/>
      </c>
      <c r="AA74" s="18">
        <f>Operations!AA66*Operations!AA73</f>
        <v/>
      </c>
      <c r="AB74" s="18">
        <f>Operations!AB66*Operations!AB73</f>
        <v/>
      </c>
      <c r="AC74" s="18">
        <f>Operations!AC66*Operations!AC73</f>
        <v/>
      </c>
      <c r="AD74" s="18">
        <f>Operations!AD66*Operations!AD73</f>
        <v/>
      </c>
      <c r="AE74" s="18">
        <f>Operations!AE66*Operations!AE73</f>
        <v/>
      </c>
      <c r="AF74" s="18">
        <f>Operations!AF66*Operations!AF73</f>
        <v/>
      </c>
      <c r="AG74" s="18">
        <f>Operations!AG66*Operations!AG73</f>
        <v/>
      </c>
      <c r="AH74" s="18">
        <f>Operations!AH66*Operations!AH73</f>
        <v/>
      </c>
      <c r="AI74" s="18">
        <f>Operations!AI66*Operations!AI73</f>
        <v/>
      </c>
      <c r="AJ74" s="18">
        <f>Operations!AJ66*Operations!AJ73</f>
        <v/>
      </c>
      <c r="AK74" s="18">
        <f>Operations!AK66*Operations!AK73</f>
        <v/>
      </c>
      <c r="AL74" s="18">
        <f>Operations!AL66*Operations!AL73</f>
        <v/>
      </c>
      <c r="AM74" s="18">
        <f>Operations!AM66*Operations!AM73</f>
        <v/>
      </c>
      <c r="AN74" s="18">
        <f>Operations!AN66*Operations!AN73</f>
        <v/>
      </c>
      <c r="AO74" s="18">
        <f>Operations!AO66*Operations!AO73</f>
        <v/>
      </c>
      <c r="AP74" s="18">
        <f>Operations!AP66*Operations!AP73</f>
        <v/>
      </c>
      <c r="AQ74" s="18">
        <f>Operations!AQ66*Operations!AQ73</f>
        <v/>
      </c>
      <c r="AR74" s="18">
        <f>Operations!AR66*Operations!AR73</f>
        <v/>
      </c>
      <c r="AS74" s="18">
        <f>Operations!AS66*Operations!AS73</f>
        <v/>
      </c>
      <c r="AT74" s="18">
        <f>Operations!AT66*Operations!AT73</f>
        <v/>
      </c>
      <c r="AU74" s="18">
        <f>Operations!AU66*Operations!AU73</f>
        <v/>
      </c>
    </row>
    <row r="75">
      <c r="D75" t="inlineStr">
        <is>
          <t>R1 swap term fraction</t>
        </is>
      </c>
      <c r="E75" t="inlineStr">
        <is>
          <t>fraction</t>
        </is>
      </c>
      <c r="J75" s="14">
        <f>MAX(0,MIN(Inputs!$F$193,Time!J$6)-MAX(Inputs!$F$192-1,Time!J$5))/Time!J$7</f>
        <v/>
      </c>
      <c r="K75" s="14">
        <f>MAX(0,MIN(Inputs!$F$193,Time!K$6)-MAX(Inputs!$F$192-1,Time!K$5))/Time!K$7</f>
        <v/>
      </c>
      <c r="L75" s="14">
        <f>MAX(0,MIN(Inputs!$F$193,Time!L$6)-MAX(Inputs!$F$192-1,Time!L$5))/Time!L$7</f>
        <v/>
      </c>
      <c r="M75" s="14">
        <f>MAX(0,MIN(Inputs!$F$193,Time!M$6)-MAX(Inputs!$F$192-1,Time!M$5))/Time!M$7</f>
        <v/>
      </c>
      <c r="N75" s="14">
        <f>MAX(0,MIN(Inputs!$F$193,Time!N$6)-MAX(Inputs!$F$192-1,Time!N$5))/Time!N$7</f>
        <v/>
      </c>
      <c r="O75" s="14">
        <f>MAX(0,MIN(Inputs!$F$193,Time!O$6)-MAX(Inputs!$F$192-1,Time!O$5))/Time!O$7</f>
        <v/>
      </c>
      <c r="P75" s="14">
        <f>MAX(0,MIN(Inputs!$F$193,Time!P$6)-MAX(Inputs!$F$192-1,Time!P$5))/Time!P$7</f>
        <v/>
      </c>
      <c r="Q75" s="14">
        <f>MAX(0,MIN(Inputs!$F$193,Time!Q$6)-MAX(Inputs!$F$192-1,Time!Q$5))/Time!Q$7</f>
        <v/>
      </c>
      <c r="R75" s="14">
        <f>MAX(0,MIN(Inputs!$F$193,Time!R$6)-MAX(Inputs!$F$192-1,Time!R$5))/Time!R$7</f>
        <v/>
      </c>
      <c r="S75" s="14">
        <f>MAX(0,MIN(Inputs!$F$193,Time!S$6)-MAX(Inputs!$F$192-1,Time!S$5))/Time!S$7</f>
        <v/>
      </c>
      <c r="T75" s="14">
        <f>MAX(0,MIN(Inputs!$F$193,Time!T$6)-MAX(Inputs!$F$192-1,Time!T$5))/Time!T$7</f>
        <v/>
      </c>
      <c r="U75" s="14">
        <f>MAX(0,MIN(Inputs!$F$193,Time!U$6)-MAX(Inputs!$F$192-1,Time!U$5))/Time!U$7</f>
        <v/>
      </c>
      <c r="V75" s="14">
        <f>MAX(0,MIN(Inputs!$F$193,Time!V$6)-MAX(Inputs!$F$192-1,Time!V$5))/Time!V$7</f>
        <v/>
      </c>
      <c r="W75" s="14">
        <f>MAX(0,MIN(Inputs!$F$193,Time!W$6)-MAX(Inputs!$F$192-1,Time!W$5))/Time!W$7</f>
        <v/>
      </c>
      <c r="X75" s="14">
        <f>MAX(0,MIN(Inputs!$F$193,Time!X$6)-MAX(Inputs!$F$192-1,Time!X$5))/Time!X$7</f>
        <v/>
      </c>
      <c r="Y75" s="14">
        <f>MAX(0,MIN(Inputs!$F$193,Time!Y$6)-MAX(Inputs!$F$192-1,Time!Y$5))/Time!Y$7</f>
        <v/>
      </c>
      <c r="Z75" s="14">
        <f>MAX(0,MIN(Inputs!$F$193,Time!Z$6)-MAX(Inputs!$F$192-1,Time!Z$5))/Time!Z$7</f>
        <v/>
      </c>
      <c r="AA75" s="14">
        <f>MAX(0,MIN(Inputs!$F$193,Time!AA$6)-MAX(Inputs!$F$192-1,Time!AA$5))/Time!AA$7</f>
        <v/>
      </c>
      <c r="AB75" s="14">
        <f>MAX(0,MIN(Inputs!$F$193,Time!AB$6)-MAX(Inputs!$F$192-1,Time!AB$5))/Time!AB$7</f>
        <v/>
      </c>
      <c r="AC75" s="14">
        <f>MAX(0,MIN(Inputs!$F$193,Time!AC$6)-MAX(Inputs!$F$192-1,Time!AC$5))/Time!AC$7</f>
        <v/>
      </c>
      <c r="AD75" s="14">
        <f>MAX(0,MIN(Inputs!$F$193,Time!AD$6)-MAX(Inputs!$F$192-1,Time!AD$5))/Time!AD$7</f>
        <v/>
      </c>
      <c r="AE75" s="14">
        <f>MAX(0,MIN(Inputs!$F$193,Time!AE$6)-MAX(Inputs!$F$192-1,Time!AE$5))/Time!AE$7</f>
        <v/>
      </c>
      <c r="AF75" s="14">
        <f>MAX(0,MIN(Inputs!$F$193,Time!AF$6)-MAX(Inputs!$F$192-1,Time!AF$5))/Time!AF$7</f>
        <v/>
      </c>
      <c r="AG75" s="14">
        <f>MAX(0,MIN(Inputs!$F$193,Time!AG$6)-MAX(Inputs!$F$192-1,Time!AG$5))/Time!AG$7</f>
        <v/>
      </c>
      <c r="AH75" s="14">
        <f>MAX(0,MIN(Inputs!$F$193,Time!AH$6)-MAX(Inputs!$F$192-1,Time!AH$5))/Time!AH$7</f>
        <v/>
      </c>
      <c r="AI75" s="14">
        <f>MAX(0,MIN(Inputs!$F$193,Time!AI$6)-MAX(Inputs!$F$192-1,Time!AI$5))/Time!AI$7</f>
        <v/>
      </c>
      <c r="AJ75" s="14">
        <f>MAX(0,MIN(Inputs!$F$193,Time!AJ$6)-MAX(Inputs!$F$192-1,Time!AJ$5))/Time!AJ$7</f>
        <v/>
      </c>
      <c r="AK75" s="14">
        <f>MAX(0,MIN(Inputs!$F$193,Time!AK$6)-MAX(Inputs!$F$192-1,Time!AK$5))/Time!AK$7</f>
        <v/>
      </c>
      <c r="AL75" s="14">
        <f>MAX(0,MIN(Inputs!$F$193,Time!AL$6)-MAX(Inputs!$F$192-1,Time!AL$5))/Time!AL$7</f>
        <v/>
      </c>
      <c r="AM75" s="14">
        <f>MAX(0,MIN(Inputs!$F$193,Time!AM$6)-MAX(Inputs!$F$192-1,Time!AM$5))/Time!AM$7</f>
        <v/>
      </c>
      <c r="AN75" s="14">
        <f>MAX(0,MIN(Inputs!$F$193,Time!AN$6)-MAX(Inputs!$F$192-1,Time!AN$5))/Time!AN$7</f>
        <v/>
      </c>
      <c r="AO75" s="14">
        <f>MAX(0,MIN(Inputs!$F$193,Time!AO$6)-MAX(Inputs!$F$192-1,Time!AO$5))/Time!AO$7</f>
        <v/>
      </c>
      <c r="AP75" s="14">
        <f>MAX(0,MIN(Inputs!$F$193,Time!AP$6)-MAX(Inputs!$F$192-1,Time!AP$5))/Time!AP$7</f>
        <v/>
      </c>
      <c r="AQ75" s="14">
        <f>MAX(0,MIN(Inputs!$F$193,Time!AQ$6)-MAX(Inputs!$F$192-1,Time!AQ$5))/Time!AQ$7</f>
        <v/>
      </c>
      <c r="AR75" s="14">
        <f>MAX(0,MIN(Inputs!$F$193,Time!AR$6)-MAX(Inputs!$F$192-1,Time!AR$5))/Time!AR$7</f>
        <v/>
      </c>
      <c r="AS75" s="14">
        <f>MAX(0,MIN(Inputs!$F$193,Time!AS$6)-MAX(Inputs!$F$192-1,Time!AS$5))/Time!AS$7</f>
        <v/>
      </c>
      <c r="AT75" s="14">
        <f>MAX(0,MIN(Inputs!$F$193,Time!AT$6)-MAX(Inputs!$F$192-1,Time!AT$5))/Time!AT$7</f>
        <v/>
      </c>
      <c r="AU75" s="14">
        <f>MAX(0,MIN(Inputs!$F$193,Time!AU$6)-MAX(Inputs!$F$192-1,Time!AU$5))/Time!AU$7</f>
        <v/>
      </c>
    </row>
    <row r="76">
      <c r="D76" t="inlineStr">
        <is>
          <t>R1 swap volume</t>
        </is>
      </c>
      <c r="E76" t="inlineStr">
        <is>
          <t>GWh</t>
        </is>
      </c>
      <c r="J76" s="20">
        <f>Inputs!$F$190*Time!J$7*Inputs!$F$194/1000*Operations!J75</f>
        <v/>
      </c>
      <c r="K76" s="20">
        <f>Inputs!$F$190*Time!K$7*Inputs!$F$194/1000*Operations!K75</f>
        <v/>
      </c>
      <c r="L76" s="20">
        <f>Inputs!$F$190*Time!L$7*Inputs!$F$194/1000*Operations!L75</f>
        <v/>
      </c>
      <c r="M76" s="20">
        <f>Inputs!$F$190*Time!M$7*Inputs!$F$194/1000*Operations!M75</f>
        <v/>
      </c>
      <c r="N76" s="20">
        <f>Inputs!$F$190*Time!N$7*Inputs!$F$194/1000*Operations!N75</f>
        <v/>
      </c>
      <c r="O76" s="20">
        <f>Inputs!$F$190*Time!O$7*Inputs!$F$194/1000*Operations!O75</f>
        <v/>
      </c>
      <c r="P76" s="20">
        <f>Inputs!$F$190*Time!P$7*Inputs!$F$194/1000*Operations!P75</f>
        <v/>
      </c>
      <c r="Q76" s="20">
        <f>Inputs!$F$190*Time!Q$7*Inputs!$F$194/1000*Operations!Q75</f>
        <v/>
      </c>
      <c r="R76" s="20">
        <f>Inputs!$F$190*Time!R$7*Inputs!$F$194/1000*Operations!R75</f>
        <v/>
      </c>
      <c r="S76" s="20">
        <f>Inputs!$F$190*Time!S$7*Inputs!$F$194/1000*Operations!S75</f>
        <v/>
      </c>
      <c r="T76" s="20">
        <f>Inputs!$F$190*Time!T$7*Inputs!$F$194/1000*Operations!T75</f>
        <v/>
      </c>
      <c r="U76" s="20">
        <f>Inputs!$F$190*Time!U$7*Inputs!$F$194/1000*Operations!U75</f>
        <v/>
      </c>
      <c r="V76" s="20">
        <f>Inputs!$F$190*Time!V$7*Inputs!$F$194/1000*Operations!V75</f>
        <v/>
      </c>
      <c r="W76" s="20">
        <f>Inputs!$F$190*Time!W$7*Inputs!$F$194/1000*Operations!W75</f>
        <v/>
      </c>
      <c r="X76" s="20">
        <f>Inputs!$F$190*Time!X$7*Inputs!$F$194/1000*Operations!X75</f>
        <v/>
      </c>
      <c r="Y76" s="20">
        <f>Inputs!$F$190*Time!Y$7*Inputs!$F$194/1000*Operations!Y75</f>
        <v/>
      </c>
      <c r="Z76" s="20">
        <f>Inputs!$F$190*Time!Z$7*Inputs!$F$194/1000*Operations!Z75</f>
        <v/>
      </c>
      <c r="AA76" s="20">
        <f>Inputs!$F$190*Time!AA$7*Inputs!$F$194/1000*Operations!AA75</f>
        <v/>
      </c>
      <c r="AB76" s="20">
        <f>Inputs!$F$190*Time!AB$7*Inputs!$F$194/1000*Operations!AB75</f>
        <v/>
      </c>
      <c r="AC76" s="20">
        <f>Inputs!$F$190*Time!AC$7*Inputs!$F$194/1000*Operations!AC75</f>
        <v/>
      </c>
      <c r="AD76" s="20">
        <f>Inputs!$F$190*Time!AD$7*Inputs!$F$194/1000*Operations!AD75</f>
        <v/>
      </c>
      <c r="AE76" s="20">
        <f>Inputs!$F$190*Time!AE$7*Inputs!$F$194/1000*Operations!AE75</f>
        <v/>
      </c>
      <c r="AF76" s="20">
        <f>Inputs!$F$190*Time!AF$7*Inputs!$F$194/1000*Operations!AF75</f>
        <v/>
      </c>
      <c r="AG76" s="20">
        <f>Inputs!$F$190*Time!AG$7*Inputs!$F$194/1000*Operations!AG75</f>
        <v/>
      </c>
      <c r="AH76" s="20">
        <f>Inputs!$F$190*Time!AH$7*Inputs!$F$194/1000*Operations!AH75</f>
        <v/>
      </c>
      <c r="AI76" s="20">
        <f>Inputs!$F$190*Time!AI$7*Inputs!$F$194/1000*Operations!AI75</f>
        <v/>
      </c>
      <c r="AJ76" s="20">
        <f>Inputs!$F$190*Time!AJ$7*Inputs!$F$194/1000*Operations!AJ75</f>
        <v/>
      </c>
      <c r="AK76" s="20">
        <f>Inputs!$F$190*Time!AK$7*Inputs!$F$194/1000*Operations!AK75</f>
        <v/>
      </c>
      <c r="AL76" s="20">
        <f>Inputs!$F$190*Time!AL$7*Inputs!$F$194/1000*Operations!AL75</f>
        <v/>
      </c>
      <c r="AM76" s="20">
        <f>Inputs!$F$190*Time!AM$7*Inputs!$F$194/1000*Operations!AM75</f>
        <v/>
      </c>
      <c r="AN76" s="20">
        <f>Inputs!$F$190*Time!AN$7*Inputs!$F$194/1000*Operations!AN75</f>
        <v/>
      </c>
      <c r="AO76" s="20">
        <f>Inputs!$F$190*Time!AO$7*Inputs!$F$194/1000*Operations!AO75</f>
        <v/>
      </c>
      <c r="AP76" s="20">
        <f>Inputs!$F$190*Time!AP$7*Inputs!$F$194/1000*Operations!AP75</f>
        <v/>
      </c>
      <c r="AQ76" s="20">
        <f>Inputs!$F$190*Time!AQ$7*Inputs!$F$194/1000*Operations!AQ75</f>
        <v/>
      </c>
      <c r="AR76" s="20">
        <f>Inputs!$F$190*Time!AR$7*Inputs!$F$194/1000*Operations!AR75</f>
        <v/>
      </c>
      <c r="AS76" s="20">
        <f>Inputs!$F$190*Time!AS$7*Inputs!$F$194/1000*Operations!AS75</f>
        <v/>
      </c>
      <c r="AT76" s="20">
        <f>Inputs!$F$190*Time!AT$7*Inputs!$F$194/1000*Operations!AT75</f>
        <v/>
      </c>
      <c r="AU76" s="20">
        <f>Inputs!$F$190*Time!AU$7*Inputs!$F$194/1000*Operations!AU75</f>
        <v/>
      </c>
    </row>
    <row r="77">
      <c r="D77" t="inlineStr">
        <is>
          <t>R1 swap settlement (receive fixed, pay West Hub)</t>
        </is>
      </c>
      <c r="E77" t="inlineStr">
        <is>
          <t>USD m</t>
        </is>
      </c>
      <c r="G77" s="20">
        <f>SUM(J77:AU77)</f>
        <v/>
      </c>
      <c r="J77" s="20">
        <f>Operations!J76*(Inputs!$F$191-Operations!J66)/1000</f>
        <v/>
      </c>
      <c r="K77" s="20">
        <f>Operations!K76*(Inputs!$F$191-Operations!K66)/1000</f>
        <v/>
      </c>
      <c r="L77" s="20">
        <f>Operations!L76*(Inputs!$F$191-Operations!L66)/1000</f>
        <v/>
      </c>
      <c r="M77" s="20">
        <f>Operations!M76*(Inputs!$F$191-Operations!M66)/1000</f>
        <v/>
      </c>
      <c r="N77" s="20">
        <f>Operations!N76*(Inputs!$F$191-Operations!N66)/1000</f>
        <v/>
      </c>
      <c r="O77" s="20">
        <f>Operations!O76*(Inputs!$F$191-Operations!O66)/1000</f>
        <v/>
      </c>
      <c r="P77" s="20">
        <f>Operations!P76*(Inputs!$F$191-Operations!P66)/1000</f>
        <v/>
      </c>
      <c r="Q77" s="20">
        <f>Operations!Q76*(Inputs!$F$191-Operations!Q66)/1000</f>
        <v/>
      </c>
      <c r="R77" s="20">
        <f>Operations!R76*(Inputs!$F$191-Operations!R66)/1000</f>
        <v/>
      </c>
      <c r="S77" s="20">
        <f>Operations!S76*(Inputs!$F$191-Operations!S66)/1000</f>
        <v/>
      </c>
      <c r="T77" s="20">
        <f>Operations!T76*(Inputs!$F$191-Operations!T66)/1000</f>
        <v/>
      </c>
      <c r="U77" s="20">
        <f>Operations!U76*(Inputs!$F$191-Operations!U66)/1000</f>
        <v/>
      </c>
      <c r="V77" s="20">
        <f>Operations!V76*(Inputs!$F$191-Operations!V66)/1000</f>
        <v/>
      </c>
      <c r="W77" s="20">
        <f>Operations!W76*(Inputs!$F$191-Operations!W66)/1000</f>
        <v/>
      </c>
      <c r="X77" s="20">
        <f>Operations!X76*(Inputs!$F$191-Operations!X66)/1000</f>
        <v/>
      </c>
      <c r="Y77" s="20">
        <f>Operations!Y76*(Inputs!$F$191-Operations!Y66)/1000</f>
        <v/>
      </c>
      <c r="Z77" s="20">
        <f>Operations!Z76*(Inputs!$F$191-Operations!Z66)/1000</f>
        <v/>
      </c>
      <c r="AA77" s="20">
        <f>Operations!AA76*(Inputs!$F$191-Operations!AA66)/1000</f>
        <v/>
      </c>
      <c r="AB77" s="20">
        <f>Operations!AB76*(Inputs!$F$191-Operations!AB66)/1000</f>
        <v/>
      </c>
      <c r="AC77" s="20">
        <f>Operations!AC76*(Inputs!$F$191-Operations!AC66)/1000</f>
        <v/>
      </c>
      <c r="AD77" s="20">
        <f>Operations!AD76*(Inputs!$F$191-Operations!AD66)/1000</f>
        <v/>
      </c>
      <c r="AE77" s="20">
        <f>Operations!AE76*(Inputs!$F$191-Operations!AE66)/1000</f>
        <v/>
      </c>
      <c r="AF77" s="20">
        <f>Operations!AF76*(Inputs!$F$191-Operations!AF66)/1000</f>
        <v/>
      </c>
      <c r="AG77" s="20">
        <f>Operations!AG76*(Inputs!$F$191-Operations!AG66)/1000</f>
        <v/>
      </c>
      <c r="AH77" s="20">
        <f>Operations!AH76*(Inputs!$F$191-Operations!AH66)/1000</f>
        <v/>
      </c>
      <c r="AI77" s="20">
        <f>Operations!AI76*(Inputs!$F$191-Operations!AI66)/1000</f>
        <v/>
      </c>
      <c r="AJ77" s="20">
        <f>Operations!AJ76*(Inputs!$F$191-Operations!AJ66)/1000</f>
        <v/>
      </c>
      <c r="AK77" s="20">
        <f>Operations!AK76*(Inputs!$F$191-Operations!AK66)/1000</f>
        <v/>
      </c>
      <c r="AL77" s="20">
        <f>Operations!AL76*(Inputs!$F$191-Operations!AL66)/1000</f>
        <v/>
      </c>
      <c r="AM77" s="20">
        <f>Operations!AM76*(Inputs!$F$191-Operations!AM66)/1000</f>
        <v/>
      </c>
      <c r="AN77" s="20">
        <f>Operations!AN76*(Inputs!$F$191-Operations!AN66)/1000</f>
        <v/>
      </c>
      <c r="AO77" s="20">
        <f>Operations!AO76*(Inputs!$F$191-Operations!AO66)/1000</f>
        <v/>
      </c>
      <c r="AP77" s="20">
        <f>Operations!AP76*(Inputs!$F$191-Operations!AP66)/1000</f>
        <v/>
      </c>
      <c r="AQ77" s="20">
        <f>Operations!AQ76*(Inputs!$F$191-Operations!AQ66)/1000</f>
        <v/>
      </c>
      <c r="AR77" s="20">
        <f>Operations!AR76*(Inputs!$F$191-Operations!AR66)/1000</f>
        <v/>
      </c>
      <c r="AS77" s="20">
        <f>Operations!AS76*(Inputs!$F$191-Operations!AS66)/1000</f>
        <v/>
      </c>
      <c r="AT77" s="20">
        <f>Operations!AT76*(Inputs!$F$191-Operations!AT66)/1000</f>
        <v/>
      </c>
      <c r="AU77" s="20">
        <f>Operations!AU76*(Inputs!$F$191-Operations!AU66)/1000</f>
        <v/>
      </c>
    </row>
    <row r="78">
      <c r="D78" t="inlineStr">
        <is>
          <t>R1 generation sold at node</t>
        </is>
      </c>
      <c r="E78" t="inlineStr">
        <is>
          <t>GWh</t>
        </is>
      </c>
      <c r="J78" s="20">
        <f>Operations!J71</f>
        <v/>
      </c>
      <c r="K78" s="20">
        <f>Operations!K71</f>
        <v/>
      </c>
      <c r="L78" s="20">
        <f>Operations!L71</f>
        <v/>
      </c>
      <c r="M78" s="20">
        <f>Operations!M71</f>
        <v/>
      </c>
      <c r="N78" s="20">
        <f>Operations!N71</f>
        <v/>
      </c>
      <c r="O78" s="20">
        <f>Operations!O71</f>
        <v/>
      </c>
      <c r="P78" s="20">
        <f>Operations!P71</f>
        <v/>
      </c>
      <c r="Q78" s="20">
        <f>Operations!Q71</f>
        <v/>
      </c>
      <c r="R78" s="20">
        <f>Operations!R71</f>
        <v/>
      </c>
      <c r="S78" s="20">
        <f>Operations!S71</f>
        <v/>
      </c>
      <c r="T78" s="20">
        <f>Operations!T71</f>
        <v/>
      </c>
      <c r="U78" s="20">
        <f>Operations!U71</f>
        <v/>
      </c>
      <c r="V78" s="20">
        <f>Operations!V71</f>
        <v/>
      </c>
      <c r="W78" s="20">
        <f>Operations!W71</f>
        <v/>
      </c>
      <c r="X78" s="20">
        <f>Operations!X71</f>
        <v/>
      </c>
      <c r="Y78" s="20">
        <f>Operations!Y71</f>
        <v/>
      </c>
      <c r="Z78" s="20">
        <f>Operations!Z71</f>
        <v/>
      </c>
      <c r="AA78" s="20">
        <f>Operations!AA71</f>
        <v/>
      </c>
      <c r="AB78" s="20">
        <f>Operations!AB71</f>
        <v/>
      </c>
      <c r="AC78" s="20">
        <f>Operations!AC71</f>
        <v/>
      </c>
      <c r="AD78" s="20">
        <f>Operations!AD71</f>
        <v/>
      </c>
      <c r="AE78" s="20">
        <f>Operations!AE71</f>
        <v/>
      </c>
      <c r="AF78" s="20">
        <f>Operations!AF71</f>
        <v/>
      </c>
      <c r="AG78" s="20">
        <f>Operations!AG71</f>
        <v/>
      </c>
      <c r="AH78" s="20">
        <f>Operations!AH71</f>
        <v/>
      </c>
      <c r="AI78" s="20">
        <f>Operations!AI71</f>
        <v/>
      </c>
      <c r="AJ78" s="20">
        <f>Operations!AJ71</f>
        <v/>
      </c>
      <c r="AK78" s="20">
        <f>Operations!AK71</f>
        <v/>
      </c>
      <c r="AL78" s="20">
        <f>Operations!AL71</f>
        <v/>
      </c>
      <c r="AM78" s="20">
        <f>Operations!AM71</f>
        <v/>
      </c>
      <c r="AN78" s="20">
        <f>Operations!AN71</f>
        <v/>
      </c>
      <c r="AO78" s="20">
        <f>Operations!AO71</f>
        <v/>
      </c>
      <c r="AP78" s="20">
        <f>Operations!AP71</f>
        <v/>
      </c>
      <c r="AQ78" s="20">
        <f>Operations!AQ71</f>
        <v/>
      </c>
      <c r="AR78" s="20">
        <f>Operations!AR71</f>
        <v/>
      </c>
      <c r="AS78" s="20">
        <f>Operations!AS71</f>
        <v/>
      </c>
      <c r="AT78" s="20">
        <f>Operations!AT71</f>
        <v/>
      </c>
      <c r="AU78" s="20">
        <f>Operations!AU71</f>
        <v/>
      </c>
    </row>
    <row r="79">
      <c r="D79" t="inlineStr">
        <is>
          <t>R1 contracted revenue</t>
        </is>
      </c>
      <c r="E79" t="inlineStr">
        <is>
          <t>USD m</t>
        </is>
      </c>
      <c r="J79" s="20">
        <f>0</f>
        <v/>
      </c>
      <c r="K79" s="20">
        <f>0</f>
        <v/>
      </c>
      <c r="L79" s="20">
        <f>0</f>
        <v/>
      </c>
      <c r="M79" s="20">
        <f>0</f>
        <v/>
      </c>
      <c r="N79" s="20">
        <f>0</f>
        <v/>
      </c>
      <c r="O79" s="20">
        <f>0</f>
        <v/>
      </c>
      <c r="P79" s="20">
        <f>0</f>
        <v/>
      </c>
      <c r="Q79" s="20">
        <f>0</f>
        <v/>
      </c>
      <c r="R79" s="20">
        <f>0</f>
        <v/>
      </c>
      <c r="S79" s="20">
        <f>0</f>
        <v/>
      </c>
      <c r="T79" s="20">
        <f>0</f>
        <v/>
      </c>
      <c r="U79" s="20">
        <f>0</f>
        <v/>
      </c>
      <c r="V79" s="20">
        <f>0</f>
        <v/>
      </c>
      <c r="W79" s="20">
        <f>0</f>
        <v/>
      </c>
      <c r="X79" s="20">
        <f>0</f>
        <v/>
      </c>
      <c r="Y79" s="20">
        <f>0</f>
        <v/>
      </c>
      <c r="Z79" s="20">
        <f>0</f>
        <v/>
      </c>
      <c r="AA79" s="20">
        <f>0</f>
        <v/>
      </c>
      <c r="AB79" s="20">
        <f>0</f>
        <v/>
      </c>
      <c r="AC79" s="20">
        <f>0</f>
        <v/>
      </c>
      <c r="AD79" s="20">
        <f>0</f>
        <v/>
      </c>
      <c r="AE79" s="20">
        <f>0</f>
        <v/>
      </c>
      <c r="AF79" s="20">
        <f>0</f>
        <v/>
      </c>
      <c r="AG79" s="20">
        <f>0</f>
        <v/>
      </c>
      <c r="AH79" s="20">
        <f>0</f>
        <v/>
      </c>
      <c r="AI79" s="20">
        <f>0</f>
        <v/>
      </c>
      <c r="AJ79" s="20">
        <f>0</f>
        <v/>
      </c>
      <c r="AK79" s="20">
        <f>0</f>
        <v/>
      </c>
      <c r="AL79" s="20">
        <f>0</f>
        <v/>
      </c>
      <c r="AM79" s="20">
        <f>0</f>
        <v/>
      </c>
      <c r="AN79" s="20">
        <f>0</f>
        <v/>
      </c>
      <c r="AO79" s="20">
        <f>0</f>
        <v/>
      </c>
      <c r="AP79" s="20">
        <f>0</f>
        <v/>
      </c>
      <c r="AQ79" s="20">
        <f>0</f>
        <v/>
      </c>
      <c r="AR79" s="20">
        <f>0</f>
        <v/>
      </c>
      <c r="AS79" s="20">
        <f>0</f>
        <v/>
      </c>
      <c r="AT79" s="20">
        <f>0</f>
        <v/>
      </c>
      <c r="AU79" s="20">
        <f>0</f>
        <v/>
      </c>
    </row>
    <row r="80">
      <c r="D80" t="inlineStr">
        <is>
          <t>R1 hedged revenue (swap volume x price)</t>
        </is>
      </c>
      <c r="E80" t="inlineStr">
        <is>
          <t>USD m</t>
        </is>
      </c>
      <c r="J80" s="20">
        <f>Operations!J76*Inputs!$F$191/1000</f>
        <v/>
      </c>
      <c r="K80" s="20">
        <f>Operations!K76*Inputs!$F$191/1000</f>
        <v/>
      </c>
      <c r="L80" s="20">
        <f>Operations!L76*Inputs!$F$191/1000</f>
        <v/>
      </c>
      <c r="M80" s="20">
        <f>Operations!M76*Inputs!$F$191/1000</f>
        <v/>
      </c>
      <c r="N80" s="20">
        <f>Operations!N76*Inputs!$F$191/1000</f>
        <v/>
      </c>
      <c r="O80" s="20">
        <f>Operations!O76*Inputs!$F$191/1000</f>
        <v/>
      </c>
      <c r="P80" s="20">
        <f>Operations!P76*Inputs!$F$191/1000</f>
        <v/>
      </c>
      <c r="Q80" s="20">
        <f>Operations!Q76*Inputs!$F$191/1000</f>
        <v/>
      </c>
      <c r="R80" s="20">
        <f>Operations!R76*Inputs!$F$191/1000</f>
        <v/>
      </c>
      <c r="S80" s="20">
        <f>Operations!S76*Inputs!$F$191/1000</f>
        <v/>
      </c>
      <c r="T80" s="20">
        <f>Operations!T76*Inputs!$F$191/1000</f>
        <v/>
      </c>
      <c r="U80" s="20">
        <f>Operations!U76*Inputs!$F$191/1000</f>
        <v/>
      </c>
      <c r="V80" s="20">
        <f>Operations!V76*Inputs!$F$191/1000</f>
        <v/>
      </c>
      <c r="W80" s="20">
        <f>Operations!W76*Inputs!$F$191/1000</f>
        <v/>
      </c>
      <c r="X80" s="20">
        <f>Operations!X76*Inputs!$F$191/1000</f>
        <v/>
      </c>
      <c r="Y80" s="20">
        <f>Operations!Y76*Inputs!$F$191/1000</f>
        <v/>
      </c>
      <c r="Z80" s="20">
        <f>Operations!Z76*Inputs!$F$191/1000</f>
        <v/>
      </c>
      <c r="AA80" s="20">
        <f>Operations!AA76*Inputs!$F$191/1000</f>
        <v/>
      </c>
      <c r="AB80" s="20">
        <f>Operations!AB76*Inputs!$F$191/1000</f>
        <v/>
      </c>
      <c r="AC80" s="20">
        <f>Operations!AC76*Inputs!$F$191/1000</f>
        <v/>
      </c>
      <c r="AD80" s="20">
        <f>Operations!AD76*Inputs!$F$191/1000</f>
        <v/>
      </c>
      <c r="AE80" s="20">
        <f>Operations!AE76*Inputs!$F$191/1000</f>
        <v/>
      </c>
      <c r="AF80" s="20">
        <f>Operations!AF76*Inputs!$F$191/1000</f>
        <v/>
      </c>
      <c r="AG80" s="20">
        <f>Operations!AG76*Inputs!$F$191/1000</f>
        <v/>
      </c>
      <c r="AH80" s="20">
        <f>Operations!AH76*Inputs!$F$191/1000</f>
        <v/>
      </c>
      <c r="AI80" s="20">
        <f>Operations!AI76*Inputs!$F$191/1000</f>
        <v/>
      </c>
      <c r="AJ80" s="20">
        <f>Operations!AJ76*Inputs!$F$191/1000</f>
        <v/>
      </c>
      <c r="AK80" s="20">
        <f>Operations!AK76*Inputs!$F$191/1000</f>
        <v/>
      </c>
      <c r="AL80" s="20">
        <f>Operations!AL76*Inputs!$F$191/1000</f>
        <v/>
      </c>
      <c r="AM80" s="20">
        <f>Operations!AM76*Inputs!$F$191/1000</f>
        <v/>
      </c>
      <c r="AN80" s="20">
        <f>Operations!AN76*Inputs!$F$191/1000</f>
        <v/>
      </c>
      <c r="AO80" s="20">
        <f>Operations!AO76*Inputs!$F$191/1000</f>
        <v/>
      </c>
      <c r="AP80" s="20">
        <f>Operations!AP76*Inputs!$F$191/1000</f>
        <v/>
      </c>
      <c r="AQ80" s="20">
        <f>Operations!AQ76*Inputs!$F$191/1000</f>
        <v/>
      </c>
      <c r="AR80" s="20">
        <f>Operations!AR76*Inputs!$F$191/1000</f>
        <v/>
      </c>
      <c r="AS80" s="20">
        <f>Operations!AS76*Inputs!$F$191/1000</f>
        <v/>
      </c>
      <c r="AT80" s="20">
        <f>Operations!AT76*Inputs!$F$191/1000</f>
        <v/>
      </c>
      <c r="AU80" s="20">
        <f>Operations!AU76*Inputs!$F$191/1000</f>
        <v/>
      </c>
    </row>
    <row r="81">
      <c r="D81" t="inlineStr">
        <is>
          <t>R1 market revenue at node</t>
        </is>
      </c>
      <c r="E81" t="inlineStr">
        <is>
          <t>USD m</t>
        </is>
      </c>
      <c r="G81" s="20">
        <f>SUM(J81:AU81)</f>
        <v/>
      </c>
      <c r="J81" s="20">
        <f>Operations!J78*Operations!J74/1000</f>
        <v/>
      </c>
      <c r="K81" s="20">
        <f>Operations!K78*Operations!K74/1000</f>
        <v/>
      </c>
      <c r="L81" s="20">
        <f>Operations!L78*Operations!L74/1000</f>
        <v/>
      </c>
      <c r="M81" s="20">
        <f>Operations!M78*Operations!M74/1000</f>
        <v/>
      </c>
      <c r="N81" s="20">
        <f>Operations!N78*Operations!N74/1000</f>
        <v/>
      </c>
      <c r="O81" s="20">
        <f>Operations!O78*Operations!O74/1000</f>
        <v/>
      </c>
      <c r="P81" s="20">
        <f>Operations!P78*Operations!P74/1000</f>
        <v/>
      </c>
      <c r="Q81" s="20">
        <f>Operations!Q78*Operations!Q74/1000</f>
        <v/>
      </c>
      <c r="R81" s="20">
        <f>Operations!R78*Operations!R74/1000</f>
        <v/>
      </c>
      <c r="S81" s="20">
        <f>Operations!S78*Operations!S74/1000</f>
        <v/>
      </c>
      <c r="T81" s="20">
        <f>Operations!T78*Operations!T74/1000</f>
        <v/>
      </c>
      <c r="U81" s="20">
        <f>Operations!U78*Operations!U74/1000</f>
        <v/>
      </c>
      <c r="V81" s="20">
        <f>Operations!V78*Operations!V74/1000</f>
        <v/>
      </c>
      <c r="W81" s="20">
        <f>Operations!W78*Operations!W74/1000</f>
        <v/>
      </c>
      <c r="X81" s="20">
        <f>Operations!X78*Operations!X74/1000</f>
        <v/>
      </c>
      <c r="Y81" s="20">
        <f>Operations!Y78*Operations!Y74/1000</f>
        <v/>
      </c>
      <c r="Z81" s="20">
        <f>Operations!Z78*Operations!Z74/1000</f>
        <v/>
      </c>
      <c r="AA81" s="20">
        <f>Operations!AA78*Operations!AA74/1000</f>
        <v/>
      </c>
      <c r="AB81" s="20">
        <f>Operations!AB78*Operations!AB74/1000</f>
        <v/>
      </c>
      <c r="AC81" s="20">
        <f>Operations!AC78*Operations!AC74/1000</f>
        <v/>
      </c>
      <c r="AD81" s="20">
        <f>Operations!AD78*Operations!AD74/1000</f>
        <v/>
      </c>
      <c r="AE81" s="20">
        <f>Operations!AE78*Operations!AE74/1000</f>
        <v/>
      </c>
      <c r="AF81" s="20">
        <f>Operations!AF78*Operations!AF74/1000</f>
        <v/>
      </c>
      <c r="AG81" s="20">
        <f>Operations!AG78*Operations!AG74/1000</f>
        <v/>
      </c>
      <c r="AH81" s="20">
        <f>Operations!AH78*Operations!AH74/1000</f>
        <v/>
      </c>
      <c r="AI81" s="20">
        <f>Operations!AI78*Operations!AI74/1000</f>
        <v/>
      </c>
      <c r="AJ81" s="20">
        <f>Operations!AJ78*Operations!AJ74/1000</f>
        <v/>
      </c>
      <c r="AK81" s="20">
        <f>Operations!AK78*Operations!AK74/1000</f>
        <v/>
      </c>
      <c r="AL81" s="20">
        <f>Operations!AL78*Operations!AL74/1000</f>
        <v/>
      </c>
      <c r="AM81" s="20">
        <f>Operations!AM78*Operations!AM74/1000</f>
        <v/>
      </c>
      <c r="AN81" s="20">
        <f>Operations!AN78*Operations!AN74/1000</f>
        <v/>
      </c>
      <c r="AO81" s="20">
        <f>Operations!AO78*Operations!AO74/1000</f>
        <v/>
      </c>
      <c r="AP81" s="20">
        <f>Operations!AP78*Operations!AP74/1000</f>
        <v/>
      </c>
      <c r="AQ81" s="20">
        <f>Operations!AQ78*Operations!AQ74/1000</f>
        <v/>
      </c>
      <c r="AR81" s="20">
        <f>Operations!AR78*Operations!AR74/1000</f>
        <v/>
      </c>
      <c r="AS81" s="20">
        <f>Operations!AS78*Operations!AS74/1000</f>
        <v/>
      </c>
      <c r="AT81" s="20">
        <f>Operations!AT78*Operations!AT74/1000</f>
        <v/>
      </c>
      <c r="AU81" s="20">
        <f>Operations!AU78*Operations!AU74/1000</f>
        <v/>
      </c>
    </row>
    <row r="82">
      <c r="D82" t="inlineStr">
        <is>
          <t>R1 total revenue</t>
        </is>
      </c>
      <c r="E82" t="inlineStr">
        <is>
          <t>USD m</t>
        </is>
      </c>
      <c r="G82" s="20">
        <f>SUM(J82:AU82)</f>
        <v/>
      </c>
      <c r="J82" s="20">
        <f>Operations!J81+Operations!J77</f>
        <v/>
      </c>
      <c r="K82" s="20">
        <f>Operations!K81+Operations!K77</f>
        <v/>
      </c>
      <c r="L82" s="20">
        <f>Operations!L81+Operations!L77</f>
        <v/>
      </c>
      <c r="M82" s="20">
        <f>Operations!M81+Operations!M77</f>
        <v/>
      </c>
      <c r="N82" s="20">
        <f>Operations!N81+Operations!N77</f>
        <v/>
      </c>
      <c r="O82" s="20">
        <f>Operations!O81+Operations!O77</f>
        <v/>
      </c>
      <c r="P82" s="20">
        <f>Operations!P81+Operations!P77</f>
        <v/>
      </c>
      <c r="Q82" s="20">
        <f>Operations!Q81+Operations!Q77</f>
        <v/>
      </c>
      <c r="R82" s="20">
        <f>Operations!R81+Operations!R77</f>
        <v/>
      </c>
      <c r="S82" s="20">
        <f>Operations!S81+Operations!S77</f>
        <v/>
      </c>
      <c r="T82" s="20">
        <f>Operations!T81+Operations!T77</f>
        <v/>
      </c>
      <c r="U82" s="20">
        <f>Operations!U81+Operations!U77</f>
        <v/>
      </c>
      <c r="V82" s="20">
        <f>Operations!V81+Operations!V77</f>
        <v/>
      </c>
      <c r="W82" s="20">
        <f>Operations!W81+Operations!W77</f>
        <v/>
      </c>
      <c r="X82" s="20">
        <f>Operations!X81+Operations!X77</f>
        <v/>
      </c>
      <c r="Y82" s="20">
        <f>Operations!Y81+Operations!Y77</f>
        <v/>
      </c>
      <c r="Z82" s="20">
        <f>Operations!Z81+Operations!Z77</f>
        <v/>
      </c>
      <c r="AA82" s="20">
        <f>Operations!AA81+Operations!AA77</f>
        <v/>
      </c>
      <c r="AB82" s="20">
        <f>Operations!AB81+Operations!AB77</f>
        <v/>
      </c>
      <c r="AC82" s="20">
        <f>Operations!AC81+Operations!AC77</f>
        <v/>
      </c>
      <c r="AD82" s="20">
        <f>Operations!AD81+Operations!AD77</f>
        <v/>
      </c>
      <c r="AE82" s="20">
        <f>Operations!AE81+Operations!AE77</f>
        <v/>
      </c>
      <c r="AF82" s="20">
        <f>Operations!AF81+Operations!AF77</f>
        <v/>
      </c>
      <c r="AG82" s="20">
        <f>Operations!AG81+Operations!AG77</f>
        <v/>
      </c>
      <c r="AH82" s="20">
        <f>Operations!AH81+Operations!AH77</f>
        <v/>
      </c>
      <c r="AI82" s="20">
        <f>Operations!AI81+Operations!AI77</f>
        <v/>
      </c>
      <c r="AJ82" s="20">
        <f>Operations!AJ81+Operations!AJ77</f>
        <v/>
      </c>
      <c r="AK82" s="20">
        <f>Operations!AK81+Operations!AK77</f>
        <v/>
      </c>
      <c r="AL82" s="20">
        <f>Operations!AL81+Operations!AL77</f>
        <v/>
      </c>
      <c r="AM82" s="20">
        <f>Operations!AM81+Operations!AM77</f>
        <v/>
      </c>
      <c r="AN82" s="20">
        <f>Operations!AN81+Operations!AN77</f>
        <v/>
      </c>
      <c r="AO82" s="20">
        <f>Operations!AO81+Operations!AO77</f>
        <v/>
      </c>
      <c r="AP82" s="20">
        <f>Operations!AP81+Operations!AP77</f>
        <v/>
      </c>
      <c r="AQ82" s="20">
        <f>Operations!AQ81+Operations!AQ77</f>
        <v/>
      </c>
      <c r="AR82" s="20">
        <f>Operations!AR81+Operations!AR77</f>
        <v/>
      </c>
      <c r="AS82" s="20">
        <f>Operations!AS81+Operations!AS77</f>
        <v/>
      </c>
      <c r="AT82" s="20">
        <f>Operations!AT81+Operations!AT77</f>
        <v/>
      </c>
      <c r="AU82" s="20">
        <f>Operations!AU81+Operations!AU77</f>
        <v/>
      </c>
    </row>
    <row r="83">
      <c r="D83" t="inlineStr">
        <is>
          <t>R1 merchant revenue (total less contracted and hedged)</t>
        </is>
      </c>
      <c r="E83" t="inlineStr">
        <is>
          <t>USD m</t>
        </is>
      </c>
      <c r="J83" s="20">
        <f>Operations!J82-Operations!J79-Operations!J80</f>
        <v/>
      </c>
      <c r="K83" s="20">
        <f>Operations!K82-Operations!K79-Operations!K80</f>
        <v/>
      </c>
      <c r="L83" s="20">
        <f>Operations!L82-Operations!L79-Operations!L80</f>
        <v/>
      </c>
      <c r="M83" s="20">
        <f>Operations!M82-Operations!M79-Operations!M80</f>
        <v/>
      </c>
      <c r="N83" s="20">
        <f>Operations!N82-Operations!N79-Operations!N80</f>
        <v/>
      </c>
      <c r="O83" s="20">
        <f>Operations!O82-Operations!O79-Operations!O80</f>
        <v/>
      </c>
      <c r="P83" s="20">
        <f>Operations!P82-Operations!P79-Operations!P80</f>
        <v/>
      </c>
      <c r="Q83" s="20">
        <f>Operations!Q82-Operations!Q79-Operations!Q80</f>
        <v/>
      </c>
      <c r="R83" s="20">
        <f>Operations!R82-Operations!R79-Operations!R80</f>
        <v/>
      </c>
      <c r="S83" s="20">
        <f>Operations!S82-Operations!S79-Operations!S80</f>
        <v/>
      </c>
      <c r="T83" s="20">
        <f>Operations!T82-Operations!T79-Operations!T80</f>
        <v/>
      </c>
      <c r="U83" s="20">
        <f>Operations!U82-Operations!U79-Operations!U80</f>
        <v/>
      </c>
      <c r="V83" s="20">
        <f>Operations!V82-Operations!V79-Operations!V80</f>
        <v/>
      </c>
      <c r="W83" s="20">
        <f>Operations!W82-Operations!W79-Operations!W80</f>
        <v/>
      </c>
      <c r="X83" s="20">
        <f>Operations!X82-Operations!X79-Operations!X80</f>
        <v/>
      </c>
      <c r="Y83" s="20">
        <f>Operations!Y82-Operations!Y79-Operations!Y80</f>
        <v/>
      </c>
      <c r="Z83" s="20">
        <f>Operations!Z82-Operations!Z79-Operations!Z80</f>
        <v/>
      </c>
      <c r="AA83" s="20">
        <f>Operations!AA82-Operations!AA79-Operations!AA80</f>
        <v/>
      </c>
      <c r="AB83" s="20">
        <f>Operations!AB82-Operations!AB79-Operations!AB80</f>
        <v/>
      </c>
      <c r="AC83" s="20">
        <f>Operations!AC82-Operations!AC79-Operations!AC80</f>
        <v/>
      </c>
      <c r="AD83" s="20">
        <f>Operations!AD82-Operations!AD79-Operations!AD80</f>
        <v/>
      </c>
      <c r="AE83" s="20">
        <f>Operations!AE82-Operations!AE79-Operations!AE80</f>
        <v/>
      </c>
      <c r="AF83" s="20">
        <f>Operations!AF82-Operations!AF79-Operations!AF80</f>
        <v/>
      </c>
      <c r="AG83" s="20">
        <f>Operations!AG82-Operations!AG79-Operations!AG80</f>
        <v/>
      </c>
      <c r="AH83" s="20">
        <f>Operations!AH82-Operations!AH79-Operations!AH80</f>
        <v/>
      </c>
      <c r="AI83" s="20">
        <f>Operations!AI82-Operations!AI79-Operations!AI80</f>
        <v/>
      </c>
      <c r="AJ83" s="20">
        <f>Operations!AJ82-Operations!AJ79-Operations!AJ80</f>
        <v/>
      </c>
      <c r="AK83" s="20">
        <f>Operations!AK82-Operations!AK79-Operations!AK80</f>
        <v/>
      </c>
      <c r="AL83" s="20">
        <f>Operations!AL82-Operations!AL79-Operations!AL80</f>
        <v/>
      </c>
      <c r="AM83" s="20">
        <f>Operations!AM82-Operations!AM79-Operations!AM80</f>
        <v/>
      </c>
      <c r="AN83" s="20">
        <f>Operations!AN82-Operations!AN79-Operations!AN80</f>
        <v/>
      </c>
      <c r="AO83" s="20">
        <f>Operations!AO82-Operations!AO79-Operations!AO80</f>
        <v/>
      </c>
      <c r="AP83" s="20">
        <f>Operations!AP82-Operations!AP79-Operations!AP80</f>
        <v/>
      </c>
      <c r="AQ83" s="20">
        <f>Operations!AQ82-Operations!AQ79-Operations!AQ80</f>
        <v/>
      </c>
      <c r="AR83" s="20">
        <f>Operations!AR82-Operations!AR79-Operations!AR80</f>
        <v/>
      </c>
      <c r="AS83" s="20">
        <f>Operations!AS82-Operations!AS79-Operations!AS80</f>
        <v/>
      </c>
      <c r="AT83" s="20">
        <f>Operations!AT82-Operations!AT79-Operations!AT80</f>
        <v/>
      </c>
      <c r="AU83" s="20">
        <f>Operations!AU82-Operations!AU79-Operations!AU80</f>
        <v/>
      </c>
    </row>
    <row r="84">
      <c r="D84" t="inlineStr">
        <is>
          <t>R1 opex (O&amp;M, land, insurance, property tax, site)</t>
        </is>
      </c>
      <c r="E84" t="inlineStr">
        <is>
          <t>USD m</t>
        </is>
      </c>
      <c r="J84" s="20">
        <f>Inputs!$F$92*Inputs!$F$88/1000*Time!J$9*Time!J$10*Operations!J63*Operations!$F$50</f>
        <v/>
      </c>
      <c r="K84" s="20">
        <f>Inputs!$F$92*Inputs!$F$88/1000*Time!K$9*Time!K$10*Operations!K63*Operations!$F$50</f>
        <v/>
      </c>
      <c r="L84" s="20">
        <f>Inputs!$F$92*Inputs!$F$88/1000*Time!L$9*Time!L$10*Operations!L63*Operations!$F$50</f>
        <v/>
      </c>
      <c r="M84" s="20">
        <f>Inputs!$F$92*Inputs!$F$88/1000*Time!M$9*Time!M$10*Operations!M63*Operations!$F$50</f>
        <v/>
      </c>
      <c r="N84" s="20">
        <f>Inputs!$F$92*Inputs!$F$88/1000*Time!N$9*Time!N$10*Operations!N63*Operations!$F$50</f>
        <v/>
      </c>
      <c r="O84" s="20">
        <f>Inputs!$F$92*Inputs!$F$88/1000*Time!O$9*Time!O$10*Operations!O63*Operations!$F$50</f>
        <v/>
      </c>
      <c r="P84" s="20">
        <f>Inputs!$F$92*Inputs!$F$88/1000*Time!P$9*Time!P$10*Operations!P63*Operations!$F$50</f>
        <v/>
      </c>
      <c r="Q84" s="20">
        <f>Inputs!$F$92*Inputs!$F$88/1000*Time!Q$9*Time!Q$10*Operations!Q63*Operations!$F$50</f>
        <v/>
      </c>
      <c r="R84" s="20">
        <f>Inputs!$F$92*Inputs!$F$88/1000*Time!R$9*Time!R$10*Operations!R63*Operations!$F$50</f>
        <v/>
      </c>
      <c r="S84" s="20">
        <f>Inputs!$F$92*Inputs!$F$88/1000*Time!S$9*Time!S$10*Operations!S63*Operations!$F$50</f>
        <v/>
      </c>
      <c r="T84" s="20">
        <f>Inputs!$F$92*Inputs!$F$88/1000*Time!T$9*Time!T$10*Operations!T63*Operations!$F$50</f>
        <v/>
      </c>
      <c r="U84" s="20">
        <f>Inputs!$F$92*Inputs!$F$88/1000*Time!U$9*Time!U$10*Operations!U63*Operations!$F$50</f>
        <v/>
      </c>
      <c r="V84" s="20">
        <f>Inputs!$F$92*Inputs!$F$88/1000*Time!V$9*Time!V$10*Operations!V63*Operations!$F$50</f>
        <v/>
      </c>
      <c r="W84" s="20">
        <f>Inputs!$F$92*Inputs!$F$88/1000*Time!W$9*Time!W$10*Operations!W63*Operations!$F$50</f>
        <v/>
      </c>
      <c r="X84" s="20">
        <f>Inputs!$F$92*Inputs!$F$88/1000*Time!X$9*Time!X$10*Operations!X63*Operations!$F$50</f>
        <v/>
      </c>
      <c r="Y84" s="20">
        <f>Inputs!$F$92*Inputs!$F$88/1000*Time!Y$9*Time!Y$10*Operations!Y63*Operations!$F$50</f>
        <v/>
      </c>
      <c r="Z84" s="20">
        <f>Inputs!$F$92*Inputs!$F$88/1000*Time!Z$9*Time!Z$10*Operations!Z63*Operations!$F$50</f>
        <v/>
      </c>
      <c r="AA84" s="20">
        <f>Inputs!$F$92*Inputs!$F$88/1000*Time!AA$9*Time!AA$10*Operations!AA63*Operations!$F$50</f>
        <v/>
      </c>
      <c r="AB84" s="20">
        <f>Inputs!$F$92*Inputs!$F$88/1000*Time!AB$9*Time!AB$10*Operations!AB63*Operations!$F$50</f>
        <v/>
      </c>
      <c r="AC84" s="20">
        <f>Inputs!$F$92*Inputs!$F$88/1000*Time!AC$9*Time!AC$10*Operations!AC63*Operations!$F$50</f>
        <v/>
      </c>
      <c r="AD84" s="20">
        <f>Inputs!$F$92*Inputs!$F$88/1000*Time!AD$9*Time!AD$10*Operations!AD63*Operations!$F$50</f>
        <v/>
      </c>
      <c r="AE84" s="20">
        <f>Inputs!$F$92*Inputs!$F$88/1000*Time!AE$9*Time!AE$10*Operations!AE63*Operations!$F$50</f>
        <v/>
      </c>
      <c r="AF84" s="20">
        <f>Inputs!$F$92*Inputs!$F$88/1000*Time!AF$9*Time!AF$10*Operations!AF63*Operations!$F$50</f>
        <v/>
      </c>
      <c r="AG84" s="20">
        <f>Inputs!$F$92*Inputs!$F$88/1000*Time!AG$9*Time!AG$10*Operations!AG63*Operations!$F$50</f>
        <v/>
      </c>
      <c r="AH84" s="20">
        <f>Inputs!$F$92*Inputs!$F$88/1000*Time!AH$9*Time!AH$10*Operations!AH63*Operations!$F$50</f>
        <v/>
      </c>
      <c r="AI84" s="20">
        <f>Inputs!$F$92*Inputs!$F$88/1000*Time!AI$9*Time!AI$10*Operations!AI63*Operations!$F$50</f>
        <v/>
      </c>
      <c r="AJ84" s="20">
        <f>Inputs!$F$92*Inputs!$F$88/1000*Time!AJ$9*Time!AJ$10*Operations!AJ63*Operations!$F$50</f>
        <v/>
      </c>
      <c r="AK84" s="20">
        <f>Inputs!$F$92*Inputs!$F$88/1000*Time!AK$9*Time!AK$10*Operations!AK63*Operations!$F$50</f>
        <v/>
      </c>
      <c r="AL84" s="20">
        <f>Inputs!$F$92*Inputs!$F$88/1000*Time!AL$9*Time!AL$10*Operations!AL63*Operations!$F$50</f>
        <v/>
      </c>
      <c r="AM84" s="20">
        <f>Inputs!$F$92*Inputs!$F$88/1000*Time!AM$9*Time!AM$10*Operations!AM63*Operations!$F$50</f>
        <v/>
      </c>
      <c r="AN84" s="20">
        <f>Inputs!$F$92*Inputs!$F$88/1000*Time!AN$9*Time!AN$10*Operations!AN63*Operations!$F$50</f>
        <v/>
      </c>
      <c r="AO84" s="20">
        <f>Inputs!$F$92*Inputs!$F$88/1000*Time!AO$9*Time!AO$10*Operations!AO63*Operations!$F$50</f>
        <v/>
      </c>
      <c r="AP84" s="20">
        <f>Inputs!$F$92*Inputs!$F$88/1000*Time!AP$9*Time!AP$10*Operations!AP63*Operations!$F$50</f>
        <v/>
      </c>
      <c r="AQ84" s="20">
        <f>Inputs!$F$92*Inputs!$F$88/1000*Time!AQ$9*Time!AQ$10*Operations!AQ63*Operations!$F$50</f>
        <v/>
      </c>
      <c r="AR84" s="20">
        <f>Inputs!$F$92*Inputs!$F$88/1000*Time!AR$9*Time!AR$10*Operations!AR63*Operations!$F$50</f>
        <v/>
      </c>
      <c r="AS84" s="20">
        <f>Inputs!$F$92*Inputs!$F$88/1000*Time!AS$9*Time!AS$10*Operations!AS63*Operations!$F$50</f>
        <v/>
      </c>
      <c r="AT84" s="20">
        <f>Inputs!$F$92*Inputs!$F$88/1000*Time!AT$9*Time!AT$10*Operations!AT63*Operations!$F$50</f>
        <v/>
      </c>
      <c r="AU84" s="20">
        <f>Inputs!$F$92*Inputs!$F$88/1000*Time!AU$9*Time!AU$10*Operations!AU63*Operations!$F$50</f>
        <v/>
      </c>
    </row>
    <row r="85">
      <c r="D85" t="inlineStr">
        <is>
          <t>R1 wind land lease</t>
        </is>
      </c>
      <c r="E85" t="inlineStr">
        <is>
          <t>USD m</t>
        </is>
      </c>
      <c r="J85" s="20">
        <f>Inputs!$F$232/100*Operations!J82</f>
        <v/>
      </c>
      <c r="K85" s="20">
        <f>Inputs!$F$232/100*Operations!K82</f>
        <v/>
      </c>
      <c r="L85" s="20">
        <f>Inputs!$F$232/100*Operations!L82</f>
        <v/>
      </c>
      <c r="M85" s="20">
        <f>Inputs!$F$232/100*Operations!M82</f>
        <v/>
      </c>
      <c r="N85" s="20">
        <f>Inputs!$F$232/100*Operations!N82</f>
        <v/>
      </c>
      <c r="O85" s="20">
        <f>Inputs!$F$232/100*Operations!O82</f>
        <v/>
      </c>
      <c r="P85" s="20">
        <f>Inputs!$F$232/100*Operations!P82</f>
        <v/>
      </c>
      <c r="Q85" s="20">
        <f>Inputs!$F$232/100*Operations!Q82</f>
        <v/>
      </c>
      <c r="R85" s="20">
        <f>Inputs!$F$232/100*Operations!R82</f>
        <v/>
      </c>
      <c r="S85" s="20">
        <f>Inputs!$F$232/100*Operations!S82</f>
        <v/>
      </c>
      <c r="T85" s="20">
        <f>Inputs!$F$232/100*Operations!T82</f>
        <v/>
      </c>
      <c r="U85" s="20">
        <f>Inputs!$F$232/100*Operations!U82</f>
        <v/>
      </c>
      <c r="V85" s="20">
        <f>Inputs!$F$232/100*Operations!V82</f>
        <v/>
      </c>
      <c r="W85" s="20">
        <f>Inputs!$F$232/100*Operations!W82</f>
        <v/>
      </c>
      <c r="X85" s="20">
        <f>Inputs!$F$232/100*Operations!X82</f>
        <v/>
      </c>
      <c r="Y85" s="20">
        <f>Inputs!$F$232/100*Operations!Y82</f>
        <v/>
      </c>
      <c r="Z85" s="20">
        <f>Inputs!$F$232/100*Operations!Z82</f>
        <v/>
      </c>
      <c r="AA85" s="20">
        <f>Inputs!$F$232/100*Operations!AA82</f>
        <v/>
      </c>
      <c r="AB85" s="20">
        <f>Inputs!$F$232/100*Operations!AB82</f>
        <v/>
      </c>
      <c r="AC85" s="20">
        <f>Inputs!$F$232/100*Operations!AC82</f>
        <v/>
      </c>
      <c r="AD85" s="20">
        <f>Inputs!$F$232/100*Operations!AD82</f>
        <v/>
      </c>
      <c r="AE85" s="20">
        <f>Inputs!$F$232/100*Operations!AE82</f>
        <v/>
      </c>
      <c r="AF85" s="20">
        <f>Inputs!$F$232/100*Operations!AF82</f>
        <v/>
      </c>
      <c r="AG85" s="20">
        <f>Inputs!$F$232/100*Operations!AG82</f>
        <v/>
      </c>
      <c r="AH85" s="20">
        <f>Inputs!$F$232/100*Operations!AH82</f>
        <v/>
      </c>
      <c r="AI85" s="20">
        <f>Inputs!$F$232/100*Operations!AI82</f>
        <v/>
      </c>
      <c r="AJ85" s="20">
        <f>Inputs!$F$232/100*Operations!AJ82</f>
        <v/>
      </c>
      <c r="AK85" s="20">
        <f>Inputs!$F$232/100*Operations!AK82</f>
        <v/>
      </c>
      <c r="AL85" s="20">
        <f>Inputs!$F$232/100*Operations!AL82</f>
        <v/>
      </c>
      <c r="AM85" s="20">
        <f>Inputs!$F$232/100*Operations!AM82</f>
        <v/>
      </c>
      <c r="AN85" s="20">
        <f>Inputs!$F$232/100*Operations!AN82</f>
        <v/>
      </c>
      <c r="AO85" s="20">
        <f>Inputs!$F$232/100*Operations!AO82</f>
        <v/>
      </c>
      <c r="AP85" s="20">
        <f>Inputs!$F$232/100*Operations!AP82</f>
        <v/>
      </c>
      <c r="AQ85" s="20">
        <f>Inputs!$F$232/100*Operations!AQ82</f>
        <v/>
      </c>
      <c r="AR85" s="20">
        <f>Inputs!$F$232/100*Operations!AR82</f>
        <v/>
      </c>
      <c r="AS85" s="20">
        <f>Inputs!$F$232/100*Operations!AS82</f>
        <v/>
      </c>
      <c r="AT85" s="20">
        <f>Inputs!$F$232/100*Operations!AT82</f>
        <v/>
      </c>
      <c r="AU85" s="20">
        <f>Inputs!$F$232/100*Operations!AU82</f>
        <v/>
      </c>
    </row>
    <row r="86">
      <c r="D86" t="inlineStr">
        <is>
          <t>R1 decommissioning surety cost</t>
        </is>
      </c>
      <c r="E86" t="inlineStr">
        <is>
          <t>USD m</t>
        </is>
      </c>
      <c r="J86" s="20">
        <f>Inputs!$F$236/100*Inputs!$F$93*Inputs!$F$88/1000*Time!J$9*Operations!J63</f>
        <v/>
      </c>
      <c r="K86" s="20">
        <f>Inputs!$F$236/100*Inputs!$F$93*Inputs!$F$88/1000*Time!K$9*Operations!K63</f>
        <v/>
      </c>
      <c r="L86" s="20">
        <f>Inputs!$F$236/100*Inputs!$F$93*Inputs!$F$88/1000*Time!L$9*Operations!L63</f>
        <v/>
      </c>
      <c r="M86" s="20">
        <f>Inputs!$F$236/100*Inputs!$F$93*Inputs!$F$88/1000*Time!M$9*Operations!M63</f>
        <v/>
      </c>
      <c r="N86" s="20">
        <f>Inputs!$F$236/100*Inputs!$F$93*Inputs!$F$88/1000*Time!N$9*Operations!N63</f>
        <v/>
      </c>
      <c r="O86" s="20">
        <f>Inputs!$F$236/100*Inputs!$F$93*Inputs!$F$88/1000*Time!O$9*Operations!O63</f>
        <v/>
      </c>
      <c r="P86" s="20">
        <f>Inputs!$F$236/100*Inputs!$F$93*Inputs!$F$88/1000*Time!P$9*Operations!P63</f>
        <v/>
      </c>
      <c r="Q86" s="20">
        <f>Inputs!$F$236/100*Inputs!$F$93*Inputs!$F$88/1000*Time!Q$9*Operations!Q63</f>
        <v/>
      </c>
      <c r="R86" s="20">
        <f>Inputs!$F$236/100*Inputs!$F$93*Inputs!$F$88/1000*Time!R$9*Operations!R63</f>
        <v/>
      </c>
      <c r="S86" s="20">
        <f>Inputs!$F$236/100*Inputs!$F$93*Inputs!$F$88/1000*Time!S$9*Operations!S63</f>
        <v/>
      </c>
      <c r="T86" s="20">
        <f>Inputs!$F$236/100*Inputs!$F$93*Inputs!$F$88/1000*Time!T$9*Operations!T63</f>
        <v/>
      </c>
      <c r="U86" s="20">
        <f>Inputs!$F$236/100*Inputs!$F$93*Inputs!$F$88/1000*Time!U$9*Operations!U63</f>
        <v/>
      </c>
      <c r="V86" s="20">
        <f>Inputs!$F$236/100*Inputs!$F$93*Inputs!$F$88/1000*Time!V$9*Operations!V63</f>
        <v/>
      </c>
      <c r="W86" s="20">
        <f>Inputs!$F$236/100*Inputs!$F$93*Inputs!$F$88/1000*Time!W$9*Operations!W63</f>
        <v/>
      </c>
      <c r="X86" s="20">
        <f>Inputs!$F$236/100*Inputs!$F$93*Inputs!$F$88/1000*Time!X$9*Operations!X63</f>
        <v/>
      </c>
      <c r="Y86" s="20">
        <f>Inputs!$F$236/100*Inputs!$F$93*Inputs!$F$88/1000*Time!Y$9*Operations!Y63</f>
        <v/>
      </c>
      <c r="Z86" s="20">
        <f>Inputs!$F$236/100*Inputs!$F$93*Inputs!$F$88/1000*Time!Z$9*Operations!Z63</f>
        <v/>
      </c>
      <c r="AA86" s="20">
        <f>Inputs!$F$236/100*Inputs!$F$93*Inputs!$F$88/1000*Time!AA$9*Operations!AA63</f>
        <v/>
      </c>
      <c r="AB86" s="20">
        <f>Inputs!$F$236/100*Inputs!$F$93*Inputs!$F$88/1000*Time!AB$9*Operations!AB63</f>
        <v/>
      </c>
      <c r="AC86" s="20">
        <f>Inputs!$F$236/100*Inputs!$F$93*Inputs!$F$88/1000*Time!AC$9*Operations!AC63</f>
        <v/>
      </c>
      <c r="AD86" s="20">
        <f>Inputs!$F$236/100*Inputs!$F$93*Inputs!$F$88/1000*Time!AD$9*Operations!AD63</f>
        <v/>
      </c>
      <c r="AE86" s="20">
        <f>Inputs!$F$236/100*Inputs!$F$93*Inputs!$F$88/1000*Time!AE$9*Operations!AE63</f>
        <v/>
      </c>
      <c r="AF86" s="20">
        <f>Inputs!$F$236/100*Inputs!$F$93*Inputs!$F$88/1000*Time!AF$9*Operations!AF63</f>
        <v/>
      </c>
      <c r="AG86" s="20">
        <f>Inputs!$F$236/100*Inputs!$F$93*Inputs!$F$88/1000*Time!AG$9*Operations!AG63</f>
        <v/>
      </c>
      <c r="AH86" s="20">
        <f>Inputs!$F$236/100*Inputs!$F$93*Inputs!$F$88/1000*Time!AH$9*Operations!AH63</f>
        <v/>
      </c>
      <c r="AI86" s="20">
        <f>Inputs!$F$236/100*Inputs!$F$93*Inputs!$F$88/1000*Time!AI$9*Operations!AI63</f>
        <v/>
      </c>
      <c r="AJ86" s="20">
        <f>Inputs!$F$236/100*Inputs!$F$93*Inputs!$F$88/1000*Time!AJ$9*Operations!AJ63</f>
        <v/>
      </c>
      <c r="AK86" s="20">
        <f>Inputs!$F$236/100*Inputs!$F$93*Inputs!$F$88/1000*Time!AK$9*Operations!AK63</f>
        <v/>
      </c>
      <c r="AL86" s="20">
        <f>Inputs!$F$236/100*Inputs!$F$93*Inputs!$F$88/1000*Time!AL$9*Operations!AL63</f>
        <v/>
      </c>
      <c r="AM86" s="20">
        <f>Inputs!$F$236/100*Inputs!$F$93*Inputs!$F$88/1000*Time!AM$9*Operations!AM63</f>
        <v/>
      </c>
      <c r="AN86" s="20">
        <f>Inputs!$F$236/100*Inputs!$F$93*Inputs!$F$88/1000*Time!AN$9*Operations!AN63</f>
        <v/>
      </c>
      <c r="AO86" s="20">
        <f>Inputs!$F$236/100*Inputs!$F$93*Inputs!$F$88/1000*Time!AO$9*Operations!AO63</f>
        <v/>
      </c>
      <c r="AP86" s="20">
        <f>Inputs!$F$236/100*Inputs!$F$93*Inputs!$F$88/1000*Time!AP$9*Operations!AP63</f>
        <v/>
      </c>
      <c r="AQ86" s="20">
        <f>Inputs!$F$236/100*Inputs!$F$93*Inputs!$F$88/1000*Time!AQ$9*Operations!AQ63</f>
        <v/>
      </c>
      <c r="AR86" s="20">
        <f>Inputs!$F$236/100*Inputs!$F$93*Inputs!$F$88/1000*Time!AR$9*Operations!AR63</f>
        <v/>
      </c>
      <c r="AS86" s="20">
        <f>Inputs!$F$236/100*Inputs!$F$93*Inputs!$F$88/1000*Time!AS$9*Operations!AS63</f>
        <v/>
      </c>
      <c r="AT86" s="20">
        <f>Inputs!$F$236/100*Inputs!$F$93*Inputs!$F$88/1000*Time!AT$9*Operations!AT63</f>
        <v/>
      </c>
      <c r="AU86" s="20">
        <f>Inputs!$F$236/100*Inputs!$F$93*Inputs!$F$88/1000*Time!AU$9*Operations!AU63</f>
        <v/>
      </c>
    </row>
    <row r="87">
      <c r="D87" t="inlineStr">
        <is>
          <t>R1 Texas margin tax</t>
        </is>
      </c>
      <c r="E87" t="inlineStr">
        <is>
          <t>USD m</t>
        </is>
      </c>
      <c r="J87" s="20">
        <f>Inputs!$F$237/100*Inputs!$F$238/100*Operations!J82</f>
        <v/>
      </c>
      <c r="K87" s="20">
        <f>Inputs!$F$237/100*Inputs!$F$238/100*Operations!K82</f>
        <v/>
      </c>
      <c r="L87" s="20">
        <f>Inputs!$F$237/100*Inputs!$F$238/100*Operations!L82</f>
        <v/>
      </c>
      <c r="M87" s="20">
        <f>Inputs!$F$237/100*Inputs!$F$238/100*Operations!M82</f>
        <v/>
      </c>
      <c r="N87" s="20">
        <f>Inputs!$F$237/100*Inputs!$F$238/100*Operations!N82</f>
        <v/>
      </c>
      <c r="O87" s="20">
        <f>Inputs!$F$237/100*Inputs!$F$238/100*Operations!O82</f>
        <v/>
      </c>
      <c r="P87" s="20">
        <f>Inputs!$F$237/100*Inputs!$F$238/100*Operations!P82</f>
        <v/>
      </c>
      <c r="Q87" s="20">
        <f>Inputs!$F$237/100*Inputs!$F$238/100*Operations!Q82</f>
        <v/>
      </c>
      <c r="R87" s="20">
        <f>Inputs!$F$237/100*Inputs!$F$238/100*Operations!R82</f>
        <v/>
      </c>
      <c r="S87" s="20">
        <f>Inputs!$F$237/100*Inputs!$F$238/100*Operations!S82</f>
        <v/>
      </c>
      <c r="T87" s="20">
        <f>Inputs!$F$237/100*Inputs!$F$238/100*Operations!T82</f>
        <v/>
      </c>
      <c r="U87" s="20">
        <f>Inputs!$F$237/100*Inputs!$F$238/100*Operations!U82</f>
        <v/>
      </c>
      <c r="V87" s="20">
        <f>Inputs!$F$237/100*Inputs!$F$238/100*Operations!V82</f>
        <v/>
      </c>
      <c r="W87" s="20">
        <f>Inputs!$F$237/100*Inputs!$F$238/100*Operations!W82</f>
        <v/>
      </c>
      <c r="X87" s="20">
        <f>Inputs!$F$237/100*Inputs!$F$238/100*Operations!X82</f>
        <v/>
      </c>
      <c r="Y87" s="20">
        <f>Inputs!$F$237/100*Inputs!$F$238/100*Operations!Y82</f>
        <v/>
      </c>
      <c r="Z87" s="20">
        <f>Inputs!$F$237/100*Inputs!$F$238/100*Operations!Z82</f>
        <v/>
      </c>
      <c r="AA87" s="20">
        <f>Inputs!$F$237/100*Inputs!$F$238/100*Operations!AA82</f>
        <v/>
      </c>
      <c r="AB87" s="20">
        <f>Inputs!$F$237/100*Inputs!$F$238/100*Operations!AB82</f>
        <v/>
      </c>
      <c r="AC87" s="20">
        <f>Inputs!$F$237/100*Inputs!$F$238/100*Operations!AC82</f>
        <v/>
      </c>
      <c r="AD87" s="20">
        <f>Inputs!$F$237/100*Inputs!$F$238/100*Operations!AD82</f>
        <v/>
      </c>
      <c r="AE87" s="20">
        <f>Inputs!$F$237/100*Inputs!$F$238/100*Operations!AE82</f>
        <v/>
      </c>
      <c r="AF87" s="20">
        <f>Inputs!$F$237/100*Inputs!$F$238/100*Operations!AF82</f>
        <v/>
      </c>
      <c r="AG87" s="20">
        <f>Inputs!$F$237/100*Inputs!$F$238/100*Operations!AG82</f>
        <v/>
      </c>
      <c r="AH87" s="20">
        <f>Inputs!$F$237/100*Inputs!$F$238/100*Operations!AH82</f>
        <v/>
      </c>
      <c r="AI87" s="20">
        <f>Inputs!$F$237/100*Inputs!$F$238/100*Operations!AI82</f>
        <v/>
      </c>
      <c r="AJ87" s="20">
        <f>Inputs!$F$237/100*Inputs!$F$238/100*Operations!AJ82</f>
        <v/>
      </c>
      <c r="AK87" s="20">
        <f>Inputs!$F$237/100*Inputs!$F$238/100*Operations!AK82</f>
        <v/>
      </c>
      <c r="AL87" s="20">
        <f>Inputs!$F$237/100*Inputs!$F$238/100*Operations!AL82</f>
        <v/>
      </c>
      <c r="AM87" s="20">
        <f>Inputs!$F$237/100*Inputs!$F$238/100*Operations!AM82</f>
        <v/>
      </c>
      <c r="AN87" s="20">
        <f>Inputs!$F$237/100*Inputs!$F$238/100*Operations!AN82</f>
        <v/>
      </c>
      <c r="AO87" s="20">
        <f>Inputs!$F$237/100*Inputs!$F$238/100*Operations!AO82</f>
        <v/>
      </c>
      <c r="AP87" s="20">
        <f>Inputs!$F$237/100*Inputs!$F$238/100*Operations!AP82</f>
        <v/>
      </c>
      <c r="AQ87" s="20">
        <f>Inputs!$F$237/100*Inputs!$F$238/100*Operations!AQ82</f>
        <v/>
      </c>
      <c r="AR87" s="20">
        <f>Inputs!$F$237/100*Inputs!$F$238/100*Operations!AR82</f>
        <v/>
      </c>
      <c r="AS87" s="20">
        <f>Inputs!$F$237/100*Inputs!$F$238/100*Operations!AS82</f>
        <v/>
      </c>
      <c r="AT87" s="20">
        <f>Inputs!$F$237/100*Inputs!$F$238/100*Operations!AT82</f>
        <v/>
      </c>
      <c r="AU87" s="20">
        <f>Inputs!$F$237/100*Inputs!$F$238/100*Operations!AU82</f>
        <v/>
      </c>
    </row>
    <row r="88">
      <c r="D88" t="inlineStr">
        <is>
          <t>R1 EBITDA</t>
        </is>
      </c>
      <c r="E88" t="inlineStr">
        <is>
          <t>USD m</t>
        </is>
      </c>
      <c r="G88" s="20">
        <f>SUM(J88:AU88)</f>
        <v/>
      </c>
      <c r="J88" s="20">
        <f>Operations!J82-Operations!J84-Operations!J85-Operations!J86-Operations!J87</f>
        <v/>
      </c>
      <c r="K88" s="20">
        <f>Operations!K82-Operations!K84-Operations!K85-Operations!K86-Operations!K87</f>
        <v/>
      </c>
      <c r="L88" s="20">
        <f>Operations!L82-Operations!L84-Operations!L85-Operations!L86-Operations!L87</f>
        <v/>
      </c>
      <c r="M88" s="20">
        <f>Operations!M82-Operations!M84-Operations!M85-Operations!M86-Operations!M87</f>
        <v/>
      </c>
      <c r="N88" s="20">
        <f>Operations!N82-Operations!N84-Operations!N85-Operations!N86-Operations!N87</f>
        <v/>
      </c>
      <c r="O88" s="20">
        <f>Operations!O82-Operations!O84-Operations!O85-Operations!O86-Operations!O87</f>
        <v/>
      </c>
      <c r="P88" s="20">
        <f>Operations!P82-Operations!P84-Operations!P85-Operations!P86-Operations!P87</f>
        <v/>
      </c>
      <c r="Q88" s="20">
        <f>Operations!Q82-Operations!Q84-Operations!Q85-Operations!Q86-Operations!Q87</f>
        <v/>
      </c>
      <c r="R88" s="20">
        <f>Operations!R82-Operations!R84-Operations!R85-Operations!R86-Operations!R87</f>
        <v/>
      </c>
      <c r="S88" s="20">
        <f>Operations!S82-Operations!S84-Operations!S85-Operations!S86-Operations!S87</f>
        <v/>
      </c>
      <c r="T88" s="20">
        <f>Operations!T82-Operations!T84-Operations!T85-Operations!T86-Operations!T87</f>
        <v/>
      </c>
      <c r="U88" s="20">
        <f>Operations!U82-Operations!U84-Operations!U85-Operations!U86-Operations!U87</f>
        <v/>
      </c>
      <c r="V88" s="20">
        <f>Operations!V82-Operations!V84-Operations!V85-Operations!V86-Operations!V87</f>
        <v/>
      </c>
      <c r="W88" s="20">
        <f>Operations!W82-Operations!W84-Operations!W85-Operations!W86-Operations!W87</f>
        <v/>
      </c>
      <c r="X88" s="20">
        <f>Operations!X82-Operations!X84-Operations!X85-Operations!X86-Operations!X87</f>
        <v/>
      </c>
      <c r="Y88" s="20">
        <f>Operations!Y82-Operations!Y84-Operations!Y85-Operations!Y86-Operations!Y87</f>
        <v/>
      </c>
      <c r="Z88" s="20">
        <f>Operations!Z82-Operations!Z84-Operations!Z85-Operations!Z86-Operations!Z87</f>
        <v/>
      </c>
      <c r="AA88" s="20">
        <f>Operations!AA82-Operations!AA84-Operations!AA85-Operations!AA86-Operations!AA87</f>
        <v/>
      </c>
      <c r="AB88" s="20">
        <f>Operations!AB82-Operations!AB84-Operations!AB85-Operations!AB86-Operations!AB87</f>
        <v/>
      </c>
      <c r="AC88" s="20">
        <f>Operations!AC82-Operations!AC84-Operations!AC85-Operations!AC86-Operations!AC87</f>
        <v/>
      </c>
      <c r="AD88" s="20">
        <f>Operations!AD82-Operations!AD84-Operations!AD85-Operations!AD86-Operations!AD87</f>
        <v/>
      </c>
      <c r="AE88" s="20">
        <f>Operations!AE82-Operations!AE84-Operations!AE85-Operations!AE86-Operations!AE87</f>
        <v/>
      </c>
      <c r="AF88" s="20">
        <f>Operations!AF82-Operations!AF84-Operations!AF85-Operations!AF86-Operations!AF87</f>
        <v/>
      </c>
      <c r="AG88" s="20">
        <f>Operations!AG82-Operations!AG84-Operations!AG85-Operations!AG86-Operations!AG87</f>
        <v/>
      </c>
      <c r="AH88" s="20">
        <f>Operations!AH82-Operations!AH84-Operations!AH85-Operations!AH86-Operations!AH87</f>
        <v/>
      </c>
      <c r="AI88" s="20">
        <f>Operations!AI82-Operations!AI84-Operations!AI85-Operations!AI86-Operations!AI87</f>
        <v/>
      </c>
      <c r="AJ88" s="20">
        <f>Operations!AJ82-Operations!AJ84-Operations!AJ85-Operations!AJ86-Operations!AJ87</f>
        <v/>
      </c>
      <c r="AK88" s="20">
        <f>Operations!AK82-Operations!AK84-Operations!AK85-Operations!AK86-Operations!AK87</f>
        <v/>
      </c>
      <c r="AL88" s="20">
        <f>Operations!AL82-Operations!AL84-Operations!AL85-Operations!AL86-Operations!AL87</f>
        <v/>
      </c>
      <c r="AM88" s="20">
        <f>Operations!AM82-Operations!AM84-Operations!AM85-Operations!AM86-Operations!AM87</f>
        <v/>
      </c>
      <c r="AN88" s="20">
        <f>Operations!AN82-Operations!AN84-Operations!AN85-Operations!AN86-Operations!AN87</f>
        <v/>
      </c>
      <c r="AO88" s="20">
        <f>Operations!AO82-Operations!AO84-Operations!AO85-Operations!AO86-Operations!AO87</f>
        <v/>
      </c>
      <c r="AP88" s="20">
        <f>Operations!AP82-Operations!AP84-Operations!AP85-Operations!AP86-Operations!AP87</f>
        <v/>
      </c>
      <c r="AQ88" s="20">
        <f>Operations!AQ82-Operations!AQ84-Operations!AQ85-Operations!AQ86-Operations!AQ87</f>
        <v/>
      </c>
      <c r="AR88" s="20">
        <f>Operations!AR82-Operations!AR84-Operations!AR85-Operations!AR86-Operations!AR87</f>
        <v/>
      </c>
      <c r="AS88" s="20">
        <f>Operations!AS82-Operations!AS84-Operations!AS85-Operations!AS86-Operations!AS87</f>
        <v/>
      </c>
      <c r="AT88" s="20">
        <f>Operations!AT82-Operations!AT84-Operations!AT85-Operations!AT86-Operations!AT87</f>
        <v/>
      </c>
      <c r="AU88" s="20">
        <f>Operations!AU82-Operations!AU84-Operations!AU85-Operations!AU86-Operations!AU87</f>
        <v/>
      </c>
    </row>
    <row r="89">
      <c r="D89" t="inlineStr">
        <is>
          <t>R1 capex</t>
        </is>
      </c>
      <c r="E89" t="inlineStr">
        <is>
          <t>USD m</t>
        </is>
      </c>
      <c r="J89" s="20">
        <f>0</f>
        <v/>
      </c>
      <c r="K89" s="20">
        <f>0</f>
        <v/>
      </c>
      <c r="L89" s="20">
        <f>0</f>
        <v/>
      </c>
      <c r="M89" s="20">
        <f>0</f>
        <v/>
      </c>
      <c r="N89" s="20">
        <f>0</f>
        <v/>
      </c>
      <c r="O89" s="20">
        <f>0</f>
        <v/>
      </c>
      <c r="P89" s="20">
        <f>0</f>
        <v/>
      </c>
      <c r="Q89" s="20">
        <f>0</f>
        <v/>
      </c>
      <c r="R89" s="20">
        <f>0</f>
        <v/>
      </c>
      <c r="S89" s="20">
        <f>0</f>
        <v/>
      </c>
      <c r="T89" s="20">
        <f>0</f>
        <v/>
      </c>
      <c r="U89" s="20">
        <f>0</f>
        <v/>
      </c>
      <c r="V89" s="20">
        <f>0</f>
        <v/>
      </c>
      <c r="W89" s="20">
        <f>0</f>
        <v/>
      </c>
      <c r="X89" s="20">
        <f>0</f>
        <v/>
      </c>
      <c r="Y89" s="20">
        <f>0</f>
        <v/>
      </c>
      <c r="Z89" s="20">
        <f>0</f>
        <v/>
      </c>
      <c r="AA89" s="20">
        <f>0</f>
        <v/>
      </c>
      <c r="AB89" s="20">
        <f>0</f>
        <v/>
      </c>
      <c r="AC89" s="20">
        <f>0</f>
        <v/>
      </c>
      <c r="AD89" s="20">
        <f>0</f>
        <v/>
      </c>
      <c r="AE89" s="20">
        <f>0</f>
        <v/>
      </c>
      <c r="AF89" s="20">
        <f>0</f>
        <v/>
      </c>
      <c r="AG89" s="20">
        <f>0</f>
        <v/>
      </c>
      <c r="AH89" s="20">
        <f>0</f>
        <v/>
      </c>
      <c r="AI89" s="20">
        <f>0</f>
        <v/>
      </c>
      <c r="AJ89" s="20">
        <f>0</f>
        <v/>
      </c>
      <c r="AK89" s="20">
        <f>0</f>
        <v/>
      </c>
      <c r="AL89" s="20">
        <f>0</f>
        <v/>
      </c>
      <c r="AM89" s="20">
        <f>0</f>
        <v/>
      </c>
      <c r="AN89" s="20">
        <f>0</f>
        <v/>
      </c>
      <c r="AO89" s="20">
        <f>0</f>
        <v/>
      </c>
      <c r="AP89" s="20">
        <f>0</f>
        <v/>
      </c>
      <c r="AQ89" s="20">
        <f>0</f>
        <v/>
      </c>
      <c r="AR89" s="20">
        <f>0</f>
        <v/>
      </c>
      <c r="AS89" s="20">
        <f>0</f>
        <v/>
      </c>
      <c r="AT89" s="20">
        <f>0</f>
        <v/>
      </c>
      <c r="AU89" s="20">
        <f>0</f>
        <v/>
      </c>
    </row>
    <row r="90">
      <c r="D90" t="inlineStr">
        <is>
          <t>R1 decommissioning at end of life</t>
        </is>
      </c>
      <c r="E90" t="inlineStr">
        <is>
          <t>USD m</t>
        </is>
      </c>
      <c r="J90" s="20">
        <f>IF(Time!J$4=YEAR(Inputs!$F$90),Inputs!$F$93*Inputs!$F$88/1000*Time!J$9,0)</f>
        <v/>
      </c>
      <c r="K90" s="20">
        <f>IF(Time!K$4=YEAR(Inputs!$F$90),Inputs!$F$93*Inputs!$F$88/1000*Time!K$9,0)</f>
        <v/>
      </c>
      <c r="L90" s="20">
        <f>IF(Time!L$4=YEAR(Inputs!$F$90),Inputs!$F$93*Inputs!$F$88/1000*Time!L$9,0)</f>
        <v/>
      </c>
      <c r="M90" s="20">
        <f>IF(Time!M$4=YEAR(Inputs!$F$90),Inputs!$F$93*Inputs!$F$88/1000*Time!M$9,0)</f>
        <v/>
      </c>
      <c r="N90" s="20">
        <f>IF(Time!N$4=YEAR(Inputs!$F$90),Inputs!$F$93*Inputs!$F$88/1000*Time!N$9,0)</f>
        <v/>
      </c>
      <c r="O90" s="20">
        <f>IF(Time!O$4=YEAR(Inputs!$F$90),Inputs!$F$93*Inputs!$F$88/1000*Time!O$9,0)</f>
        <v/>
      </c>
      <c r="P90" s="20">
        <f>IF(Time!P$4=YEAR(Inputs!$F$90),Inputs!$F$93*Inputs!$F$88/1000*Time!P$9,0)</f>
        <v/>
      </c>
      <c r="Q90" s="20">
        <f>IF(Time!Q$4=YEAR(Inputs!$F$90),Inputs!$F$93*Inputs!$F$88/1000*Time!Q$9,0)</f>
        <v/>
      </c>
      <c r="R90" s="20">
        <f>IF(Time!R$4=YEAR(Inputs!$F$90),Inputs!$F$93*Inputs!$F$88/1000*Time!R$9,0)</f>
        <v/>
      </c>
      <c r="S90" s="20">
        <f>IF(Time!S$4=YEAR(Inputs!$F$90),Inputs!$F$93*Inputs!$F$88/1000*Time!S$9,0)</f>
        <v/>
      </c>
      <c r="T90" s="20">
        <f>IF(Time!T$4=YEAR(Inputs!$F$90),Inputs!$F$93*Inputs!$F$88/1000*Time!T$9,0)</f>
        <v/>
      </c>
      <c r="U90" s="20">
        <f>IF(Time!U$4=YEAR(Inputs!$F$90),Inputs!$F$93*Inputs!$F$88/1000*Time!U$9,0)</f>
        <v/>
      </c>
      <c r="V90" s="20">
        <f>IF(Time!V$4=YEAR(Inputs!$F$90),Inputs!$F$93*Inputs!$F$88/1000*Time!V$9,0)</f>
        <v/>
      </c>
      <c r="W90" s="20">
        <f>IF(Time!W$4=YEAR(Inputs!$F$90),Inputs!$F$93*Inputs!$F$88/1000*Time!W$9,0)</f>
        <v/>
      </c>
      <c r="X90" s="20">
        <f>IF(Time!X$4=YEAR(Inputs!$F$90),Inputs!$F$93*Inputs!$F$88/1000*Time!X$9,0)</f>
        <v/>
      </c>
      <c r="Y90" s="20">
        <f>IF(Time!Y$4=YEAR(Inputs!$F$90),Inputs!$F$93*Inputs!$F$88/1000*Time!Y$9,0)</f>
        <v/>
      </c>
      <c r="Z90" s="20">
        <f>IF(Time!Z$4=YEAR(Inputs!$F$90),Inputs!$F$93*Inputs!$F$88/1000*Time!Z$9,0)</f>
        <v/>
      </c>
      <c r="AA90" s="20">
        <f>IF(Time!AA$4=YEAR(Inputs!$F$90),Inputs!$F$93*Inputs!$F$88/1000*Time!AA$9,0)</f>
        <v/>
      </c>
      <c r="AB90" s="20">
        <f>IF(Time!AB$4=YEAR(Inputs!$F$90),Inputs!$F$93*Inputs!$F$88/1000*Time!AB$9,0)</f>
        <v/>
      </c>
      <c r="AC90" s="20">
        <f>IF(Time!AC$4=YEAR(Inputs!$F$90),Inputs!$F$93*Inputs!$F$88/1000*Time!AC$9,0)</f>
        <v/>
      </c>
      <c r="AD90" s="20">
        <f>IF(Time!AD$4=YEAR(Inputs!$F$90),Inputs!$F$93*Inputs!$F$88/1000*Time!AD$9,0)</f>
        <v/>
      </c>
      <c r="AE90" s="20">
        <f>IF(Time!AE$4=YEAR(Inputs!$F$90),Inputs!$F$93*Inputs!$F$88/1000*Time!AE$9,0)</f>
        <v/>
      </c>
      <c r="AF90" s="20">
        <f>IF(Time!AF$4=YEAR(Inputs!$F$90),Inputs!$F$93*Inputs!$F$88/1000*Time!AF$9,0)</f>
        <v/>
      </c>
      <c r="AG90" s="20">
        <f>IF(Time!AG$4=YEAR(Inputs!$F$90),Inputs!$F$93*Inputs!$F$88/1000*Time!AG$9,0)</f>
        <v/>
      </c>
      <c r="AH90" s="20">
        <f>IF(Time!AH$4=YEAR(Inputs!$F$90),Inputs!$F$93*Inputs!$F$88/1000*Time!AH$9,0)</f>
        <v/>
      </c>
      <c r="AI90" s="20">
        <f>IF(Time!AI$4=YEAR(Inputs!$F$90),Inputs!$F$93*Inputs!$F$88/1000*Time!AI$9,0)</f>
        <v/>
      </c>
      <c r="AJ90" s="20">
        <f>IF(Time!AJ$4=YEAR(Inputs!$F$90),Inputs!$F$93*Inputs!$F$88/1000*Time!AJ$9,0)</f>
        <v/>
      </c>
      <c r="AK90" s="20">
        <f>IF(Time!AK$4=YEAR(Inputs!$F$90),Inputs!$F$93*Inputs!$F$88/1000*Time!AK$9,0)</f>
        <v/>
      </c>
      <c r="AL90" s="20">
        <f>IF(Time!AL$4=YEAR(Inputs!$F$90),Inputs!$F$93*Inputs!$F$88/1000*Time!AL$9,0)</f>
        <v/>
      </c>
      <c r="AM90" s="20">
        <f>IF(Time!AM$4=YEAR(Inputs!$F$90),Inputs!$F$93*Inputs!$F$88/1000*Time!AM$9,0)</f>
        <v/>
      </c>
      <c r="AN90" s="20">
        <f>IF(Time!AN$4=YEAR(Inputs!$F$90),Inputs!$F$93*Inputs!$F$88/1000*Time!AN$9,0)</f>
        <v/>
      </c>
      <c r="AO90" s="20">
        <f>IF(Time!AO$4=YEAR(Inputs!$F$90),Inputs!$F$93*Inputs!$F$88/1000*Time!AO$9,0)</f>
        <v/>
      </c>
      <c r="AP90" s="20">
        <f>IF(Time!AP$4=YEAR(Inputs!$F$90),Inputs!$F$93*Inputs!$F$88/1000*Time!AP$9,0)</f>
        <v/>
      </c>
      <c r="AQ90" s="20">
        <f>IF(Time!AQ$4=YEAR(Inputs!$F$90),Inputs!$F$93*Inputs!$F$88/1000*Time!AQ$9,0)</f>
        <v/>
      </c>
      <c r="AR90" s="20">
        <f>IF(Time!AR$4=YEAR(Inputs!$F$90),Inputs!$F$93*Inputs!$F$88/1000*Time!AR$9,0)</f>
        <v/>
      </c>
      <c r="AS90" s="20">
        <f>IF(Time!AS$4=YEAR(Inputs!$F$90),Inputs!$F$93*Inputs!$F$88/1000*Time!AS$9,0)</f>
        <v/>
      </c>
      <c r="AT90" s="20">
        <f>IF(Time!AT$4=YEAR(Inputs!$F$90),Inputs!$F$93*Inputs!$F$88/1000*Time!AT$9,0)</f>
        <v/>
      </c>
      <c r="AU90" s="20">
        <f>IF(Time!AU$4=YEAR(Inputs!$F$90),Inputs!$F$93*Inputs!$F$88/1000*Time!AU$9,0)</f>
        <v/>
      </c>
    </row>
    <row r="91">
      <c r="D91" t="inlineStr">
        <is>
          <t>R1 pre-tax cash flow, 100% of asset</t>
        </is>
      </c>
      <c r="E91" t="inlineStr">
        <is>
          <t>USD m</t>
        </is>
      </c>
      <c r="G91" s="20">
        <f>SUM(J91:AU91)</f>
        <v/>
      </c>
      <c r="J91" s="20">
        <f>Operations!J88-Operations!J89-Operations!J90</f>
        <v/>
      </c>
      <c r="K91" s="20">
        <f>Operations!K88-Operations!K89-Operations!K90</f>
        <v/>
      </c>
      <c r="L91" s="20">
        <f>Operations!L88-Operations!L89-Operations!L90</f>
        <v/>
      </c>
      <c r="M91" s="20">
        <f>Operations!M88-Operations!M89-Operations!M90</f>
        <v/>
      </c>
      <c r="N91" s="20">
        <f>Operations!N88-Operations!N89-Operations!N90</f>
        <v/>
      </c>
      <c r="O91" s="20">
        <f>Operations!O88-Operations!O89-Operations!O90</f>
        <v/>
      </c>
      <c r="P91" s="20">
        <f>Operations!P88-Operations!P89-Operations!P90</f>
        <v/>
      </c>
      <c r="Q91" s="20">
        <f>Operations!Q88-Operations!Q89-Operations!Q90</f>
        <v/>
      </c>
      <c r="R91" s="20">
        <f>Operations!R88-Operations!R89-Operations!R90</f>
        <v/>
      </c>
      <c r="S91" s="20">
        <f>Operations!S88-Operations!S89-Operations!S90</f>
        <v/>
      </c>
      <c r="T91" s="20">
        <f>Operations!T88-Operations!T89-Operations!T90</f>
        <v/>
      </c>
      <c r="U91" s="20">
        <f>Operations!U88-Operations!U89-Operations!U90</f>
        <v/>
      </c>
      <c r="V91" s="20">
        <f>Operations!V88-Operations!V89-Operations!V90</f>
        <v/>
      </c>
      <c r="W91" s="20">
        <f>Operations!W88-Operations!W89-Operations!W90</f>
        <v/>
      </c>
      <c r="X91" s="20">
        <f>Operations!X88-Operations!X89-Operations!X90</f>
        <v/>
      </c>
      <c r="Y91" s="20">
        <f>Operations!Y88-Operations!Y89-Operations!Y90</f>
        <v/>
      </c>
      <c r="Z91" s="20">
        <f>Operations!Z88-Operations!Z89-Operations!Z90</f>
        <v/>
      </c>
      <c r="AA91" s="20">
        <f>Operations!AA88-Operations!AA89-Operations!AA90</f>
        <v/>
      </c>
      <c r="AB91" s="20">
        <f>Operations!AB88-Operations!AB89-Operations!AB90</f>
        <v/>
      </c>
      <c r="AC91" s="20">
        <f>Operations!AC88-Operations!AC89-Operations!AC90</f>
        <v/>
      </c>
      <c r="AD91" s="20">
        <f>Operations!AD88-Operations!AD89-Operations!AD90</f>
        <v/>
      </c>
      <c r="AE91" s="20">
        <f>Operations!AE88-Operations!AE89-Operations!AE90</f>
        <v/>
      </c>
      <c r="AF91" s="20">
        <f>Operations!AF88-Operations!AF89-Operations!AF90</f>
        <v/>
      </c>
      <c r="AG91" s="20">
        <f>Operations!AG88-Operations!AG89-Operations!AG90</f>
        <v/>
      </c>
      <c r="AH91" s="20">
        <f>Operations!AH88-Operations!AH89-Operations!AH90</f>
        <v/>
      </c>
      <c r="AI91" s="20">
        <f>Operations!AI88-Operations!AI89-Operations!AI90</f>
        <v/>
      </c>
      <c r="AJ91" s="20">
        <f>Operations!AJ88-Operations!AJ89-Operations!AJ90</f>
        <v/>
      </c>
      <c r="AK91" s="20">
        <f>Operations!AK88-Operations!AK89-Operations!AK90</f>
        <v/>
      </c>
      <c r="AL91" s="20">
        <f>Operations!AL88-Operations!AL89-Operations!AL90</f>
        <v/>
      </c>
      <c r="AM91" s="20">
        <f>Operations!AM88-Operations!AM89-Operations!AM90</f>
        <v/>
      </c>
      <c r="AN91" s="20">
        <f>Operations!AN88-Operations!AN89-Operations!AN90</f>
        <v/>
      </c>
      <c r="AO91" s="20">
        <f>Operations!AO88-Operations!AO89-Operations!AO90</f>
        <v/>
      </c>
      <c r="AP91" s="20">
        <f>Operations!AP88-Operations!AP89-Operations!AP90</f>
        <v/>
      </c>
      <c r="AQ91" s="20">
        <f>Operations!AQ88-Operations!AQ89-Operations!AQ90</f>
        <v/>
      </c>
      <c r="AR91" s="20">
        <f>Operations!AR88-Operations!AR89-Operations!AR90</f>
        <v/>
      </c>
      <c r="AS91" s="20">
        <f>Operations!AS88-Operations!AS89-Operations!AS90</f>
        <v/>
      </c>
      <c r="AT91" s="20">
        <f>Operations!AT88-Operations!AT89-Operations!AT90</f>
        <v/>
      </c>
      <c r="AU91" s="20">
        <f>Operations!AU88-Operations!AU89-Operations!AU90</f>
        <v/>
      </c>
    </row>
    <row r="92">
      <c r="D92" t="inlineStr">
        <is>
          <t>R1 tax equity cash share</t>
        </is>
      </c>
      <c r="E92" t="inlineStr">
        <is>
          <t>fraction</t>
        </is>
      </c>
      <c r="J92" s="14">
        <f>0</f>
        <v/>
      </c>
      <c r="K92" s="14">
        <f>0</f>
        <v/>
      </c>
      <c r="L92" s="14">
        <f>0</f>
        <v/>
      </c>
      <c r="M92" s="14">
        <f>0</f>
        <v/>
      </c>
      <c r="N92" s="14">
        <f>0</f>
        <v/>
      </c>
      <c r="O92" s="14">
        <f>0</f>
        <v/>
      </c>
      <c r="P92" s="14">
        <f>0</f>
        <v/>
      </c>
      <c r="Q92" s="14">
        <f>0</f>
        <v/>
      </c>
      <c r="R92" s="14">
        <f>0</f>
        <v/>
      </c>
      <c r="S92" s="14">
        <f>0</f>
        <v/>
      </c>
      <c r="T92" s="14">
        <f>0</f>
        <v/>
      </c>
      <c r="U92" s="14">
        <f>0</f>
        <v/>
      </c>
      <c r="V92" s="14">
        <f>0</f>
        <v/>
      </c>
      <c r="W92" s="14">
        <f>0</f>
        <v/>
      </c>
      <c r="X92" s="14">
        <f>0</f>
        <v/>
      </c>
      <c r="Y92" s="14">
        <f>0</f>
        <v/>
      </c>
      <c r="Z92" s="14">
        <f>0</f>
        <v/>
      </c>
      <c r="AA92" s="14">
        <f>0</f>
        <v/>
      </c>
      <c r="AB92" s="14">
        <f>0</f>
        <v/>
      </c>
      <c r="AC92" s="14">
        <f>0</f>
        <v/>
      </c>
      <c r="AD92" s="14">
        <f>0</f>
        <v/>
      </c>
      <c r="AE92" s="14">
        <f>0</f>
        <v/>
      </c>
      <c r="AF92" s="14">
        <f>0</f>
        <v/>
      </c>
      <c r="AG92" s="14">
        <f>0</f>
        <v/>
      </c>
      <c r="AH92" s="14">
        <f>0</f>
        <v/>
      </c>
      <c r="AI92" s="14">
        <f>0</f>
        <v/>
      </c>
      <c r="AJ92" s="14">
        <f>0</f>
        <v/>
      </c>
      <c r="AK92" s="14">
        <f>0</f>
        <v/>
      </c>
      <c r="AL92" s="14">
        <f>0</f>
        <v/>
      </c>
      <c r="AM92" s="14">
        <f>0</f>
        <v/>
      </c>
      <c r="AN92" s="14">
        <f>0</f>
        <v/>
      </c>
      <c r="AO92" s="14">
        <f>0</f>
        <v/>
      </c>
      <c r="AP92" s="14">
        <f>0</f>
        <v/>
      </c>
      <c r="AQ92" s="14">
        <f>0</f>
        <v/>
      </c>
      <c r="AR92" s="14">
        <f>0</f>
        <v/>
      </c>
      <c r="AS92" s="14">
        <f>0</f>
        <v/>
      </c>
      <c r="AT92" s="14">
        <f>0</f>
        <v/>
      </c>
      <c r="AU92" s="14">
        <f>0</f>
        <v/>
      </c>
    </row>
    <row r="93">
      <c r="D93" t="inlineStr">
        <is>
          <t>R1 Mesa share of taxable income</t>
        </is>
      </c>
      <c r="E93" t="inlineStr">
        <is>
          <t>fraction</t>
        </is>
      </c>
      <c r="J93" s="14">
        <f>1</f>
        <v/>
      </c>
      <c r="K93" s="14">
        <f>1</f>
        <v/>
      </c>
      <c r="L93" s="14">
        <f>1</f>
        <v/>
      </c>
      <c r="M93" s="14">
        <f>1</f>
        <v/>
      </c>
      <c r="N93" s="14">
        <f>1</f>
        <v/>
      </c>
      <c r="O93" s="14">
        <f>1</f>
        <v/>
      </c>
      <c r="P93" s="14">
        <f>1</f>
        <v/>
      </c>
      <c r="Q93" s="14">
        <f>1</f>
        <v/>
      </c>
      <c r="R93" s="14">
        <f>1</f>
        <v/>
      </c>
      <c r="S93" s="14">
        <f>1</f>
        <v/>
      </c>
      <c r="T93" s="14">
        <f>1</f>
        <v/>
      </c>
      <c r="U93" s="14">
        <f>1</f>
        <v/>
      </c>
      <c r="V93" s="14">
        <f>1</f>
        <v/>
      </c>
      <c r="W93" s="14">
        <f>1</f>
        <v/>
      </c>
      <c r="X93" s="14">
        <f>1</f>
        <v/>
      </c>
      <c r="Y93" s="14">
        <f>1</f>
        <v/>
      </c>
      <c r="Z93" s="14">
        <f>1</f>
        <v/>
      </c>
      <c r="AA93" s="14">
        <f>1</f>
        <v/>
      </c>
      <c r="AB93" s="14">
        <f>1</f>
        <v/>
      </c>
      <c r="AC93" s="14">
        <f>1</f>
        <v/>
      </c>
      <c r="AD93" s="14">
        <f>1</f>
        <v/>
      </c>
      <c r="AE93" s="14">
        <f>1</f>
        <v/>
      </c>
      <c r="AF93" s="14">
        <f>1</f>
        <v/>
      </c>
      <c r="AG93" s="14">
        <f>1</f>
        <v/>
      </c>
      <c r="AH93" s="14">
        <f>1</f>
        <v/>
      </c>
      <c r="AI93" s="14">
        <f>1</f>
        <v/>
      </c>
      <c r="AJ93" s="14">
        <f>1</f>
        <v/>
      </c>
      <c r="AK93" s="14">
        <f>1</f>
        <v/>
      </c>
      <c r="AL93" s="14">
        <f>1</f>
        <v/>
      </c>
      <c r="AM93" s="14">
        <f>1</f>
        <v/>
      </c>
      <c r="AN93" s="14">
        <f>1</f>
        <v/>
      </c>
      <c r="AO93" s="14">
        <f>1</f>
        <v/>
      </c>
      <c r="AP93" s="14">
        <f>1</f>
        <v/>
      </c>
      <c r="AQ93" s="14">
        <f>1</f>
        <v/>
      </c>
      <c r="AR93" s="14">
        <f>1</f>
        <v/>
      </c>
      <c r="AS93" s="14">
        <f>1</f>
        <v/>
      </c>
      <c r="AT93" s="14">
        <f>1</f>
        <v/>
      </c>
      <c r="AU93" s="14">
        <f>1</f>
        <v/>
      </c>
    </row>
    <row r="94">
      <c r="D94" t="inlineStr">
        <is>
          <t>R1 Mesa share of cash flow</t>
        </is>
      </c>
      <c r="E94" t="inlineStr">
        <is>
          <t>USD m</t>
        </is>
      </c>
      <c r="G94" s="20">
        <f>SUM(J94:AU94)</f>
        <v/>
      </c>
      <c r="J94" s="20">
        <f>Operations!J91*(1-Operations!J92)*Operations!J65</f>
        <v/>
      </c>
      <c r="K94" s="20">
        <f>Operations!K91*(1-Operations!K92)*Operations!K65</f>
        <v/>
      </c>
      <c r="L94" s="20">
        <f>Operations!L91*(1-Operations!L92)*Operations!L65</f>
        <v/>
      </c>
      <c r="M94" s="20">
        <f>Operations!M91*(1-Operations!M92)*Operations!M65</f>
        <v/>
      </c>
      <c r="N94" s="20">
        <f>Operations!N91*(1-Operations!N92)*Operations!N65</f>
        <v/>
      </c>
      <c r="O94" s="20">
        <f>Operations!O91*(1-Operations!O92)*Operations!O65</f>
        <v/>
      </c>
      <c r="P94" s="20">
        <f>Operations!P91*(1-Operations!P92)*Operations!P65</f>
        <v/>
      </c>
      <c r="Q94" s="20">
        <f>Operations!Q91*(1-Operations!Q92)*Operations!Q65</f>
        <v/>
      </c>
      <c r="R94" s="20">
        <f>Operations!R91*(1-Operations!R92)*Operations!R65</f>
        <v/>
      </c>
      <c r="S94" s="20">
        <f>Operations!S91*(1-Operations!S92)*Operations!S65</f>
        <v/>
      </c>
      <c r="T94" s="20">
        <f>Operations!T91*(1-Operations!T92)*Operations!T65</f>
        <v/>
      </c>
      <c r="U94" s="20">
        <f>Operations!U91*(1-Operations!U92)*Operations!U65</f>
        <v/>
      </c>
      <c r="V94" s="20">
        <f>Operations!V91*(1-Operations!V92)*Operations!V65</f>
        <v/>
      </c>
      <c r="W94" s="20">
        <f>Operations!W91*(1-Operations!W92)*Operations!W65</f>
        <v/>
      </c>
      <c r="X94" s="20">
        <f>Operations!X91*(1-Operations!X92)*Operations!X65</f>
        <v/>
      </c>
      <c r="Y94" s="20">
        <f>Operations!Y91*(1-Operations!Y92)*Operations!Y65</f>
        <v/>
      </c>
      <c r="Z94" s="20">
        <f>Operations!Z91*(1-Operations!Z92)*Operations!Z65</f>
        <v/>
      </c>
      <c r="AA94" s="20">
        <f>Operations!AA91*(1-Operations!AA92)*Operations!AA65</f>
        <v/>
      </c>
      <c r="AB94" s="20">
        <f>Operations!AB91*(1-Operations!AB92)*Operations!AB65</f>
        <v/>
      </c>
      <c r="AC94" s="20">
        <f>Operations!AC91*(1-Operations!AC92)*Operations!AC65</f>
        <v/>
      </c>
      <c r="AD94" s="20">
        <f>Operations!AD91*(1-Operations!AD92)*Operations!AD65</f>
        <v/>
      </c>
      <c r="AE94" s="20">
        <f>Operations!AE91*(1-Operations!AE92)*Operations!AE65</f>
        <v/>
      </c>
      <c r="AF94" s="20">
        <f>Operations!AF91*(1-Operations!AF92)*Operations!AF65</f>
        <v/>
      </c>
      <c r="AG94" s="20">
        <f>Operations!AG91*(1-Operations!AG92)*Operations!AG65</f>
        <v/>
      </c>
      <c r="AH94" s="20">
        <f>Operations!AH91*(1-Operations!AH92)*Operations!AH65</f>
        <v/>
      </c>
      <c r="AI94" s="20">
        <f>Operations!AI91*(1-Operations!AI92)*Operations!AI65</f>
        <v/>
      </c>
      <c r="AJ94" s="20">
        <f>Operations!AJ91*(1-Operations!AJ92)*Operations!AJ65</f>
        <v/>
      </c>
      <c r="AK94" s="20">
        <f>Operations!AK91*(1-Operations!AK92)*Operations!AK65</f>
        <v/>
      </c>
      <c r="AL94" s="20">
        <f>Operations!AL91*(1-Operations!AL92)*Operations!AL65</f>
        <v/>
      </c>
      <c r="AM94" s="20">
        <f>Operations!AM91*(1-Operations!AM92)*Operations!AM65</f>
        <v/>
      </c>
      <c r="AN94" s="20">
        <f>Operations!AN91*(1-Operations!AN92)*Operations!AN65</f>
        <v/>
      </c>
      <c r="AO94" s="20">
        <f>Operations!AO91*(1-Operations!AO92)*Operations!AO65</f>
        <v/>
      </c>
      <c r="AP94" s="20">
        <f>Operations!AP91*(1-Operations!AP92)*Operations!AP65</f>
        <v/>
      </c>
      <c r="AQ94" s="20">
        <f>Operations!AQ91*(1-Operations!AQ92)*Operations!AQ65</f>
        <v/>
      </c>
      <c r="AR94" s="20">
        <f>Operations!AR91*(1-Operations!AR92)*Operations!AR65</f>
        <v/>
      </c>
      <c r="AS94" s="20">
        <f>Operations!AS91*(1-Operations!AS92)*Operations!AS65</f>
        <v/>
      </c>
      <c r="AT94" s="20">
        <f>Operations!AT91*(1-Operations!AT92)*Operations!AT65</f>
        <v/>
      </c>
      <c r="AU94" s="20">
        <f>Operations!AU91*(1-Operations!AU92)*Operations!AU65</f>
        <v/>
      </c>
    </row>
    <row r="95">
      <c r="D95" t="inlineStr">
        <is>
          <t>R1 Mesa taxable operating income</t>
        </is>
      </c>
      <c r="E95" t="inlineStr">
        <is>
          <t>USD m</t>
        </is>
      </c>
      <c r="J95" s="20">
        <f>Operations!J91*Operations!J93*Operations!J65</f>
        <v/>
      </c>
      <c r="K95" s="20">
        <f>Operations!K91*Operations!K93*Operations!K65</f>
        <v/>
      </c>
      <c r="L95" s="20">
        <f>Operations!L91*Operations!L93*Operations!L65</f>
        <v/>
      </c>
      <c r="M95" s="20">
        <f>Operations!M91*Operations!M93*Operations!M65</f>
        <v/>
      </c>
      <c r="N95" s="20">
        <f>Operations!N91*Operations!N93*Operations!N65</f>
        <v/>
      </c>
      <c r="O95" s="20">
        <f>Operations!O91*Operations!O93*Operations!O65</f>
        <v/>
      </c>
      <c r="P95" s="20">
        <f>Operations!P91*Operations!P93*Operations!P65</f>
        <v/>
      </c>
      <c r="Q95" s="20">
        <f>Operations!Q91*Operations!Q93*Operations!Q65</f>
        <v/>
      </c>
      <c r="R95" s="20">
        <f>Operations!R91*Operations!R93*Operations!R65</f>
        <v/>
      </c>
      <c r="S95" s="20">
        <f>Operations!S91*Operations!S93*Operations!S65</f>
        <v/>
      </c>
      <c r="T95" s="20">
        <f>Operations!T91*Operations!T93*Operations!T65</f>
        <v/>
      </c>
      <c r="U95" s="20">
        <f>Operations!U91*Operations!U93*Operations!U65</f>
        <v/>
      </c>
      <c r="V95" s="20">
        <f>Operations!V91*Operations!V93*Operations!V65</f>
        <v/>
      </c>
      <c r="W95" s="20">
        <f>Operations!W91*Operations!W93*Operations!W65</f>
        <v/>
      </c>
      <c r="X95" s="20">
        <f>Operations!X91*Operations!X93*Operations!X65</f>
        <v/>
      </c>
      <c r="Y95" s="20">
        <f>Operations!Y91*Operations!Y93*Operations!Y65</f>
        <v/>
      </c>
      <c r="Z95" s="20">
        <f>Operations!Z91*Operations!Z93*Operations!Z65</f>
        <v/>
      </c>
      <c r="AA95" s="20">
        <f>Operations!AA91*Operations!AA93*Operations!AA65</f>
        <v/>
      </c>
      <c r="AB95" s="20">
        <f>Operations!AB91*Operations!AB93*Operations!AB65</f>
        <v/>
      </c>
      <c r="AC95" s="20">
        <f>Operations!AC91*Operations!AC93*Operations!AC65</f>
        <v/>
      </c>
      <c r="AD95" s="20">
        <f>Operations!AD91*Operations!AD93*Operations!AD65</f>
        <v/>
      </c>
      <c r="AE95" s="20">
        <f>Operations!AE91*Operations!AE93*Operations!AE65</f>
        <v/>
      </c>
      <c r="AF95" s="20">
        <f>Operations!AF91*Operations!AF93*Operations!AF65</f>
        <v/>
      </c>
      <c r="AG95" s="20">
        <f>Operations!AG91*Operations!AG93*Operations!AG65</f>
        <v/>
      </c>
      <c r="AH95" s="20">
        <f>Operations!AH91*Operations!AH93*Operations!AH65</f>
        <v/>
      </c>
      <c r="AI95" s="20">
        <f>Operations!AI91*Operations!AI93*Operations!AI65</f>
        <v/>
      </c>
      <c r="AJ95" s="20">
        <f>Operations!AJ91*Operations!AJ93*Operations!AJ65</f>
        <v/>
      </c>
      <c r="AK95" s="20">
        <f>Operations!AK91*Operations!AK93*Operations!AK65</f>
        <v/>
      </c>
      <c r="AL95" s="20">
        <f>Operations!AL91*Operations!AL93*Operations!AL65</f>
        <v/>
      </c>
      <c r="AM95" s="20">
        <f>Operations!AM91*Operations!AM93*Operations!AM65</f>
        <v/>
      </c>
      <c r="AN95" s="20">
        <f>Operations!AN91*Operations!AN93*Operations!AN65</f>
        <v/>
      </c>
      <c r="AO95" s="20">
        <f>Operations!AO91*Operations!AO93*Operations!AO65</f>
        <v/>
      </c>
      <c r="AP95" s="20">
        <f>Operations!AP91*Operations!AP93*Operations!AP65</f>
        <v/>
      </c>
      <c r="AQ95" s="20">
        <f>Operations!AQ91*Operations!AQ93*Operations!AQ65</f>
        <v/>
      </c>
      <c r="AR95" s="20">
        <f>Operations!AR91*Operations!AR93*Operations!AR65</f>
        <v/>
      </c>
      <c r="AS95" s="20">
        <f>Operations!AS91*Operations!AS93*Operations!AS65</f>
        <v/>
      </c>
      <c r="AT95" s="20">
        <f>Operations!AT91*Operations!AT93*Operations!AT65</f>
        <v/>
      </c>
      <c r="AU95" s="20">
        <f>Operations!AU91*Operations!AU93*Operations!AU65</f>
        <v/>
      </c>
    </row>
    <row r="96">
      <c r="D96" t="inlineStr">
        <is>
          <t>R1 Mesa unlevered post-tax cash flow (before price shield)</t>
        </is>
      </c>
      <c r="E96" t="inlineStr">
        <is>
          <t>USD m</t>
        </is>
      </c>
      <c r="J96" s="20">
        <f>Operations!J94-Inputs!$F$241/100*Operations!J95</f>
        <v/>
      </c>
      <c r="K96" s="20">
        <f>Operations!K94-Inputs!$F$241/100*Operations!K95</f>
        <v/>
      </c>
      <c r="L96" s="20">
        <f>Operations!L94-Inputs!$F$241/100*Operations!L95</f>
        <v/>
      </c>
      <c r="M96" s="20">
        <f>Operations!M94-Inputs!$F$241/100*Operations!M95</f>
        <v/>
      </c>
      <c r="N96" s="20">
        <f>Operations!N94-Inputs!$F$241/100*Operations!N95</f>
        <v/>
      </c>
      <c r="O96" s="20">
        <f>Operations!O94-Inputs!$F$241/100*Operations!O95</f>
        <v/>
      </c>
      <c r="P96" s="20">
        <f>Operations!P94-Inputs!$F$241/100*Operations!P95</f>
        <v/>
      </c>
      <c r="Q96" s="20">
        <f>Operations!Q94-Inputs!$F$241/100*Operations!Q95</f>
        <v/>
      </c>
      <c r="R96" s="20">
        <f>Operations!R94-Inputs!$F$241/100*Operations!R95</f>
        <v/>
      </c>
      <c r="S96" s="20">
        <f>Operations!S94-Inputs!$F$241/100*Operations!S95</f>
        <v/>
      </c>
      <c r="T96" s="20">
        <f>Operations!T94-Inputs!$F$241/100*Operations!T95</f>
        <v/>
      </c>
      <c r="U96" s="20">
        <f>Operations!U94-Inputs!$F$241/100*Operations!U95</f>
        <v/>
      </c>
      <c r="V96" s="20">
        <f>Operations!V94-Inputs!$F$241/100*Operations!V95</f>
        <v/>
      </c>
      <c r="W96" s="20">
        <f>Operations!W94-Inputs!$F$241/100*Operations!W95</f>
        <v/>
      </c>
      <c r="X96" s="20">
        <f>Operations!X94-Inputs!$F$241/100*Operations!X95</f>
        <v/>
      </c>
      <c r="Y96" s="20">
        <f>Operations!Y94-Inputs!$F$241/100*Operations!Y95</f>
        <v/>
      </c>
      <c r="Z96" s="20">
        <f>Operations!Z94-Inputs!$F$241/100*Operations!Z95</f>
        <v/>
      </c>
      <c r="AA96" s="20">
        <f>Operations!AA94-Inputs!$F$241/100*Operations!AA95</f>
        <v/>
      </c>
      <c r="AB96" s="20">
        <f>Operations!AB94-Inputs!$F$241/100*Operations!AB95</f>
        <v/>
      </c>
      <c r="AC96" s="20">
        <f>Operations!AC94-Inputs!$F$241/100*Operations!AC95</f>
        <v/>
      </c>
      <c r="AD96" s="20">
        <f>Operations!AD94-Inputs!$F$241/100*Operations!AD95</f>
        <v/>
      </c>
      <c r="AE96" s="20">
        <f>Operations!AE94-Inputs!$F$241/100*Operations!AE95</f>
        <v/>
      </c>
      <c r="AF96" s="20">
        <f>Operations!AF94-Inputs!$F$241/100*Operations!AF95</f>
        <v/>
      </c>
      <c r="AG96" s="20">
        <f>Operations!AG94-Inputs!$F$241/100*Operations!AG95</f>
        <v/>
      </c>
      <c r="AH96" s="20">
        <f>Operations!AH94-Inputs!$F$241/100*Operations!AH95</f>
        <v/>
      </c>
      <c r="AI96" s="20">
        <f>Operations!AI94-Inputs!$F$241/100*Operations!AI95</f>
        <v/>
      </c>
      <c r="AJ96" s="20">
        <f>Operations!AJ94-Inputs!$F$241/100*Operations!AJ95</f>
        <v/>
      </c>
      <c r="AK96" s="20">
        <f>Operations!AK94-Inputs!$F$241/100*Operations!AK95</f>
        <v/>
      </c>
      <c r="AL96" s="20">
        <f>Operations!AL94-Inputs!$F$241/100*Operations!AL95</f>
        <v/>
      </c>
      <c r="AM96" s="20">
        <f>Operations!AM94-Inputs!$F$241/100*Operations!AM95</f>
        <v/>
      </c>
      <c r="AN96" s="20">
        <f>Operations!AN94-Inputs!$F$241/100*Operations!AN95</f>
        <v/>
      </c>
      <c r="AO96" s="20">
        <f>Operations!AO94-Inputs!$F$241/100*Operations!AO95</f>
        <v/>
      </c>
      <c r="AP96" s="20">
        <f>Operations!AP94-Inputs!$F$241/100*Operations!AP95</f>
        <v/>
      </c>
      <c r="AQ96" s="20">
        <f>Operations!AQ94-Inputs!$F$241/100*Operations!AQ95</f>
        <v/>
      </c>
      <c r="AR96" s="20">
        <f>Operations!AR94-Inputs!$F$241/100*Operations!AR95</f>
        <v/>
      </c>
      <c r="AS96" s="20">
        <f>Operations!AS94-Inputs!$F$241/100*Operations!AS95</f>
        <v/>
      </c>
      <c r="AT96" s="20">
        <f>Operations!AT94-Inputs!$F$241/100*Operations!AT95</f>
        <v/>
      </c>
      <c r="AU96" s="20">
        <f>Operations!AU94-Inputs!$F$241/100*Operations!AU95</f>
        <v/>
      </c>
    </row>
    <row r="97">
      <c r="D97" t="inlineStr">
        <is>
          <t>R1 contracted share of revenue</t>
        </is>
      </c>
      <c r="E97" t="inlineStr">
        <is>
          <t>fraction</t>
        </is>
      </c>
      <c r="J97" s="14">
        <f>IF(Operations!J82=0,0,Operations!J79/Operations!J82)</f>
        <v/>
      </c>
      <c r="K97" s="14">
        <f>IF(Operations!K82=0,0,Operations!K79/Operations!K82)</f>
        <v/>
      </c>
      <c r="L97" s="14">
        <f>IF(Operations!L82=0,0,Operations!L79/Operations!L82)</f>
        <v/>
      </c>
      <c r="M97" s="14">
        <f>IF(Operations!M82=0,0,Operations!M79/Operations!M82)</f>
        <v/>
      </c>
      <c r="N97" s="14">
        <f>IF(Operations!N82=0,0,Operations!N79/Operations!N82)</f>
        <v/>
      </c>
      <c r="O97" s="14">
        <f>IF(Operations!O82=0,0,Operations!O79/Operations!O82)</f>
        <v/>
      </c>
      <c r="P97" s="14">
        <f>IF(Operations!P82=0,0,Operations!P79/Operations!P82)</f>
        <v/>
      </c>
      <c r="Q97" s="14">
        <f>IF(Operations!Q82=0,0,Operations!Q79/Operations!Q82)</f>
        <v/>
      </c>
      <c r="R97" s="14">
        <f>IF(Operations!R82=0,0,Operations!R79/Operations!R82)</f>
        <v/>
      </c>
      <c r="S97" s="14">
        <f>IF(Operations!S82=0,0,Operations!S79/Operations!S82)</f>
        <v/>
      </c>
      <c r="T97" s="14">
        <f>IF(Operations!T82=0,0,Operations!T79/Operations!T82)</f>
        <v/>
      </c>
      <c r="U97" s="14">
        <f>IF(Operations!U82=0,0,Operations!U79/Operations!U82)</f>
        <v/>
      </c>
      <c r="V97" s="14">
        <f>IF(Operations!V82=0,0,Operations!V79/Operations!V82)</f>
        <v/>
      </c>
      <c r="W97" s="14">
        <f>IF(Operations!W82=0,0,Operations!W79/Operations!W82)</f>
        <v/>
      </c>
      <c r="X97" s="14">
        <f>IF(Operations!X82=0,0,Operations!X79/Operations!X82)</f>
        <v/>
      </c>
      <c r="Y97" s="14">
        <f>IF(Operations!Y82=0,0,Operations!Y79/Operations!Y82)</f>
        <v/>
      </c>
      <c r="Z97" s="14">
        <f>IF(Operations!Z82=0,0,Operations!Z79/Operations!Z82)</f>
        <v/>
      </c>
      <c r="AA97" s="14">
        <f>IF(Operations!AA82=0,0,Operations!AA79/Operations!AA82)</f>
        <v/>
      </c>
      <c r="AB97" s="14">
        <f>IF(Operations!AB82=0,0,Operations!AB79/Operations!AB82)</f>
        <v/>
      </c>
      <c r="AC97" s="14">
        <f>IF(Operations!AC82=0,0,Operations!AC79/Operations!AC82)</f>
        <v/>
      </c>
      <c r="AD97" s="14">
        <f>IF(Operations!AD82=0,0,Operations!AD79/Operations!AD82)</f>
        <v/>
      </c>
      <c r="AE97" s="14">
        <f>IF(Operations!AE82=0,0,Operations!AE79/Operations!AE82)</f>
        <v/>
      </c>
      <c r="AF97" s="14">
        <f>IF(Operations!AF82=0,0,Operations!AF79/Operations!AF82)</f>
        <v/>
      </c>
      <c r="AG97" s="14">
        <f>IF(Operations!AG82=0,0,Operations!AG79/Operations!AG82)</f>
        <v/>
      </c>
      <c r="AH97" s="14">
        <f>IF(Operations!AH82=0,0,Operations!AH79/Operations!AH82)</f>
        <v/>
      </c>
      <c r="AI97" s="14">
        <f>IF(Operations!AI82=0,0,Operations!AI79/Operations!AI82)</f>
        <v/>
      </c>
      <c r="AJ97" s="14">
        <f>IF(Operations!AJ82=0,0,Operations!AJ79/Operations!AJ82)</f>
        <v/>
      </c>
      <c r="AK97" s="14">
        <f>IF(Operations!AK82=0,0,Operations!AK79/Operations!AK82)</f>
        <v/>
      </c>
      <c r="AL97" s="14">
        <f>IF(Operations!AL82=0,0,Operations!AL79/Operations!AL82)</f>
        <v/>
      </c>
      <c r="AM97" s="14">
        <f>IF(Operations!AM82=0,0,Operations!AM79/Operations!AM82)</f>
        <v/>
      </c>
      <c r="AN97" s="14">
        <f>IF(Operations!AN82=0,0,Operations!AN79/Operations!AN82)</f>
        <v/>
      </c>
      <c r="AO97" s="14">
        <f>IF(Operations!AO82=0,0,Operations!AO79/Operations!AO82)</f>
        <v/>
      </c>
      <c r="AP97" s="14">
        <f>IF(Operations!AP82=0,0,Operations!AP79/Operations!AP82)</f>
        <v/>
      </c>
      <c r="AQ97" s="14">
        <f>IF(Operations!AQ82=0,0,Operations!AQ79/Operations!AQ82)</f>
        <v/>
      </c>
      <c r="AR97" s="14">
        <f>IF(Operations!AR82=0,0,Operations!AR79/Operations!AR82)</f>
        <v/>
      </c>
      <c r="AS97" s="14">
        <f>IF(Operations!AS82=0,0,Operations!AS79/Operations!AS82)</f>
        <v/>
      </c>
      <c r="AT97" s="14">
        <f>IF(Operations!AT82=0,0,Operations!AT79/Operations!AT82)</f>
        <v/>
      </c>
      <c r="AU97" s="14">
        <f>IF(Operations!AU82=0,0,Operations!AU79/Operations!AU82)</f>
        <v/>
      </c>
    </row>
    <row r="98">
      <c r="D98" t="inlineStr">
        <is>
          <t>R1 hedged share of revenue</t>
        </is>
      </c>
      <c r="E98" t="inlineStr">
        <is>
          <t>fraction</t>
        </is>
      </c>
      <c r="J98" s="14">
        <f>IF(Operations!J82=0,0,Operations!J80/Operations!J82)</f>
        <v/>
      </c>
      <c r="K98" s="14">
        <f>IF(Operations!K82=0,0,Operations!K80/Operations!K82)</f>
        <v/>
      </c>
      <c r="L98" s="14">
        <f>IF(Operations!L82=0,0,Operations!L80/Operations!L82)</f>
        <v/>
      </c>
      <c r="M98" s="14">
        <f>IF(Operations!M82=0,0,Operations!M80/Operations!M82)</f>
        <v/>
      </c>
      <c r="N98" s="14">
        <f>IF(Operations!N82=0,0,Operations!N80/Operations!N82)</f>
        <v/>
      </c>
      <c r="O98" s="14">
        <f>IF(Operations!O82=0,0,Operations!O80/Operations!O82)</f>
        <v/>
      </c>
      <c r="P98" s="14">
        <f>IF(Operations!P82=0,0,Operations!P80/Operations!P82)</f>
        <v/>
      </c>
      <c r="Q98" s="14">
        <f>IF(Operations!Q82=0,0,Operations!Q80/Operations!Q82)</f>
        <v/>
      </c>
      <c r="R98" s="14">
        <f>IF(Operations!R82=0,0,Operations!R80/Operations!R82)</f>
        <v/>
      </c>
      <c r="S98" s="14">
        <f>IF(Operations!S82=0,0,Operations!S80/Operations!S82)</f>
        <v/>
      </c>
      <c r="T98" s="14">
        <f>IF(Operations!T82=0,0,Operations!T80/Operations!T82)</f>
        <v/>
      </c>
      <c r="U98" s="14">
        <f>IF(Operations!U82=0,0,Operations!U80/Operations!U82)</f>
        <v/>
      </c>
      <c r="V98" s="14">
        <f>IF(Operations!V82=0,0,Operations!V80/Operations!V82)</f>
        <v/>
      </c>
      <c r="W98" s="14">
        <f>IF(Operations!W82=0,0,Operations!W80/Operations!W82)</f>
        <v/>
      </c>
      <c r="X98" s="14">
        <f>IF(Operations!X82=0,0,Operations!X80/Operations!X82)</f>
        <v/>
      </c>
      <c r="Y98" s="14">
        <f>IF(Operations!Y82=0,0,Operations!Y80/Operations!Y82)</f>
        <v/>
      </c>
      <c r="Z98" s="14">
        <f>IF(Operations!Z82=0,0,Operations!Z80/Operations!Z82)</f>
        <v/>
      </c>
      <c r="AA98" s="14">
        <f>IF(Operations!AA82=0,0,Operations!AA80/Operations!AA82)</f>
        <v/>
      </c>
      <c r="AB98" s="14">
        <f>IF(Operations!AB82=0,0,Operations!AB80/Operations!AB82)</f>
        <v/>
      </c>
      <c r="AC98" s="14">
        <f>IF(Operations!AC82=0,0,Operations!AC80/Operations!AC82)</f>
        <v/>
      </c>
      <c r="AD98" s="14">
        <f>IF(Operations!AD82=0,0,Operations!AD80/Operations!AD82)</f>
        <v/>
      </c>
      <c r="AE98" s="14">
        <f>IF(Operations!AE82=0,0,Operations!AE80/Operations!AE82)</f>
        <v/>
      </c>
      <c r="AF98" s="14">
        <f>IF(Operations!AF82=0,0,Operations!AF80/Operations!AF82)</f>
        <v/>
      </c>
      <c r="AG98" s="14">
        <f>IF(Operations!AG82=0,0,Operations!AG80/Operations!AG82)</f>
        <v/>
      </c>
      <c r="AH98" s="14">
        <f>IF(Operations!AH82=0,0,Operations!AH80/Operations!AH82)</f>
        <v/>
      </c>
      <c r="AI98" s="14">
        <f>IF(Operations!AI82=0,0,Operations!AI80/Operations!AI82)</f>
        <v/>
      </c>
      <c r="AJ98" s="14">
        <f>IF(Operations!AJ82=0,0,Operations!AJ80/Operations!AJ82)</f>
        <v/>
      </c>
      <c r="AK98" s="14">
        <f>IF(Operations!AK82=0,0,Operations!AK80/Operations!AK82)</f>
        <v/>
      </c>
      <c r="AL98" s="14">
        <f>IF(Operations!AL82=0,0,Operations!AL80/Operations!AL82)</f>
        <v/>
      </c>
      <c r="AM98" s="14">
        <f>IF(Operations!AM82=0,0,Operations!AM80/Operations!AM82)</f>
        <v/>
      </c>
      <c r="AN98" s="14">
        <f>IF(Operations!AN82=0,0,Operations!AN80/Operations!AN82)</f>
        <v/>
      </c>
      <c r="AO98" s="14">
        <f>IF(Operations!AO82=0,0,Operations!AO80/Operations!AO82)</f>
        <v/>
      </c>
      <c r="AP98" s="14">
        <f>IF(Operations!AP82=0,0,Operations!AP80/Operations!AP82)</f>
        <v/>
      </c>
      <c r="AQ98" s="14">
        <f>IF(Operations!AQ82=0,0,Operations!AQ80/Operations!AQ82)</f>
        <v/>
      </c>
      <c r="AR98" s="14">
        <f>IF(Operations!AR82=0,0,Operations!AR80/Operations!AR82)</f>
        <v/>
      </c>
      <c r="AS98" s="14">
        <f>IF(Operations!AS82=0,0,Operations!AS80/Operations!AS82)</f>
        <v/>
      </c>
      <c r="AT98" s="14">
        <f>IF(Operations!AT82=0,0,Operations!AT80/Operations!AT82)</f>
        <v/>
      </c>
      <c r="AU98" s="14">
        <f>IF(Operations!AU82=0,0,Operations!AU80/Operations!AU82)</f>
        <v/>
      </c>
    </row>
    <row r="99">
      <c r="D99" t="inlineStr">
        <is>
          <t>R1 merchant share of revenue</t>
        </is>
      </c>
      <c r="E99" t="inlineStr">
        <is>
          <t>fraction</t>
        </is>
      </c>
      <c r="J99" s="14">
        <f>1-Operations!J97-Operations!J98</f>
        <v/>
      </c>
      <c r="K99" s="14">
        <f>1-Operations!K97-Operations!K98</f>
        <v/>
      </c>
      <c r="L99" s="14">
        <f>1-Operations!L97-Operations!L98</f>
        <v/>
      </c>
      <c r="M99" s="14">
        <f>1-Operations!M97-Operations!M98</f>
        <v/>
      </c>
      <c r="N99" s="14">
        <f>1-Operations!N97-Operations!N98</f>
        <v/>
      </c>
      <c r="O99" s="14">
        <f>1-Operations!O97-Operations!O98</f>
        <v/>
      </c>
      <c r="P99" s="14">
        <f>1-Operations!P97-Operations!P98</f>
        <v/>
      </c>
      <c r="Q99" s="14">
        <f>1-Operations!Q97-Operations!Q98</f>
        <v/>
      </c>
      <c r="R99" s="14">
        <f>1-Operations!R97-Operations!R98</f>
        <v/>
      </c>
      <c r="S99" s="14">
        <f>1-Operations!S97-Operations!S98</f>
        <v/>
      </c>
      <c r="T99" s="14">
        <f>1-Operations!T97-Operations!T98</f>
        <v/>
      </c>
      <c r="U99" s="14">
        <f>1-Operations!U97-Operations!U98</f>
        <v/>
      </c>
      <c r="V99" s="14">
        <f>1-Operations!V97-Operations!V98</f>
        <v/>
      </c>
      <c r="W99" s="14">
        <f>1-Operations!W97-Operations!W98</f>
        <v/>
      </c>
      <c r="X99" s="14">
        <f>1-Operations!X97-Operations!X98</f>
        <v/>
      </c>
      <c r="Y99" s="14">
        <f>1-Operations!Y97-Operations!Y98</f>
        <v/>
      </c>
      <c r="Z99" s="14">
        <f>1-Operations!Z97-Operations!Z98</f>
        <v/>
      </c>
      <c r="AA99" s="14">
        <f>1-Operations!AA97-Operations!AA98</f>
        <v/>
      </c>
      <c r="AB99" s="14">
        <f>1-Operations!AB97-Operations!AB98</f>
        <v/>
      </c>
      <c r="AC99" s="14">
        <f>1-Operations!AC97-Operations!AC98</f>
        <v/>
      </c>
      <c r="AD99" s="14">
        <f>1-Operations!AD97-Operations!AD98</f>
        <v/>
      </c>
      <c r="AE99" s="14">
        <f>1-Operations!AE97-Operations!AE98</f>
        <v/>
      </c>
      <c r="AF99" s="14">
        <f>1-Operations!AF97-Operations!AF98</f>
        <v/>
      </c>
      <c r="AG99" s="14">
        <f>1-Operations!AG97-Operations!AG98</f>
        <v/>
      </c>
      <c r="AH99" s="14">
        <f>1-Operations!AH97-Operations!AH98</f>
        <v/>
      </c>
      <c r="AI99" s="14">
        <f>1-Operations!AI97-Operations!AI98</f>
        <v/>
      </c>
      <c r="AJ99" s="14">
        <f>1-Operations!AJ97-Operations!AJ98</f>
        <v/>
      </c>
      <c r="AK99" s="14">
        <f>1-Operations!AK97-Operations!AK98</f>
        <v/>
      </c>
      <c r="AL99" s="14">
        <f>1-Operations!AL97-Operations!AL98</f>
        <v/>
      </c>
      <c r="AM99" s="14">
        <f>1-Operations!AM97-Operations!AM98</f>
        <v/>
      </c>
      <c r="AN99" s="14">
        <f>1-Operations!AN97-Operations!AN98</f>
        <v/>
      </c>
      <c r="AO99" s="14">
        <f>1-Operations!AO97-Operations!AO98</f>
        <v/>
      </c>
      <c r="AP99" s="14">
        <f>1-Operations!AP97-Operations!AP98</f>
        <v/>
      </c>
      <c r="AQ99" s="14">
        <f>1-Operations!AQ97-Operations!AQ98</f>
        <v/>
      </c>
      <c r="AR99" s="14">
        <f>1-Operations!AR97-Operations!AR98</f>
        <v/>
      </c>
      <c r="AS99" s="14">
        <f>1-Operations!AS97-Operations!AS98</f>
        <v/>
      </c>
      <c r="AT99" s="14">
        <f>1-Operations!AT97-Operations!AT98</f>
        <v/>
      </c>
      <c r="AU99" s="14">
        <f>1-Operations!AU97-Operations!AU98</f>
        <v/>
      </c>
    </row>
    <row r="100">
      <c r="D100" t="inlineStr">
        <is>
          <t>R1 Mesa-share contracted revenue</t>
        </is>
      </c>
      <c r="E100" t="inlineStr">
        <is>
          <t>USD m</t>
        </is>
      </c>
      <c r="J100" s="20">
        <f>Operations!J79*Operations!J65*(1-Operations!J92)</f>
        <v/>
      </c>
      <c r="K100" s="20">
        <f>Operations!K79*Operations!K65*(1-Operations!K92)</f>
        <v/>
      </c>
      <c r="L100" s="20">
        <f>Operations!L79*Operations!L65*(1-Operations!L92)</f>
        <v/>
      </c>
      <c r="M100" s="20">
        <f>Operations!M79*Operations!M65*(1-Operations!M92)</f>
        <v/>
      </c>
      <c r="N100" s="20">
        <f>Operations!N79*Operations!N65*(1-Operations!N92)</f>
        <v/>
      </c>
      <c r="O100" s="20">
        <f>Operations!O79*Operations!O65*(1-Operations!O92)</f>
        <v/>
      </c>
      <c r="P100" s="20">
        <f>Operations!P79*Operations!P65*(1-Operations!P92)</f>
        <v/>
      </c>
      <c r="Q100" s="20">
        <f>Operations!Q79*Operations!Q65*(1-Operations!Q92)</f>
        <v/>
      </c>
      <c r="R100" s="20">
        <f>Operations!R79*Operations!R65*(1-Operations!R92)</f>
        <v/>
      </c>
      <c r="S100" s="20">
        <f>Operations!S79*Operations!S65*(1-Operations!S92)</f>
        <v/>
      </c>
      <c r="T100" s="20">
        <f>Operations!T79*Operations!T65*(1-Operations!T92)</f>
        <v/>
      </c>
      <c r="U100" s="20">
        <f>Operations!U79*Operations!U65*(1-Operations!U92)</f>
        <v/>
      </c>
      <c r="V100" s="20">
        <f>Operations!V79*Operations!V65*(1-Operations!V92)</f>
        <v/>
      </c>
      <c r="W100" s="20">
        <f>Operations!W79*Operations!W65*(1-Operations!W92)</f>
        <v/>
      </c>
      <c r="X100" s="20">
        <f>Operations!X79*Operations!X65*(1-Operations!X92)</f>
        <v/>
      </c>
      <c r="Y100" s="20">
        <f>Operations!Y79*Operations!Y65*(1-Operations!Y92)</f>
        <v/>
      </c>
      <c r="Z100" s="20">
        <f>Operations!Z79*Operations!Z65*(1-Operations!Z92)</f>
        <v/>
      </c>
      <c r="AA100" s="20">
        <f>Operations!AA79*Operations!AA65*(1-Operations!AA92)</f>
        <v/>
      </c>
      <c r="AB100" s="20">
        <f>Operations!AB79*Operations!AB65*(1-Operations!AB92)</f>
        <v/>
      </c>
      <c r="AC100" s="20">
        <f>Operations!AC79*Operations!AC65*(1-Operations!AC92)</f>
        <v/>
      </c>
      <c r="AD100" s="20">
        <f>Operations!AD79*Operations!AD65*(1-Operations!AD92)</f>
        <v/>
      </c>
      <c r="AE100" s="20">
        <f>Operations!AE79*Operations!AE65*(1-Operations!AE92)</f>
        <v/>
      </c>
      <c r="AF100" s="20">
        <f>Operations!AF79*Operations!AF65*(1-Operations!AF92)</f>
        <v/>
      </c>
      <c r="AG100" s="20">
        <f>Operations!AG79*Operations!AG65*(1-Operations!AG92)</f>
        <v/>
      </c>
      <c r="AH100" s="20">
        <f>Operations!AH79*Operations!AH65*(1-Operations!AH92)</f>
        <v/>
      </c>
      <c r="AI100" s="20">
        <f>Operations!AI79*Operations!AI65*(1-Operations!AI92)</f>
        <v/>
      </c>
      <c r="AJ100" s="20">
        <f>Operations!AJ79*Operations!AJ65*(1-Operations!AJ92)</f>
        <v/>
      </c>
      <c r="AK100" s="20">
        <f>Operations!AK79*Operations!AK65*(1-Operations!AK92)</f>
        <v/>
      </c>
      <c r="AL100" s="20">
        <f>Operations!AL79*Operations!AL65*(1-Operations!AL92)</f>
        <v/>
      </c>
      <c r="AM100" s="20">
        <f>Operations!AM79*Operations!AM65*(1-Operations!AM92)</f>
        <v/>
      </c>
      <c r="AN100" s="20">
        <f>Operations!AN79*Operations!AN65*(1-Operations!AN92)</f>
        <v/>
      </c>
      <c r="AO100" s="20">
        <f>Operations!AO79*Operations!AO65*(1-Operations!AO92)</f>
        <v/>
      </c>
      <c r="AP100" s="20">
        <f>Operations!AP79*Operations!AP65*(1-Operations!AP92)</f>
        <v/>
      </c>
      <c r="AQ100" s="20">
        <f>Operations!AQ79*Operations!AQ65*(1-Operations!AQ92)</f>
        <v/>
      </c>
      <c r="AR100" s="20">
        <f>Operations!AR79*Operations!AR65*(1-Operations!AR92)</f>
        <v/>
      </c>
      <c r="AS100" s="20">
        <f>Operations!AS79*Operations!AS65*(1-Operations!AS92)</f>
        <v/>
      </c>
      <c r="AT100" s="20">
        <f>Operations!AT79*Operations!AT65*(1-Operations!AT92)</f>
        <v/>
      </c>
      <c r="AU100" s="20">
        <f>Operations!AU79*Operations!AU65*(1-Operations!AU92)</f>
        <v/>
      </c>
    </row>
    <row r="101">
      <c r="D101" t="inlineStr">
        <is>
          <t>R1 Mesa-share hedged revenue</t>
        </is>
      </c>
      <c r="E101" t="inlineStr">
        <is>
          <t>USD m</t>
        </is>
      </c>
      <c r="J101" s="20">
        <f>Operations!J80*Operations!J65*(1-Operations!J92)</f>
        <v/>
      </c>
      <c r="K101" s="20">
        <f>Operations!K80*Operations!K65*(1-Operations!K92)</f>
        <v/>
      </c>
      <c r="L101" s="20">
        <f>Operations!L80*Operations!L65*(1-Operations!L92)</f>
        <v/>
      </c>
      <c r="M101" s="20">
        <f>Operations!M80*Operations!M65*(1-Operations!M92)</f>
        <v/>
      </c>
      <c r="N101" s="20">
        <f>Operations!N80*Operations!N65*(1-Operations!N92)</f>
        <v/>
      </c>
      <c r="O101" s="20">
        <f>Operations!O80*Operations!O65*(1-Operations!O92)</f>
        <v/>
      </c>
      <c r="P101" s="20">
        <f>Operations!P80*Operations!P65*(1-Operations!P92)</f>
        <v/>
      </c>
      <c r="Q101" s="20">
        <f>Operations!Q80*Operations!Q65*(1-Operations!Q92)</f>
        <v/>
      </c>
      <c r="R101" s="20">
        <f>Operations!R80*Operations!R65*(1-Operations!R92)</f>
        <v/>
      </c>
      <c r="S101" s="20">
        <f>Operations!S80*Operations!S65*(1-Operations!S92)</f>
        <v/>
      </c>
      <c r="T101" s="20">
        <f>Operations!T80*Operations!T65*(1-Operations!T92)</f>
        <v/>
      </c>
      <c r="U101" s="20">
        <f>Operations!U80*Operations!U65*(1-Operations!U92)</f>
        <v/>
      </c>
      <c r="V101" s="20">
        <f>Operations!V80*Operations!V65*(1-Operations!V92)</f>
        <v/>
      </c>
      <c r="W101" s="20">
        <f>Operations!W80*Operations!W65*(1-Operations!W92)</f>
        <v/>
      </c>
      <c r="X101" s="20">
        <f>Operations!X80*Operations!X65*(1-Operations!X92)</f>
        <v/>
      </c>
      <c r="Y101" s="20">
        <f>Operations!Y80*Operations!Y65*(1-Operations!Y92)</f>
        <v/>
      </c>
      <c r="Z101" s="20">
        <f>Operations!Z80*Operations!Z65*(1-Operations!Z92)</f>
        <v/>
      </c>
      <c r="AA101" s="20">
        <f>Operations!AA80*Operations!AA65*(1-Operations!AA92)</f>
        <v/>
      </c>
      <c r="AB101" s="20">
        <f>Operations!AB80*Operations!AB65*(1-Operations!AB92)</f>
        <v/>
      </c>
      <c r="AC101" s="20">
        <f>Operations!AC80*Operations!AC65*(1-Operations!AC92)</f>
        <v/>
      </c>
      <c r="AD101" s="20">
        <f>Operations!AD80*Operations!AD65*(1-Operations!AD92)</f>
        <v/>
      </c>
      <c r="AE101" s="20">
        <f>Operations!AE80*Operations!AE65*(1-Operations!AE92)</f>
        <v/>
      </c>
      <c r="AF101" s="20">
        <f>Operations!AF80*Operations!AF65*(1-Operations!AF92)</f>
        <v/>
      </c>
      <c r="AG101" s="20">
        <f>Operations!AG80*Operations!AG65*(1-Operations!AG92)</f>
        <v/>
      </c>
      <c r="AH101" s="20">
        <f>Operations!AH80*Operations!AH65*(1-Operations!AH92)</f>
        <v/>
      </c>
      <c r="AI101" s="20">
        <f>Operations!AI80*Operations!AI65*(1-Operations!AI92)</f>
        <v/>
      </c>
      <c r="AJ101" s="20">
        <f>Operations!AJ80*Operations!AJ65*(1-Operations!AJ92)</f>
        <v/>
      </c>
      <c r="AK101" s="20">
        <f>Operations!AK80*Operations!AK65*(1-Operations!AK92)</f>
        <v/>
      </c>
      <c r="AL101" s="20">
        <f>Operations!AL80*Operations!AL65*(1-Operations!AL92)</f>
        <v/>
      </c>
      <c r="AM101" s="20">
        <f>Operations!AM80*Operations!AM65*(1-Operations!AM92)</f>
        <v/>
      </c>
      <c r="AN101" s="20">
        <f>Operations!AN80*Operations!AN65*(1-Operations!AN92)</f>
        <v/>
      </c>
      <c r="AO101" s="20">
        <f>Operations!AO80*Operations!AO65*(1-Operations!AO92)</f>
        <v/>
      </c>
      <c r="AP101" s="20">
        <f>Operations!AP80*Operations!AP65*(1-Operations!AP92)</f>
        <v/>
      </c>
      <c r="AQ101" s="20">
        <f>Operations!AQ80*Operations!AQ65*(1-Operations!AQ92)</f>
        <v/>
      </c>
      <c r="AR101" s="20">
        <f>Operations!AR80*Operations!AR65*(1-Operations!AR92)</f>
        <v/>
      </c>
      <c r="AS101" s="20">
        <f>Operations!AS80*Operations!AS65*(1-Operations!AS92)</f>
        <v/>
      </c>
      <c r="AT101" s="20">
        <f>Operations!AT80*Operations!AT65*(1-Operations!AT92)</f>
        <v/>
      </c>
      <c r="AU101" s="20">
        <f>Operations!AU80*Operations!AU65*(1-Operations!AU92)</f>
        <v/>
      </c>
    </row>
    <row r="102">
      <c r="D102" t="inlineStr">
        <is>
          <t>R1 Mesa-share merchant revenue</t>
        </is>
      </c>
      <c r="E102" t="inlineStr">
        <is>
          <t>USD m</t>
        </is>
      </c>
      <c r="J102" s="20">
        <f>Operations!J83*Operations!J65*(1-Operations!J92)</f>
        <v/>
      </c>
      <c r="K102" s="20">
        <f>Operations!K83*Operations!K65*(1-Operations!K92)</f>
        <v/>
      </c>
      <c r="L102" s="20">
        <f>Operations!L83*Operations!L65*(1-Operations!L92)</f>
        <v/>
      </c>
      <c r="M102" s="20">
        <f>Operations!M83*Operations!M65*(1-Operations!M92)</f>
        <v/>
      </c>
      <c r="N102" s="20">
        <f>Operations!N83*Operations!N65*(1-Operations!N92)</f>
        <v/>
      </c>
      <c r="O102" s="20">
        <f>Operations!O83*Operations!O65*(1-Operations!O92)</f>
        <v/>
      </c>
      <c r="P102" s="20">
        <f>Operations!P83*Operations!P65*(1-Operations!P92)</f>
        <v/>
      </c>
      <c r="Q102" s="20">
        <f>Operations!Q83*Operations!Q65*(1-Operations!Q92)</f>
        <v/>
      </c>
      <c r="R102" s="20">
        <f>Operations!R83*Operations!R65*(1-Operations!R92)</f>
        <v/>
      </c>
      <c r="S102" s="20">
        <f>Operations!S83*Operations!S65*(1-Operations!S92)</f>
        <v/>
      </c>
      <c r="T102" s="20">
        <f>Operations!T83*Operations!T65*(1-Operations!T92)</f>
        <v/>
      </c>
      <c r="U102" s="20">
        <f>Operations!U83*Operations!U65*(1-Operations!U92)</f>
        <v/>
      </c>
      <c r="V102" s="20">
        <f>Operations!V83*Operations!V65*(1-Operations!V92)</f>
        <v/>
      </c>
      <c r="W102" s="20">
        <f>Operations!W83*Operations!W65*(1-Operations!W92)</f>
        <v/>
      </c>
      <c r="X102" s="20">
        <f>Operations!X83*Operations!X65*(1-Operations!X92)</f>
        <v/>
      </c>
      <c r="Y102" s="20">
        <f>Operations!Y83*Operations!Y65*(1-Operations!Y92)</f>
        <v/>
      </c>
      <c r="Z102" s="20">
        <f>Operations!Z83*Operations!Z65*(1-Operations!Z92)</f>
        <v/>
      </c>
      <c r="AA102" s="20">
        <f>Operations!AA83*Operations!AA65*(1-Operations!AA92)</f>
        <v/>
      </c>
      <c r="AB102" s="20">
        <f>Operations!AB83*Operations!AB65*(1-Operations!AB92)</f>
        <v/>
      </c>
      <c r="AC102" s="20">
        <f>Operations!AC83*Operations!AC65*(1-Operations!AC92)</f>
        <v/>
      </c>
      <c r="AD102" s="20">
        <f>Operations!AD83*Operations!AD65*(1-Operations!AD92)</f>
        <v/>
      </c>
      <c r="AE102" s="20">
        <f>Operations!AE83*Operations!AE65*(1-Operations!AE92)</f>
        <v/>
      </c>
      <c r="AF102" s="20">
        <f>Operations!AF83*Operations!AF65*(1-Operations!AF92)</f>
        <v/>
      </c>
      <c r="AG102" s="20">
        <f>Operations!AG83*Operations!AG65*(1-Operations!AG92)</f>
        <v/>
      </c>
      <c r="AH102" s="20">
        <f>Operations!AH83*Operations!AH65*(1-Operations!AH92)</f>
        <v/>
      </c>
      <c r="AI102" s="20">
        <f>Operations!AI83*Operations!AI65*(1-Operations!AI92)</f>
        <v/>
      </c>
      <c r="AJ102" s="20">
        <f>Operations!AJ83*Operations!AJ65*(1-Operations!AJ92)</f>
        <v/>
      </c>
      <c r="AK102" s="20">
        <f>Operations!AK83*Operations!AK65*(1-Operations!AK92)</f>
        <v/>
      </c>
      <c r="AL102" s="20">
        <f>Operations!AL83*Operations!AL65*(1-Operations!AL92)</f>
        <v/>
      </c>
      <c r="AM102" s="20">
        <f>Operations!AM83*Operations!AM65*(1-Operations!AM92)</f>
        <v/>
      </c>
      <c r="AN102" s="20">
        <f>Operations!AN83*Operations!AN65*(1-Operations!AN92)</f>
        <v/>
      </c>
      <c r="AO102" s="20">
        <f>Operations!AO83*Operations!AO65*(1-Operations!AO92)</f>
        <v/>
      </c>
      <c r="AP102" s="20">
        <f>Operations!AP83*Operations!AP65*(1-Operations!AP92)</f>
        <v/>
      </c>
      <c r="AQ102" s="20">
        <f>Operations!AQ83*Operations!AQ65*(1-Operations!AQ92)</f>
        <v/>
      </c>
      <c r="AR102" s="20">
        <f>Operations!AR83*Operations!AR65*(1-Operations!AR92)</f>
        <v/>
      </c>
      <c r="AS102" s="20">
        <f>Operations!AS83*Operations!AS65*(1-Operations!AS92)</f>
        <v/>
      </c>
      <c r="AT102" s="20">
        <f>Operations!AT83*Operations!AT65*(1-Operations!AT92)</f>
        <v/>
      </c>
      <c r="AU102" s="20">
        <f>Operations!AU83*Operations!AU65*(1-Operations!AU92)</f>
        <v/>
      </c>
    </row>
    <row r="103">
      <c r="D103" t="inlineStr">
        <is>
          <t>R1 Mesa-share revenue</t>
        </is>
      </c>
      <c r="E103" t="inlineStr">
        <is>
          <t>USD m</t>
        </is>
      </c>
      <c r="J103" s="20">
        <f>Operations!J82*Operations!J65*(1-Operations!J92)</f>
        <v/>
      </c>
      <c r="K103" s="20">
        <f>Operations!K82*Operations!K65*(1-Operations!K92)</f>
        <v/>
      </c>
      <c r="L103" s="20">
        <f>Operations!L82*Operations!L65*(1-Operations!L92)</f>
        <v/>
      </c>
      <c r="M103" s="20">
        <f>Operations!M82*Operations!M65*(1-Operations!M92)</f>
        <v/>
      </c>
      <c r="N103" s="20">
        <f>Operations!N82*Operations!N65*(1-Operations!N92)</f>
        <v/>
      </c>
      <c r="O103" s="20">
        <f>Operations!O82*Operations!O65*(1-Operations!O92)</f>
        <v/>
      </c>
      <c r="P103" s="20">
        <f>Operations!P82*Operations!P65*(1-Operations!P92)</f>
        <v/>
      </c>
      <c r="Q103" s="20">
        <f>Operations!Q82*Operations!Q65*(1-Operations!Q92)</f>
        <v/>
      </c>
      <c r="R103" s="20">
        <f>Operations!R82*Operations!R65*(1-Operations!R92)</f>
        <v/>
      </c>
      <c r="S103" s="20">
        <f>Operations!S82*Operations!S65*(1-Operations!S92)</f>
        <v/>
      </c>
      <c r="T103" s="20">
        <f>Operations!T82*Operations!T65*(1-Operations!T92)</f>
        <v/>
      </c>
      <c r="U103" s="20">
        <f>Operations!U82*Operations!U65*(1-Operations!U92)</f>
        <v/>
      </c>
      <c r="V103" s="20">
        <f>Operations!V82*Operations!V65*(1-Operations!V92)</f>
        <v/>
      </c>
      <c r="W103" s="20">
        <f>Operations!W82*Operations!W65*(1-Operations!W92)</f>
        <v/>
      </c>
      <c r="X103" s="20">
        <f>Operations!X82*Operations!X65*(1-Operations!X92)</f>
        <v/>
      </c>
      <c r="Y103" s="20">
        <f>Operations!Y82*Operations!Y65*(1-Operations!Y92)</f>
        <v/>
      </c>
      <c r="Z103" s="20">
        <f>Operations!Z82*Operations!Z65*(1-Operations!Z92)</f>
        <v/>
      </c>
      <c r="AA103" s="20">
        <f>Operations!AA82*Operations!AA65*(1-Operations!AA92)</f>
        <v/>
      </c>
      <c r="AB103" s="20">
        <f>Operations!AB82*Operations!AB65*(1-Operations!AB92)</f>
        <v/>
      </c>
      <c r="AC103" s="20">
        <f>Operations!AC82*Operations!AC65*(1-Operations!AC92)</f>
        <v/>
      </c>
      <c r="AD103" s="20">
        <f>Operations!AD82*Operations!AD65*(1-Operations!AD92)</f>
        <v/>
      </c>
      <c r="AE103" s="20">
        <f>Operations!AE82*Operations!AE65*(1-Operations!AE92)</f>
        <v/>
      </c>
      <c r="AF103" s="20">
        <f>Operations!AF82*Operations!AF65*(1-Operations!AF92)</f>
        <v/>
      </c>
      <c r="AG103" s="20">
        <f>Operations!AG82*Operations!AG65*(1-Operations!AG92)</f>
        <v/>
      </c>
      <c r="AH103" s="20">
        <f>Operations!AH82*Operations!AH65*(1-Operations!AH92)</f>
        <v/>
      </c>
      <c r="AI103" s="20">
        <f>Operations!AI82*Operations!AI65*(1-Operations!AI92)</f>
        <v/>
      </c>
      <c r="AJ103" s="20">
        <f>Operations!AJ82*Operations!AJ65*(1-Operations!AJ92)</f>
        <v/>
      </c>
      <c r="AK103" s="20">
        <f>Operations!AK82*Operations!AK65*(1-Operations!AK92)</f>
        <v/>
      </c>
      <c r="AL103" s="20">
        <f>Operations!AL82*Operations!AL65*(1-Operations!AL92)</f>
        <v/>
      </c>
      <c r="AM103" s="20">
        <f>Operations!AM82*Operations!AM65*(1-Operations!AM92)</f>
        <v/>
      </c>
      <c r="AN103" s="20">
        <f>Operations!AN82*Operations!AN65*(1-Operations!AN92)</f>
        <v/>
      </c>
      <c r="AO103" s="20">
        <f>Operations!AO82*Operations!AO65*(1-Operations!AO92)</f>
        <v/>
      </c>
      <c r="AP103" s="20">
        <f>Operations!AP82*Operations!AP65*(1-Operations!AP92)</f>
        <v/>
      </c>
      <c r="AQ103" s="20">
        <f>Operations!AQ82*Operations!AQ65*(1-Operations!AQ92)</f>
        <v/>
      </c>
      <c r="AR103" s="20">
        <f>Operations!AR82*Operations!AR65*(1-Operations!AR92)</f>
        <v/>
      </c>
      <c r="AS103" s="20">
        <f>Operations!AS82*Operations!AS65*(1-Operations!AS92)</f>
        <v/>
      </c>
      <c r="AT103" s="20">
        <f>Operations!AT82*Operations!AT65*(1-Operations!AT92)</f>
        <v/>
      </c>
      <c r="AU103" s="20">
        <f>Operations!AU82*Operations!AU65*(1-Operations!AU92)</f>
        <v/>
      </c>
    </row>
    <row r="104">
      <c r="D104" s="19" t="inlineStr">
        <is>
          <t>R2 Sandoval Hills Wind (onshore wind (coastal))</t>
        </is>
      </c>
    </row>
    <row r="105">
      <c r="D105" t="inlineStr">
        <is>
          <t>R2 operating fraction</t>
        </is>
      </c>
      <c r="E105" t="inlineStr">
        <is>
          <t>fraction</t>
        </is>
      </c>
      <c r="J105" s="14">
        <f>MAX(0,MIN(Inputs!$F$101,Time!J$6)-MAX(Inputs!$F$100,Time!J$5))/Time!J$7</f>
        <v/>
      </c>
      <c r="K105" s="14">
        <f>MAX(0,MIN(Inputs!$F$101,Time!K$6)-MAX(Inputs!$F$100,Time!K$5))/Time!K$7</f>
        <v/>
      </c>
      <c r="L105" s="14">
        <f>MAX(0,MIN(Inputs!$F$101,Time!L$6)-MAX(Inputs!$F$100,Time!L$5))/Time!L$7</f>
        <v/>
      </c>
      <c r="M105" s="14">
        <f>MAX(0,MIN(Inputs!$F$101,Time!M$6)-MAX(Inputs!$F$100,Time!M$5))/Time!M$7</f>
        <v/>
      </c>
      <c r="N105" s="14">
        <f>MAX(0,MIN(Inputs!$F$101,Time!N$6)-MAX(Inputs!$F$100,Time!N$5))/Time!N$7</f>
        <v/>
      </c>
      <c r="O105" s="14">
        <f>MAX(0,MIN(Inputs!$F$101,Time!O$6)-MAX(Inputs!$F$100,Time!O$5))/Time!O$7</f>
        <v/>
      </c>
      <c r="P105" s="14">
        <f>MAX(0,MIN(Inputs!$F$101,Time!P$6)-MAX(Inputs!$F$100,Time!P$5))/Time!P$7</f>
        <v/>
      </c>
      <c r="Q105" s="14">
        <f>MAX(0,MIN(Inputs!$F$101,Time!Q$6)-MAX(Inputs!$F$100,Time!Q$5))/Time!Q$7</f>
        <v/>
      </c>
      <c r="R105" s="14">
        <f>MAX(0,MIN(Inputs!$F$101,Time!R$6)-MAX(Inputs!$F$100,Time!R$5))/Time!R$7</f>
        <v/>
      </c>
      <c r="S105" s="14">
        <f>MAX(0,MIN(Inputs!$F$101,Time!S$6)-MAX(Inputs!$F$100,Time!S$5))/Time!S$7</f>
        <v/>
      </c>
      <c r="T105" s="14">
        <f>MAX(0,MIN(Inputs!$F$101,Time!T$6)-MAX(Inputs!$F$100,Time!T$5))/Time!T$7</f>
        <v/>
      </c>
      <c r="U105" s="14">
        <f>MAX(0,MIN(Inputs!$F$101,Time!U$6)-MAX(Inputs!$F$100,Time!U$5))/Time!U$7</f>
        <v/>
      </c>
      <c r="V105" s="14">
        <f>MAX(0,MIN(Inputs!$F$101,Time!V$6)-MAX(Inputs!$F$100,Time!V$5))/Time!V$7</f>
        <v/>
      </c>
      <c r="W105" s="14">
        <f>MAX(0,MIN(Inputs!$F$101,Time!W$6)-MAX(Inputs!$F$100,Time!W$5))/Time!W$7</f>
        <v/>
      </c>
      <c r="X105" s="14">
        <f>MAX(0,MIN(Inputs!$F$101,Time!X$6)-MAX(Inputs!$F$100,Time!X$5))/Time!X$7</f>
        <v/>
      </c>
      <c r="Y105" s="14">
        <f>MAX(0,MIN(Inputs!$F$101,Time!Y$6)-MAX(Inputs!$F$100,Time!Y$5))/Time!Y$7</f>
        <v/>
      </c>
      <c r="Z105" s="14">
        <f>MAX(0,MIN(Inputs!$F$101,Time!Z$6)-MAX(Inputs!$F$100,Time!Z$5))/Time!Z$7</f>
        <v/>
      </c>
      <c r="AA105" s="14">
        <f>MAX(0,MIN(Inputs!$F$101,Time!AA$6)-MAX(Inputs!$F$100,Time!AA$5))/Time!AA$7</f>
        <v/>
      </c>
      <c r="AB105" s="14">
        <f>MAX(0,MIN(Inputs!$F$101,Time!AB$6)-MAX(Inputs!$F$100,Time!AB$5))/Time!AB$7</f>
        <v/>
      </c>
      <c r="AC105" s="14">
        <f>MAX(0,MIN(Inputs!$F$101,Time!AC$6)-MAX(Inputs!$F$100,Time!AC$5))/Time!AC$7</f>
        <v/>
      </c>
      <c r="AD105" s="14">
        <f>MAX(0,MIN(Inputs!$F$101,Time!AD$6)-MAX(Inputs!$F$100,Time!AD$5))/Time!AD$7</f>
        <v/>
      </c>
      <c r="AE105" s="14">
        <f>MAX(0,MIN(Inputs!$F$101,Time!AE$6)-MAX(Inputs!$F$100,Time!AE$5))/Time!AE$7</f>
        <v/>
      </c>
      <c r="AF105" s="14">
        <f>MAX(0,MIN(Inputs!$F$101,Time!AF$6)-MAX(Inputs!$F$100,Time!AF$5))/Time!AF$7</f>
        <v/>
      </c>
      <c r="AG105" s="14">
        <f>MAX(0,MIN(Inputs!$F$101,Time!AG$6)-MAX(Inputs!$F$100,Time!AG$5))/Time!AG$7</f>
        <v/>
      </c>
      <c r="AH105" s="14">
        <f>MAX(0,MIN(Inputs!$F$101,Time!AH$6)-MAX(Inputs!$F$100,Time!AH$5))/Time!AH$7</f>
        <v/>
      </c>
      <c r="AI105" s="14">
        <f>MAX(0,MIN(Inputs!$F$101,Time!AI$6)-MAX(Inputs!$F$100,Time!AI$5))/Time!AI$7</f>
        <v/>
      </c>
      <c r="AJ105" s="14">
        <f>MAX(0,MIN(Inputs!$F$101,Time!AJ$6)-MAX(Inputs!$F$100,Time!AJ$5))/Time!AJ$7</f>
        <v/>
      </c>
      <c r="AK105" s="14">
        <f>MAX(0,MIN(Inputs!$F$101,Time!AK$6)-MAX(Inputs!$F$100,Time!AK$5))/Time!AK$7</f>
        <v/>
      </c>
      <c r="AL105" s="14">
        <f>MAX(0,MIN(Inputs!$F$101,Time!AL$6)-MAX(Inputs!$F$100,Time!AL$5))/Time!AL$7</f>
        <v/>
      </c>
      <c r="AM105" s="14">
        <f>MAX(0,MIN(Inputs!$F$101,Time!AM$6)-MAX(Inputs!$F$100,Time!AM$5))/Time!AM$7</f>
        <v/>
      </c>
      <c r="AN105" s="14">
        <f>MAX(0,MIN(Inputs!$F$101,Time!AN$6)-MAX(Inputs!$F$100,Time!AN$5))/Time!AN$7</f>
        <v/>
      </c>
      <c r="AO105" s="14">
        <f>MAX(0,MIN(Inputs!$F$101,Time!AO$6)-MAX(Inputs!$F$100,Time!AO$5))/Time!AO$7</f>
        <v/>
      </c>
      <c r="AP105" s="14">
        <f>MAX(0,MIN(Inputs!$F$101,Time!AP$6)-MAX(Inputs!$F$100,Time!AP$5))/Time!AP$7</f>
        <v/>
      </c>
      <c r="AQ105" s="14">
        <f>MAX(0,MIN(Inputs!$F$101,Time!AQ$6)-MAX(Inputs!$F$100,Time!AQ$5))/Time!AQ$7</f>
        <v/>
      </c>
      <c r="AR105" s="14">
        <f>MAX(0,MIN(Inputs!$F$101,Time!AR$6)-MAX(Inputs!$F$100,Time!AR$5))/Time!AR$7</f>
        <v/>
      </c>
      <c r="AS105" s="14">
        <f>MAX(0,MIN(Inputs!$F$101,Time!AS$6)-MAX(Inputs!$F$100,Time!AS$5))/Time!AS$7</f>
        <v/>
      </c>
      <c r="AT105" s="14">
        <f>MAX(0,MIN(Inputs!$F$101,Time!AT$6)-MAX(Inputs!$F$100,Time!AT$5))/Time!AT$7</f>
        <v/>
      </c>
      <c r="AU105" s="14">
        <f>MAX(0,MIN(Inputs!$F$101,Time!AU$6)-MAX(Inputs!$F$100,Time!AU$5))/Time!AU$7</f>
        <v/>
      </c>
    </row>
    <row r="106">
      <c r="D106" t="inlineStr">
        <is>
          <t>R2 owned fraction</t>
        </is>
      </c>
      <c r="E106" t="inlineStr">
        <is>
          <t>fraction</t>
        </is>
      </c>
      <c r="J106" s="14">
        <f>MAX(0,MIN(Inputs!$F$101,Time!J$6)-MAX(MAX(Inputs!$F$102,Inputs!$F$100),Time!J$5))/Time!J$7</f>
        <v/>
      </c>
      <c r="K106" s="14">
        <f>MAX(0,MIN(Inputs!$F$101,Time!K$6)-MAX(MAX(Inputs!$F$102,Inputs!$F$100),Time!K$5))/Time!K$7</f>
        <v/>
      </c>
      <c r="L106" s="14">
        <f>MAX(0,MIN(Inputs!$F$101,Time!L$6)-MAX(MAX(Inputs!$F$102,Inputs!$F$100),Time!L$5))/Time!L$7</f>
        <v/>
      </c>
      <c r="M106" s="14">
        <f>MAX(0,MIN(Inputs!$F$101,Time!M$6)-MAX(MAX(Inputs!$F$102,Inputs!$F$100),Time!M$5))/Time!M$7</f>
        <v/>
      </c>
      <c r="N106" s="14">
        <f>MAX(0,MIN(Inputs!$F$101,Time!N$6)-MAX(MAX(Inputs!$F$102,Inputs!$F$100),Time!N$5))/Time!N$7</f>
        <v/>
      </c>
      <c r="O106" s="14">
        <f>MAX(0,MIN(Inputs!$F$101,Time!O$6)-MAX(MAX(Inputs!$F$102,Inputs!$F$100),Time!O$5))/Time!O$7</f>
        <v/>
      </c>
      <c r="P106" s="14">
        <f>MAX(0,MIN(Inputs!$F$101,Time!P$6)-MAX(MAX(Inputs!$F$102,Inputs!$F$100),Time!P$5))/Time!P$7</f>
        <v/>
      </c>
      <c r="Q106" s="14">
        <f>MAX(0,MIN(Inputs!$F$101,Time!Q$6)-MAX(MAX(Inputs!$F$102,Inputs!$F$100),Time!Q$5))/Time!Q$7</f>
        <v/>
      </c>
      <c r="R106" s="14">
        <f>MAX(0,MIN(Inputs!$F$101,Time!R$6)-MAX(MAX(Inputs!$F$102,Inputs!$F$100),Time!R$5))/Time!R$7</f>
        <v/>
      </c>
      <c r="S106" s="14">
        <f>MAX(0,MIN(Inputs!$F$101,Time!S$6)-MAX(MAX(Inputs!$F$102,Inputs!$F$100),Time!S$5))/Time!S$7</f>
        <v/>
      </c>
      <c r="T106" s="14">
        <f>MAX(0,MIN(Inputs!$F$101,Time!T$6)-MAX(MAX(Inputs!$F$102,Inputs!$F$100),Time!T$5))/Time!T$7</f>
        <v/>
      </c>
      <c r="U106" s="14">
        <f>MAX(0,MIN(Inputs!$F$101,Time!U$6)-MAX(MAX(Inputs!$F$102,Inputs!$F$100),Time!U$5))/Time!U$7</f>
        <v/>
      </c>
      <c r="V106" s="14">
        <f>MAX(0,MIN(Inputs!$F$101,Time!V$6)-MAX(MAX(Inputs!$F$102,Inputs!$F$100),Time!V$5))/Time!V$7</f>
        <v/>
      </c>
      <c r="W106" s="14">
        <f>MAX(0,MIN(Inputs!$F$101,Time!W$6)-MAX(MAX(Inputs!$F$102,Inputs!$F$100),Time!W$5))/Time!W$7</f>
        <v/>
      </c>
      <c r="X106" s="14">
        <f>MAX(0,MIN(Inputs!$F$101,Time!X$6)-MAX(MAX(Inputs!$F$102,Inputs!$F$100),Time!X$5))/Time!X$7</f>
        <v/>
      </c>
      <c r="Y106" s="14">
        <f>MAX(0,MIN(Inputs!$F$101,Time!Y$6)-MAX(MAX(Inputs!$F$102,Inputs!$F$100),Time!Y$5))/Time!Y$7</f>
        <v/>
      </c>
      <c r="Z106" s="14">
        <f>MAX(0,MIN(Inputs!$F$101,Time!Z$6)-MAX(MAX(Inputs!$F$102,Inputs!$F$100),Time!Z$5))/Time!Z$7</f>
        <v/>
      </c>
      <c r="AA106" s="14">
        <f>MAX(0,MIN(Inputs!$F$101,Time!AA$6)-MAX(MAX(Inputs!$F$102,Inputs!$F$100),Time!AA$5))/Time!AA$7</f>
        <v/>
      </c>
      <c r="AB106" s="14">
        <f>MAX(0,MIN(Inputs!$F$101,Time!AB$6)-MAX(MAX(Inputs!$F$102,Inputs!$F$100),Time!AB$5))/Time!AB$7</f>
        <v/>
      </c>
      <c r="AC106" s="14">
        <f>MAX(0,MIN(Inputs!$F$101,Time!AC$6)-MAX(MAX(Inputs!$F$102,Inputs!$F$100),Time!AC$5))/Time!AC$7</f>
        <v/>
      </c>
      <c r="AD106" s="14">
        <f>MAX(0,MIN(Inputs!$F$101,Time!AD$6)-MAX(MAX(Inputs!$F$102,Inputs!$F$100),Time!AD$5))/Time!AD$7</f>
        <v/>
      </c>
      <c r="AE106" s="14">
        <f>MAX(0,MIN(Inputs!$F$101,Time!AE$6)-MAX(MAX(Inputs!$F$102,Inputs!$F$100),Time!AE$5))/Time!AE$7</f>
        <v/>
      </c>
      <c r="AF106" s="14">
        <f>MAX(0,MIN(Inputs!$F$101,Time!AF$6)-MAX(MAX(Inputs!$F$102,Inputs!$F$100),Time!AF$5))/Time!AF$7</f>
        <v/>
      </c>
      <c r="AG106" s="14">
        <f>MAX(0,MIN(Inputs!$F$101,Time!AG$6)-MAX(MAX(Inputs!$F$102,Inputs!$F$100),Time!AG$5))/Time!AG$7</f>
        <v/>
      </c>
      <c r="AH106" s="14">
        <f>MAX(0,MIN(Inputs!$F$101,Time!AH$6)-MAX(MAX(Inputs!$F$102,Inputs!$F$100),Time!AH$5))/Time!AH$7</f>
        <v/>
      </c>
      <c r="AI106" s="14">
        <f>MAX(0,MIN(Inputs!$F$101,Time!AI$6)-MAX(MAX(Inputs!$F$102,Inputs!$F$100),Time!AI$5))/Time!AI$7</f>
        <v/>
      </c>
      <c r="AJ106" s="14">
        <f>MAX(0,MIN(Inputs!$F$101,Time!AJ$6)-MAX(MAX(Inputs!$F$102,Inputs!$F$100),Time!AJ$5))/Time!AJ$7</f>
        <v/>
      </c>
      <c r="AK106" s="14">
        <f>MAX(0,MIN(Inputs!$F$101,Time!AK$6)-MAX(MAX(Inputs!$F$102,Inputs!$F$100),Time!AK$5))/Time!AK$7</f>
        <v/>
      </c>
      <c r="AL106" s="14">
        <f>MAX(0,MIN(Inputs!$F$101,Time!AL$6)-MAX(MAX(Inputs!$F$102,Inputs!$F$100),Time!AL$5))/Time!AL$7</f>
        <v/>
      </c>
      <c r="AM106" s="14">
        <f>MAX(0,MIN(Inputs!$F$101,Time!AM$6)-MAX(MAX(Inputs!$F$102,Inputs!$F$100),Time!AM$5))/Time!AM$7</f>
        <v/>
      </c>
      <c r="AN106" s="14">
        <f>MAX(0,MIN(Inputs!$F$101,Time!AN$6)-MAX(MAX(Inputs!$F$102,Inputs!$F$100),Time!AN$5))/Time!AN$7</f>
        <v/>
      </c>
      <c r="AO106" s="14">
        <f>MAX(0,MIN(Inputs!$F$101,Time!AO$6)-MAX(MAX(Inputs!$F$102,Inputs!$F$100),Time!AO$5))/Time!AO$7</f>
        <v/>
      </c>
      <c r="AP106" s="14">
        <f>MAX(0,MIN(Inputs!$F$101,Time!AP$6)-MAX(MAX(Inputs!$F$102,Inputs!$F$100),Time!AP$5))/Time!AP$7</f>
        <v/>
      </c>
      <c r="AQ106" s="14">
        <f>MAX(0,MIN(Inputs!$F$101,Time!AQ$6)-MAX(MAX(Inputs!$F$102,Inputs!$F$100),Time!AQ$5))/Time!AQ$7</f>
        <v/>
      </c>
      <c r="AR106" s="14">
        <f>MAX(0,MIN(Inputs!$F$101,Time!AR$6)-MAX(MAX(Inputs!$F$102,Inputs!$F$100),Time!AR$5))/Time!AR$7</f>
        <v/>
      </c>
      <c r="AS106" s="14">
        <f>MAX(0,MIN(Inputs!$F$101,Time!AS$6)-MAX(MAX(Inputs!$F$102,Inputs!$F$100),Time!AS$5))/Time!AS$7</f>
        <v/>
      </c>
      <c r="AT106" s="14">
        <f>MAX(0,MIN(Inputs!$F$101,Time!AT$6)-MAX(MAX(Inputs!$F$102,Inputs!$F$100),Time!AT$5))/Time!AT$7</f>
        <v/>
      </c>
      <c r="AU106" s="14">
        <f>MAX(0,MIN(Inputs!$F$101,Time!AU$6)-MAX(MAX(Inputs!$F$102,Inputs!$F$100),Time!AU$5))/Time!AU$7</f>
        <v/>
      </c>
    </row>
    <row r="107">
      <c r="D107" t="inlineStr">
        <is>
          <t>R2 owned share of operating period</t>
        </is>
      </c>
      <c r="E107" t="inlineStr">
        <is>
          <t>fraction</t>
        </is>
      </c>
      <c r="J107" s="14">
        <f>IF(Operations!J105&gt;0,Operations!J106/Operations!J105,0)</f>
        <v/>
      </c>
      <c r="K107" s="14">
        <f>IF(Operations!K105&gt;0,Operations!K106/Operations!K105,0)</f>
        <v/>
      </c>
      <c r="L107" s="14">
        <f>IF(Operations!L105&gt;0,Operations!L106/Operations!L105,0)</f>
        <v/>
      </c>
      <c r="M107" s="14">
        <f>IF(Operations!M105&gt;0,Operations!M106/Operations!M105,0)</f>
        <v/>
      </c>
      <c r="N107" s="14">
        <f>IF(Operations!N105&gt;0,Operations!N106/Operations!N105,0)</f>
        <v/>
      </c>
      <c r="O107" s="14">
        <f>IF(Operations!O105&gt;0,Operations!O106/Operations!O105,0)</f>
        <v/>
      </c>
      <c r="P107" s="14">
        <f>IF(Operations!P105&gt;0,Operations!P106/Operations!P105,0)</f>
        <v/>
      </c>
      <c r="Q107" s="14">
        <f>IF(Operations!Q105&gt;0,Operations!Q106/Operations!Q105,0)</f>
        <v/>
      </c>
      <c r="R107" s="14">
        <f>IF(Operations!R105&gt;0,Operations!R106/Operations!R105,0)</f>
        <v/>
      </c>
      <c r="S107" s="14">
        <f>IF(Operations!S105&gt;0,Operations!S106/Operations!S105,0)</f>
        <v/>
      </c>
      <c r="T107" s="14">
        <f>IF(Operations!T105&gt;0,Operations!T106/Operations!T105,0)</f>
        <v/>
      </c>
      <c r="U107" s="14">
        <f>IF(Operations!U105&gt;0,Operations!U106/Operations!U105,0)</f>
        <v/>
      </c>
      <c r="V107" s="14">
        <f>IF(Operations!V105&gt;0,Operations!V106/Operations!V105,0)</f>
        <v/>
      </c>
      <c r="W107" s="14">
        <f>IF(Operations!W105&gt;0,Operations!W106/Operations!W105,0)</f>
        <v/>
      </c>
      <c r="X107" s="14">
        <f>IF(Operations!X105&gt;0,Operations!X106/Operations!X105,0)</f>
        <v/>
      </c>
      <c r="Y107" s="14">
        <f>IF(Operations!Y105&gt;0,Operations!Y106/Operations!Y105,0)</f>
        <v/>
      </c>
      <c r="Z107" s="14">
        <f>IF(Operations!Z105&gt;0,Operations!Z106/Operations!Z105,0)</f>
        <v/>
      </c>
      <c r="AA107" s="14">
        <f>IF(Operations!AA105&gt;0,Operations!AA106/Operations!AA105,0)</f>
        <v/>
      </c>
      <c r="AB107" s="14">
        <f>IF(Operations!AB105&gt;0,Operations!AB106/Operations!AB105,0)</f>
        <v/>
      </c>
      <c r="AC107" s="14">
        <f>IF(Operations!AC105&gt;0,Operations!AC106/Operations!AC105,0)</f>
        <v/>
      </c>
      <c r="AD107" s="14">
        <f>IF(Operations!AD105&gt;0,Operations!AD106/Operations!AD105,0)</f>
        <v/>
      </c>
      <c r="AE107" s="14">
        <f>IF(Operations!AE105&gt;0,Operations!AE106/Operations!AE105,0)</f>
        <v/>
      </c>
      <c r="AF107" s="14">
        <f>IF(Operations!AF105&gt;0,Operations!AF106/Operations!AF105,0)</f>
        <v/>
      </c>
      <c r="AG107" s="14">
        <f>IF(Operations!AG105&gt;0,Operations!AG106/Operations!AG105,0)</f>
        <v/>
      </c>
      <c r="AH107" s="14">
        <f>IF(Operations!AH105&gt;0,Operations!AH106/Operations!AH105,0)</f>
        <v/>
      </c>
      <c r="AI107" s="14">
        <f>IF(Operations!AI105&gt;0,Operations!AI106/Operations!AI105,0)</f>
        <v/>
      </c>
      <c r="AJ107" s="14">
        <f>IF(Operations!AJ105&gt;0,Operations!AJ106/Operations!AJ105,0)</f>
        <v/>
      </c>
      <c r="AK107" s="14">
        <f>IF(Operations!AK105&gt;0,Operations!AK106/Operations!AK105,0)</f>
        <v/>
      </c>
      <c r="AL107" s="14">
        <f>IF(Operations!AL105&gt;0,Operations!AL106/Operations!AL105,0)</f>
        <v/>
      </c>
      <c r="AM107" s="14">
        <f>IF(Operations!AM105&gt;0,Operations!AM106/Operations!AM105,0)</f>
        <v/>
      </c>
      <c r="AN107" s="14">
        <f>IF(Operations!AN105&gt;0,Operations!AN106/Operations!AN105,0)</f>
        <v/>
      </c>
      <c r="AO107" s="14">
        <f>IF(Operations!AO105&gt;0,Operations!AO106/Operations!AO105,0)</f>
        <v/>
      </c>
      <c r="AP107" s="14">
        <f>IF(Operations!AP105&gt;0,Operations!AP106/Operations!AP105,0)</f>
        <v/>
      </c>
      <c r="AQ107" s="14">
        <f>IF(Operations!AQ105&gt;0,Operations!AQ106/Operations!AQ105,0)</f>
        <v/>
      </c>
      <c r="AR107" s="14">
        <f>IF(Operations!AR105&gt;0,Operations!AR106/Operations!AR105,0)</f>
        <v/>
      </c>
      <c r="AS107" s="14">
        <f>IF(Operations!AS105&gt;0,Operations!AS106/Operations!AS105,0)</f>
        <v/>
      </c>
      <c r="AT107" s="14">
        <f>IF(Operations!AT105&gt;0,Operations!AT106/Operations!AT105,0)</f>
        <v/>
      </c>
      <c r="AU107" s="14">
        <f>IF(Operations!AU105&gt;0,Operations!AU106/Operations!AU105,0)</f>
        <v/>
      </c>
    </row>
    <row r="108">
      <c r="D108" t="inlineStr">
        <is>
          <t>R2 own hub ATC</t>
        </is>
      </c>
      <c r="E108" t="inlineStr">
        <is>
          <t>USD/MWh</t>
        </is>
      </c>
      <c r="J108" s="18">
        <f>Operations!J54</f>
        <v/>
      </c>
      <c r="K108" s="18">
        <f>Operations!K54</f>
        <v/>
      </c>
      <c r="L108" s="18">
        <f>Operations!L54</f>
        <v/>
      </c>
      <c r="M108" s="18">
        <f>Operations!M54</f>
        <v/>
      </c>
      <c r="N108" s="18">
        <f>Operations!N54</f>
        <v/>
      </c>
      <c r="O108" s="18">
        <f>Operations!O54</f>
        <v/>
      </c>
      <c r="P108" s="18">
        <f>Operations!P54</f>
        <v/>
      </c>
      <c r="Q108" s="18">
        <f>Operations!Q54</f>
        <v/>
      </c>
      <c r="R108" s="18">
        <f>Operations!R54</f>
        <v/>
      </c>
      <c r="S108" s="18">
        <f>Operations!S54</f>
        <v/>
      </c>
      <c r="T108" s="18">
        <f>Operations!T54</f>
        <v/>
      </c>
      <c r="U108" s="18">
        <f>Operations!U54</f>
        <v/>
      </c>
      <c r="V108" s="18">
        <f>Operations!V54</f>
        <v/>
      </c>
      <c r="W108" s="18">
        <f>Operations!W54</f>
        <v/>
      </c>
      <c r="X108" s="18">
        <f>Operations!X54</f>
        <v/>
      </c>
      <c r="Y108" s="18">
        <f>Operations!Y54</f>
        <v/>
      </c>
      <c r="Z108" s="18">
        <f>Operations!Z54</f>
        <v/>
      </c>
      <c r="AA108" s="18">
        <f>Operations!AA54</f>
        <v/>
      </c>
      <c r="AB108" s="18">
        <f>Operations!AB54</f>
        <v/>
      </c>
      <c r="AC108" s="18">
        <f>Operations!AC54</f>
        <v/>
      </c>
      <c r="AD108" s="18">
        <f>Operations!AD54</f>
        <v/>
      </c>
      <c r="AE108" s="18">
        <f>Operations!AE54</f>
        <v/>
      </c>
      <c r="AF108" s="18">
        <f>Operations!AF54</f>
        <v/>
      </c>
      <c r="AG108" s="18">
        <f>Operations!AG54</f>
        <v/>
      </c>
      <c r="AH108" s="18">
        <f>Operations!AH54</f>
        <v/>
      </c>
      <c r="AI108" s="18">
        <f>Operations!AI54</f>
        <v/>
      </c>
      <c r="AJ108" s="18">
        <f>Operations!AJ54</f>
        <v/>
      </c>
      <c r="AK108" s="18">
        <f>Operations!AK54</f>
        <v/>
      </c>
      <c r="AL108" s="18">
        <f>Operations!AL54</f>
        <v/>
      </c>
      <c r="AM108" s="18">
        <f>Operations!AM54</f>
        <v/>
      </c>
      <c r="AN108" s="18">
        <f>Operations!AN54</f>
        <v/>
      </c>
      <c r="AO108" s="18">
        <f>Operations!AO54</f>
        <v/>
      </c>
      <c r="AP108" s="18">
        <f>Operations!AP54</f>
        <v/>
      </c>
      <c r="AQ108" s="18">
        <f>Operations!AQ54</f>
        <v/>
      </c>
      <c r="AR108" s="18">
        <f>Operations!AR54</f>
        <v/>
      </c>
      <c r="AS108" s="18">
        <f>Operations!AS54</f>
        <v/>
      </c>
      <c r="AT108" s="18">
        <f>Operations!AT54</f>
        <v/>
      </c>
      <c r="AU108" s="18">
        <f>Operations!AU54</f>
        <v/>
      </c>
    </row>
    <row r="109">
      <c r="D109" t="inlineStr">
        <is>
          <t>R2 volume factor</t>
        </is>
      </c>
      <c r="E109" t="inlineStr">
        <is>
          <t>factor</t>
        </is>
      </c>
      <c r="J109" s="14">
        <f>CHOOSE(Operations!$F$47,1,Inputs!$F$106/100,Inputs!$F$107/100,Operations!$F$18/100)</f>
        <v/>
      </c>
      <c r="K109" s="14">
        <f>CHOOSE(Operations!$F$47,1,Inputs!$F$106/100,Inputs!$F$107/100,Operations!$F$18/100)</f>
        <v/>
      </c>
      <c r="L109" s="14">
        <f>CHOOSE(Operations!$F$47,1,Inputs!$F$106/100,Inputs!$F$107/100,Operations!$F$18/100)</f>
        <v/>
      </c>
      <c r="M109" s="14">
        <f>CHOOSE(Operations!$F$47,1,Inputs!$F$106/100,Inputs!$F$107/100,Operations!$F$18/100)</f>
        <v/>
      </c>
      <c r="N109" s="14">
        <f>CHOOSE(Operations!$F$47,1,Inputs!$F$106/100,Inputs!$F$107/100,Operations!$F$18/100)</f>
        <v/>
      </c>
      <c r="O109" s="14">
        <f>CHOOSE(Operations!$F$47,1,Inputs!$F$106/100,Inputs!$F$107/100,Operations!$F$18/100)</f>
        <v/>
      </c>
      <c r="P109" s="14">
        <f>CHOOSE(Operations!$F$47,1,Inputs!$F$106/100,Inputs!$F$107/100,Operations!$F$18/100)</f>
        <v/>
      </c>
      <c r="Q109" s="14">
        <f>CHOOSE(Operations!$F$47,1,Inputs!$F$106/100,Inputs!$F$107/100,Operations!$F$18/100)</f>
        <v/>
      </c>
      <c r="R109" s="14">
        <f>CHOOSE(Operations!$F$47,1,Inputs!$F$106/100,Inputs!$F$107/100,Operations!$F$18/100)</f>
        <v/>
      </c>
      <c r="S109" s="14">
        <f>CHOOSE(Operations!$F$47,1,Inputs!$F$106/100,Inputs!$F$107/100,Operations!$F$18/100)</f>
        <v/>
      </c>
      <c r="T109" s="14">
        <f>CHOOSE(Operations!$F$47,1,Inputs!$F$106/100,Inputs!$F$107/100,Operations!$F$18/100)</f>
        <v/>
      </c>
      <c r="U109" s="14">
        <f>CHOOSE(Operations!$F$47,1,Inputs!$F$106/100,Inputs!$F$107/100,Operations!$F$18/100)</f>
        <v/>
      </c>
      <c r="V109" s="14">
        <f>CHOOSE(Operations!$F$47,1,Inputs!$F$106/100,Inputs!$F$107/100,Operations!$F$18/100)</f>
        <v/>
      </c>
      <c r="W109" s="14">
        <f>CHOOSE(Operations!$F$47,1,Inputs!$F$106/100,Inputs!$F$107/100,Operations!$F$18/100)</f>
        <v/>
      </c>
      <c r="X109" s="14">
        <f>CHOOSE(Operations!$F$47,1,Inputs!$F$106/100,Inputs!$F$107/100,Operations!$F$18/100)</f>
        <v/>
      </c>
      <c r="Y109" s="14">
        <f>CHOOSE(Operations!$F$47,1,Inputs!$F$106/100,Inputs!$F$107/100,Operations!$F$18/100)</f>
        <v/>
      </c>
      <c r="Z109" s="14">
        <f>CHOOSE(Operations!$F$47,1,Inputs!$F$106/100,Inputs!$F$107/100,Operations!$F$18/100)</f>
        <v/>
      </c>
      <c r="AA109" s="14">
        <f>CHOOSE(Operations!$F$47,1,Inputs!$F$106/100,Inputs!$F$107/100,Operations!$F$18/100)</f>
        <v/>
      </c>
      <c r="AB109" s="14">
        <f>CHOOSE(Operations!$F$47,1,Inputs!$F$106/100,Inputs!$F$107/100,Operations!$F$18/100)</f>
        <v/>
      </c>
      <c r="AC109" s="14">
        <f>CHOOSE(Operations!$F$47,1,Inputs!$F$106/100,Inputs!$F$107/100,Operations!$F$18/100)</f>
        <v/>
      </c>
      <c r="AD109" s="14">
        <f>CHOOSE(Operations!$F$47,1,Inputs!$F$106/100,Inputs!$F$107/100,Operations!$F$18/100)</f>
        <v/>
      </c>
      <c r="AE109" s="14">
        <f>CHOOSE(Operations!$F$47,1,Inputs!$F$106/100,Inputs!$F$107/100,Operations!$F$18/100)</f>
        <v/>
      </c>
      <c r="AF109" s="14">
        <f>CHOOSE(Operations!$F$47,1,Inputs!$F$106/100,Inputs!$F$107/100,Operations!$F$18/100)</f>
        <v/>
      </c>
      <c r="AG109" s="14">
        <f>CHOOSE(Operations!$F$47,1,Inputs!$F$106/100,Inputs!$F$107/100,Operations!$F$18/100)</f>
        <v/>
      </c>
      <c r="AH109" s="14">
        <f>CHOOSE(Operations!$F$47,1,Inputs!$F$106/100,Inputs!$F$107/100,Operations!$F$18/100)</f>
        <v/>
      </c>
      <c r="AI109" s="14">
        <f>CHOOSE(Operations!$F$47,1,Inputs!$F$106/100,Inputs!$F$107/100,Operations!$F$18/100)</f>
        <v/>
      </c>
      <c r="AJ109" s="14">
        <f>CHOOSE(Operations!$F$47,1,Inputs!$F$106/100,Inputs!$F$107/100,Operations!$F$18/100)</f>
        <v/>
      </c>
      <c r="AK109" s="14">
        <f>CHOOSE(Operations!$F$47,1,Inputs!$F$106/100,Inputs!$F$107/100,Operations!$F$18/100)</f>
        <v/>
      </c>
      <c r="AL109" s="14">
        <f>CHOOSE(Operations!$F$47,1,Inputs!$F$106/100,Inputs!$F$107/100,Operations!$F$18/100)</f>
        <v/>
      </c>
      <c r="AM109" s="14">
        <f>CHOOSE(Operations!$F$47,1,Inputs!$F$106/100,Inputs!$F$107/100,Operations!$F$18/100)</f>
        <v/>
      </c>
      <c r="AN109" s="14">
        <f>CHOOSE(Operations!$F$47,1,Inputs!$F$106/100,Inputs!$F$107/100,Operations!$F$18/100)</f>
        <v/>
      </c>
      <c r="AO109" s="14">
        <f>CHOOSE(Operations!$F$47,1,Inputs!$F$106/100,Inputs!$F$107/100,Operations!$F$18/100)</f>
        <v/>
      </c>
      <c r="AP109" s="14">
        <f>CHOOSE(Operations!$F$47,1,Inputs!$F$106/100,Inputs!$F$107/100,Operations!$F$18/100)</f>
        <v/>
      </c>
      <c r="AQ109" s="14">
        <f>CHOOSE(Operations!$F$47,1,Inputs!$F$106/100,Inputs!$F$107/100,Operations!$F$18/100)</f>
        <v/>
      </c>
      <c r="AR109" s="14">
        <f>CHOOSE(Operations!$F$47,1,Inputs!$F$106/100,Inputs!$F$107/100,Operations!$F$18/100)</f>
        <v/>
      </c>
      <c r="AS109" s="14">
        <f>CHOOSE(Operations!$F$47,1,Inputs!$F$106/100,Inputs!$F$107/100,Operations!$F$18/100)</f>
        <v/>
      </c>
      <c r="AT109" s="14">
        <f>CHOOSE(Operations!$F$47,1,Inputs!$F$106/100,Inputs!$F$107/100,Operations!$F$18/100)</f>
        <v/>
      </c>
      <c r="AU109" s="14">
        <f>CHOOSE(Operations!$F$47,1,Inputs!$F$106/100,Inputs!$F$107/100,Operations!$F$18/100)</f>
        <v/>
      </c>
    </row>
    <row r="110">
      <c r="D110" t="inlineStr">
        <is>
          <t>R2 degradation factor</t>
        </is>
      </c>
      <c r="E110" t="inlineStr">
        <is>
          <t>factor</t>
        </is>
      </c>
      <c r="J110" s="14">
        <f>(1-Inputs!$F$108/100)^MAX(0,Time!J$4-Inputs!$F$109)</f>
        <v/>
      </c>
      <c r="K110" s="14">
        <f>(1-Inputs!$F$108/100)^MAX(0,Time!K$4-Inputs!$F$109)</f>
        <v/>
      </c>
      <c r="L110" s="14">
        <f>(1-Inputs!$F$108/100)^MAX(0,Time!L$4-Inputs!$F$109)</f>
        <v/>
      </c>
      <c r="M110" s="14">
        <f>(1-Inputs!$F$108/100)^MAX(0,Time!M$4-Inputs!$F$109)</f>
        <v/>
      </c>
      <c r="N110" s="14">
        <f>(1-Inputs!$F$108/100)^MAX(0,Time!N$4-Inputs!$F$109)</f>
        <v/>
      </c>
      <c r="O110" s="14">
        <f>(1-Inputs!$F$108/100)^MAX(0,Time!O$4-Inputs!$F$109)</f>
        <v/>
      </c>
      <c r="P110" s="14">
        <f>(1-Inputs!$F$108/100)^MAX(0,Time!P$4-Inputs!$F$109)</f>
        <v/>
      </c>
      <c r="Q110" s="14">
        <f>(1-Inputs!$F$108/100)^MAX(0,Time!Q$4-Inputs!$F$109)</f>
        <v/>
      </c>
      <c r="R110" s="14">
        <f>(1-Inputs!$F$108/100)^MAX(0,Time!R$4-Inputs!$F$109)</f>
        <v/>
      </c>
      <c r="S110" s="14">
        <f>(1-Inputs!$F$108/100)^MAX(0,Time!S$4-Inputs!$F$109)</f>
        <v/>
      </c>
      <c r="T110" s="14">
        <f>(1-Inputs!$F$108/100)^MAX(0,Time!T$4-Inputs!$F$109)</f>
        <v/>
      </c>
      <c r="U110" s="14">
        <f>(1-Inputs!$F$108/100)^MAX(0,Time!U$4-Inputs!$F$109)</f>
        <v/>
      </c>
      <c r="V110" s="14">
        <f>(1-Inputs!$F$108/100)^MAX(0,Time!V$4-Inputs!$F$109)</f>
        <v/>
      </c>
      <c r="W110" s="14">
        <f>(1-Inputs!$F$108/100)^MAX(0,Time!W$4-Inputs!$F$109)</f>
        <v/>
      </c>
      <c r="X110" s="14">
        <f>(1-Inputs!$F$108/100)^MAX(0,Time!X$4-Inputs!$F$109)</f>
        <v/>
      </c>
      <c r="Y110" s="14">
        <f>(1-Inputs!$F$108/100)^MAX(0,Time!Y$4-Inputs!$F$109)</f>
        <v/>
      </c>
      <c r="Z110" s="14">
        <f>(1-Inputs!$F$108/100)^MAX(0,Time!Z$4-Inputs!$F$109)</f>
        <v/>
      </c>
      <c r="AA110" s="14">
        <f>(1-Inputs!$F$108/100)^MAX(0,Time!AA$4-Inputs!$F$109)</f>
        <v/>
      </c>
      <c r="AB110" s="14">
        <f>(1-Inputs!$F$108/100)^MAX(0,Time!AB$4-Inputs!$F$109)</f>
        <v/>
      </c>
      <c r="AC110" s="14">
        <f>(1-Inputs!$F$108/100)^MAX(0,Time!AC$4-Inputs!$F$109)</f>
        <v/>
      </c>
      <c r="AD110" s="14">
        <f>(1-Inputs!$F$108/100)^MAX(0,Time!AD$4-Inputs!$F$109)</f>
        <v/>
      </c>
      <c r="AE110" s="14">
        <f>(1-Inputs!$F$108/100)^MAX(0,Time!AE$4-Inputs!$F$109)</f>
        <v/>
      </c>
      <c r="AF110" s="14">
        <f>(1-Inputs!$F$108/100)^MAX(0,Time!AF$4-Inputs!$F$109)</f>
        <v/>
      </c>
      <c r="AG110" s="14">
        <f>(1-Inputs!$F$108/100)^MAX(0,Time!AG$4-Inputs!$F$109)</f>
        <v/>
      </c>
      <c r="AH110" s="14">
        <f>(1-Inputs!$F$108/100)^MAX(0,Time!AH$4-Inputs!$F$109)</f>
        <v/>
      </c>
      <c r="AI110" s="14">
        <f>(1-Inputs!$F$108/100)^MAX(0,Time!AI$4-Inputs!$F$109)</f>
        <v/>
      </c>
      <c r="AJ110" s="14">
        <f>(1-Inputs!$F$108/100)^MAX(0,Time!AJ$4-Inputs!$F$109)</f>
        <v/>
      </c>
      <c r="AK110" s="14">
        <f>(1-Inputs!$F$108/100)^MAX(0,Time!AK$4-Inputs!$F$109)</f>
        <v/>
      </c>
      <c r="AL110" s="14">
        <f>(1-Inputs!$F$108/100)^MAX(0,Time!AL$4-Inputs!$F$109)</f>
        <v/>
      </c>
      <c r="AM110" s="14">
        <f>(1-Inputs!$F$108/100)^MAX(0,Time!AM$4-Inputs!$F$109)</f>
        <v/>
      </c>
      <c r="AN110" s="14">
        <f>(1-Inputs!$F$108/100)^MAX(0,Time!AN$4-Inputs!$F$109)</f>
        <v/>
      </c>
      <c r="AO110" s="14">
        <f>(1-Inputs!$F$108/100)^MAX(0,Time!AO$4-Inputs!$F$109)</f>
        <v/>
      </c>
      <c r="AP110" s="14">
        <f>(1-Inputs!$F$108/100)^MAX(0,Time!AP$4-Inputs!$F$109)</f>
        <v/>
      </c>
      <c r="AQ110" s="14">
        <f>(1-Inputs!$F$108/100)^MAX(0,Time!AQ$4-Inputs!$F$109)</f>
        <v/>
      </c>
      <c r="AR110" s="14">
        <f>(1-Inputs!$F$108/100)^MAX(0,Time!AR$4-Inputs!$F$109)</f>
        <v/>
      </c>
      <c r="AS110" s="14">
        <f>(1-Inputs!$F$108/100)^MAX(0,Time!AS$4-Inputs!$F$109)</f>
        <v/>
      </c>
      <c r="AT110" s="14">
        <f>(1-Inputs!$F$108/100)^MAX(0,Time!AT$4-Inputs!$F$109)</f>
        <v/>
      </c>
      <c r="AU110" s="14">
        <f>(1-Inputs!$F$108/100)^MAX(0,Time!AU$4-Inputs!$F$109)</f>
        <v/>
      </c>
    </row>
    <row r="111">
      <c r="D111" t="inlineStr">
        <is>
          <t>R2 curtailment</t>
        </is>
      </c>
      <c r="E111" t="inlineStr">
        <is>
          <t>fraction</t>
        </is>
      </c>
      <c r="J111" s="14">
        <f>(IF(Time!J$4&gt;=Inputs!$F$61,Inputs!$F$71,Inputs!$F$70+(Inputs!$F$71-Inputs!$F$70)*(Time!J$4-Inputs!$F$23)/(Inputs!$F$61-Inputs!$F$23))+Operations!$F$49)/100</f>
        <v/>
      </c>
      <c r="K111" s="14">
        <f>(IF(Time!K$4&gt;=Inputs!$F$61,Inputs!$F$71,Inputs!$F$70+(Inputs!$F$71-Inputs!$F$70)*(Time!K$4-Inputs!$F$23)/(Inputs!$F$61-Inputs!$F$23))+Operations!$F$49)/100</f>
        <v/>
      </c>
      <c r="L111" s="14">
        <f>(IF(Time!L$4&gt;=Inputs!$F$61,Inputs!$F$71,Inputs!$F$70+(Inputs!$F$71-Inputs!$F$70)*(Time!L$4-Inputs!$F$23)/(Inputs!$F$61-Inputs!$F$23))+Operations!$F$49)/100</f>
        <v/>
      </c>
      <c r="M111" s="14">
        <f>(IF(Time!M$4&gt;=Inputs!$F$61,Inputs!$F$71,Inputs!$F$70+(Inputs!$F$71-Inputs!$F$70)*(Time!M$4-Inputs!$F$23)/(Inputs!$F$61-Inputs!$F$23))+Operations!$F$49)/100</f>
        <v/>
      </c>
      <c r="N111" s="14">
        <f>(IF(Time!N$4&gt;=Inputs!$F$61,Inputs!$F$71,Inputs!$F$70+(Inputs!$F$71-Inputs!$F$70)*(Time!N$4-Inputs!$F$23)/(Inputs!$F$61-Inputs!$F$23))+Operations!$F$49)/100</f>
        <v/>
      </c>
      <c r="O111" s="14">
        <f>(IF(Time!O$4&gt;=Inputs!$F$61,Inputs!$F$71,Inputs!$F$70+(Inputs!$F$71-Inputs!$F$70)*(Time!O$4-Inputs!$F$23)/(Inputs!$F$61-Inputs!$F$23))+Operations!$F$49)/100</f>
        <v/>
      </c>
      <c r="P111" s="14">
        <f>(IF(Time!P$4&gt;=Inputs!$F$61,Inputs!$F$71,Inputs!$F$70+(Inputs!$F$71-Inputs!$F$70)*(Time!P$4-Inputs!$F$23)/(Inputs!$F$61-Inputs!$F$23))+Operations!$F$49)/100</f>
        <v/>
      </c>
      <c r="Q111" s="14">
        <f>(IF(Time!Q$4&gt;=Inputs!$F$61,Inputs!$F$71,Inputs!$F$70+(Inputs!$F$71-Inputs!$F$70)*(Time!Q$4-Inputs!$F$23)/(Inputs!$F$61-Inputs!$F$23))+Operations!$F$49)/100</f>
        <v/>
      </c>
      <c r="R111" s="14">
        <f>(IF(Time!R$4&gt;=Inputs!$F$61,Inputs!$F$71,Inputs!$F$70+(Inputs!$F$71-Inputs!$F$70)*(Time!R$4-Inputs!$F$23)/(Inputs!$F$61-Inputs!$F$23))+Operations!$F$49)/100</f>
        <v/>
      </c>
      <c r="S111" s="14">
        <f>(IF(Time!S$4&gt;=Inputs!$F$61,Inputs!$F$71,Inputs!$F$70+(Inputs!$F$71-Inputs!$F$70)*(Time!S$4-Inputs!$F$23)/(Inputs!$F$61-Inputs!$F$23))+Operations!$F$49)/100</f>
        <v/>
      </c>
      <c r="T111" s="14">
        <f>(IF(Time!T$4&gt;=Inputs!$F$61,Inputs!$F$71,Inputs!$F$70+(Inputs!$F$71-Inputs!$F$70)*(Time!T$4-Inputs!$F$23)/(Inputs!$F$61-Inputs!$F$23))+Operations!$F$49)/100</f>
        <v/>
      </c>
      <c r="U111" s="14">
        <f>(IF(Time!U$4&gt;=Inputs!$F$61,Inputs!$F$71,Inputs!$F$70+(Inputs!$F$71-Inputs!$F$70)*(Time!U$4-Inputs!$F$23)/(Inputs!$F$61-Inputs!$F$23))+Operations!$F$49)/100</f>
        <v/>
      </c>
      <c r="V111" s="14">
        <f>(IF(Time!V$4&gt;=Inputs!$F$61,Inputs!$F$71,Inputs!$F$70+(Inputs!$F$71-Inputs!$F$70)*(Time!V$4-Inputs!$F$23)/(Inputs!$F$61-Inputs!$F$23))+Operations!$F$49)/100</f>
        <v/>
      </c>
      <c r="W111" s="14">
        <f>(IF(Time!W$4&gt;=Inputs!$F$61,Inputs!$F$71,Inputs!$F$70+(Inputs!$F$71-Inputs!$F$70)*(Time!W$4-Inputs!$F$23)/(Inputs!$F$61-Inputs!$F$23))+Operations!$F$49)/100</f>
        <v/>
      </c>
      <c r="X111" s="14">
        <f>(IF(Time!X$4&gt;=Inputs!$F$61,Inputs!$F$71,Inputs!$F$70+(Inputs!$F$71-Inputs!$F$70)*(Time!X$4-Inputs!$F$23)/(Inputs!$F$61-Inputs!$F$23))+Operations!$F$49)/100</f>
        <v/>
      </c>
      <c r="Y111" s="14">
        <f>(IF(Time!Y$4&gt;=Inputs!$F$61,Inputs!$F$71,Inputs!$F$70+(Inputs!$F$71-Inputs!$F$70)*(Time!Y$4-Inputs!$F$23)/(Inputs!$F$61-Inputs!$F$23))+Operations!$F$49)/100</f>
        <v/>
      </c>
      <c r="Z111" s="14">
        <f>(IF(Time!Z$4&gt;=Inputs!$F$61,Inputs!$F$71,Inputs!$F$70+(Inputs!$F$71-Inputs!$F$70)*(Time!Z$4-Inputs!$F$23)/(Inputs!$F$61-Inputs!$F$23))+Operations!$F$49)/100</f>
        <v/>
      </c>
      <c r="AA111" s="14">
        <f>(IF(Time!AA$4&gt;=Inputs!$F$61,Inputs!$F$71,Inputs!$F$70+(Inputs!$F$71-Inputs!$F$70)*(Time!AA$4-Inputs!$F$23)/(Inputs!$F$61-Inputs!$F$23))+Operations!$F$49)/100</f>
        <v/>
      </c>
      <c r="AB111" s="14">
        <f>(IF(Time!AB$4&gt;=Inputs!$F$61,Inputs!$F$71,Inputs!$F$70+(Inputs!$F$71-Inputs!$F$70)*(Time!AB$4-Inputs!$F$23)/(Inputs!$F$61-Inputs!$F$23))+Operations!$F$49)/100</f>
        <v/>
      </c>
      <c r="AC111" s="14">
        <f>(IF(Time!AC$4&gt;=Inputs!$F$61,Inputs!$F$71,Inputs!$F$70+(Inputs!$F$71-Inputs!$F$70)*(Time!AC$4-Inputs!$F$23)/(Inputs!$F$61-Inputs!$F$23))+Operations!$F$49)/100</f>
        <v/>
      </c>
      <c r="AD111" s="14">
        <f>(IF(Time!AD$4&gt;=Inputs!$F$61,Inputs!$F$71,Inputs!$F$70+(Inputs!$F$71-Inputs!$F$70)*(Time!AD$4-Inputs!$F$23)/(Inputs!$F$61-Inputs!$F$23))+Operations!$F$49)/100</f>
        <v/>
      </c>
      <c r="AE111" s="14">
        <f>(IF(Time!AE$4&gt;=Inputs!$F$61,Inputs!$F$71,Inputs!$F$70+(Inputs!$F$71-Inputs!$F$70)*(Time!AE$4-Inputs!$F$23)/(Inputs!$F$61-Inputs!$F$23))+Operations!$F$49)/100</f>
        <v/>
      </c>
      <c r="AF111" s="14">
        <f>(IF(Time!AF$4&gt;=Inputs!$F$61,Inputs!$F$71,Inputs!$F$70+(Inputs!$F$71-Inputs!$F$70)*(Time!AF$4-Inputs!$F$23)/(Inputs!$F$61-Inputs!$F$23))+Operations!$F$49)/100</f>
        <v/>
      </c>
      <c r="AG111" s="14">
        <f>(IF(Time!AG$4&gt;=Inputs!$F$61,Inputs!$F$71,Inputs!$F$70+(Inputs!$F$71-Inputs!$F$70)*(Time!AG$4-Inputs!$F$23)/(Inputs!$F$61-Inputs!$F$23))+Operations!$F$49)/100</f>
        <v/>
      </c>
      <c r="AH111" s="14">
        <f>(IF(Time!AH$4&gt;=Inputs!$F$61,Inputs!$F$71,Inputs!$F$70+(Inputs!$F$71-Inputs!$F$70)*(Time!AH$4-Inputs!$F$23)/(Inputs!$F$61-Inputs!$F$23))+Operations!$F$49)/100</f>
        <v/>
      </c>
      <c r="AI111" s="14">
        <f>(IF(Time!AI$4&gt;=Inputs!$F$61,Inputs!$F$71,Inputs!$F$70+(Inputs!$F$71-Inputs!$F$70)*(Time!AI$4-Inputs!$F$23)/(Inputs!$F$61-Inputs!$F$23))+Operations!$F$49)/100</f>
        <v/>
      </c>
      <c r="AJ111" s="14">
        <f>(IF(Time!AJ$4&gt;=Inputs!$F$61,Inputs!$F$71,Inputs!$F$70+(Inputs!$F$71-Inputs!$F$70)*(Time!AJ$4-Inputs!$F$23)/(Inputs!$F$61-Inputs!$F$23))+Operations!$F$49)/100</f>
        <v/>
      </c>
      <c r="AK111" s="14">
        <f>(IF(Time!AK$4&gt;=Inputs!$F$61,Inputs!$F$71,Inputs!$F$70+(Inputs!$F$71-Inputs!$F$70)*(Time!AK$4-Inputs!$F$23)/(Inputs!$F$61-Inputs!$F$23))+Operations!$F$49)/100</f>
        <v/>
      </c>
      <c r="AL111" s="14">
        <f>(IF(Time!AL$4&gt;=Inputs!$F$61,Inputs!$F$71,Inputs!$F$70+(Inputs!$F$71-Inputs!$F$70)*(Time!AL$4-Inputs!$F$23)/(Inputs!$F$61-Inputs!$F$23))+Operations!$F$49)/100</f>
        <v/>
      </c>
      <c r="AM111" s="14">
        <f>(IF(Time!AM$4&gt;=Inputs!$F$61,Inputs!$F$71,Inputs!$F$70+(Inputs!$F$71-Inputs!$F$70)*(Time!AM$4-Inputs!$F$23)/(Inputs!$F$61-Inputs!$F$23))+Operations!$F$49)/100</f>
        <v/>
      </c>
      <c r="AN111" s="14">
        <f>(IF(Time!AN$4&gt;=Inputs!$F$61,Inputs!$F$71,Inputs!$F$70+(Inputs!$F$71-Inputs!$F$70)*(Time!AN$4-Inputs!$F$23)/(Inputs!$F$61-Inputs!$F$23))+Operations!$F$49)/100</f>
        <v/>
      </c>
      <c r="AO111" s="14">
        <f>(IF(Time!AO$4&gt;=Inputs!$F$61,Inputs!$F$71,Inputs!$F$70+(Inputs!$F$71-Inputs!$F$70)*(Time!AO$4-Inputs!$F$23)/(Inputs!$F$61-Inputs!$F$23))+Operations!$F$49)/100</f>
        <v/>
      </c>
      <c r="AP111" s="14">
        <f>(IF(Time!AP$4&gt;=Inputs!$F$61,Inputs!$F$71,Inputs!$F$70+(Inputs!$F$71-Inputs!$F$70)*(Time!AP$4-Inputs!$F$23)/(Inputs!$F$61-Inputs!$F$23))+Operations!$F$49)/100</f>
        <v/>
      </c>
      <c r="AQ111" s="14">
        <f>(IF(Time!AQ$4&gt;=Inputs!$F$61,Inputs!$F$71,Inputs!$F$70+(Inputs!$F$71-Inputs!$F$70)*(Time!AQ$4-Inputs!$F$23)/(Inputs!$F$61-Inputs!$F$23))+Operations!$F$49)/100</f>
        <v/>
      </c>
      <c r="AR111" s="14">
        <f>(IF(Time!AR$4&gt;=Inputs!$F$61,Inputs!$F$71,Inputs!$F$70+(Inputs!$F$71-Inputs!$F$70)*(Time!AR$4-Inputs!$F$23)/(Inputs!$F$61-Inputs!$F$23))+Operations!$F$49)/100</f>
        <v/>
      </c>
      <c r="AS111" s="14">
        <f>(IF(Time!AS$4&gt;=Inputs!$F$61,Inputs!$F$71,Inputs!$F$70+(Inputs!$F$71-Inputs!$F$70)*(Time!AS$4-Inputs!$F$23)/(Inputs!$F$61-Inputs!$F$23))+Operations!$F$49)/100</f>
        <v/>
      </c>
      <c r="AT111" s="14">
        <f>(IF(Time!AT$4&gt;=Inputs!$F$61,Inputs!$F$71,Inputs!$F$70+(Inputs!$F$71-Inputs!$F$70)*(Time!AT$4-Inputs!$F$23)/(Inputs!$F$61-Inputs!$F$23))+Operations!$F$49)/100</f>
        <v/>
      </c>
      <c r="AU111" s="14">
        <f>(IF(Time!AU$4&gt;=Inputs!$F$61,Inputs!$F$71,Inputs!$F$70+(Inputs!$F$71-Inputs!$F$70)*(Time!AU$4-Inputs!$F$23)/(Inputs!$F$61-Inputs!$F$23))+Operations!$F$49)/100</f>
        <v/>
      </c>
    </row>
    <row r="112">
      <c r="D112" t="inlineStr">
        <is>
          <t>R2 net generation, full year</t>
        </is>
      </c>
      <c r="E112" t="inlineStr">
        <is>
          <t>GWh</t>
        </is>
      </c>
      <c r="J112" s="20">
        <f>Inputs!$F$105*Operations!J109*Inputs!$F$185/100*Operations!J110*(1-Operations!J111)</f>
        <v/>
      </c>
      <c r="K112" s="20">
        <f>Inputs!$F$105*Operations!K109*Inputs!$F$185/100*Operations!K110*(1-Operations!K111)</f>
        <v/>
      </c>
      <c r="L112" s="20">
        <f>Inputs!$F$105*Operations!L109*Inputs!$F$185/100*Operations!L110*(1-Operations!L111)</f>
        <v/>
      </c>
      <c r="M112" s="20">
        <f>Inputs!$F$105*Operations!M109*Inputs!$F$185/100*Operations!M110*(1-Operations!M111)</f>
        <v/>
      </c>
      <c r="N112" s="20">
        <f>Inputs!$F$105*Operations!N109*Inputs!$F$185/100*Operations!N110*(1-Operations!N111)</f>
        <v/>
      </c>
      <c r="O112" s="20">
        <f>Inputs!$F$105*Operations!O109*Inputs!$F$185/100*Operations!O110*(1-Operations!O111)</f>
        <v/>
      </c>
      <c r="P112" s="20">
        <f>Inputs!$F$105*Operations!P109*Inputs!$F$185/100*Operations!P110*(1-Operations!P111)</f>
        <v/>
      </c>
      <c r="Q112" s="20">
        <f>Inputs!$F$105*Operations!Q109*Inputs!$F$185/100*Operations!Q110*(1-Operations!Q111)</f>
        <v/>
      </c>
      <c r="R112" s="20">
        <f>Inputs!$F$105*Operations!R109*Inputs!$F$185/100*Operations!R110*(1-Operations!R111)</f>
        <v/>
      </c>
      <c r="S112" s="20">
        <f>Inputs!$F$105*Operations!S109*Inputs!$F$185/100*Operations!S110*(1-Operations!S111)</f>
        <v/>
      </c>
      <c r="T112" s="20">
        <f>Inputs!$F$105*Operations!T109*Inputs!$F$185/100*Operations!T110*(1-Operations!T111)</f>
        <v/>
      </c>
      <c r="U112" s="20">
        <f>Inputs!$F$105*Operations!U109*Inputs!$F$185/100*Operations!U110*(1-Operations!U111)</f>
        <v/>
      </c>
      <c r="V112" s="20">
        <f>Inputs!$F$105*Operations!V109*Inputs!$F$185/100*Operations!V110*(1-Operations!V111)</f>
        <v/>
      </c>
      <c r="W112" s="20">
        <f>Inputs!$F$105*Operations!W109*Inputs!$F$185/100*Operations!W110*(1-Operations!W111)</f>
        <v/>
      </c>
      <c r="X112" s="20">
        <f>Inputs!$F$105*Operations!X109*Inputs!$F$185/100*Operations!X110*(1-Operations!X111)</f>
        <v/>
      </c>
      <c r="Y112" s="20">
        <f>Inputs!$F$105*Operations!Y109*Inputs!$F$185/100*Operations!Y110*(1-Operations!Y111)</f>
        <v/>
      </c>
      <c r="Z112" s="20">
        <f>Inputs!$F$105*Operations!Z109*Inputs!$F$185/100*Operations!Z110*(1-Operations!Z111)</f>
        <v/>
      </c>
      <c r="AA112" s="20">
        <f>Inputs!$F$105*Operations!AA109*Inputs!$F$185/100*Operations!AA110*(1-Operations!AA111)</f>
        <v/>
      </c>
      <c r="AB112" s="20">
        <f>Inputs!$F$105*Operations!AB109*Inputs!$F$185/100*Operations!AB110*(1-Operations!AB111)</f>
        <v/>
      </c>
      <c r="AC112" s="20">
        <f>Inputs!$F$105*Operations!AC109*Inputs!$F$185/100*Operations!AC110*(1-Operations!AC111)</f>
        <v/>
      </c>
      <c r="AD112" s="20">
        <f>Inputs!$F$105*Operations!AD109*Inputs!$F$185/100*Operations!AD110*(1-Operations!AD111)</f>
        <v/>
      </c>
      <c r="AE112" s="20">
        <f>Inputs!$F$105*Operations!AE109*Inputs!$F$185/100*Operations!AE110*(1-Operations!AE111)</f>
        <v/>
      </c>
      <c r="AF112" s="20">
        <f>Inputs!$F$105*Operations!AF109*Inputs!$F$185/100*Operations!AF110*(1-Operations!AF111)</f>
        <v/>
      </c>
      <c r="AG112" s="20">
        <f>Inputs!$F$105*Operations!AG109*Inputs!$F$185/100*Operations!AG110*(1-Operations!AG111)</f>
        <v/>
      </c>
      <c r="AH112" s="20">
        <f>Inputs!$F$105*Operations!AH109*Inputs!$F$185/100*Operations!AH110*(1-Operations!AH111)</f>
        <v/>
      </c>
      <c r="AI112" s="20">
        <f>Inputs!$F$105*Operations!AI109*Inputs!$F$185/100*Operations!AI110*(1-Operations!AI111)</f>
        <v/>
      </c>
      <c r="AJ112" s="20">
        <f>Inputs!$F$105*Operations!AJ109*Inputs!$F$185/100*Operations!AJ110*(1-Operations!AJ111)</f>
        <v/>
      </c>
      <c r="AK112" s="20">
        <f>Inputs!$F$105*Operations!AK109*Inputs!$F$185/100*Operations!AK110*(1-Operations!AK111)</f>
        <v/>
      </c>
      <c r="AL112" s="20">
        <f>Inputs!$F$105*Operations!AL109*Inputs!$F$185/100*Operations!AL110*(1-Operations!AL111)</f>
        <v/>
      </c>
      <c r="AM112" s="20">
        <f>Inputs!$F$105*Operations!AM109*Inputs!$F$185/100*Operations!AM110*(1-Operations!AM111)</f>
        <v/>
      </c>
      <c r="AN112" s="20">
        <f>Inputs!$F$105*Operations!AN109*Inputs!$F$185/100*Operations!AN110*(1-Operations!AN111)</f>
        <v/>
      </c>
      <c r="AO112" s="20">
        <f>Inputs!$F$105*Operations!AO109*Inputs!$F$185/100*Operations!AO110*(1-Operations!AO111)</f>
        <v/>
      </c>
      <c r="AP112" s="20">
        <f>Inputs!$F$105*Operations!AP109*Inputs!$F$185/100*Operations!AP110*(1-Operations!AP111)</f>
        <v/>
      </c>
      <c r="AQ112" s="20">
        <f>Inputs!$F$105*Operations!AQ109*Inputs!$F$185/100*Operations!AQ110*(1-Operations!AQ111)</f>
        <v/>
      </c>
      <c r="AR112" s="20">
        <f>Inputs!$F$105*Operations!AR109*Inputs!$F$185/100*Operations!AR110*(1-Operations!AR111)</f>
        <v/>
      </c>
      <c r="AS112" s="20">
        <f>Inputs!$F$105*Operations!AS109*Inputs!$F$185/100*Operations!AS110*(1-Operations!AS111)</f>
        <v/>
      </c>
      <c r="AT112" s="20">
        <f>Inputs!$F$105*Operations!AT109*Inputs!$F$185/100*Operations!AT110*(1-Operations!AT111)</f>
        <v/>
      </c>
      <c r="AU112" s="20">
        <f>Inputs!$F$105*Operations!AU109*Inputs!$F$185/100*Operations!AU110*(1-Operations!AU111)</f>
        <v/>
      </c>
    </row>
    <row r="113">
      <c r="D113" t="inlineStr">
        <is>
          <t>R2 net generation</t>
        </is>
      </c>
      <c r="E113" t="inlineStr">
        <is>
          <t>GWh</t>
        </is>
      </c>
      <c r="G113" s="20">
        <f>SUM(J113:AU113)</f>
        <v/>
      </c>
      <c r="J113" s="20">
        <f>Operations!J112*Operations!J105</f>
        <v/>
      </c>
      <c r="K113" s="20">
        <f>Operations!K112*Operations!K105</f>
        <v/>
      </c>
      <c r="L113" s="20">
        <f>Operations!L112*Operations!L105</f>
        <v/>
      </c>
      <c r="M113" s="20">
        <f>Operations!M112*Operations!M105</f>
        <v/>
      </c>
      <c r="N113" s="20">
        <f>Operations!N112*Operations!N105</f>
        <v/>
      </c>
      <c r="O113" s="20">
        <f>Operations!O112*Operations!O105</f>
        <v/>
      </c>
      <c r="P113" s="20">
        <f>Operations!P112*Operations!P105</f>
        <v/>
      </c>
      <c r="Q113" s="20">
        <f>Operations!Q112*Operations!Q105</f>
        <v/>
      </c>
      <c r="R113" s="20">
        <f>Operations!R112*Operations!R105</f>
        <v/>
      </c>
      <c r="S113" s="20">
        <f>Operations!S112*Operations!S105</f>
        <v/>
      </c>
      <c r="T113" s="20">
        <f>Operations!T112*Operations!T105</f>
        <v/>
      </c>
      <c r="U113" s="20">
        <f>Operations!U112*Operations!U105</f>
        <v/>
      </c>
      <c r="V113" s="20">
        <f>Operations!V112*Operations!V105</f>
        <v/>
      </c>
      <c r="W113" s="20">
        <f>Operations!W112*Operations!W105</f>
        <v/>
      </c>
      <c r="X113" s="20">
        <f>Operations!X112*Operations!X105</f>
        <v/>
      </c>
      <c r="Y113" s="20">
        <f>Operations!Y112*Operations!Y105</f>
        <v/>
      </c>
      <c r="Z113" s="20">
        <f>Operations!Z112*Operations!Z105</f>
        <v/>
      </c>
      <c r="AA113" s="20">
        <f>Operations!AA112*Operations!AA105</f>
        <v/>
      </c>
      <c r="AB113" s="20">
        <f>Operations!AB112*Operations!AB105</f>
        <v/>
      </c>
      <c r="AC113" s="20">
        <f>Operations!AC112*Operations!AC105</f>
        <v/>
      </c>
      <c r="AD113" s="20">
        <f>Operations!AD112*Operations!AD105</f>
        <v/>
      </c>
      <c r="AE113" s="20">
        <f>Operations!AE112*Operations!AE105</f>
        <v/>
      </c>
      <c r="AF113" s="20">
        <f>Operations!AF112*Operations!AF105</f>
        <v/>
      </c>
      <c r="AG113" s="20">
        <f>Operations!AG112*Operations!AG105</f>
        <v/>
      </c>
      <c r="AH113" s="20">
        <f>Operations!AH112*Operations!AH105</f>
        <v/>
      </c>
      <c r="AI113" s="20">
        <f>Operations!AI112*Operations!AI105</f>
        <v/>
      </c>
      <c r="AJ113" s="20">
        <f>Operations!AJ112*Operations!AJ105</f>
        <v/>
      </c>
      <c r="AK113" s="20">
        <f>Operations!AK112*Operations!AK105</f>
        <v/>
      </c>
      <c r="AL113" s="20">
        <f>Operations!AL112*Operations!AL105</f>
        <v/>
      </c>
      <c r="AM113" s="20">
        <f>Operations!AM112*Operations!AM105</f>
        <v/>
      </c>
      <c r="AN113" s="20">
        <f>Operations!AN112*Operations!AN105</f>
        <v/>
      </c>
      <c r="AO113" s="20">
        <f>Operations!AO112*Operations!AO105</f>
        <v/>
      </c>
      <c r="AP113" s="20">
        <f>Operations!AP112*Operations!AP105</f>
        <v/>
      </c>
      <c r="AQ113" s="20">
        <f>Operations!AQ112*Operations!AQ105</f>
        <v/>
      </c>
      <c r="AR113" s="20">
        <f>Operations!AR112*Operations!AR105</f>
        <v/>
      </c>
      <c r="AS113" s="20">
        <f>Operations!AS112*Operations!AS105</f>
        <v/>
      </c>
      <c r="AT113" s="20">
        <f>Operations!AT112*Operations!AT105</f>
        <v/>
      </c>
      <c r="AU113" s="20">
        <f>Operations!AU112*Operations!AU105</f>
        <v/>
      </c>
    </row>
    <row r="114">
      <c r="D114" t="inlineStr">
        <is>
          <t>R2 hub capture ratio</t>
        </is>
      </c>
      <c r="E114" t="inlineStr">
        <is>
          <t>ratio</t>
        </is>
      </c>
      <c r="J114" s="14">
        <f>Operations!J61</f>
        <v/>
      </c>
      <c r="K114" s="14">
        <f>Operations!K61</f>
        <v/>
      </c>
      <c r="L114" s="14">
        <f>Operations!L61</f>
        <v/>
      </c>
      <c r="M114" s="14">
        <f>Operations!M61</f>
        <v/>
      </c>
      <c r="N114" s="14">
        <f>Operations!N61</f>
        <v/>
      </c>
      <c r="O114" s="14">
        <f>Operations!O61</f>
        <v/>
      </c>
      <c r="P114" s="14">
        <f>Operations!P61</f>
        <v/>
      </c>
      <c r="Q114" s="14">
        <f>Operations!Q61</f>
        <v/>
      </c>
      <c r="R114" s="14">
        <f>Operations!R61</f>
        <v/>
      </c>
      <c r="S114" s="14">
        <f>Operations!S61</f>
        <v/>
      </c>
      <c r="T114" s="14">
        <f>Operations!T61</f>
        <v/>
      </c>
      <c r="U114" s="14">
        <f>Operations!U61</f>
        <v/>
      </c>
      <c r="V114" s="14">
        <f>Operations!V61</f>
        <v/>
      </c>
      <c r="W114" s="14">
        <f>Operations!W61</f>
        <v/>
      </c>
      <c r="X114" s="14">
        <f>Operations!X61</f>
        <v/>
      </c>
      <c r="Y114" s="14">
        <f>Operations!Y61</f>
        <v/>
      </c>
      <c r="Z114" s="14">
        <f>Operations!Z61</f>
        <v/>
      </c>
      <c r="AA114" s="14">
        <f>Operations!AA61</f>
        <v/>
      </c>
      <c r="AB114" s="14">
        <f>Operations!AB61</f>
        <v/>
      </c>
      <c r="AC114" s="14">
        <f>Operations!AC61</f>
        <v/>
      </c>
      <c r="AD114" s="14">
        <f>Operations!AD61</f>
        <v/>
      </c>
      <c r="AE114" s="14">
        <f>Operations!AE61</f>
        <v/>
      </c>
      <c r="AF114" s="14">
        <f>Operations!AF61</f>
        <v/>
      </c>
      <c r="AG114" s="14">
        <f>Operations!AG61</f>
        <v/>
      </c>
      <c r="AH114" s="14">
        <f>Operations!AH61</f>
        <v/>
      </c>
      <c r="AI114" s="14">
        <f>Operations!AI61</f>
        <v/>
      </c>
      <c r="AJ114" s="14">
        <f>Operations!AJ61</f>
        <v/>
      </c>
      <c r="AK114" s="14">
        <f>Operations!AK61</f>
        <v/>
      </c>
      <c r="AL114" s="14">
        <f>Operations!AL61</f>
        <v/>
      </c>
      <c r="AM114" s="14">
        <f>Operations!AM61</f>
        <v/>
      </c>
      <c r="AN114" s="14">
        <f>Operations!AN61</f>
        <v/>
      </c>
      <c r="AO114" s="14">
        <f>Operations!AO61</f>
        <v/>
      </c>
      <c r="AP114" s="14">
        <f>Operations!AP61</f>
        <v/>
      </c>
      <c r="AQ114" s="14">
        <f>Operations!AQ61</f>
        <v/>
      </c>
      <c r="AR114" s="14">
        <f>Operations!AR61</f>
        <v/>
      </c>
      <c r="AS114" s="14">
        <f>Operations!AS61</f>
        <v/>
      </c>
      <c r="AT114" s="14">
        <f>Operations!AT61</f>
        <v/>
      </c>
      <c r="AU114" s="14">
        <f>Operations!AU61</f>
        <v/>
      </c>
    </row>
    <row r="115">
      <c r="D115" t="inlineStr">
        <is>
          <t>R2 node capture ratio</t>
        </is>
      </c>
      <c r="E115" t="inlineStr">
        <is>
          <t>ratio</t>
        </is>
      </c>
      <c r="J115" s="14">
        <f>Operations!J114-Inputs!$F$60</f>
        <v/>
      </c>
      <c r="K115" s="14">
        <f>Operations!K114-Inputs!$F$60</f>
        <v/>
      </c>
      <c r="L115" s="14">
        <f>Operations!L114-Inputs!$F$60</f>
        <v/>
      </c>
      <c r="M115" s="14">
        <f>Operations!M114-Inputs!$F$60</f>
        <v/>
      </c>
      <c r="N115" s="14">
        <f>Operations!N114-Inputs!$F$60</f>
        <v/>
      </c>
      <c r="O115" s="14">
        <f>Operations!O114-Inputs!$F$60</f>
        <v/>
      </c>
      <c r="P115" s="14">
        <f>Operations!P114-Inputs!$F$60</f>
        <v/>
      </c>
      <c r="Q115" s="14">
        <f>Operations!Q114-Inputs!$F$60</f>
        <v/>
      </c>
      <c r="R115" s="14">
        <f>Operations!R114-Inputs!$F$60</f>
        <v/>
      </c>
      <c r="S115" s="14">
        <f>Operations!S114-Inputs!$F$60</f>
        <v/>
      </c>
      <c r="T115" s="14">
        <f>Operations!T114-Inputs!$F$60</f>
        <v/>
      </c>
      <c r="U115" s="14">
        <f>Operations!U114-Inputs!$F$60</f>
        <v/>
      </c>
      <c r="V115" s="14">
        <f>Operations!V114-Inputs!$F$60</f>
        <v/>
      </c>
      <c r="W115" s="14">
        <f>Operations!W114-Inputs!$F$60</f>
        <v/>
      </c>
      <c r="X115" s="14">
        <f>Operations!X114-Inputs!$F$60</f>
        <v/>
      </c>
      <c r="Y115" s="14">
        <f>Operations!Y114-Inputs!$F$60</f>
        <v/>
      </c>
      <c r="Z115" s="14">
        <f>Operations!Z114-Inputs!$F$60</f>
        <v/>
      </c>
      <c r="AA115" s="14">
        <f>Operations!AA114-Inputs!$F$60</f>
        <v/>
      </c>
      <c r="AB115" s="14">
        <f>Operations!AB114-Inputs!$F$60</f>
        <v/>
      </c>
      <c r="AC115" s="14">
        <f>Operations!AC114-Inputs!$F$60</f>
        <v/>
      </c>
      <c r="AD115" s="14">
        <f>Operations!AD114-Inputs!$F$60</f>
        <v/>
      </c>
      <c r="AE115" s="14">
        <f>Operations!AE114-Inputs!$F$60</f>
        <v/>
      </c>
      <c r="AF115" s="14">
        <f>Operations!AF114-Inputs!$F$60</f>
        <v/>
      </c>
      <c r="AG115" s="14">
        <f>Operations!AG114-Inputs!$F$60</f>
        <v/>
      </c>
      <c r="AH115" s="14">
        <f>Operations!AH114-Inputs!$F$60</f>
        <v/>
      </c>
      <c r="AI115" s="14">
        <f>Operations!AI114-Inputs!$F$60</f>
        <v/>
      </c>
      <c r="AJ115" s="14">
        <f>Operations!AJ114-Inputs!$F$60</f>
        <v/>
      </c>
      <c r="AK115" s="14">
        <f>Operations!AK114-Inputs!$F$60</f>
        <v/>
      </c>
      <c r="AL115" s="14">
        <f>Operations!AL114-Inputs!$F$60</f>
        <v/>
      </c>
      <c r="AM115" s="14">
        <f>Operations!AM114-Inputs!$F$60</f>
        <v/>
      </c>
      <c r="AN115" s="14">
        <f>Operations!AN114-Inputs!$F$60</f>
        <v/>
      </c>
      <c r="AO115" s="14">
        <f>Operations!AO114-Inputs!$F$60</f>
        <v/>
      </c>
      <c r="AP115" s="14">
        <f>Operations!AP114-Inputs!$F$60</f>
        <v/>
      </c>
      <c r="AQ115" s="14">
        <f>Operations!AQ114-Inputs!$F$60</f>
        <v/>
      </c>
      <c r="AR115" s="14">
        <f>Operations!AR114-Inputs!$F$60</f>
        <v/>
      </c>
      <c r="AS115" s="14">
        <f>Operations!AS114-Inputs!$F$60</f>
        <v/>
      </c>
      <c r="AT115" s="14">
        <f>Operations!AT114-Inputs!$F$60</f>
        <v/>
      </c>
      <c r="AU115" s="14">
        <f>Operations!AU114-Inputs!$F$60</f>
        <v/>
      </c>
    </row>
    <row r="116">
      <c r="D116" t="inlineStr">
        <is>
          <t>R2 realized node price</t>
        </is>
      </c>
      <c r="E116" t="inlineStr">
        <is>
          <t>USD/MWh</t>
        </is>
      </c>
      <c r="J116" s="18">
        <f>Operations!J108*Operations!J115</f>
        <v/>
      </c>
      <c r="K116" s="18">
        <f>Operations!K108*Operations!K115</f>
        <v/>
      </c>
      <c r="L116" s="18">
        <f>Operations!L108*Operations!L115</f>
        <v/>
      </c>
      <c r="M116" s="18">
        <f>Operations!M108*Operations!M115</f>
        <v/>
      </c>
      <c r="N116" s="18">
        <f>Operations!N108*Operations!N115</f>
        <v/>
      </c>
      <c r="O116" s="18">
        <f>Operations!O108*Operations!O115</f>
        <v/>
      </c>
      <c r="P116" s="18">
        <f>Operations!P108*Operations!P115</f>
        <v/>
      </c>
      <c r="Q116" s="18">
        <f>Operations!Q108*Operations!Q115</f>
        <v/>
      </c>
      <c r="R116" s="18">
        <f>Operations!R108*Operations!R115</f>
        <v/>
      </c>
      <c r="S116" s="18">
        <f>Operations!S108*Operations!S115</f>
        <v/>
      </c>
      <c r="T116" s="18">
        <f>Operations!T108*Operations!T115</f>
        <v/>
      </c>
      <c r="U116" s="18">
        <f>Operations!U108*Operations!U115</f>
        <v/>
      </c>
      <c r="V116" s="18">
        <f>Operations!V108*Operations!V115</f>
        <v/>
      </c>
      <c r="W116" s="18">
        <f>Operations!W108*Operations!W115</f>
        <v/>
      </c>
      <c r="X116" s="18">
        <f>Operations!X108*Operations!X115</f>
        <v/>
      </c>
      <c r="Y116" s="18">
        <f>Operations!Y108*Operations!Y115</f>
        <v/>
      </c>
      <c r="Z116" s="18">
        <f>Operations!Z108*Operations!Z115</f>
        <v/>
      </c>
      <c r="AA116" s="18">
        <f>Operations!AA108*Operations!AA115</f>
        <v/>
      </c>
      <c r="AB116" s="18">
        <f>Operations!AB108*Operations!AB115</f>
        <v/>
      </c>
      <c r="AC116" s="18">
        <f>Operations!AC108*Operations!AC115</f>
        <v/>
      </c>
      <c r="AD116" s="18">
        <f>Operations!AD108*Operations!AD115</f>
        <v/>
      </c>
      <c r="AE116" s="18">
        <f>Operations!AE108*Operations!AE115</f>
        <v/>
      </c>
      <c r="AF116" s="18">
        <f>Operations!AF108*Operations!AF115</f>
        <v/>
      </c>
      <c r="AG116" s="18">
        <f>Operations!AG108*Operations!AG115</f>
        <v/>
      </c>
      <c r="AH116" s="18">
        <f>Operations!AH108*Operations!AH115</f>
        <v/>
      </c>
      <c r="AI116" s="18">
        <f>Operations!AI108*Operations!AI115</f>
        <v/>
      </c>
      <c r="AJ116" s="18">
        <f>Operations!AJ108*Operations!AJ115</f>
        <v/>
      </c>
      <c r="AK116" s="18">
        <f>Operations!AK108*Operations!AK115</f>
        <v/>
      </c>
      <c r="AL116" s="18">
        <f>Operations!AL108*Operations!AL115</f>
        <v/>
      </c>
      <c r="AM116" s="18">
        <f>Operations!AM108*Operations!AM115</f>
        <v/>
      </c>
      <c r="AN116" s="18">
        <f>Operations!AN108*Operations!AN115</f>
        <v/>
      </c>
      <c r="AO116" s="18">
        <f>Operations!AO108*Operations!AO115</f>
        <v/>
      </c>
      <c r="AP116" s="18">
        <f>Operations!AP108*Operations!AP115</f>
        <v/>
      </c>
      <c r="AQ116" s="18">
        <f>Operations!AQ108*Operations!AQ115</f>
        <v/>
      </c>
      <c r="AR116" s="18">
        <f>Operations!AR108*Operations!AR115</f>
        <v/>
      </c>
      <c r="AS116" s="18">
        <f>Operations!AS108*Operations!AS115</f>
        <v/>
      </c>
      <c r="AT116" s="18">
        <f>Operations!AT108*Operations!AT115</f>
        <v/>
      </c>
      <c r="AU116" s="18">
        <f>Operations!AU108*Operations!AU115</f>
        <v/>
      </c>
    </row>
    <row r="117">
      <c r="D117" t="inlineStr">
        <is>
          <t>R2 PPA term fraction</t>
        </is>
      </c>
      <c r="E117" t="inlineStr">
        <is>
          <t>fraction</t>
        </is>
      </c>
      <c r="J117" s="14">
        <f>MAX(0,MIN(Inputs!$F$196,Time!J$6)-MAX(Inputs!$F$100,Time!J$5))/Time!J$7</f>
        <v/>
      </c>
      <c r="K117" s="14">
        <f>MAX(0,MIN(Inputs!$F$196,Time!K$6)-MAX(Inputs!$F$100,Time!K$5))/Time!K$7</f>
        <v/>
      </c>
      <c r="L117" s="14">
        <f>MAX(0,MIN(Inputs!$F$196,Time!L$6)-MAX(Inputs!$F$100,Time!L$5))/Time!L$7</f>
        <v/>
      </c>
      <c r="M117" s="14">
        <f>MAX(0,MIN(Inputs!$F$196,Time!M$6)-MAX(Inputs!$F$100,Time!M$5))/Time!M$7</f>
        <v/>
      </c>
      <c r="N117" s="14">
        <f>MAX(0,MIN(Inputs!$F$196,Time!N$6)-MAX(Inputs!$F$100,Time!N$5))/Time!N$7</f>
        <v/>
      </c>
      <c r="O117" s="14">
        <f>MAX(0,MIN(Inputs!$F$196,Time!O$6)-MAX(Inputs!$F$100,Time!O$5))/Time!O$7</f>
        <v/>
      </c>
      <c r="P117" s="14">
        <f>MAX(0,MIN(Inputs!$F$196,Time!P$6)-MAX(Inputs!$F$100,Time!P$5))/Time!P$7</f>
        <v/>
      </c>
      <c r="Q117" s="14">
        <f>MAX(0,MIN(Inputs!$F$196,Time!Q$6)-MAX(Inputs!$F$100,Time!Q$5))/Time!Q$7</f>
        <v/>
      </c>
      <c r="R117" s="14">
        <f>MAX(0,MIN(Inputs!$F$196,Time!R$6)-MAX(Inputs!$F$100,Time!R$5))/Time!R$7</f>
        <v/>
      </c>
      <c r="S117" s="14">
        <f>MAX(0,MIN(Inputs!$F$196,Time!S$6)-MAX(Inputs!$F$100,Time!S$5))/Time!S$7</f>
        <v/>
      </c>
      <c r="T117" s="14">
        <f>MAX(0,MIN(Inputs!$F$196,Time!T$6)-MAX(Inputs!$F$100,Time!T$5))/Time!T$7</f>
        <v/>
      </c>
      <c r="U117" s="14">
        <f>MAX(0,MIN(Inputs!$F$196,Time!U$6)-MAX(Inputs!$F$100,Time!U$5))/Time!U$7</f>
        <v/>
      </c>
      <c r="V117" s="14">
        <f>MAX(0,MIN(Inputs!$F$196,Time!V$6)-MAX(Inputs!$F$100,Time!V$5))/Time!V$7</f>
        <v/>
      </c>
      <c r="W117" s="14">
        <f>MAX(0,MIN(Inputs!$F$196,Time!W$6)-MAX(Inputs!$F$100,Time!W$5))/Time!W$7</f>
        <v/>
      </c>
      <c r="X117" s="14">
        <f>MAX(0,MIN(Inputs!$F$196,Time!X$6)-MAX(Inputs!$F$100,Time!X$5))/Time!X$7</f>
        <v/>
      </c>
      <c r="Y117" s="14">
        <f>MAX(0,MIN(Inputs!$F$196,Time!Y$6)-MAX(Inputs!$F$100,Time!Y$5))/Time!Y$7</f>
        <v/>
      </c>
      <c r="Z117" s="14">
        <f>MAX(0,MIN(Inputs!$F$196,Time!Z$6)-MAX(Inputs!$F$100,Time!Z$5))/Time!Z$7</f>
        <v/>
      </c>
      <c r="AA117" s="14">
        <f>MAX(0,MIN(Inputs!$F$196,Time!AA$6)-MAX(Inputs!$F$100,Time!AA$5))/Time!AA$7</f>
        <v/>
      </c>
      <c r="AB117" s="14">
        <f>MAX(0,MIN(Inputs!$F$196,Time!AB$6)-MAX(Inputs!$F$100,Time!AB$5))/Time!AB$7</f>
        <v/>
      </c>
      <c r="AC117" s="14">
        <f>MAX(0,MIN(Inputs!$F$196,Time!AC$6)-MAX(Inputs!$F$100,Time!AC$5))/Time!AC$7</f>
        <v/>
      </c>
      <c r="AD117" s="14">
        <f>MAX(0,MIN(Inputs!$F$196,Time!AD$6)-MAX(Inputs!$F$100,Time!AD$5))/Time!AD$7</f>
        <v/>
      </c>
      <c r="AE117" s="14">
        <f>MAX(0,MIN(Inputs!$F$196,Time!AE$6)-MAX(Inputs!$F$100,Time!AE$5))/Time!AE$7</f>
        <v/>
      </c>
      <c r="AF117" s="14">
        <f>MAX(0,MIN(Inputs!$F$196,Time!AF$6)-MAX(Inputs!$F$100,Time!AF$5))/Time!AF$7</f>
        <v/>
      </c>
      <c r="AG117" s="14">
        <f>MAX(0,MIN(Inputs!$F$196,Time!AG$6)-MAX(Inputs!$F$100,Time!AG$5))/Time!AG$7</f>
        <v/>
      </c>
      <c r="AH117" s="14">
        <f>MAX(0,MIN(Inputs!$F$196,Time!AH$6)-MAX(Inputs!$F$100,Time!AH$5))/Time!AH$7</f>
        <v/>
      </c>
      <c r="AI117" s="14">
        <f>MAX(0,MIN(Inputs!$F$196,Time!AI$6)-MAX(Inputs!$F$100,Time!AI$5))/Time!AI$7</f>
        <v/>
      </c>
      <c r="AJ117" s="14">
        <f>MAX(0,MIN(Inputs!$F$196,Time!AJ$6)-MAX(Inputs!$F$100,Time!AJ$5))/Time!AJ$7</f>
        <v/>
      </c>
      <c r="AK117" s="14">
        <f>MAX(0,MIN(Inputs!$F$196,Time!AK$6)-MAX(Inputs!$F$100,Time!AK$5))/Time!AK$7</f>
        <v/>
      </c>
      <c r="AL117" s="14">
        <f>MAX(0,MIN(Inputs!$F$196,Time!AL$6)-MAX(Inputs!$F$100,Time!AL$5))/Time!AL$7</f>
        <v/>
      </c>
      <c r="AM117" s="14">
        <f>MAX(0,MIN(Inputs!$F$196,Time!AM$6)-MAX(Inputs!$F$100,Time!AM$5))/Time!AM$7</f>
        <v/>
      </c>
      <c r="AN117" s="14">
        <f>MAX(0,MIN(Inputs!$F$196,Time!AN$6)-MAX(Inputs!$F$100,Time!AN$5))/Time!AN$7</f>
        <v/>
      </c>
      <c r="AO117" s="14">
        <f>MAX(0,MIN(Inputs!$F$196,Time!AO$6)-MAX(Inputs!$F$100,Time!AO$5))/Time!AO$7</f>
        <v/>
      </c>
      <c r="AP117" s="14">
        <f>MAX(0,MIN(Inputs!$F$196,Time!AP$6)-MAX(Inputs!$F$100,Time!AP$5))/Time!AP$7</f>
        <v/>
      </c>
      <c r="AQ117" s="14">
        <f>MAX(0,MIN(Inputs!$F$196,Time!AQ$6)-MAX(Inputs!$F$100,Time!AQ$5))/Time!AQ$7</f>
        <v/>
      </c>
      <c r="AR117" s="14">
        <f>MAX(0,MIN(Inputs!$F$196,Time!AR$6)-MAX(Inputs!$F$100,Time!AR$5))/Time!AR$7</f>
        <v/>
      </c>
      <c r="AS117" s="14">
        <f>MAX(0,MIN(Inputs!$F$196,Time!AS$6)-MAX(Inputs!$F$100,Time!AS$5))/Time!AS$7</f>
        <v/>
      </c>
      <c r="AT117" s="14">
        <f>MAX(0,MIN(Inputs!$F$196,Time!AT$6)-MAX(Inputs!$F$100,Time!AT$5))/Time!AT$7</f>
        <v/>
      </c>
      <c r="AU117" s="14">
        <f>MAX(0,MIN(Inputs!$F$196,Time!AU$6)-MAX(Inputs!$F$100,Time!AU$5))/Time!AU$7</f>
        <v/>
      </c>
    </row>
    <row r="118">
      <c r="D118" t="inlineStr">
        <is>
          <t>R2 PPA volume (as generated)</t>
        </is>
      </c>
      <c r="E118" t="inlineStr">
        <is>
          <t>GWh</t>
        </is>
      </c>
      <c r="J118" s="20">
        <f>Operations!J112*Operations!J117</f>
        <v/>
      </c>
      <c r="K118" s="20">
        <f>Operations!K112*Operations!K117</f>
        <v/>
      </c>
      <c r="L118" s="20">
        <f>Operations!L112*Operations!L117</f>
        <v/>
      </c>
      <c r="M118" s="20">
        <f>Operations!M112*Operations!M117</f>
        <v/>
      </c>
      <c r="N118" s="20">
        <f>Operations!N112*Operations!N117</f>
        <v/>
      </c>
      <c r="O118" s="20">
        <f>Operations!O112*Operations!O117</f>
        <v/>
      </c>
      <c r="P118" s="20">
        <f>Operations!P112*Operations!P117</f>
        <v/>
      </c>
      <c r="Q118" s="20">
        <f>Operations!Q112*Operations!Q117</f>
        <v/>
      </c>
      <c r="R118" s="20">
        <f>Operations!R112*Operations!R117</f>
        <v/>
      </c>
      <c r="S118" s="20">
        <f>Operations!S112*Operations!S117</f>
        <v/>
      </c>
      <c r="T118" s="20">
        <f>Operations!T112*Operations!T117</f>
        <v/>
      </c>
      <c r="U118" s="20">
        <f>Operations!U112*Operations!U117</f>
        <v/>
      </c>
      <c r="V118" s="20">
        <f>Operations!V112*Operations!V117</f>
        <v/>
      </c>
      <c r="W118" s="20">
        <f>Operations!W112*Operations!W117</f>
        <v/>
      </c>
      <c r="X118" s="20">
        <f>Operations!X112*Operations!X117</f>
        <v/>
      </c>
      <c r="Y118" s="20">
        <f>Operations!Y112*Operations!Y117</f>
        <v/>
      </c>
      <c r="Z118" s="20">
        <f>Operations!Z112*Operations!Z117</f>
        <v/>
      </c>
      <c r="AA118" s="20">
        <f>Operations!AA112*Operations!AA117</f>
        <v/>
      </c>
      <c r="AB118" s="20">
        <f>Operations!AB112*Operations!AB117</f>
        <v/>
      </c>
      <c r="AC118" s="20">
        <f>Operations!AC112*Operations!AC117</f>
        <v/>
      </c>
      <c r="AD118" s="20">
        <f>Operations!AD112*Operations!AD117</f>
        <v/>
      </c>
      <c r="AE118" s="20">
        <f>Operations!AE112*Operations!AE117</f>
        <v/>
      </c>
      <c r="AF118" s="20">
        <f>Operations!AF112*Operations!AF117</f>
        <v/>
      </c>
      <c r="AG118" s="20">
        <f>Operations!AG112*Operations!AG117</f>
        <v/>
      </c>
      <c r="AH118" s="20">
        <f>Operations!AH112*Operations!AH117</f>
        <v/>
      </c>
      <c r="AI118" s="20">
        <f>Operations!AI112*Operations!AI117</f>
        <v/>
      </c>
      <c r="AJ118" s="20">
        <f>Operations!AJ112*Operations!AJ117</f>
        <v/>
      </c>
      <c r="AK118" s="20">
        <f>Operations!AK112*Operations!AK117</f>
        <v/>
      </c>
      <c r="AL118" s="20">
        <f>Operations!AL112*Operations!AL117</f>
        <v/>
      </c>
      <c r="AM118" s="20">
        <f>Operations!AM112*Operations!AM117</f>
        <v/>
      </c>
      <c r="AN118" s="20">
        <f>Operations!AN112*Operations!AN117</f>
        <v/>
      </c>
      <c r="AO118" s="20">
        <f>Operations!AO112*Operations!AO117</f>
        <v/>
      </c>
      <c r="AP118" s="20">
        <f>Operations!AP112*Operations!AP117</f>
        <v/>
      </c>
      <c r="AQ118" s="20">
        <f>Operations!AQ112*Operations!AQ117</f>
        <v/>
      </c>
      <c r="AR118" s="20">
        <f>Operations!AR112*Operations!AR117</f>
        <v/>
      </c>
      <c r="AS118" s="20">
        <f>Operations!AS112*Operations!AS117</f>
        <v/>
      </c>
      <c r="AT118" s="20">
        <f>Operations!AT112*Operations!AT117</f>
        <v/>
      </c>
      <c r="AU118" s="20">
        <f>Operations!AU112*Operations!AU117</f>
        <v/>
      </c>
    </row>
    <row r="119">
      <c r="D119" t="inlineStr">
        <is>
          <t>R2 PPA revenue</t>
        </is>
      </c>
      <c r="E119" t="inlineStr">
        <is>
          <t>USD m</t>
        </is>
      </c>
      <c r="G119" s="20">
        <f>SUM(J119:AU119)</f>
        <v/>
      </c>
      <c r="J119" s="20">
        <f>Operations!J118*Inputs!$F$195/1000</f>
        <v/>
      </c>
      <c r="K119" s="20">
        <f>Operations!K118*Inputs!$F$195/1000</f>
        <v/>
      </c>
      <c r="L119" s="20">
        <f>Operations!L118*Inputs!$F$195/1000</f>
        <v/>
      </c>
      <c r="M119" s="20">
        <f>Operations!M118*Inputs!$F$195/1000</f>
        <v/>
      </c>
      <c r="N119" s="20">
        <f>Operations!N118*Inputs!$F$195/1000</f>
        <v/>
      </c>
      <c r="O119" s="20">
        <f>Operations!O118*Inputs!$F$195/1000</f>
        <v/>
      </c>
      <c r="P119" s="20">
        <f>Operations!P118*Inputs!$F$195/1000</f>
        <v/>
      </c>
      <c r="Q119" s="20">
        <f>Operations!Q118*Inputs!$F$195/1000</f>
        <v/>
      </c>
      <c r="R119" s="20">
        <f>Operations!R118*Inputs!$F$195/1000</f>
        <v/>
      </c>
      <c r="S119" s="20">
        <f>Operations!S118*Inputs!$F$195/1000</f>
        <v/>
      </c>
      <c r="T119" s="20">
        <f>Operations!T118*Inputs!$F$195/1000</f>
        <v/>
      </c>
      <c r="U119" s="20">
        <f>Operations!U118*Inputs!$F$195/1000</f>
        <v/>
      </c>
      <c r="V119" s="20">
        <f>Operations!V118*Inputs!$F$195/1000</f>
        <v/>
      </c>
      <c r="W119" s="20">
        <f>Operations!W118*Inputs!$F$195/1000</f>
        <v/>
      </c>
      <c r="X119" s="20">
        <f>Operations!X118*Inputs!$F$195/1000</f>
        <v/>
      </c>
      <c r="Y119" s="20">
        <f>Operations!Y118*Inputs!$F$195/1000</f>
        <v/>
      </c>
      <c r="Z119" s="20">
        <f>Operations!Z118*Inputs!$F$195/1000</f>
        <v/>
      </c>
      <c r="AA119" s="20">
        <f>Operations!AA118*Inputs!$F$195/1000</f>
        <v/>
      </c>
      <c r="AB119" s="20">
        <f>Operations!AB118*Inputs!$F$195/1000</f>
        <v/>
      </c>
      <c r="AC119" s="20">
        <f>Operations!AC118*Inputs!$F$195/1000</f>
        <v/>
      </c>
      <c r="AD119" s="20">
        <f>Operations!AD118*Inputs!$F$195/1000</f>
        <v/>
      </c>
      <c r="AE119" s="20">
        <f>Operations!AE118*Inputs!$F$195/1000</f>
        <v/>
      </c>
      <c r="AF119" s="20">
        <f>Operations!AF118*Inputs!$F$195/1000</f>
        <v/>
      </c>
      <c r="AG119" s="20">
        <f>Operations!AG118*Inputs!$F$195/1000</f>
        <v/>
      </c>
      <c r="AH119" s="20">
        <f>Operations!AH118*Inputs!$F$195/1000</f>
        <v/>
      </c>
      <c r="AI119" s="20">
        <f>Operations!AI118*Inputs!$F$195/1000</f>
        <v/>
      </c>
      <c r="AJ119" s="20">
        <f>Operations!AJ118*Inputs!$F$195/1000</f>
        <v/>
      </c>
      <c r="AK119" s="20">
        <f>Operations!AK118*Inputs!$F$195/1000</f>
        <v/>
      </c>
      <c r="AL119" s="20">
        <f>Operations!AL118*Inputs!$F$195/1000</f>
        <v/>
      </c>
      <c r="AM119" s="20">
        <f>Operations!AM118*Inputs!$F$195/1000</f>
        <v/>
      </c>
      <c r="AN119" s="20">
        <f>Operations!AN118*Inputs!$F$195/1000</f>
        <v/>
      </c>
      <c r="AO119" s="20">
        <f>Operations!AO118*Inputs!$F$195/1000</f>
        <v/>
      </c>
      <c r="AP119" s="20">
        <f>Operations!AP118*Inputs!$F$195/1000</f>
        <v/>
      </c>
      <c r="AQ119" s="20">
        <f>Operations!AQ118*Inputs!$F$195/1000</f>
        <v/>
      </c>
      <c r="AR119" s="20">
        <f>Operations!AR118*Inputs!$F$195/1000</f>
        <v/>
      </c>
      <c r="AS119" s="20">
        <f>Operations!AS118*Inputs!$F$195/1000</f>
        <v/>
      </c>
      <c r="AT119" s="20">
        <f>Operations!AT118*Inputs!$F$195/1000</f>
        <v/>
      </c>
      <c r="AU119" s="20">
        <f>Operations!AU118*Inputs!$F$195/1000</f>
        <v/>
      </c>
    </row>
    <row r="120">
      <c r="D120" t="inlineStr">
        <is>
          <t>R2 generation sold at node</t>
        </is>
      </c>
      <c r="E120" t="inlineStr">
        <is>
          <t>GWh</t>
        </is>
      </c>
      <c r="J120" s="20">
        <f>Operations!J113-Operations!J118</f>
        <v/>
      </c>
      <c r="K120" s="20">
        <f>Operations!K113-Operations!K118</f>
        <v/>
      </c>
      <c r="L120" s="20">
        <f>Operations!L113-Operations!L118</f>
        <v/>
      </c>
      <c r="M120" s="20">
        <f>Operations!M113-Operations!M118</f>
        <v/>
      </c>
      <c r="N120" s="20">
        <f>Operations!N113-Operations!N118</f>
        <v/>
      </c>
      <c r="O120" s="20">
        <f>Operations!O113-Operations!O118</f>
        <v/>
      </c>
      <c r="P120" s="20">
        <f>Operations!P113-Operations!P118</f>
        <v/>
      </c>
      <c r="Q120" s="20">
        <f>Operations!Q113-Operations!Q118</f>
        <v/>
      </c>
      <c r="R120" s="20">
        <f>Operations!R113-Operations!R118</f>
        <v/>
      </c>
      <c r="S120" s="20">
        <f>Operations!S113-Operations!S118</f>
        <v/>
      </c>
      <c r="T120" s="20">
        <f>Operations!T113-Operations!T118</f>
        <v/>
      </c>
      <c r="U120" s="20">
        <f>Operations!U113-Operations!U118</f>
        <v/>
      </c>
      <c r="V120" s="20">
        <f>Operations!V113-Operations!V118</f>
        <v/>
      </c>
      <c r="W120" s="20">
        <f>Operations!W113-Operations!W118</f>
        <v/>
      </c>
      <c r="X120" s="20">
        <f>Operations!X113-Operations!X118</f>
        <v/>
      </c>
      <c r="Y120" s="20">
        <f>Operations!Y113-Operations!Y118</f>
        <v/>
      </c>
      <c r="Z120" s="20">
        <f>Operations!Z113-Operations!Z118</f>
        <v/>
      </c>
      <c r="AA120" s="20">
        <f>Operations!AA113-Operations!AA118</f>
        <v/>
      </c>
      <c r="AB120" s="20">
        <f>Operations!AB113-Operations!AB118</f>
        <v/>
      </c>
      <c r="AC120" s="20">
        <f>Operations!AC113-Operations!AC118</f>
        <v/>
      </c>
      <c r="AD120" s="20">
        <f>Operations!AD113-Operations!AD118</f>
        <v/>
      </c>
      <c r="AE120" s="20">
        <f>Operations!AE113-Operations!AE118</f>
        <v/>
      </c>
      <c r="AF120" s="20">
        <f>Operations!AF113-Operations!AF118</f>
        <v/>
      </c>
      <c r="AG120" s="20">
        <f>Operations!AG113-Operations!AG118</f>
        <v/>
      </c>
      <c r="AH120" s="20">
        <f>Operations!AH113-Operations!AH118</f>
        <v/>
      </c>
      <c r="AI120" s="20">
        <f>Operations!AI113-Operations!AI118</f>
        <v/>
      </c>
      <c r="AJ120" s="20">
        <f>Operations!AJ113-Operations!AJ118</f>
        <v/>
      </c>
      <c r="AK120" s="20">
        <f>Operations!AK113-Operations!AK118</f>
        <v/>
      </c>
      <c r="AL120" s="20">
        <f>Operations!AL113-Operations!AL118</f>
        <v/>
      </c>
      <c r="AM120" s="20">
        <f>Operations!AM113-Operations!AM118</f>
        <v/>
      </c>
      <c r="AN120" s="20">
        <f>Operations!AN113-Operations!AN118</f>
        <v/>
      </c>
      <c r="AO120" s="20">
        <f>Operations!AO113-Operations!AO118</f>
        <v/>
      </c>
      <c r="AP120" s="20">
        <f>Operations!AP113-Operations!AP118</f>
        <v/>
      </c>
      <c r="AQ120" s="20">
        <f>Operations!AQ113-Operations!AQ118</f>
        <v/>
      </c>
      <c r="AR120" s="20">
        <f>Operations!AR113-Operations!AR118</f>
        <v/>
      </c>
      <c r="AS120" s="20">
        <f>Operations!AS113-Operations!AS118</f>
        <v/>
      </c>
      <c r="AT120" s="20">
        <f>Operations!AT113-Operations!AT118</f>
        <v/>
      </c>
      <c r="AU120" s="20">
        <f>Operations!AU113-Operations!AU118</f>
        <v/>
      </c>
    </row>
    <row r="121">
      <c r="D121" t="inlineStr">
        <is>
          <t>R2 contracted revenue</t>
        </is>
      </c>
      <c r="E121" t="inlineStr">
        <is>
          <t>USD m</t>
        </is>
      </c>
      <c r="J121" s="20">
        <f>Operations!J119</f>
        <v/>
      </c>
      <c r="K121" s="20">
        <f>Operations!K119</f>
        <v/>
      </c>
      <c r="L121" s="20">
        <f>Operations!L119</f>
        <v/>
      </c>
      <c r="M121" s="20">
        <f>Operations!M119</f>
        <v/>
      </c>
      <c r="N121" s="20">
        <f>Operations!N119</f>
        <v/>
      </c>
      <c r="O121" s="20">
        <f>Operations!O119</f>
        <v/>
      </c>
      <c r="P121" s="20">
        <f>Operations!P119</f>
        <v/>
      </c>
      <c r="Q121" s="20">
        <f>Operations!Q119</f>
        <v/>
      </c>
      <c r="R121" s="20">
        <f>Operations!R119</f>
        <v/>
      </c>
      <c r="S121" s="20">
        <f>Operations!S119</f>
        <v/>
      </c>
      <c r="T121" s="20">
        <f>Operations!T119</f>
        <v/>
      </c>
      <c r="U121" s="20">
        <f>Operations!U119</f>
        <v/>
      </c>
      <c r="V121" s="20">
        <f>Operations!V119</f>
        <v/>
      </c>
      <c r="W121" s="20">
        <f>Operations!W119</f>
        <v/>
      </c>
      <c r="X121" s="20">
        <f>Operations!X119</f>
        <v/>
      </c>
      <c r="Y121" s="20">
        <f>Operations!Y119</f>
        <v/>
      </c>
      <c r="Z121" s="20">
        <f>Operations!Z119</f>
        <v/>
      </c>
      <c r="AA121" s="20">
        <f>Operations!AA119</f>
        <v/>
      </c>
      <c r="AB121" s="20">
        <f>Operations!AB119</f>
        <v/>
      </c>
      <c r="AC121" s="20">
        <f>Operations!AC119</f>
        <v/>
      </c>
      <c r="AD121" s="20">
        <f>Operations!AD119</f>
        <v/>
      </c>
      <c r="AE121" s="20">
        <f>Operations!AE119</f>
        <v/>
      </c>
      <c r="AF121" s="20">
        <f>Operations!AF119</f>
        <v/>
      </c>
      <c r="AG121" s="20">
        <f>Operations!AG119</f>
        <v/>
      </c>
      <c r="AH121" s="20">
        <f>Operations!AH119</f>
        <v/>
      </c>
      <c r="AI121" s="20">
        <f>Operations!AI119</f>
        <v/>
      </c>
      <c r="AJ121" s="20">
        <f>Operations!AJ119</f>
        <v/>
      </c>
      <c r="AK121" s="20">
        <f>Operations!AK119</f>
        <v/>
      </c>
      <c r="AL121" s="20">
        <f>Operations!AL119</f>
        <v/>
      </c>
      <c r="AM121" s="20">
        <f>Operations!AM119</f>
        <v/>
      </c>
      <c r="AN121" s="20">
        <f>Operations!AN119</f>
        <v/>
      </c>
      <c r="AO121" s="20">
        <f>Operations!AO119</f>
        <v/>
      </c>
      <c r="AP121" s="20">
        <f>Operations!AP119</f>
        <v/>
      </c>
      <c r="AQ121" s="20">
        <f>Operations!AQ119</f>
        <v/>
      </c>
      <c r="AR121" s="20">
        <f>Operations!AR119</f>
        <v/>
      </c>
      <c r="AS121" s="20">
        <f>Operations!AS119</f>
        <v/>
      </c>
      <c r="AT121" s="20">
        <f>Operations!AT119</f>
        <v/>
      </c>
      <c r="AU121" s="20">
        <f>Operations!AU119</f>
        <v/>
      </c>
    </row>
    <row r="122">
      <c r="D122" t="inlineStr">
        <is>
          <t>R2 hedged revenue</t>
        </is>
      </c>
      <c r="E122" t="inlineStr">
        <is>
          <t>USD m</t>
        </is>
      </c>
      <c r="J122" s="20">
        <f>0</f>
        <v/>
      </c>
      <c r="K122" s="20">
        <f>0</f>
        <v/>
      </c>
      <c r="L122" s="20">
        <f>0</f>
        <v/>
      </c>
      <c r="M122" s="20">
        <f>0</f>
        <v/>
      </c>
      <c r="N122" s="20">
        <f>0</f>
        <v/>
      </c>
      <c r="O122" s="20">
        <f>0</f>
        <v/>
      </c>
      <c r="P122" s="20">
        <f>0</f>
        <v/>
      </c>
      <c r="Q122" s="20">
        <f>0</f>
        <v/>
      </c>
      <c r="R122" s="20">
        <f>0</f>
        <v/>
      </c>
      <c r="S122" s="20">
        <f>0</f>
        <v/>
      </c>
      <c r="T122" s="20">
        <f>0</f>
        <v/>
      </c>
      <c r="U122" s="20">
        <f>0</f>
        <v/>
      </c>
      <c r="V122" s="20">
        <f>0</f>
        <v/>
      </c>
      <c r="W122" s="20">
        <f>0</f>
        <v/>
      </c>
      <c r="X122" s="20">
        <f>0</f>
        <v/>
      </c>
      <c r="Y122" s="20">
        <f>0</f>
        <v/>
      </c>
      <c r="Z122" s="20">
        <f>0</f>
        <v/>
      </c>
      <c r="AA122" s="20">
        <f>0</f>
        <v/>
      </c>
      <c r="AB122" s="20">
        <f>0</f>
        <v/>
      </c>
      <c r="AC122" s="20">
        <f>0</f>
        <v/>
      </c>
      <c r="AD122" s="20">
        <f>0</f>
        <v/>
      </c>
      <c r="AE122" s="20">
        <f>0</f>
        <v/>
      </c>
      <c r="AF122" s="20">
        <f>0</f>
        <v/>
      </c>
      <c r="AG122" s="20">
        <f>0</f>
        <v/>
      </c>
      <c r="AH122" s="20">
        <f>0</f>
        <v/>
      </c>
      <c r="AI122" s="20">
        <f>0</f>
        <v/>
      </c>
      <c r="AJ122" s="20">
        <f>0</f>
        <v/>
      </c>
      <c r="AK122" s="20">
        <f>0</f>
        <v/>
      </c>
      <c r="AL122" s="20">
        <f>0</f>
        <v/>
      </c>
      <c r="AM122" s="20">
        <f>0</f>
        <v/>
      </c>
      <c r="AN122" s="20">
        <f>0</f>
        <v/>
      </c>
      <c r="AO122" s="20">
        <f>0</f>
        <v/>
      </c>
      <c r="AP122" s="20">
        <f>0</f>
        <v/>
      </c>
      <c r="AQ122" s="20">
        <f>0</f>
        <v/>
      </c>
      <c r="AR122" s="20">
        <f>0</f>
        <v/>
      </c>
      <c r="AS122" s="20">
        <f>0</f>
        <v/>
      </c>
      <c r="AT122" s="20">
        <f>0</f>
        <v/>
      </c>
      <c r="AU122" s="20">
        <f>0</f>
        <v/>
      </c>
    </row>
    <row r="123">
      <c r="D123" t="inlineStr">
        <is>
          <t>R2 market revenue at node</t>
        </is>
      </c>
      <c r="E123" t="inlineStr">
        <is>
          <t>USD m</t>
        </is>
      </c>
      <c r="G123" s="20">
        <f>SUM(J123:AU123)</f>
        <v/>
      </c>
      <c r="J123" s="20">
        <f>Operations!J120*Operations!J116/1000</f>
        <v/>
      </c>
      <c r="K123" s="20">
        <f>Operations!K120*Operations!K116/1000</f>
        <v/>
      </c>
      <c r="L123" s="20">
        <f>Operations!L120*Operations!L116/1000</f>
        <v/>
      </c>
      <c r="M123" s="20">
        <f>Operations!M120*Operations!M116/1000</f>
        <v/>
      </c>
      <c r="N123" s="20">
        <f>Operations!N120*Operations!N116/1000</f>
        <v/>
      </c>
      <c r="O123" s="20">
        <f>Operations!O120*Operations!O116/1000</f>
        <v/>
      </c>
      <c r="P123" s="20">
        <f>Operations!P120*Operations!P116/1000</f>
        <v/>
      </c>
      <c r="Q123" s="20">
        <f>Operations!Q120*Operations!Q116/1000</f>
        <v/>
      </c>
      <c r="R123" s="20">
        <f>Operations!R120*Operations!R116/1000</f>
        <v/>
      </c>
      <c r="S123" s="20">
        <f>Operations!S120*Operations!S116/1000</f>
        <v/>
      </c>
      <c r="T123" s="20">
        <f>Operations!T120*Operations!T116/1000</f>
        <v/>
      </c>
      <c r="U123" s="20">
        <f>Operations!U120*Operations!U116/1000</f>
        <v/>
      </c>
      <c r="V123" s="20">
        <f>Operations!V120*Operations!V116/1000</f>
        <v/>
      </c>
      <c r="W123" s="20">
        <f>Operations!W120*Operations!W116/1000</f>
        <v/>
      </c>
      <c r="X123" s="20">
        <f>Operations!X120*Operations!X116/1000</f>
        <v/>
      </c>
      <c r="Y123" s="20">
        <f>Operations!Y120*Operations!Y116/1000</f>
        <v/>
      </c>
      <c r="Z123" s="20">
        <f>Operations!Z120*Operations!Z116/1000</f>
        <v/>
      </c>
      <c r="AA123" s="20">
        <f>Operations!AA120*Operations!AA116/1000</f>
        <v/>
      </c>
      <c r="AB123" s="20">
        <f>Operations!AB120*Operations!AB116/1000</f>
        <v/>
      </c>
      <c r="AC123" s="20">
        <f>Operations!AC120*Operations!AC116/1000</f>
        <v/>
      </c>
      <c r="AD123" s="20">
        <f>Operations!AD120*Operations!AD116/1000</f>
        <v/>
      </c>
      <c r="AE123" s="20">
        <f>Operations!AE120*Operations!AE116/1000</f>
        <v/>
      </c>
      <c r="AF123" s="20">
        <f>Operations!AF120*Operations!AF116/1000</f>
        <v/>
      </c>
      <c r="AG123" s="20">
        <f>Operations!AG120*Operations!AG116/1000</f>
        <v/>
      </c>
      <c r="AH123" s="20">
        <f>Operations!AH120*Operations!AH116/1000</f>
        <v/>
      </c>
      <c r="AI123" s="20">
        <f>Operations!AI120*Operations!AI116/1000</f>
        <v/>
      </c>
      <c r="AJ123" s="20">
        <f>Operations!AJ120*Operations!AJ116/1000</f>
        <v/>
      </c>
      <c r="AK123" s="20">
        <f>Operations!AK120*Operations!AK116/1000</f>
        <v/>
      </c>
      <c r="AL123" s="20">
        <f>Operations!AL120*Operations!AL116/1000</f>
        <v/>
      </c>
      <c r="AM123" s="20">
        <f>Operations!AM120*Operations!AM116/1000</f>
        <v/>
      </c>
      <c r="AN123" s="20">
        <f>Operations!AN120*Operations!AN116/1000</f>
        <v/>
      </c>
      <c r="AO123" s="20">
        <f>Operations!AO120*Operations!AO116/1000</f>
        <v/>
      </c>
      <c r="AP123" s="20">
        <f>Operations!AP120*Operations!AP116/1000</f>
        <v/>
      </c>
      <c r="AQ123" s="20">
        <f>Operations!AQ120*Operations!AQ116/1000</f>
        <v/>
      </c>
      <c r="AR123" s="20">
        <f>Operations!AR120*Operations!AR116/1000</f>
        <v/>
      </c>
      <c r="AS123" s="20">
        <f>Operations!AS120*Operations!AS116/1000</f>
        <v/>
      </c>
      <c r="AT123" s="20">
        <f>Operations!AT120*Operations!AT116/1000</f>
        <v/>
      </c>
      <c r="AU123" s="20">
        <f>Operations!AU120*Operations!AU116/1000</f>
        <v/>
      </c>
    </row>
    <row r="124">
      <c r="D124" t="inlineStr">
        <is>
          <t>R2 total revenue</t>
        </is>
      </c>
      <c r="E124" t="inlineStr">
        <is>
          <t>USD m</t>
        </is>
      </c>
      <c r="G124" s="20">
        <f>SUM(J124:AU124)</f>
        <v/>
      </c>
      <c r="J124" s="20">
        <f>Operations!J123+Operations!J119</f>
        <v/>
      </c>
      <c r="K124" s="20">
        <f>Operations!K123+Operations!K119</f>
        <v/>
      </c>
      <c r="L124" s="20">
        <f>Operations!L123+Operations!L119</f>
        <v/>
      </c>
      <c r="M124" s="20">
        <f>Operations!M123+Operations!M119</f>
        <v/>
      </c>
      <c r="N124" s="20">
        <f>Operations!N123+Operations!N119</f>
        <v/>
      </c>
      <c r="O124" s="20">
        <f>Operations!O123+Operations!O119</f>
        <v/>
      </c>
      <c r="P124" s="20">
        <f>Operations!P123+Operations!P119</f>
        <v/>
      </c>
      <c r="Q124" s="20">
        <f>Operations!Q123+Operations!Q119</f>
        <v/>
      </c>
      <c r="R124" s="20">
        <f>Operations!R123+Operations!R119</f>
        <v/>
      </c>
      <c r="S124" s="20">
        <f>Operations!S123+Operations!S119</f>
        <v/>
      </c>
      <c r="T124" s="20">
        <f>Operations!T123+Operations!T119</f>
        <v/>
      </c>
      <c r="U124" s="20">
        <f>Operations!U123+Operations!U119</f>
        <v/>
      </c>
      <c r="V124" s="20">
        <f>Operations!V123+Operations!V119</f>
        <v/>
      </c>
      <c r="W124" s="20">
        <f>Operations!W123+Operations!W119</f>
        <v/>
      </c>
      <c r="X124" s="20">
        <f>Operations!X123+Operations!X119</f>
        <v/>
      </c>
      <c r="Y124" s="20">
        <f>Operations!Y123+Operations!Y119</f>
        <v/>
      </c>
      <c r="Z124" s="20">
        <f>Operations!Z123+Operations!Z119</f>
        <v/>
      </c>
      <c r="AA124" s="20">
        <f>Operations!AA123+Operations!AA119</f>
        <v/>
      </c>
      <c r="AB124" s="20">
        <f>Operations!AB123+Operations!AB119</f>
        <v/>
      </c>
      <c r="AC124" s="20">
        <f>Operations!AC123+Operations!AC119</f>
        <v/>
      </c>
      <c r="AD124" s="20">
        <f>Operations!AD123+Operations!AD119</f>
        <v/>
      </c>
      <c r="AE124" s="20">
        <f>Operations!AE123+Operations!AE119</f>
        <v/>
      </c>
      <c r="AF124" s="20">
        <f>Operations!AF123+Operations!AF119</f>
        <v/>
      </c>
      <c r="AG124" s="20">
        <f>Operations!AG123+Operations!AG119</f>
        <v/>
      </c>
      <c r="AH124" s="20">
        <f>Operations!AH123+Operations!AH119</f>
        <v/>
      </c>
      <c r="AI124" s="20">
        <f>Operations!AI123+Operations!AI119</f>
        <v/>
      </c>
      <c r="AJ124" s="20">
        <f>Operations!AJ123+Operations!AJ119</f>
        <v/>
      </c>
      <c r="AK124" s="20">
        <f>Operations!AK123+Operations!AK119</f>
        <v/>
      </c>
      <c r="AL124" s="20">
        <f>Operations!AL123+Operations!AL119</f>
        <v/>
      </c>
      <c r="AM124" s="20">
        <f>Operations!AM123+Operations!AM119</f>
        <v/>
      </c>
      <c r="AN124" s="20">
        <f>Operations!AN123+Operations!AN119</f>
        <v/>
      </c>
      <c r="AO124" s="20">
        <f>Operations!AO123+Operations!AO119</f>
        <v/>
      </c>
      <c r="AP124" s="20">
        <f>Operations!AP123+Operations!AP119</f>
        <v/>
      </c>
      <c r="AQ124" s="20">
        <f>Operations!AQ123+Operations!AQ119</f>
        <v/>
      </c>
      <c r="AR124" s="20">
        <f>Operations!AR123+Operations!AR119</f>
        <v/>
      </c>
      <c r="AS124" s="20">
        <f>Operations!AS123+Operations!AS119</f>
        <v/>
      </c>
      <c r="AT124" s="20">
        <f>Operations!AT123+Operations!AT119</f>
        <v/>
      </c>
      <c r="AU124" s="20">
        <f>Operations!AU123+Operations!AU119</f>
        <v/>
      </c>
    </row>
    <row r="125">
      <c r="D125" t="inlineStr">
        <is>
          <t>R2 merchant revenue (total less contracted and hedged)</t>
        </is>
      </c>
      <c r="E125" t="inlineStr">
        <is>
          <t>USD m</t>
        </is>
      </c>
      <c r="J125" s="20">
        <f>Operations!J124-Operations!J121-Operations!J122</f>
        <v/>
      </c>
      <c r="K125" s="20">
        <f>Operations!K124-Operations!K121-Operations!K122</f>
        <v/>
      </c>
      <c r="L125" s="20">
        <f>Operations!L124-Operations!L121-Operations!L122</f>
        <v/>
      </c>
      <c r="M125" s="20">
        <f>Operations!M124-Operations!M121-Operations!M122</f>
        <v/>
      </c>
      <c r="N125" s="20">
        <f>Operations!N124-Operations!N121-Operations!N122</f>
        <v/>
      </c>
      <c r="O125" s="20">
        <f>Operations!O124-Operations!O121-Operations!O122</f>
        <v/>
      </c>
      <c r="P125" s="20">
        <f>Operations!P124-Operations!P121-Operations!P122</f>
        <v/>
      </c>
      <c r="Q125" s="20">
        <f>Operations!Q124-Operations!Q121-Operations!Q122</f>
        <v/>
      </c>
      <c r="R125" s="20">
        <f>Operations!R124-Operations!R121-Operations!R122</f>
        <v/>
      </c>
      <c r="S125" s="20">
        <f>Operations!S124-Operations!S121-Operations!S122</f>
        <v/>
      </c>
      <c r="T125" s="20">
        <f>Operations!T124-Operations!T121-Operations!T122</f>
        <v/>
      </c>
      <c r="U125" s="20">
        <f>Operations!U124-Operations!U121-Operations!U122</f>
        <v/>
      </c>
      <c r="V125" s="20">
        <f>Operations!V124-Operations!V121-Operations!V122</f>
        <v/>
      </c>
      <c r="W125" s="20">
        <f>Operations!W124-Operations!W121-Operations!W122</f>
        <v/>
      </c>
      <c r="X125" s="20">
        <f>Operations!X124-Operations!X121-Operations!X122</f>
        <v/>
      </c>
      <c r="Y125" s="20">
        <f>Operations!Y124-Operations!Y121-Operations!Y122</f>
        <v/>
      </c>
      <c r="Z125" s="20">
        <f>Operations!Z124-Operations!Z121-Operations!Z122</f>
        <v/>
      </c>
      <c r="AA125" s="20">
        <f>Operations!AA124-Operations!AA121-Operations!AA122</f>
        <v/>
      </c>
      <c r="AB125" s="20">
        <f>Operations!AB124-Operations!AB121-Operations!AB122</f>
        <v/>
      </c>
      <c r="AC125" s="20">
        <f>Operations!AC124-Operations!AC121-Operations!AC122</f>
        <v/>
      </c>
      <c r="AD125" s="20">
        <f>Operations!AD124-Operations!AD121-Operations!AD122</f>
        <v/>
      </c>
      <c r="AE125" s="20">
        <f>Operations!AE124-Operations!AE121-Operations!AE122</f>
        <v/>
      </c>
      <c r="AF125" s="20">
        <f>Operations!AF124-Operations!AF121-Operations!AF122</f>
        <v/>
      </c>
      <c r="AG125" s="20">
        <f>Operations!AG124-Operations!AG121-Operations!AG122</f>
        <v/>
      </c>
      <c r="AH125" s="20">
        <f>Operations!AH124-Operations!AH121-Operations!AH122</f>
        <v/>
      </c>
      <c r="AI125" s="20">
        <f>Operations!AI124-Operations!AI121-Operations!AI122</f>
        <v/>
      </c>
      <c r="AJ125" s="20">
        <f>Operations!AJ124-Operations!AJ121-Operations!AJ122</f>
        <v/>
      </c>
      <c r="AK125" s="20">
        <f>Operations!AK124-Operations!AK121-Operations!AK122</f>
        <v/>
      </c>
      <c r="AL125" s="20">
        <f>Operations!AL124-Operations!AL121-Operations!AL122</f>
        <v/>
      </c>
      <c r="AM125" s="20">
        <f>Operations!AM124-Operations!AM121-Operations!AM122</f>
        <v/>
      </c>
      <c r="AN125" s="20">
        <f>Operations!AN124-Operations!AN121-Operations!AN122</f>
        <v/>
      </c>
      <c r="AO125" s="20">
        <f>Operations!AO124-Operations!AO121-Operations!AO122</f>
        <v/>
      </c>
      <c r="AP125" s="20">
        <f>Operations!AP124-Operations!AP121-Operations!AP122</f>
        <v/>
      </c>
      <c r="AQ125" s="20">
        <f>Operations!AQ124-Operations!AQ121-Operations!AQ122</f>
        <v/>
      </c>
      <c r="AR125" s="20">
        <f>Operations!AR124-Operations!AR121-Operations!AR122</f>
        <v/>
      </c>
      <c r="AS125" s="20">
        <f>Operations!AS124-Operations!AS121-Operations!AS122</f>
        <v/>
      </c>
      <c r="AT125" s="20">
        <f>Operations!AT124-Operations!AT121-Operations!AT122</f>
        <v/>
      </c>
      <c r="AU125" s="20">
        <f>Operations!AU124-Operations!AU121-Operations!AU122</f>
        <v/>
      </c>
    </row>
    <row r="126">
      <c r="D126" t="inlineStr">
        <is>
          <t>R2 opex (O&amp;M, land, insurance, property tax, site)</t>
        </is>
      </c>
      <c r="E126" t="inlineStr">
        <is>
          <t>USD m</t>
        </is>
      </c>
      <c r="J126" s="20">
        <f>Inputs!$F$103*Inputs!$F$99/1000*Time!J$9*Time!J$10*Operations!J105*Operations!$F$50</f>
        <v/>
      </c>
      <c r="K126" s="20">
        <f>Inputs!$F$103*Inputs!$F$99/1000*Time!K$9*Time!K$10*Operations!K105*Operations!$F$50</f>
        <v/>
      </c>
      <c r="L126" s="20">
        <f>Inputs!$F$103*Inputs!$F$99/1000*Time!L$9*Time!L$10*Operations!L105*Operations!$F$50</f>
        <v/>
      </c>
      <c r="M126" s="20">
        <f>Inputs!$F$103*Inputs!$F$99/1000*Time!M$9*Time!M$10*Operations!M105*Operations!$F$50</f>
        <v/>
      </c>
      <c r="N126" s="20">
        <f>Inputs!$F$103*Inputs!$F$99/1000*Time!N$9*Time!N$10*Operations!N105*Operations!$F$50</f>
        <v/>
      </c>
      <c r="O126" s="20">
        <f>Inputs!$F$103*Inputs!$F$99/1000*Time!O$9*Time!O$10*Operations!O105*Operations!$F$50</f>
        <v/>
      </c>
      <c r="P126" s="20">
        <f>Inputs!$F$103*Inputs!$F$99/1000*Time!P$9*Time!P$10*Operations!P105*Operations!$F$50</f>
        <v/>
      </c>
      <c r="Q126" s="20">
        <f>Inputs!$F$103*Inputs!$F$99/1000*Time!Q$9*Time!Q$10*Operations!Q105*Operations!$F$50</f>
        <v/>
      </c>
      <c r="R126" s="20">
        <f>Inputs!$F$103*Inputs!$F$99/1000*Time!R$9*Time!R$10*Operations!R105*Operations!$F$50</f>
        <v/>
      </c>
      <c r="S126" s="20">
        <f>Inputs!$F$103*Inputs!$F$99/1000*Time!S$9*Time!S$10*Operations!S105*Operations!$F$50</f>
        <v/>
      </c>
      <c r="T126" s="20">
        <f>Inputs!$F$103*Inputs!$F$99/1000*Time!T$9*Time!T$10*Operations!T105*Operations!$F$50</f>
        <v/>
      </c>
      <c r="U126" s="20">
        <f>Inputs!$F$103*Inputs!$F$99/1000*Time!U$9*Time!U$10*Operations!U105*Operations!$F$50</f>
        <v/>
      </c>
      <c r="V126" s="20">
        <f>Inputs!$F$103*Inputs!$F$99/1000*Time!V$9*Time!V$10*Operations!V105*Operations!$F$50</f>
        <v/>
      </c>
      <c r="W126" s="20">
        <f>Inputs!$F$103*Inputs!$F$99/1000*Time!W$9*Time!W$10*Operations!W105*Operations!$F$50</f>
        <v/>
      </c>
      <c r="X126" s="20">
        <f>Inputs!$F$103*Inputs!$F$99/1000*Time!X$9*Time!X$10*Operations!X105*Operations!$F$50</f>
        <v/>
      </c>
      <c r="Y126" s="20">
        <f>Inputs!$F$103*Inputs!$F$99/1000*Time!Y$9*Time!Y$10*Operations!Y105*Operations!$F$50</f>
        <v/>
      </c>
      <c r="Z126" s="20">
        <f>Inputs!$F$103*Inputs!$F$99/1000*Time!Z$9*Time!Z$10*Operations!Z105*Operations!$F$50</f>
        <v/>
      </c>
      <c r="AA126" s="20">
        <f>Inputs!$F$103*Inputs!$F$99/1000*Time!AA$9*Time!AA$10*Operations!AA105*Operations!$F$50</f>
        <v/>
      </c>
      <c r="AB126" s="20">
        <f>Inputs!$F$103*Inputs!$F$99/1000*Time!AB$9*Time!AB$10*Operations!AB105*Operations!$F$50</f>
        <v/>
      </c>
      <c r="AC126" s="20">
        <f>Inputs!$F$103*Inputs!$F$99/1000*Time!AC$9*Time!AC$10*Operations!AC105*Operations!$F$50</f>
        <v/>
      </c>
      <c r="AD126" s="20">
        <f>Inputs!$F$103*Inputs!$F$99/1000*Time!AD$9*Time!AD$10*Operations!AD105*Operations!$F$50</f>
        <v/>
      </c>
      <c r="AE126" s="20">
        <f>Inputs!$F$103*Inputs!$F$99/1000*Time!AE$9*Time!AE$10*Operations!AE105*Operations!$F$50</f>
        <v/>
      </c>
      <c r="AF126" s="20">
        <f>Inputs!$F$103*Inputs!$F$99/1000*Time!AF$9*Time!AF$10*Operations!AF105*Operations!$F$50</f>
        <v/>
      </c>
      <c r="AG126" s="20">
        <f>Inputs!$F$103*Inputs!$F$99/1000*Time!AG$9*Time!AG$10*Operations!AG105*Operations!$F$50</f>
        <v/>
      </c>
      <c r="AH126" s="20">
        <f>Inputs!$F$103*Inputs!$F$99/1000*Time!AH$9*Time!AH$10*Operations!AH105*Operations!$F$50</f>
        <v/>
      </c>
      <c r="AI126" s="20">
        <f>Inputs!$F$103*Inputs!$F$99/1000*Time!AI$9*Time!AI$10*Operations!AI105*Operations!$F$50</f>
        <v/>
      </c>
      <c r="AJ126" s="20">
        <f>Inputs!$F$103*Inputs!$F$99/1000*Time!AJ$9*Time!AJ$10*Operations!AJ105*Operations!$F$50</f>
        <v/>
      </c>
      <c r="AK126" s="20">
        <f>Inputs!$F$103*Inputs!$F$99/1000*Time!AK$9*Time!AK$10*Operations!AK105*Operations!$F$50</f>
        <v/>
      </c>
      <c r="AL126" s="20">
        <f>Inputs!$F$103*Inputs!$F$99/1000*Time!AL$9*Time!AL$10*Operations!AL105*Operations!$F$50</f>
        <v/>
      </c>
      <c r="AM126" s="20">
        <f>Inputs!$F$103*Inputs!$F$99/1000*Time!AM$9*Time!AM$10*Operations!AM105*Operations!$F$50</f>
        <v/>
      </c>
      <c r="AN126" s="20">
        <f>Inputs!$F$103*Inputs!$F$99/1000*Time!AN$9*Time!AN$10*Operations!AN105*Operations!$F$50</f>
        <v/>
      </c>
      <c r="AO126" s="20">
        <f>Inputs!$F$103*Inputs!$F$99/1000*Time!AO$9*Time!AO$10*Operations!AO105*Operations!$F$50</f>
        <v/>
      </c>
      <c r="AP126" s="20">
        <f>Inputs!$F$103*Inputs!$F$99/1000*Time!AP$9*Time!AP$10*Operations!AP105*Operations!$F$50</f>
        <v/>
      </c>
      <c r="AQ126" s="20">
        <f>Inputs!$F$103*Inputs!$F$99/1000*Time!AQ$9*Time!AQ$10*Operations!AQ105*Operations!$F$50</f>
        <v/>
      </c>
      <c r="AR126" s="20">
        <f>Inputs!$F$103*Inputs!$F$99/1000*Time!AR$9*Time!AR$10*Operations!AR105*Operations!$F$50</f>
        <v/>
      </c>
      <c r="AS126" s="20">
        <f>Inputs!$F$103*Inputs!$F$99/1000*Time!AS$9*Time!AS$10*Operations!AS105*Operations!$F$50</f>
        <v/>
      </c>
      <c r="AT126" s="20">
        <f>Inputs!$F$103*Inputs!$F$99/1000*Time!AT$9*Time!AT$10*Operations!AT105*Operations!$F$50</f>
        <v/>
      </c>
      <c r="AU126" s="20">
        <f>Inputs!$F$103*Inputs!$F$99/1000*Time!AU$9*Time!AU$10*Operations!AU105*Operations!$F$50</f>
        <v/>
      </c>
    </row>
    <row r="127">
      <c r="D127" t="inlineStr">
        <is>
          <t>R2 wind land lease</t>
        </is>
      </c>
      <c r="E127" t="inlineStr">
        <is>
          <t>USD m</t>
        </is>
      </c>
      <c r="J127" s="20">
        <f>Inputs!$F$232/100*Operations!J124</f>
        <v/>
      </c>
      <c r="K127" s="20">
        <f>Inputs!$F$232/100*Operations!K124</f>
        <v/>
      </c>
      <c r="L127" s="20">
        <f>Inputs!$F$232/100*Operations!L124</f>
        <v/>
      </c>
      <c r="M127" s="20">
        <f>Inputs!$F$232/100*Operations!M124</f>
        <v/>
      </c>
      <c r="N127" s="20">
        <f>Inputs!$F$232/100*Operations!N124</f>
        <v/>
      </c>
      <c r="O127" s="20">
        <f>Inputs!$F$232/100*Operations!O124</f>
        <v/>
      </c>
      <c r="P127" s="20">
        <f>Inputs!$F$232/100*Operations!P124</f>
        <v/>
      </c>
      <c r="Q127" s="20">
        <f>Inputs!$F$232/100*Operations!Q124</f>
        <v/>
      </c>
      <c r="R127" s="20">
        <f>Inputs!$F$232/100*Operations!R124</f>
        <v/>
      </c>
      <c r="S127" s="20">
        <f>Inputs!$F$232/100*Operations!S124</f>
        <v/>
      </c>
      <c r="T127" s="20">
        <f>Inputs!$F$232/100*Operations!T124</f>
        <v/>
      </c>
      <c r="U127" s="20">
        <f>Inputs!$F$232/100*Operations!U124</f>
        <v/>
      </c>
      <c r="V127" s="20">
        <f>Inputs!$F$232/100*Operations!V124</f>
        <v/>
      </c>
      <c r="W127" s="20">
        <f>Inputs!$F$232/100*Operations!W124</f>
        <v/>
      </c>
      <c r="X127" s="20">
        <f>Inputs!$F$232/100*Operations!X124</f>
        <v/>
      </c>
      <c r="Y127" s="20">
        <f>Inputs!$F$232/100*Operations!Y124</f>
        <v/>
      </c>
      <c r="Z127" s="20">
        <f>Inputs!$F$232/100*Operations!Z124</f>
        <v/>
      </c>
      <c r="AA127" s="20">
        <f>Inputs!$F$232/100*Operations!AA124</f>
        <v/>
      </c>
      <c r="AB127" s="20">
        <f>Inputs!$F$232/100*Operations!AB124</f>
        <v/>
      </c>
      <c r="AC127" s="20">
        <f>Inputs!$F$232/100*Operations!AC124</f>
        <v/>
      </c>
      <c r="AD127" s="20">
        <f>Inputs!$F$232/100*Operations!AD124</f>
        <v/>
      </c>
      <c r="AE127" s="20">
        <f>Inputs!$F$232/100*Operations!AE124</f>
        <v/>
      </c>
      <c r="AF127" s="20">
        <f>Inputs!$F$232/100*Operations!AF124</f>
        <v/>
      </c>
      <c r="AG127" s="20">
        <f>Inputs!$F$232/100*Operations!AG124</f>
        <v/>
      </c>
      <c r="AH127" s="20">
        <f>Inputs!$F$232/100*Operations!AH124</f>
        <v/>
      </c>
      <c r="AI127" s="20">
        <f>Inputs!$F$232/100*Operations!AI124</f>
        <v/>
      </c>
      <c r="AJ127" s="20">
        <f>Inputs!$F$232/100*Operations!AJ124</f>
        <v/>
      </c>
      <c r="AK127" s="20">
        <f>Inputs!$F$232/100*Operations!AK124</f>
        <v/>
      </c>
      <c r="AL127" s="20">
        <f>Inputs!$F$232/100*Operations!AL124</f>
        <v/>
      </c>
      <c r="AM127" s="20">
        <f>Inputs!$F$232/100*Operations!AM124</f>
        <v/>
      </c>
      <c r="AN127" s="20">
        <f>Inputs!$F$232/100*Operations!AN124</f>
        <v/>
      </c>
      <c r="AO127" s="20">
        <f>Inputs!$F$232/100*Operations!AO124</f>
        <v/>
      </c>
      <c r="AP127" s="20">
        <f>Inputs!$F$232/100*Operations!AP124</f>
        <v/>
      </c>
      <c r="AQ127" s="20">
        <f>Inputs!$F$232/100*Operations!AQ124</f>
        <v/>
      </c>
      <c r="AR127" s="20">
        <f>Inputs!$F$232/100*Operations!AR124</f>
        <v/>
      </c>
      <c r="AS127" s="20">
        <f>Inputs!$F$232/100*Operations!AS124</f>
        <v/>
      </c>
      <c r="AT127" s="20">
        <f>Inputs!$F$232/100*Operations!AT124</f>
        <v/>
      </c>
      <c r="AU127" s="20">
        <f>Inputs!$F$232/100*Operations!AU124</f>
        <v/>
      </c>
    </row>
    <row r="128">
      <c r="D128" t="inlineStr">
        <is>
          <t>R2 decommissioning surety cost</t>
        </is>
      </c>
      <c r="E128" t="inlineStr">
        <is>
          <t>USD m</t>
        </is>
      </c>
      <c r="J128" s="20">
        <f>Inputs!$F$236/100*Inputs!$F$104*Inputs!$F$99/1000*Time!J$9*Operations!J105</f>
        <v/>
      </c>
      <c r="K128" s="20">
        <f>Inputs!$F$236/100*Inputs!$F$104*Inputs!$F$99/1000*Time!K$9*Operations!K105</f>
        <v/>
      </c>
      <c r="L128" s="20">
        <f>Inputs!$F$236/100*Inputs!$F$104*Inputs!$F$99/1000*Time!L$9*Operations!L105</f>
        <v/>
      </c>
      <c r="M128" s="20">
        <f>Inputs!$F$236/100*Inputs!$F$104*Inputs!$F$99/1000*Time!M$9*Operations!M105</f>
        <v/>
      </c>
      <c r="N128" s="20">
        <f>Inputs!$F$236/100*Inputs!$F$104*Inputs!$F$99/1000*Time!N$9*Operations!N105</f>
        <v/>
      </c>
      <c r="O128" s="20">
        <f>Inputs!$F$236/100*Inputs!$F$104*Inputs!$F$99/1000*Time!O$9*Operations!O105</f>
        <v/>
      </c>
      <c r="P128" s="20">
        <f>Inputs!$F$236/100*Inputs!$F$104*Inputs!$F$99/1000*Time!P$9*Operations!P105</f>
        <v/>
      </c>
      <c r="Q128" s="20">
        <f>Inputs!$F$236/100*Inputs!$F$104*Inputs!$F$99/1000*Time!Q$9*Operations!Q105</f>
        <v/>
      </c>
      <c r="R128" s="20">
        <f>Inputs!$F$236/100*Inputs!$F$104*Inputs!$F$99/1000*Time!R$9*Operations!R105</f>
        <v/>
      </c>
      <c r="S128" s="20">
        <f>Inputs!$F$236/100*Inputs!$F$104*Inputs!$F$99/1000*Time!S$9*Operations!S105</f>
        <v/>
      </c>
      <c r="T128" s="20">
        <f>Inputs!$F$236/100*Inputs!$F$104*Inputs!$F$99/1000*Time!T$9*Operations!T105</f>
        <v/>
      </c>
      <c r="U128" s="20">
        <f>Inputs!$F$236/100*Inputs!$F$104*Inputs!$F$99/1000*Time!U$9*Operations!U105</f>
        <v/>
      </c>
      <c r="V128" s="20">
        <f>Inputs!$F$236/100*Inputs!$F$104*Inputs!$F$99/1000*Time!V$9*Operations!V105</f>
        <v/>
      </c>
      <c r="W128" s="20">
        <f>Inputs!$F$236/100*Inputs!$F$104*Inputs!$F$99/1000*Time!W$9*Operations!W105</f>
        <v/>
      </c>
      <c r="X128" s="20">
        <f>Inputs!$F$236/100*Inputs!$F$104*Inputs!$F$99/1000*Time!X$9*Operations!X105</f>
        <v/>
      </c>
      <c r="Y128" s="20">
        <f>Inputs!$F$236/100*Inputs!$F$104*Inputs!$F$99/1000*Time!Y$9*Operations!Y105</f>
        <v/>
      </c>
      <c r="Z128" s="20">
        <f>Inputs!$F$236/100*Inputs!$F$104*Inputs!$F$99/1000*Time!Z$9*Operations!Z105</f>
        <v/>
      </c>
      <c r="AA128" s="20">
        <f>Inputs!$F$236/100*Inputs!$F$104*Inputs!$F$99/1000*Time!AA$9*Operations!AA105</f>
        <v/>
      </c>
      <c r="AB128" s="20">
        <f>Inputs!$F$236/100*Inputs!$F$104*Inputs!$F$99/1000*Time!AB$9*Operations!AB105</f>
        <v/>
      </c>
      <c r="AC128" s="20">
        <f>Inputs!$F$236/100*Inputs!$F$104*Inputs!$F$99/1000*Time!AC$9*Operations!AC105</f>
        <v/>
      </c>
      <c r="AD128" s="20">
        <f>Inputs!$F$236/100*Inputs!$F$104*Inputs!$F$99/1000*Time!AD$9*Operations!AD105</f>
        <v/>
      </c>
      <c r="AE128" s="20">
        <f>Inputs!$F$236/100*Inputs!$F$104*Inputs!$F$99/1000*Time!AE$9*Operations!AE105</f>
        <v/>
      </c>
      <c r="AF128" s="20">
        <f>Inputs!$F$236/100*Inputs!$F$104*Inputs!$F$99/1000*Time!AF$9*Operations!AF105</f>
        <v/>
      </c>
      <c r="AG128" s="20">
        <f>Inputs!$F$236/100*Inputs!$F$104*Inputs!$F$99/1000*Time!AG$9*Operations!AG105</f>
        <v/>
      </c>
      <c r="AH128" s="20">
        <f>Inputs!$F$236/100*Inputs!$F$104*Inputs!$F$99/1000*Time!AH$9*Operations!AH105</f>
        <v/>
      </c>
      <c r="AI128" s="20">
        <f>Inputs!$F$236/100*Inputs!$F$104*Inputs!$F$99/1000*Time!AI$9*Operations!AI105</f>
        <v/>
      </c>
      <c r="AJ128" s="20">
        <f>Inputs!$F$236/100*Inputs!$F$104*Inputs!$F$99/1000*Time!AJ$9*Operations!AJ105</f>
        <v/>
      </c>
      <c r="AK128" s="20">
        <f>Inputs!$F$236/100*Inputs!$F$104*Inputs!$F$99/1000*Time!AK$9*Operations!AK105</f>
        <v/>
      </c>
      <c r="AL128" s="20">
        <f>Inputs!$F$236/100*Inputs!$F$104*Inputs!$F$99/1000*Time!AL$9*Operations!AL105</f>
        <v/>
      </c>
      <c r="AM128" s="20">
        <f>Inputs!$F$236/100*Inputs!$F$104*Inputs!$F$99/1000*Time!AM$9*Operations!AM105</f>
        <v/>
      </c>
      <c r="AN128" s="20">
        <f>Inputs!$F$236/100*Inputs!$F$104*Inputs!$F$99/1000*Time!AN$9*Operations!AN105</f>
        <v/>
      </c>
      <c r="AO128" s="20">
        <f>Inputs!$F$236/100*Inputs!$F$104*Inputs!$F$99/1000*Time!AO$9*Operations!AO105</f>
        <v/>
      </c>
      <c r="AP128" s="20">
        <f>Inputs!$F$236/100*Inputs!$F$104*Inputs!$F$99/1000*Time!AP$9*Operations!AP105</f>
        <v/>
      </c>
      <c r="AQ128" s="20">
        <f>Inputs!$F$236/100*Inputs!$F$104*Inputs!$F$99/1000*Time!AQ$9*Operations!AQ105</f>
        <v/>
      </c>
      <c r="AR128" s="20">
        <f>Inputs!$F$236/100*Inputs!$F$104*Inputs!$F$99/1000*Time!AR$9*Operations!AR105</f>
        <v/>
      </c>
      <c r="AS128" s="20">
        <f>Inputs!$F$236/100*Inputs!$F$104*Inputs!$F$99/1000*Time!AS$9*Operations!AS105</f>
        <v/>
      </c>
      <c r="AT128" s="20">
        <f>Inputs!$F$236/100*Inputs!$F$104*Inputs!$F$99/1000*Time!AT$9*Operations!AT105</f>
        <v/>
      </c>
      <c r="AU128" s="20">
        <f>Inputs!$F$236/100*Inputs!$F$104*Inputs!$F$99/1000*Time!AU$9*Operations!AU105</f>
        <v/>
      </c>
    </row>
    <row r="129">
      <c r="D129" t="inlineStr">
        <is>
          <t>R2 Texas margin tax</t>
        </is>
      </c>
      <c r="E129" t="inlineStr">
        <is>
          <t>USD m</t>
        </is>
      </c>
      <c r="J129" s="20">
        <f>Inputs!$F$237/100*Inputs!$F$238/100*Operations!J124</f>
        <v/>
      </c>
      <c r="K129" s="20">
        <f>Inputs!$F$237/100*Inputs!$F$238/100*Operations!K124</f>
        <v/>
      </c>
      <c r="L129" s="20">
        <f>Inputs!$F$237/100*Inputs!$F$238/100*Operations!L124</f>
        <v/>
      </c>
      <c r="M129" s="20">
        <f>Inputs!$F$237/100*Inputs!$F$238/100*Operations!M124</f>
        <v/>
      </c>
      <c r="N129" s="20">
        <f>Inputs!$F$237/100*Inputs!$F$238/100*Operations!N124</f>
        <v/>
      </c>
      <c r="O129" s="20">
        <f>Inputs!$F$237/100*Inputs!$F$238/100*Operations!O124</f>
        <v/>
      </c>
      <c r="P129" s="20">
        <f>Inputs!$F$237/100*Inputs!$F$238/100*Operations!P124</f>
        <v/>
      </c>
      <c r="Q129" s="20">
        <f>Inputs!$F$237/100*Inputs!$F$238/100*Operations!Q124</f>
        <v/>
      </c>
      <c r="R129" s="20">
        <f>Inputs!$F$237/100*Inputs!$F$238/100*Operations!R124</f>
        <v/>
      </c>
      <c r="S129" s="20">
        <f>Inputs!$F$237/100*Inputs!$F$238/100*Operations!S124</f>
        <v/>
      </c>
      <c r="T129" s="20">
        <f>Inputs!$F$237/100*Inputs!$F$238/100*Operations!T124</f>
        <v/>
      </c>
      <c r="U129" s="20">
        <f>Inputs!$F$237/100*Inputs!$F$238/100*Operations!U124</f>
        <v/>
      </c>
      <c r="V129" s="20">
        <f>Inputs!$F$237/100*Inputs!$F$238/100*Operations!V124</f>
        <v/>
      </c>
      <c r="W129" s="20">
        <f>Inputs!$F$237/100*Inputs!$F$238/100*Operations!W124</f>
        <v/>
      </c>
      <c r="X129" s="20">
        <f>Inputs!$F$237/100*Inputs!$F$238/100*Operations!X124</f>
        <v/>
      </c>
      <c r="Y129" s="20">
        <f>Inputs!$F$237/100*Inputs!$F$238/100*Operations!Y124</f>
        <v/>
      </c>
      <c r="Z129" s="20">
        <f>Inputs!$F$237/100*Inputs!$F$238/100*Operations!Z124</f>
        <v/>
      </c>
      <c r="AA129" s="20">
        <f>Inputs!$F$237/100*Inputs!$F$238/100*Operations!AA124</f>
        <v/>
      </c>
      <c r="AB129" s="20">
        <f>Inputs!$F$237/100*Inputs!$F$238/100*Operations!AB124</f>
        <v/>
      </c>
      <c r="AC129" s="20">
        <f>Inputs!$F$237/100*Inputs!$F$238/100*Operations!AC124</f>
        <v/>
      </c>
      <c r="AD129" s="20">
        <f>Inputs!$F$237/100*Inputs!$F$238/100*Operations!AD124</f>
        <v/>
      </c>
      <c r="AE129" s="20">
        <f>Inputs!$F$237/100*Inputs!$F$238/100*Operations!AE124</f>
        <v/>
      </c>
      <c r="AF129" s="20">
        <f>Inputs!$F$237/100*Inputs!$F$238/100*Operations!AF124</f>
        <v/>
      </c>
      <c r="AG129" s="20">
        <f>Inputs!$F$237/100*Inputs!$F$238/100*Operations!AG124</f>
        <v/>
      </c>
      <c r="AH129" s="20">
        <f>Inputs!$F$237/100*Inputs!$F$238/100*Operations!AH124</f>
        <v/>
      </c>
      <c r="AI129" s="20">
        <f>Inputs!$F$237/100*Inputs!$F$238/100*Operations!AI124</f>
        <v/>
      </c>
      <c r="AJ129" s="20">
        <f>Inputs!$F$237/100*Inputs!$F$238/100*Operations!AJ124</f>
        <v/>
      </c>
      <c r="AK129" s="20">
        <f>Inputs!$F$237/100*Inputs!$F$238/100*Operations!AK124</f>
        <v/>
      </c>
      <c r="AL129" s="20">
        <f>Inputs!$F$237/100*Inputs!$F$238/100*Operations!AL124</f>
        <v/>
      </c>
      <c r="AM129" s="20">
        <f>Inputs!$F$237/100*Inputs!$F$238/100*Operations!AM124</f>
        <v/>
      </c>
      <c r="AN129" s="20">
        <f>Inputs!$F$237/100*Inputs!$F$238/100*Operations!AN124</f>
        <v/>
      </c>
      <c r="AO129" s="20">
        <f>Inputs!$F$237/100*Inputs!$F$238/100*Operations!AO124</f>
        <v/>
      </c>
      <c r="AP129" s="20">
        <f>Inputs!$F$237/100*Inputs!$F$238/100*Operations!AP124</f>
        <v/>
      </c>
      <c r="AQ129" s="20">
        <f>Inputs!$F$237/100*Inputs!$F$238/100*Operations!AQ124</f>
        <v/>
      </c>
      <c r="AR129" s="20">
        <f>Inputs!$F$237/100*Inputs!$F$238/100*Operations!AR124</f>
        <v/>
      </c>
      <c r="AS129" s="20">
        <f>Inputs!$F$237/100*Inputs!$F$238/100*Operations!AS124</f>
        <v/>
      </c>
      <c r="AT129" s="20">
        <f>Inputs!$F$237/100*Inputs!$F$238/100*Operations!AT124</f>
        <v/>
      </c>
      <c r="AU129" s="20">
        <f>Inputs!$F$237/100*Inputs!$F$238/100*Operations!AU124</f>
        <v/>
      </c>
    </row>
    <row r="130">
      <c r="D130" t="inlineStr">
        <is>
          <t>R2 EBITDA</t>
        </is>
      </c>
      <c r="E130" t="inlineStr">
        <is>
          <t>USD m</t>
        </is>
      </c>
      <c r="G130" s="20">
        <f>SUM(J130:AU130)</f>
        <v/>
      </c>
      <c r="J130" s="20">
        <f>Operations!J124-Operations!J126-Operations!J127-Operations!J128-Operations!J129</f>
        <v/>
      </c>
      <c r="K130" s="20">
        <f>Operations!K124-Operations!K126-Operations!K127-Operations!K128-Operations!K129</f>
        <v/>
      </c>
      <c r="L130" s="20">
        <f>Operations!L124-Operations!L126-Operations!L127-Operations!L128-Operations!L129</f>
        <v/>
      </c>
      <c r="M130" s="20">
        <f>Operations!M124-Operations!M126-Operations!M127-Operations!M128-Operations!M129</f>
        <v/>
      </c>
      <c r="N130" s="20">
        <f>Operations!N124-Operations!N126-Operations!N127-Operations!N128-Operations!N129</f>
        <v/>
      </c>
      <c r="O130" s="20">
        <f>Operations!O124-Operations!O126-Operations!O127-Operations!O128-Operations!O129</f>
        <v/>
      </c>
      <c r="P130" s="20">
        <f>Operations!P124-Operations!P126-Operations!P127-Operations!P128-Operations!P129</f>
        <v/>
      </c>
      <c r="Q130" s="20">
        <f>Operations!Q124-Operations!Q126-Operations!Q127-Operations!Q128-Operations!Q129</f>
        <v/>
      </c>
      <c r="R130" s="20">
        <f>Operations!R124-Operations!R126-Operations!R127-Operations!R128-Operations!R129</f>
        <v/>
      </c>
      <c r="S130" s="20">
        <f>Operations!S124-Operations!S126-Operations!S127-Operations!S128-Operations!S129</f>
        <v/>
      </c>
      <c r="T130" s="20">
        <f>Operations!T124-Operations!T126-Operations!T127-Operations!T128-Operations!T129</f>
        <v/>
      </c>
      <c r="U130" s="20">
        <f>Operations!U124-Operations!U126-Operations!U127-Operations!U128-Operations!U129</f>
        <v/>
      </c>
      <c r="V130" s="20">
        <f>Operations!V124-Operations!V126-Operations!V127-Operations!V128-Operations!V129</f>
        <v/>
      </c>
      <c r="W130" s="20">
        <f>Operations!W124-Operations!W126-Operations!W127-Operations!W128-Operations!W129</f>
        <v/>
      </c>
      <c r="X130" s="20">
        <f>Operations!X124-Operations!X126-Operations!X127-Operations!X128-Operations!X129</f>
        <v/>
      </c>
      <c r="Y130" s="20">
        <f>Operations!Y124-Operations!Y126-Operations!Y127-Operations!Y128-Operations!Y129</f>
        <v/>
      </c>
      <c r="Z130" s="20">
        <f>Operations!Z124-Operations!Z126-Operations!Z127-Operations!Z128-Operations!Z129</f>
        <v/>
      </c>
      <c r="AA130" s="20">
        <f>Operations!AA124-Operations!AA126-Operations!AA127-Operations!AA128-Operations!AA129</f>
        <v/>
      </c>
      <c r="AB130" s="20">
        <f>Operations!AB124-Operations!AB126-Operations!AB127-Operations!AB128-Operations!AB129</f>
        <v/>
      </c>
      <c r="AC130" s="20">
        <f>Operations!AC124-Operations!AC126-Operations!AC127-Operations!AC128-Operations!AC129</f>
        <v/>
      </c>
      <c r="AD130" s="20">
        <f>Operations!AD124-Operations!AD126-Operations!AD127-Operations!AD128-Operations!AD129</f>
        <v/>
      </c>
      <c r="AE130" s="20">
        <f>Operations!AE124-Operations!AE126-Operations!AE127-Operations!AE128-Operations!AE129</f>
        <v/>
      </c>
      <c r="AF130" s="20">
        <f>Operations!AF124-Operations!AF126-Operations!AF127-Operations!AF128-Operations!AF129</f>
        <v/>
      </c>
      <c r="AG130" s="20">
        <f>Operations!AG124-Operations!AG126-Operations!AG127-Operations!AG128-Operations!AG129</f>
        <v/>
      </c>
      <c r="AH130" s="20">
        <f>Operations!AH124-Operations!AH126-Operations!AH127-Operations!AH128-Operations!AH129</f>
        <v/>
      </c>
      <c r="AI130" s="20">
        <f>Operations!AI124-Operations!AI126-Operations!AI127-Operations!AI128-Operations!AI129</f>
        <v/>
      </c>
      <c r="AJ130" s="20">
        <f>Operations!AJ124-Operations!AJ126-Operations!AJ127-Operations!AJ128-Operations!AJ129</f>
        <v/>
      </c>
      <c r="AK130" s="20">
        <f>Operations!AK124-Operations!AK126-Operations!AK127-Operations!AK128-Operations!AK129</f>
        <v/>
      </c>
      <c r="AL130" s="20">
        <f>Operations!AL124-Operations!AL126-Operations!AL127-Operations!AL128-Operations!AL129</f>
        <v/>
      </c>
      <c r="AM130" s="20">
        <f>Operations!AM124-Operations!AM126-Operations!AM127-Operations!AM128-Operations!AM129</f>
        <v/>
      </c>
      <c r="AN130" s="20">
        <f>Operations!AN124-Operations!AN126-Operations!AN127-Operations!AN128-Operations!AN129</f>
        <v/>
      </c>
      <c r="AO130" s="20">
        <f>Operations!AO124-Operations!AO126-Operations!AO127-Operations!AO128-Operations!AO129</f>
        <v/>
      </c>
      <c r="AP130" s="20">
        <f>Operations!AP124-Operations!AP126-Operations!AP127-Operations!AP128-Operations!AP129</f>
        <v/>
      </c>
      <c r="AQ130" s="20">
        <f>Operations!AQ124-Operations!AQ126-Operations!AQ127-Operations!AQ128-Operations!AQ129</f>
        <v/>
      </c>
      <c r="AR130" s="20">
        <f>Operations!AR124-Operations!AR126-Operations!AR127-Operations!AR128-Operations!AR129</f>
        <v/>
      </c>
      <c r="AS130" s="20">
        <f>Operations!AS124-Operations!AS126-Operations!AS127-Operations!AS128-Operations!AS129</f>
        <v/>
      </c>
      <c r="AT130" s="20">
        <f>Operations!AT124-Operations!AT126-Operations!AT127-Operations!AT128-Operations!AT129</f>
        <v/>
      </c>
      <c r="AU130" s="20">
        <f>Operations!AU124-Operations!AU126-Operations!AU127-Operations!AU128-Operations!AU129</f>
        <v/>
      </c>
    </row>
    <row r="131">
      <c r="D131" t="inlineStr">
        <is>
          <t>R2 capex</t>
        </is>
      </c>
      <c r="E131" t="inlineStr">
        <is>
          <t>USD m</t>
        </is>
      </c>
      <c r="J131" s="20">
        <f>0</f>
        <v/>
      </c>
      <c r="K131" s="20">
        <f>0</f>
        <v/>
      </c>
      <c r="L131" s="20">
        <f>0</f>
        <v/>
      </c>
      <c r="M131" s="20">
        <f>0</f>
        <v/>
      </c>
      <c r="N131" s="20">
        <f>0</f>
        <v/>
      </c>
      <c r="O131" s="20">
        <f>0</f>
        <v/>
      </c>
      <c r="P131" s="20">
        <f>0</f>
        <v/>
      </c>
      <c r="Q131" s="20">
        <f>0</f>
        <v/>
      </c>
      <c r="R131" s="20">
        <f>0</f>
        <v/>
      </c>
      <c r="S131" s="20">
        <f>0</f>
        <v/>
      </c>
      <c r="T131" s="20">
        <f>0</f>
        <v/>
      </c>
      <c r="U131" s="20">
        <f>0</f>
        <v/>
      </c>
      <c r="V131" s="20">
        <f>0</f>
        <v/>
      </c>
      <c r="W131" s="20">
        <f>0</f>
        <v/>
      </c>
      <c r="X131" s="20">
        <f>0</f>
        <v/>
      </c>
      <c r="Y131" s="20">
        <f>0</f>
        <v/>
      </c>
      <c r="Z131" s="20">
        <f>0</f>
        <v/>
      </c>
      <c r="AA131" s="20">
        <f>0</f>
        <v/>
      </c>
      <c r="AB131" s="20">
        <f>0</f>
        <v/>
      </c>
      <c r="AC131" s="20">
        <f>0</f>
        <v/>
      </c>
      <c r="AD131" s="20">
        <f>0</f>
        <v/>
      </c>
      <c r="AE131" s="20">
        <f>0</f>
        <v/>
      </c>
      <c r="AF131" s="20">
        <f>0</f>
        <v/>
      </c>
      <c r="AG131" s="20">
        <f>0</f>
        <v/>
      </c>
      <c r="AH131" s="20">
        <f>0</f>
        <v/>
      </c>
      <c r="AI131" s="20">
        <f>0</f>
        <v/>
      </c>
      <c r="AJ131" s="20">
        <f>0</f>
        <v/>
      </c>
      <c r="AK131" s="20">
        <f>0</f>
        <v/>
      </c>
      <c r="AL131" s="20">
        <f>0</f>
        <v/>
      </c>
      <c r="AM131" s="20">
        <f>0</f>
        <v/>
      </c>
      <c r="AN131" s="20">
        <f>0</f>
        <v/>
      </c>
      <c r="AO131" s="20">
        <f>0</f>
        <v/>
      </c>
      <c r="AP131" s="20">
        <f>0</f>
        <v/>
      </c>
      <c r="AQ131" s="20">
        <f>0</f>
        <v/>
      </c>
      <c r="AR131" s="20">
        <f>0</f>
        <v/>
      </c>
      <c r="AS131" s="20">
        <f>0</f>
        <v/>
      </c>
      <c r="AT131" s="20">
        <f>0</f>
        <v/>
      </c>
      <c r="AU131" s="20">
        <f>0</f>
        <v/>
      </c>
    </row>
    <row r="132">
      <c r="D132" t="inlineStr">
        <is>
          <t>R2 decommissioning at end of life</t>
        </is>
      </c>
      <c r="E132" t="inlineStr">
        <is>
          <t>USD m</t>
        </is>
      </c>
      <c r="J132" s="20">
        <f>IF(Time!J$4=YEAR(Inputs!$F$101),Inputs!$F$104*Inputs!$F$99/1000*Time!J$9,0)</f>
        <v/>
      </c>
      <c r="K132" s="20">
        <f>IF(Time!K$4=YEAR(Inputs!$F$101),Inputs!$F$104*Inputs!$F$99/1000*Time!K$9,0)</f>
        <v/>
      </c>
      <c r="L132" s="20">
        <f>IF(Time!L$4=YEAR(Inputs!$F$101),Inputs!$F$104*Inputs!$F$99/1000*Time!L$9,0)</f>
        <v/>
      </c>
      <c r="M132" s="20">
        <f>IF(Time!M$4=YEAR(Inputs!$F$101),Inputs!$F$104*Inputs!$F$99/1000*Time!M$9,0)</f>
        <v/>
      </c>
      <c r="N132" s="20">
        <f>IF(Time!N$4=YEAR(Inputs!$F$101),Inputs!$F$104*Inputs!$F$99/1000*Time!N$9,0)</f>
        <v/>
      </c>
      <c r="O132" s="20">
        <f>IF(Time!O$4=YEAR(Inputs!$F$101),Inputs!$F$104*Inputs!$F$99/1000*Time!O$9,0)</f>
        <v/>
      </c>
      <c r="P132" s="20">
        <f>IF(Time!P$4=YEAR(Inputs!$F$101),Inputs!$F$104*Inputs!$F$99/1000*Time!P$9,0)</f>
        <v/>
      </c>
      <c r="Q132" s="20">
        <f>IF(Time!Q$4=YEAR(Inputs!$F$101),Inputs!$F$104*Inputs!$F$99/1000*Time!Q$9,0)</f>
        <v/>
      </c>
      <c r="R132" s="20">
        <f>IF(Time!R$4=YEAR(Inputs!$F$101),Inputs!$F$104*Inputs!$F$99/1000*Time!R$9,0)</f>
        <v/>
      </c>
      <c r="S132" s="20">
        <f>IF(Time!S$4=YEAR(Inputs!$F$101),Inputs!$F$104*Inputs!$F$99/1000*Time!S$9,0)</f>
        <v/>
      </c>
      <c r="T132" s="20">
        <f>IF(Time!T$4=YEAR(Inputs!$F$101),Inputs!$F$104*Inputs!$F$99/1000*Time!T$9,0)</f>
        <v/>
      </c>
      <c r="U132" s="20">
        <f>IF(Time!U$4=YEAR(Inputs!$F$101),Inputs!$F$104*Inputs!$F$99/1000*Time!U$9,0)</f>
        <v/>
      </c>
      <c r="V132" s="20">
        <f>IF(Time!V$4=YEAR(Inputs!$F$101),Inputs!$F$104*Inputs!$F$99/1000*Time!V$9,0)</f>
        <v/>
      </c>
      <c r="W132" s="20">
        <f>IF(Time!W$4=YEAR(Inputs!$F$101),Inputs!$F$104*Inputs!$F$99/1000*Time!W$9,0)</f>
        <v/>
      </c>
      <c r="X132" s="20">
        <f>IF(Time!X$4=YEAR(Inputs!$F$101),Inputs!$F$104*Inputs!$F$99/1000*Time!X$9,0)</f>
        <v/>
      </c>
      <c r="Y132" s="20">
        <f>IF(Time!Y$4=YEAR(Inputs!$F$101),Inputs!$F$104*Inputs!$F$99/1000*Time!Y$9,0)</f>
        <v/>
      </c>
      <c r="Z132" s="20">
        <f>IF(Time!Z$4=YEAR(Inputs!$F$101),Inputs!$F$104*Inputs!$F$99/1000*Time!Z$9,0)</f>
        <v/>
      </c>
      <c r="AA132" s="20">
        <f>IF(Time!AA$4=YEAR(Inputs!$F$101),Inputs!$F$104*Inputs!$F$99/1000*Time!AA$9,0)</f>
        <v/>
      </c>
      <c r="AB132" s="20">
        <f>IF(Time!AB$4=YEAR(Inputs!$F$101),Inputs!$F$104*Inputs!$F$99/1000*Time!AB$9,0)</f>
        <v/>
      </c>
      <c r="AC132" s="20">
        <f>IF(Time!AC$4=YEAR(Inputs!$F$101),Inputs!$F$104*Inputs!$F$99/1000*Time!AC$9,0)</f>
        <v/>
      </c>
      <c r="AD132" s="20">
        <f>IF(Time!AD$4=YEAR(Inputs!$F$101),Inputs!$F$104*Inputs!$F$99/1000*Time!AD$9,0)</f>
        <v/>
      </c>
      <c r="AE132" s="20">
        <f>IF(Time!AE$4=YEAR(Inputs!$F$101),Inputs!$F$104*Inputs!$F$99/1000*Time!AE$9,0)</f>
        <v/>
      </c>
      <c r="AF132" s="20">
        <f>IF(Time!AF$4=YEAR(Inputs!$F$101),Inputs!$F$104*Inputs!$F$99/1000*Time!AF$9,0)</f>
        <v/>
      </c>
      <c r="AG132" s="20">
        <f>IF(Time!AG$4=YEAR(Inputs!$F$101),Inputs!$F$104*Inputs!$F$99/1000*Time!AG$9,0)</f>
        <v/>
      </c>
      <c r="AH132" s="20">
        <f>IF(Time!AH$4=YEAR(Inputs!$F$101),Inputs!$F$104*Inputs!$F$99/1000*Time!AH$9,0)</f>
        <v/>
      </c>
      <c r="AI132" s="20">
        <f>IF(Time!AI$4=YEAR(Inputs!$F$101),Inputs!$F$104*Inputs!$F$99/1000*Time!AI$9,0)</f>
        <v/>
      </c>
      <c r="AJ132" s="20">
        <f>IF(Time!AJ$4=YEAR(Inputs!$F$101),Inputs!$F$104*Inputs!$F$99/1000*Time!AJ$9,0)</f>
        <v/>
      </c>
      <c r="AK132" s="20">
        <f>IF(Time!AK$4=YEAR(Inputs!$F$101),Inputs!$F$104*Inputs!$F$99/1000*Time!AK$9,0)</f>
        <v/>
      </c>
      <c r="AL132" s="20">
        <f>IF(Time!AL$4=YEAR(Inputs!$F$101),Inputs!$F$104*Inputs!$F$99/1000*Time!AL$9,0)</f>
        <v/>
      </c>
      <c r="AM132" s="20">
        <f>IF(Time!AM$4=YEAR(Inputs!$F$101),Inputs!$F$104*Inputs!$F$99/1000*Time!AM$9,0)</f>
        <v/>
      </c>
      <c r="AN132" s="20">
        <f>IF(Time!AN$4=YEAR(Inputs!$F$101),Inputs!$F$104*Inputs!$F$99/1000*Time!AN$9,0)</f>
        <v/>
      </c>
      <c r="AO132" s="20">
        <f>IF(Time!AO$4=YEAR(Inputs!$F$101),Inputs!$F$104*Inputs!$F$99/1000*Time!AO$9,0)</f>
        <v/>
      </c>
      <c r="AP132" s="20">
        <f>IF(Time!AP$4=YEAR(Inputs!$F$101),Inputs!$F$104*Inputs!$F$99/1000*Time!AP$9,0)</f>
        <v/>
      </c>
      <c r="AQ132" s="20">
        <f>IF(Time!AQ$4=YEAR(Inputs!$F$101),Inputs!$F$104*Inputs!$F$99/1000*Time!AQ$9,0)</f>
        <v/>
      </c>
      <c r="AR132" s="20">
        <f>IF(Time!AR$4=YEAR(Inputs!$F$101),Inputs!$F$104*Inputs!$F$99/1000*Time!AR$9,0)</f>
        <v/>
      </c>
      <c r="AS132" s="20">
        <f>IF(Time!AS$4=YEAR(Inputs!$F$101),Inputs!$F$104*Inputs!$F$99/1000*Time!AS$9,0)</f>
        <v/>
      </c>
      <c r="AT132" s="20">
        <f>IF(Time!AT$4=YEAR(Inputs!$F$101),Inputs!$F$104*Inputs!$F$99/1000*Time!AT$9,0)</f>
        <v/>
      </c>
      <c r="AU132" s="20">
        <f>IF(Time!AU$4=YEAR(Inputs!$F$101),Inputs!$F$104*Inputs!$F$99/1000*Time!AU$9,0)</f>
        <v/>
      </c>
    </row>
    <row r="133">
      <c r="D133" t="inlineStr">
        <is>
          <t>R2 pre-tax cash flow, 100% of asset</t>
        </is>
      </c>
      <c r="E133" t="inlineStr">
        <is>
          <t>USD m</t>
        </is>
      </c>
      <c r="G133" s="20">
        <f>SUM(J133:AU133)</f>
        <v/>
      </c>
      <c r="J133" s="20">
        <f>Operations!J130-Operations!J131-Operations!J132</f>
        <v/>
      </c>
      <c r="K133" s="20">
        <f>Operations!K130-Operations!K131-Operations!K132</f>
        <v/>
      </c>
      <c r="L133" s="20">
        <f>Operations!L130-Operations!L131-Operations!L132</f>
        <v/>
      </c>
      <c r="M133" s="20">
        <f>Operations!M130-Operations!M131-Operations!M132</f>
        <v/>
      </c>
      <c r="N133" s="20">
        <f>Operations!N130-Operations!N131-Operations!N132</f>
        <v/>
      </c>
      <c r="O133" s="20">
        <f>Operations!O130-Operations!O131-Operations!O132</f>
        <v/>
      </c>
      <c r="P133" s="20">
        <f>Operations!P130-Operations!P131-Operations!P132</f>
        <v/>
      </c>
      <c r="Q133" s="20">
        <f>Operations!Q130-Operations!Q131-Operations!Q132</f>
        <v/>
      </c>
      <c r="R133" s="20">
        <f>Operations!R130-Operations!R131-Operations!R132</f>
        <v/>
      </c>
      <c r="S133" s="20">
        <f>Operations!S130-Operations!S131-Operations!S132</f>
        <v/>
      </c>
      <c r="T133" s="20">
        <f>Operations!T130-Operations!T131-Operations!T132</f>
        <v/>
      </c>
      <c r="U133" s="20">
        <f>Operations!U130-Operations!U131-Operations!U132</f>
        <v/>
      </c>
      <c r="V133" s="20">
        <f>Operations!V130-Operations!V131-Operations!V132</f>
        <v/>
      </c>
      <c r="W133" s="20">
        <f>Operations!W130-Operations!W131-Operations!W132</f>
        <v/>
      </c>
      <c r="X133" s="20">
        <f>Operations!X130-Operations!X131-Operations!X132</f>
        <v/>
      </c>
      <c r="Y133" s="20">
        <f>Operations!Y130-Operations!Y131-Operations!Y132</f>
        <v/>
      </c>
      <c r="Z133" s="20">
        <f>Operations!Z130-Operations!Z131-Operations!Z132</f>
        <v/>
      </c>
      <c r="AA133" s="20">
        <f>Operations!AA130-Operations!AA131-Operations!AA132</f>
        <v/>
      </c>
      <c r="AB133" s="20">
        <f>Operations!AB130-Operations!AB131-Operations!AB132</f>
        <v/>
      </c>
      <c r="AC133" s="20">
        <f>Operations!AC130-Operations!AC131-Operations!AC132</f>
        <v/>
      </c>
      <c r="AD133" s="20">
        <f>Operations!AD130-Operations!AD131-Operations!AD132</f>
        <v/>
      </c>
      <c r="AE133" s="20">
        <f>Operations!AE130-Operations!AE131-Operations!AE132</f>
        <v/>
      </c>
      <c r="AF133" s="20">
        <f>Operations!AF130-Operations!AF131-Operations!AF132</f>
        <v/>
      </c>
      <c r="AG133" s="20">
        <f>Operations!AG130-Operations!AG131-Operations!AG132</f>
        <v/>
      </c>
      <c r="AH133" s="20">
        <f>Operations!AH130-Operations!AH131-Operations!AH132</f>
        <v/>
      </c>
      <c r="AI133" s="20">
        <f>Operations!AI130-Operations!AI131-Operations!AI132</f>
        <v/>
      </c>
      <c r="AJ133" s="20">
        <f>Operations!AJ130-Operations!AJ131-Operations!AJ132</f>
        <v/>
      </c>
      <c r="AK133" s="20">
        <f>Operations!AK130-Operations!AK131-Operations!AK132</f>
        <v/>
      </c>
      <c r="AL133" s="20">
        <f>Operations!AL130-Operations!AL131-Operations!AL132</f>
        <v/>
      </c>
      <c r="AM133" s="20">
        <f>Operations!AM130-Operations!AM131-Operations!AM132</f>
        <v/>
      </c>
      <c r="AN133" s="20">
        <f>Operations!AN130-Operations!AN131-Operations!AN132</f>
        <v/>
      </c>
      <c r="AO133" s="20">
        <f>Operations!AO130-Operations!AO131-Operations!AO132</f>
        <v/>
      </c>
      <c r="AP133" s="20">
        <f>Operations!AP130-Operations!AP131-Operations!AP132</f>
        <v/>
      </c>
      <c r="AQ133" s="20">
        <f>Operations!AQ130-Operations!AQ131-Operations!AQ132</f>
        <v/>
      </c>
      <c r="AR133" s="20">
        <f>Operations!AR130-Operations!AR131-Operations!AR132</f>
        <v/>
      </c>
      <c r="AS133" s="20">
        <f>Operations!AS130-Operations!AS131-Operations!AS132</f>
        <v/>
      </c>
      <c r="AT133" s="20">
        <f>Operations!AT130-Operations!AT131-Operations!AT132</f>
        <v/>
      </c>
      <c r="AU133" s="20">
        <f>Operations!AU130-Operations!AU131-Operations!AU132</f>
        <v/>
      </c>
    </row>
    <row r="134">
      <c r="D134" t="inlineStr">
        <is>
          <t>R2 tax equity cash share</t>
        </is>
      </c>
      <c r="E134" t="inlineStr">
        <is>
          <t>fraction</t>
        </is>
      </c>
      <c r="J134" s="14">
        <f>0</f>
        <v/>
      </c>
      <c r="K134" s="14">
        <f>0</f>
        <v/>
      </c>
      <c r="L134" s="14">
        <f>0</f>
        <v/>
      </c>
      <c r="M134" s="14">
        <f>0</f>
        <v/>
      </c>
      <c r="N134" s="14">
        <f>0</f>
        <v/>
      </c>
      <c r="O134" s="14">
        <f>0</f>
        <v/>
      </c>
      <c r="P134" s="14">
        <f>0</f>
        <v/>
      </c>
      <c r="Q134" s="14">
        <f>0</f>
        <v/>
      </c>
      <c r="R134" s="14">
        <f>0</f>
        <v/>
      </c>
      <c r="S134" s="14">
        <f>0</f>
        <v/>
      </c>
      <c r="T134" s="14">
        <f>0</f>
        <v/>
      </c>
      <c r="U134" s="14">
        <f>0</f>
        <v/>
      </c>
      <c r="V134" s="14">
        <f>0</f>
        <v/>
      </c>
      <c r="W134" s="14">
        <f>0</f>
        <v/>
      </c>
      <c r="X134" s="14">
        <f>0</f>
        <v/>
      </c>
      <c r="Y134" s="14">
        <f>0</f>
        <v/>
      </c>
      <c r="Z134" s="14">
        <f>0</f>
        <v/>
      </c>
      <c r="AA134" s="14">
        <f>0</f>
        <v/>
      </c>
      <c r="AB134" s="14">
        <f>0</f>
        <v/>
      </c>
      <c r="AC134" s="14">
        <f>0</f>
        <v/>
      </c>
      <c r="AD134" s="14">
        <f>0</f>
        <v/>
      </c>
      <c r="AE134" s="14">
        <f>0</f>
        <v/>
      </c>
      <c r="AF134" s="14">
        <f>0</f>
        <v/>
      </c>
      <c r="AG134" s="14">
        <f>0</f>
        <v/>
      </c>
      <c r="AH134" s="14">
        <f>0</f>
        <v/>
      </c>
      <c r="AI134" s="14">
        <f>0</f>
        <v/>
      </c>
      <c r="AJ134" s="14">
        <f>0</f>
        <v/>
      </c>
      <c r="AK134" s="14">
        <f>0</f>
        <v/>
      </c>
      <c r="AL134" s="14">
        <f>0</f>
        <v/>
      </c>
      <c r="AM134" s="14">
        <f>0</f>
        <v/>
      </c>
      <c r="AN134" s="14">
        <f>0</f>
        <v/>
      </c>
      <c r="AO134" s="14">
        <f>0</f>
        <v/>
      </c>
      <c r="AP134" s="14">
        <f>0</f>
        <v/>
      </c>
      <c r="AQ134" s="14">
        <f>0</f>
        <v/>
      </c>
      <c r="AR134" s="14">
        <f>0</f>
        <v/>
      </c>
      <c r="AS134" s="14">
        <f>0</f>
        <v/>
      </c>
      <c r="AT134" s="14">
        <f>0</f>
        <v/>
      </c>
      <c r="AU134" s="14">
        <f>0</f>
        <v/>
      </c>
    </row>
    <row r="135">
      <c r="D135" t="inlineStr">
        <is>
          <t>R2 Mesa share of taxable income</t>
        </is>
      </c>
      <c r="E135" t="inlineStr">
        <is>
          <t>fraction</t>
        </is>
      </c>
      <c r="J135" s="14">
        <f>1</f>
        <v/>
      </c>
      <c r="K135" s="14">
        <f>1</f>
        <v/>
      </c>
      <c r="L135" s="14">
        <f>1</f>
        <v/>
      </c>
      <c r="M135" s="14">
        <f>1</f>
        <v/>
      </c>
      <c r="N135" s="14">
        <f>1</f>
        <v/>
      </c>
      <c r="O135" s="14">
        <f>1</f>
        <v/>
      </c>
      <c r="P135" s="14">
        <f>1</f>
        <v/>
      </c>
      <c r="Q135" s="14">
        <f>1</f>
        <v/>
      </c>
      <c r="R135" s="14">
        <f>1</f>
        <v/>
      </c>
      <c r="S135" s="14">
        <f>1</f>
        <v/>
      </c>
      <c r="T135" s="14">
        <f>1</f>
        <v/>
      </c>
      <c r="U135" s="14">
        <f>1</f>
        <v/>
      </c>
      <c r="V135" s="14">
        <f>1</f>
        <v/>
      </c>
      <c r="W135" s="14">
        <f>1</f>
        <v/>
      </c>
      <c r="X135" s="14">
        <f>1</f>
        <v/>
      </c>
      <c r="Y135" s="14">
        <f>1</f>
        <v/>
      </c>
      <c r="Z135" s="14">
        <f>1</f>
        <v/>
      </c>
      <c r="AA135" s="14">
        <f>1</f>
        <v/>
      </c>
      <c r="AB135" s="14">
        <f>1</f>
        <v/>
      </c>
      <c r="AC135" s="14">
        <f>1</f>
        <v/>
      </c>
      <c r="AD135" s="14">
        <f>1</f>
        <v/>
      </c>
      <c r="AE135" s="14">
        <f>1</f>
        <v/>
      </c>
      <c r="AF135" s="14">
        <f>1</f>
        <v/>
      </c>
      <c r="AG135" s="14">
        <f>1</f>
        <v/>
      </c>
      <c r="AH135" s="14">
        <f>1</f>
        <v/>
      </c>
      <c r="AI135" s="14">
        <f>1</f>
        <v/>
      </c>
      <c r="AJ135" s="14">
        <f>1</f>
        <v/>
      </c>
      <c r="AK135" s="14">
        <f>1</f>
        <v/>
      </c>
      <c r="AL135" s="14">
        <f>1</f>
        <v/>
      </c>
      <c r="AM135" s="14">
        <f>1</f>
        <v/>
      </c>
      <c r="AN135" s="14">
        <f>1</f>
        <v/>
      </c>
      <c r="AO135" s="14">
        <f>1</f>
        <v/>
      </c>
      <c r="AP135" s="14">
        <f>1</f>
        <v/>
      </c>
      <c r="AQ135" s="14">
        <f>1</f>
        <v/>
      </c>
      <c r="AR135" s="14">
        <f>1</f>
        <v/>
      </c>
      <c r="AS135" s="14">
        <f>1</f>
        <v/>
      </c>
      <c r="AT135" s="14">
        <f>1</f>
        <v/>
      </c>
      <c r="AU135" s="14">
        <f>1</f>
        <v/>
      </c>
    </row>
    <row r="136">
      <c r="D136" t="inlineStr">
        <is>
          <t>R2 Mesa share of cash flow</t>
        </is>
      </c>
      <c r="E136" t="inlineStr">
        <is>
          <t>USD m</t>
        </is>
      </c>
      <c r="G136" s="20">
        <f>SUM(J136:AU136)</f>
        <v/>
      </c>
      <c r="J136" s="20">
        <f>Operations!J133*(1-Operations!J134)*Operations!J107</f>
        <v/>
      </c>
      <c r="K136" s="20">
        <f>Operations!K133*(1-Operations!K134)*Operations!K107</f>
        <v/>
      </c>
      <c r="L136" s="20">
        <f>Operations!L133*(1-Operations!L134)*Operations!L107</f>
        <v/>
      </c>
      <c r="M136" s="20">
        <f>Operations!M133*(1-Operations!M134)*Operations!M107</f>
        <v/>
      </c>
      <c r="N136" s="20">
        <f>Operations!N133*(1-Operations!N134)*Operations!N107</f>
        <v/>
      </c>
      <c r="O136" s="20">
        <f>Operations!O133*(1-Operations!O134)*Operations!O107</f>
        <v/>
      </c>
      <c r="P136" s="20">
        <f>Operations!P133*(1-Operations!P134)*Operations!P107</f>
        <v/>
      </c>
      <c r="Q136" s="20">
        <f>Operations!Q133*(1-Operations!Q134)*Operations!Q107</f>
        <v/>
      </c>
      <c r="R136" s="20">
        <f>Operations!R133*(1-Operations!R134)*Operations!R107</f>
        <v/>
      </c>
      <c r="S136" s="20">
        <f>Operations!S133*(1-Operations!S134)*Operations!S107</f>
        <v/>
      </c>
      <c r="T136" s="20">
        <f>Operations!T133*(1-Operations!T134)*Operations!T107</f>
        <v/>
      </c>
      <c r="U136" s="20">
        <f>Operations!U133*(1-Operations!U134)*Operations!U107</f>
        <v/>
      </c>
      <c r="V136" s="20">
        <f>Operations!V133*(1-Operations!V134)*Operations!V107</f>
        <v/>
      </c>
      <c r="W136" s="20">
        <f>Operations!W133*(1-Operations!W134)*Operations!W107</f>
        <v/>
      </c>
      <c r="X136" s="20">
        <f>Operations!X133*(1-Operations!X134)*Operations!X107</f>
        <v/>
      </c>
      <c r="Y136" s="20">
        <f>Operations!Y133*(1-Operations!Y134)*Operations!Y107</f>
        <v/>
      </c>
      <c r="Z136" s="20">
        <f>Operations!Z133*(1-Operations!Z134)*Operations!Z107</f>
        <v/>
      </c>
      <c r="AA136" s="20">
        <f>Operations!AA133*(1-Operations!AA134)*Operations!AA107</f>
        <v/>
      </c>
      <c r="AB136" s="20">
        <f>Operations!AB133*(1-Operations!AB134)*Operations!AB107</f>
        <v/>
      </c>
      <c r="AC136" s="20">
        <f>Operations!AC133*(1-Operations!AC134)*Operations!AC107</f>
        <v/>
      </c>
      <c r="AD136" s="20">
        <f>Operations!AD133*(1-Operations!AD134)*Operations!AD107</f>
        <v/>
      </c>
      <c r="AE136" s="20">
        <f>Operations!AE133*(1-Operations!AE134)*Operations!AE107</f>
        <v/>
      </c>
      <c r="AF136" s="20">
        <f>Operations!AF133*(1-Operations!AF134)*Operations!AF107</f>
        <v/>
      </c>
      <c r="AG136" s="20">
        <f>Operations!AG133*(1-Operations!AG134)*Operations!AG107</f>
        <v/>
      </c>
      <c r="AH136" s="20">
        <f>Operations!AH133*(1-Operations!AH134)*Operations!AH107</f>
        <v/>
      </c>
      <c r="AI136" s="20">
        <f>Operations!AI133*(1-Operations!AI134)*Operations!AI107</f>
        <v/>
      </c>
      <c r="AJ136" s="20">
        <f>Operations!AJ133*(1-Operations!AJ134)*Operations!AJ107</f>
        <v/>
      </c>
      <c r="AK136" s="20">
        <f>Operations!AK133*(1-Operations!AK134)*Operations!AK107</f>
        <v/>
      </c>
      <c r="AL136" s="20">
        <f>Operations!AL133*(1-Operations!AL134)*Operations!AL107</f>
        <v/>
      </c>
      <c r="AM136" s="20">
        <f>Operations!AM133*(1-Operations!AM134)*Operations!AM107</f>
        <v/>
      </c>
      <c r="AN136" s="20">
        <f>Operations!AN133*(1-Operations!AN134)*Operations!AN107</f>
        <v/>
      </c>
      <c r="AO136" s="20">
        <f>Operations!AO133*(1-Operations!AO134)*Operations!AO107</f>
        <v/>
      </c>
      <c r="AP136" s="20">
        <f>Operations!AP133*(1-Operations!AP134)*Operations!AP107</f>
        <v/>
      </c>
      <c r="AQ136" s="20">
        <f>Operations!AQ133*(1-Operations!AQ134)*Operations!AQ107</f>
        <v/>
      </c>
      <c r="AR136" s="20">
        <f>Operations!AR133*(1-Operations!AR134)*Operations!AR107</f>
        <v/>
      </c>
      <c r="AS136" s="20">
        <f>Operations!AS133*(1-Operations!AS134)*Operations!AS107</f>
        <v/>
      </c>
      <c r="AT136" s="20">
        <f>Operations!AT133*(1-Operations!AT134)*Operations!AT107</f>
        <v/>
      </c>
      <c r="AU136" s="20">
        <f>Operations!AU133*(1-Operations!AU134)*Operations!AU107</f>
        <v/>
      </c>
    </row>
    <row r="137">
      <c r="D137" t="inlineStr">
        <is>
          <t>R2 Mesa taxable operating income</t>
        </is>
      </c>
      <c r="E137" t="inlineStr">
        <is>
          <t>USD m</t>
        </is>
      </c>
      <c r="J137" s="20">
        <f>Operations!J133*Operations!J135*Operations!J107</f>
        <v/>
      </c>
      <c r="K137" s="20">
        <f>Operations!K133*Operations!K135*Operations!K107</f>
        <v/>
      </c>
      <c r="L137" s="20">
        <f>Operations!L133*Operations!L135*Operations!L107</f>
        <v/>
      </c>
      <c r="M137" s="20">
        <f>Operations!M133*Operations!M135*Operations!M107</f>
        <v/>
      </c>
      <c r="N137" s="20">
        <f>Operations!N133*Operations!N135*Operations!N107</f>
        <v/>
      </c>
      <c r="O137" s="20">
        <f>Operations!O133*Operations!O135*Operations!O107</f>
        <v/>
      </c>
      <c r="P137" s="20">
        <f>Operations!P133*Operations!P135*Operations!P107</f>
        <v/>
      </c>
      <c r="Q137" s="20">
        <f>Operations!Q133*Operations!Q135*Operations!Q107</f>
        <v/>
      </c>
      <c r="R137" s="20">
        <f>Operations!R133*Operations!R135*Operations!R107</f>
        <v/>
      </c>
      <c r="S137" s="20">
        <f>Operations!S133*Operations!S135*Operations!S107</f>
        <v/>
      </c>
      <c r="T137" s="20">
        <f>Operations!T133*Operations!T135*Operations!T107</f>
        <v/>
      </c>
      <c r="U137" s="20">
        <f>Operations!U133*Operations!U135*Operations!U107</f>
        <v/>
      </c>
      <c r="V137" s="20">
        <f>Operations!V133*Operations!V135*Operations!V107</f>
        <v/>
      </c>
      <c r="W137" s="20">
        <f>Operations!W133*Operations!W135*Operations!W107</f>
        <v/>
      </c>
      <c r="X137" s="20">
        <f>Operations!X133*Operations!X135*Operations!X107</f>
        <v/>
      </c>
      <c r="Y137" s="20">
        <f>Operations!Y133*Operations!Y135*Operations!Y107</f>
        <v/>
      </c>
      <c r="Z137" s="20">
        <f>Operations!Z133*Operations!Z135*Operations!Z107</f>
        <v/>
      </c>
      <c r="AA137" s="20">
        <f>Operations!AA133*Operations!AA135*Operations!AA107</f>
        <v/>
      </c>
      <c r="AB137" s="20">
        <f>Operations!AB133*Operations!AB135*Operations!AB107</f>
        <v/>
      </c>
      <c r="AC137" s="20">
        <f>Operations!AC133*Operations!AC135*Operations!AC107</f>
        <v/>
      </c>
      <c r="AD137" s="20">
        <f>Operations!AD133*Operations!AD135*Operations!AD107</f>
        <v/>
      </c>
      <c r="AE137" s="20">
        <f>Operations!AE133*Operations!AE135*Operations!AE107</f>
        <v/>
      </c>
      <c r="AF137" s="20">
        <f>Operations!AF133*Operations!AF135*Operations!AF107</f>
        <v/>
      </c>
      <c r="AG137" s="20">
        <f>Operations!AG133*Operations!AG135*Operations!AG107</f>
        <v/>
      </c>
      <c r="AH137" s="20">
        <f>Operations!AH133*Operations!AH135*Operations!AH107</f>
        <v/>
      </c>
      <c r="AI137" s="20">
        <f>Operations!AI133*Operations!AI135*Operations!AI107</f>
        <v/>
      </c>
      <c r="AJ137" s="20">
        <f>Operations!AJ133*Operations!AJ135*Operations!AJ107</f>
        <v/>
      </c>
      <c r="AK137" s="20">
        <f>Operations!AK133*Operations!AK135*Operations!AK107</f>
        <v/>
      </c>
      <c r="AL137" s="20">
        <f>Operations!AL133*Operations!AL135*Operations!AL107</f>
        <v/>
      </c>
      <c r="AM137" s="20">
        <f>Operations!AM133*Operations!AM135*Operations!AM107</f>
        <v/>
      </c>
      <c r="AN137" s="20">
        <f>Operations!AN133*Operations!AN135*Operations!AN107</f>
        <v/>
      </c>
      <c r="AO137" s="20">
        <f>Operations!AO133*Operations!AO135*Operations!AO107</f>
        <v/>
      </c>
      <c r="AP137" s="20">
        <f>Operations!AP133*Operations!AP135*Operations!AP107</f>
        <v/>
      </c>
      <c r="AQ137" s="20">
        <f>Operations!AQ133*Operations!AQ135*Operations!AQ107</f>
        <v/>
      </c>
      <c r="AR137" s="20">
        <f>Operations!AR133*Operations!AR135*Operations!AR107</f>
        <v/>
      </c>
      <c r="AS137" s="20">
        <f>Operations!AS133*Operations!AS135*Operations!AS107</f>
        <v/>
      </c>
      <c r="AT137" s="20">
        <f>Operations!AT133*Operations!AT135*Operations!AT107</f>
        <v/>
      </c>
      <c r="AU137" s="20">
        <f>Operations!AU133*Operations!AU135*Operations!AU107</f>
        <v/>
      </c>
    </row>
    <row r="138">
      <c r="D138" t="inlineStr">
        <is>
          <t>R2 Mesa unlevered post-tax cash flow (before price shield)</t>
        </is>
      </c>
      <c r="E138" t="inlineStr">
        <is>
          <t>USD m</t>
        </is>
      </c>
      <c r="J138" s="20">
        <f>Operations!J136-Inputs!$F$241/100*Operations!J137</f>
        <v/>
      </c>
      <c r="K138" s="20">
        <f>Operations!K136-Inputs!$F$241/100*Operations!K137</f>
        <v/>
      </c>
      <c r="L138" s="20">
        <f>Operations!L136-Inputs!$F$241/100*Operations!L137</f>
        <v/>
      </c>
      <c r="M138" s="20">
        <f>Operations!M136-Inputs!$F$241/100*Operations!M137</f>
        <v/>
      </c>
      <c r="N138" s="20">
        <f>Operations!N136-Inputs!$F$241/100*Operations!N137</f>
        <v/>
      </c>
      <c r="O138" s="20">
        <f>Operations!O136-Inputs!$F$241/100*Operations!O137</f>
        <v/>
      </c>
      <c r="P138" s="20">
        <f>Operations!P136-Inputs!$F$241/100*Operations!P137</f>
        <v/>
      </c>
      <c r="Q138" s="20">
        <f>Operations!Q136-Inputs!$F$241/100*Operations!Q137</f>
        <v/>
      </c>
      <c r="R138" s="20">
        <f>Operations!R136-Inputs!$F$241/100*Operations!R137</f>
        <v/>
      </c>
      <c r="S138" s="20">
        <f>Operations!S136-Inputs!$F$241/100*Operations!S137</f>
        <v/>
      </c>
      <c r="T138" s="20">
        <f>Operations!T136-Inputs!$F$241/100*Operations!T137</f>
        <v/>
      </c>
      <c r="U138" s="20">
        <f>Operations!U136-Inputs!$F$241/100*Operations!U137</f>
        <v/>
      </c>
      <c r="V138" s="20">
        <f>Operations!V136-Inputs!$F$241/100*Operations!V137</f>
        <v/>
      </c>
      <c r="W138" s="20">
        <f>Operations!W136-Inputs!$F$241/100*Operations!W137</f>
        <v/>
      </c>
      <c r="X138" s="20">
        <f>Operations!X136-Inputs!$F$241/100*Operations!X137</f>
        <v/>
      </c>
      <c r="Y138" s="20">
        <f>Operations!Y136-Inputs!$F$241/100*Operations!Y137</f>
        <v/>
      </c>
      <c r="Z138" s="20">
        <f>Operations!Z136-Inputs!$F$241/100*Operations!Z137</f>
        <v/>
      </c>
      <c r="AA138" s="20">
        <f>Operations!AA136-Inputs!$F$241/100*Operations!AA137</f>
        <v/>
      </c>
      <c r="AB138" s="20">
        <f>Operations!AB136-Inputs!$F$241/100*Operations!AB137</f>
        <v/>
      </c>
      <c r="AC138" s="20">
        <f>Operations!AC136-Inputs!$F$241/100*Operations!AC137</f>
        <v/>
      </c>
      <c r="AD138" s="20">
        <f>Operations!AD136-Inputs!$F$241/100*Operations!AD137</f>
        <v/>
      </c>
      <c r="AE138" s="20">
        <f>Operations!AE136-Inputs!$F$241/100*Operations!AE137</f>
        <v/>
      </c>
      <c r="AF138" s="20">
        <f>Operations!AF136-Inputs!$F$241/100*Operations!AF137</f>
        <v/>
      </c>
      <c r="AG138" s="20">
        <f>Operations!AG136-Inputs!$F$241/100*Operations!AG137</f>
        <v/>
      </c>
      <c r="AH138" s="20">
        <f>Operations!AH136-Inputs!$F$241/100*Operations!AH137</f>
        <v/>
      </c>
      <c r="AI138" s="20">
        <f>Operations!AI136-Inputs!$F$241/100*Operations!AI137</f>
        <v/>
      </c>
      <c r="AJ138" s="20">
        <f>Operations!AJ136-Inputs!$F$241/100*Operations!AJ137</f>
        <v/>
      </c>
      <c r="AK138" s="20">
        <f>Operations!AK136-Inputs!$F$241/100*Operations!AK137</f>
        <v/>
      </c>
      <c r="AL138" s="20">
        <f>Operations!AL136-Inputs!$F$241/100*Operations!AL137</f>
        <v/>
      </c>
      <c r="AM138" s="20">
        <f>Operations!AM136-Inputs!$F$241/100*Operations!AM137</f>
        <v/>
      </c>
      <c r="AN138" s="20">
        <f>Operations!AN136-Inputs!$F$241/100*Operations!AN137</f>
        <v/>
      </c>
      <c r="AO138" s="20">
        <f>Operations!AO136-Inputs!$F$241/100*Operations!AO137</f>
        <v/>
      </c>
      <c r="AP138" s="20">
        <f>Operations!AP136-Inputs!$F$241/100*Operations!AP137</f>
        <v/>
      </c>
      <c r="AQ138" s="20">
        <f>Operations!AQ136-Inputs!$F$241/100*Operations!AQ137</f>
        <v/>
      </c>
      <c r="AR138" s="20">
        <f>Operations!AR136-Inputs!$F$241/100*Operations!AR137</f>
        <v/>
      </c>
      <c r="AS138" s="20">
        <f>Operations!AS136-Inputs!$F$241/100*Operations!AS137</f>
        <v/>
      </c>
      <c r="AT138" s="20">
        <f>Operations!AT136-Inputs!$F$241/100*Operations!AT137</f>
        <v/>
      </c>
      <c r="AU138" s="20">
        <f>Operations!AU136-Inputs!$F$241/100*Operations!AU137</f>
        <v/>
      </c>
    </row>
    <row r="139">
      <c r="D139" t="inlineStr">
        <is>
          <t>R2 contracted share of revenue</t>
        </is>
      </c>
      <c r="E139" t="inlineStr">
        <is>
          <t>fraction</t>
        </is>
      </c>
      <c r="J139" s="14">
        <f>IF(Operations!J124=0,0,Operations!J121/Operations!J124)</f>
        <v/>
      </c>
      <c r="K139" s="14">
        <f>IF(Operations!K124=0,0,Operations!K121/Operations!K124)</f>
        <v/>
      </c>
      <c r="L139" s="14">
        <f>IF(Operations!L124=0,0,Operations!L121/Operations!L124)</f>
        <v/>
      </c>
      <c r="M139" s="14">
        <f>IF(Operations!M124=0,0,Operations!M121/Operations!M124)</f>
        <v/>
      </c>
      <c r="N139" s="14">
        <f>IF(Operations!N124=0,0,Operations!N121/Operations!N124)</f>
        <v/>
      </c>
      <c r="O139" s="14">
        <f>IF(Operations!O124=0,0,Operations!O121/Operations!O124)</f>
        <v/>
      </c>
      <c r="P139" s="14">
        <f>IF(Operations!P124=0,0,Operations!P121/Operations!P124)</f>
        <v/>
      </c>
      <c r="Q139" s="14">
        <f>IF(Operations!Q124=0,0,Operations!Q121/Operations!Q124)</f>
        <v/>
      </c>
      <c r="R139" s="14">
        <f>IF(Operations!R124=0,0,Operations!R121/Operations!R124)</f>
        <v/>
      </c>
      <c r="S139" s="14">
        <f>IF(Operations!S124=0,0,Operations!S121/Operations!S124)</f>
        <v/>
      </c>
      <c r="T139" s="14">
        <f>IF(Operations!T124=0,0,Operations!T121/Operations!T124)</f>
        <v/>
      </c>
      <c r="U139" s="14">
        <f>IF(Operations!U124=0,0,Operations!U121/Operations!U124)</f>
        <v/>
      </c>
      <c r="V139" s="14">
        <f>IF(Operations!V124=0,0,Operations!V121/Operations!V124)</f>
        <v/>
      </c>
      <c r="W139" s="14">
        <f>IF(Operations!W124=0,0,Operations!W121/Operations!W124)</f>
        <v/>
      </c>
      <c r="X139" s="14">
        <f>IF(Operations!X124=0,0,Operations!X121/Operations!X124)</f>
        <v/>
      </c>
      <c r="Y139" s="14">
        <f>IF(Operations!Y124=0,0,Operations!Y121/Operations!Y124)</f>
        <v/>
      </c>
      <c r="Z139" s="14">
        <f>IF(Operations!Z124=0,0,Operations!Z121/Operations!Z124)</f>
        <v/>
      </c>
      <c r="AA139" s="14">
        <f>IF(Operations!AA124=0,0,Operations!AA121/Operations!AA124)</f>
        <v/>
      </c>
      <c r="AB139" s="14">
        <f>IF(Operations!AB124=0,0,Operations!AB121/Operations!AB124)</f>
        <v/>
      </c>
      <c r="AC139" s="14">
        <f>IF(Operations!AC124=0,0,Operations!AC121/Operations!AC124)</f>
        <v/>
      </c>
      <c r="AD139" s="14">
        <f>IF(Operations!AD124=0,0,Operations!AD121/Operations!AD124)</f>
        <v/>
      </c>
      <c r="AE139" s="14">
        <f>IF(Operations!AE124=0,0,Operations!AE121/Operations!AE124)</f>
        <v/>
      </c>
      <c r="AF139" s="14">
        <f>IF(Operations!AF124=0,0,Operations!AF121/Operations!AF124)</f>
        <v/>
      </c>
      <c r="AG139" s="14">
        <f>IF(Operations!AG124=0,0,Operations!AG121/Operations!AG124)</f>
        <v/>
      </c>
      <c r="AH139" s="14">
        <f>IF(Operations!AH124=0,0,Operations!AH121/Operations!AH124)</f>
        <v/>
      </c>
      <c r="AI139" s="14">
        <f>IF(Operations!AI124=0,0,Operations!AI121/Operations!AI124)</f>
        <v/>
      </c>
      <c r="AJ139" s="14">
        <f>IF(Operations!AJ124=0,0,Operations!AJ121/Operations!AJ124)</f>
        <v/>
      </c>
      <c r="AK139" s="14">
        <f>IF(Operations!AK124=0,0,Operations!AK121/Operations!AK124)</f>
        <v/>
      </c>
      <c r="AL139" s="14">
        <f>IF(Operations!AL124=0,0,Operations!AL121/Operations!AL124)</f>
        <v/>
      </c>
      <c r="AM139" s="14">
        <f>IF(Operations!AM124=0,0,Operations!AM121/Operations!AM124)</f>
        <v/>
      </c>
      <c r="AN139" s="14">
        <f>IF(Operations!AN124=0,0,Operations!AN121/Operations!AN124)</f>
        <v/>
      </c>
      <c r="AO139" s="14">
        <f>IF(Operations!AO124=0,0,Operations!AO121/Operations!AO124)</f>
        <v/>
      </c>
      <c r="AP139" s="14">
        <f>IF(Operations!AP124=0,0,Operations!AP121/Operations!AP124)</f>
        <v/>
      </c>
      <c r="AQ139" s="14">
        <f>IF(Operations!AQ124=0,0,Operations!AQ121/Operations!AQ124)</f>
        <v/>
      </c>
      <c r="AR139" s="14">
        <f>IF(Operations!AR124=0,0,Operations!AR121/Operations!AR124)</f>
        <v/>
      </c>
      <c r="AS139" s="14">
        <f>IF(Operations!AS124=0,0,Operations!AS121/Operations!AS124)</f>
        <v/>
      </c>
      <c r="AT139" s="14">
        <f>IF(Operations!AT124=0,0,Operations!AT121/Operations!AT124)</f>
        <v/>
      </c>
      <c r="AU139" s="14">
        <f>IF(Operations!AU124=0,0,Operations!AU121/Operations!AU124)</f>
        <v/>
      </c>
    </row>
    <row r="140">
      <c r="D140" t="inlineStr">
        <is>
          <t>R2 hedged share of revenue</t>
        </is>
      </c>
      <c r="E140" t="inlineStr">
        <is>
          <t>fraction</t>
        </is>
      </c>
      <c r="J140" s="14">
        <f>IF(Operations!J124=0,0,Operations!J122/Operations!J124)</f>
        <v/>
      </c>
      <c r="K140" s="14">
        <f>IF(Operations!K124=0,0,Operations!K122/Operations!K124)</f>
        <v/>
      </c>
      <c r="L140" s="14">
        <f>IF(Operations!L124=0,0,Operations!L122/Operations!L124)</f>
        <v/>
      </c>
      <c r="M140" s="14">
        <f>IF(Operations!M124=0,0,Operations!M122/Operations!M124)</f>
        <v/>
      </c>
      <c r="N140" s="14">
        <f>IF(Operations!N124=0,0,Operations!N122/Operations!N124)</f>
        <v/>
      </c>
      <c r="O140" s="14">
        <f>IF(Operations!O124=0,0,Operations!O122/Operations!O124)</f>
        <v/>
      </c>
      <c r="P140" s="14">
        <f>IF(Operations!P124=0,0,Operations!P122/Operations!P124)</f>
        <v/>
      </c>
      <c r="Q140" s="14">
        <f>IF(Operations!Q124=0,0,Operations!Q122/Operations!Q124)</f>
        <v/>
      </c>
      <c r="R140" s="14">
        <f>IF(Operations!R124=0,0,Operations!R122/Operations!R124)</f>
        <v/>
      </c>
      <c r="S140" s="14">
        <f>IF(Operations!S124=0,0,Operations!S122/Operations!S124)</f>
        <v/>
      </c>
      <c r="T140" s="14">
        <f>IF(Operations!T124=0,0,Operations!T122/Operations!T124)</f>
        <v/>
      </c>
      <c r="U140" s="14">
        <f>IF(Operations!U124=0,0,Operations!U122/Operations!U124)</f>
        <v/>
      </c>
      <c r="V140" s="14">
        <f>IF(Operations!V124=0,0,Operations!V122/Operations!V124)</f>
        <v/>
      </c>
      <c r="W140" s="14">
        <f>IF(Operations!W124=0,0,Operations!W122/Operations!W124)</f>
        <v/>
      </c>
      <c r="X140" s="14">
        <f>IF(Operations!X124=0,0,Operations!X122/Operations!X124)</f>
        <v/>
      </c>
      <c r="Y140" s="14">
        <f>IF(Operations!Y124=0,0,Operations!Y122/Operations!Y124)</f>
        <v/>
      </c>
      <c r="Z140" s="14">
        <f>IF(Operations!Z124=0,0,Operations!Z122/Operations!Z124)</f>
        <v/>
      </c>
      <c r="AA140" s="14">
        <f>IF(Operations!AA124=0,0,Operations!AA122/Operations!AA124)</f>
        <v/>
      </c>
      <c r="AB140" s="14">
        <f>IF(Operations!AB124=0,0,Operations!AB122/Operations!AB124)</f>
        <v/>
      </c>
      <c r="AC140" s="14">
        <f>IF(Operations!AC124=0,0,Operations!AC122/Operations!AC124)</f>
        <v/>
      </c>
      <c r="AD140" s="14">
        <f>IF(Operations!AD124=0,0,Operations!AD122/Operations!AD124)</f>
        <v/>
      </c>
      <c r="AE140" s="14">
        <f>IF(Operations!AE124=0,0,Operations!AE122/Operations!AE124)</f>
        <v/>
      </c>
      <c r="AF140" s="14">
        <f>IF(Operations!AF124=0,0,Operations!AF122/Operations!AF124)</f>
        <v/>
      </c>
      <c r="AG140" s="14">
        <f>IF(Operations!AG124=0,0,Operations!AG122/Operations!AG124)</f>
        <v/>
      </c>
      <c r="AH140" s="14">
        <f>IF(Operations!AH124=0,0,Operations!AH122/Operations!AH124)</f>
        <v/>
      </c>
      <c r="AI140" s="14">
        <f>IF(Operations!AI124=0,0,Operations!AI122/Operations!AI124)</f>
        <v/>
      </c>
      <c r="AJ140" s="14">
        <f>IF(Operations!AJ124=0,0,Operations!AJ122/Operations!AJ124)</f>
        <v/>
      </c>
      <c r="AK140" s="14">
        <f>IF(Operations!AK124=0,0,Operations!AK122/Operations!AK124)</f>
        <v/>
      </c>
      <c r="AL140" s="14">
        <f>IF(Operations!AL124=0,0,Operations!AL122/Operations!AL124)</f>
        <v/>
      </c>
      <c r="AM140" s="14">
        <f>IF(Operations!AM124=0,0,Operations!AM122/Operations!AM124)</f>
        <v/>
      </c>
      <c r="AN140" s="14">
        <f>IF(Operations!AN124=0,0,Operations!AN122/Operations!AN124)</f>
        <v/>
      </c>
      <c r="AO140" s="14">
        <f>IF(Operations!AO124=0,0,Operations!AO122/Operations!AO124)</f>
        <v/>
      </c>
      <c r="AP140" s="14">
        <f>IF(Operations!AP124=0,0,Operations!AP122/Operations!AP124)</f>
        <v/>
      </c>
      <c r="AQ140" s="14">
        <f>IF(Operations!AQ124=0,0,Operations!AQ122/Operations!AQ124)</f>
        <v/>
      </c>
      <c r="AR140" s="14">
        <f>IF(Operations!AR124=0,0,Operations!AR122/Operations!AR124)</f>
        <v/>
      </c>
      <c r="AS140" s="14">
        <f>IF(Operations!AS124=0,0,Operations!AS122/Operations!AS124)</f>
        <v/>
      </c>
      <c r="AT140" s="14">
        <f>IF(Operations!AT124=0,0,Operations!AT122/Operations!AT124)</f>
        <v/>
      </c>
      <c r="AU140" s="14">
        <f>IF(Operations!AU124=0,0,Operations!AU122/Operations!AU124)</f>
        <v/>
      </c>
    </row>
    <row r="141">
      <c r="D141" t="inlineStr">
        <is>
          <t>R2 merchant share of revenue</t>
        </is>
      </c>
      <c r="E141" t="inlineStr">
        <is>
          <t>fraction</t>
        </is>
      </c>
      <c r="J141" s="14">
        <f>1-Operations!J139-Operations!J140</f>
        <v/>
      </c>
      <c r="K141" s="14">
        <f>1-Operations!K139-Operations!K140</f>
        <v/>
      </c>
      <c r="L141" s="14">
        <f>1-Operations!L139-Operations!L140</f>
        <v/>
      </c>
      <c r="M141" s="14">
        <f>1-Operations!M139-Operations!M140</f>
        <v/>
      </c>
      <c r="N141" s="14">
        <f>1-Operations!N139-Operations!N140</f>
        <v/>
      </c>
      <c r="O141" s="14">
        <f>1-Operations!O139-Operations!O140</f>
        <v/>
      </c>
      <c r="P141" s="14">
        <f>1-Operations!P139-Operations!P140</f>
        <v/>
      </c>
      <c r="Q141" s="14">
        <f>1-Operations!Q139-Operations!Q140</f>
        <v/>
      </c>
      <c r="R141" s="14">
        <f>1-Operations!R139-Operations!R140</f>
        <v/>
      </c>
      <c r="S141" s="14">
        <f>1-Operations!S139-Operations!S140</f>
        <v/>
      </c>
      <c r="T141" s="14">
        <f>1-Operations!T139-Operations!T140</f>
        <v/>
      </c>
      <c r="U141" s="14">
        <f>1-Operations!U139-Operations!U140</f>
        <v/>
      </c>
      <c r="V141" s="14">
        <f>1-Operations!V139-Operations!V140</f>
        <v/>
      </c>
      <c r="W141" s="14">
        <f>1-Operations!W139-Operations!W140</f>
        <v/>
      </c>
      <c r="X141" s="14">
        <f>1-Operations!X139-Operations!X140</f>
        <v/>
      </c>
      <c r="Y141" s="14">
        <f>1-Operations!Y139-Operations!Y140</f>
        <v/>
      </c>
      <c r="Z141" s="14">
        <f>1-Operations!Z139-Operations!Z140</f>
        <v/>
      </c>
      <c r="AA141" s="14">
        <f>1-Operations!AA139-Operations!AA140</f>
        <v/>
      </c>
      <c r="AB141" s="14">
        <f>1-Operations!AB139-Operations!AB140</f>
        <v/>
      </c>
      <c r="AC141" s="14">
        <f>1-Operations!AC139-Operations!AC140</f>
        <v/>
      </c>
      <c r="AD141" s="14">
        <f>1-Operations!AD139-Operations!AD140</f>
        <v/>
      </c>
      <c r="AE141" s="14">
        <f>1-Operations!AE139-Operations!AE140</f>
        <v/>
      </c>
      <c r="AF141" s="14">
        <f>1-Operations!AF139-Operations!AF140</f>
        <v/>
      </c>
      <c r="AG141" s="14">
        <f>1-Operations!AG139-Operations!AG140</f>
        <v/>
      </c>
      <c r="AH141" s="14">
        <f>1-Operations!AH139-Operations!AH140</f>
        <v/>
      </c>
      <c r="AI141" s="14">
        <f>1-Operations!AI139-Operations!AI140</f>
        <v/>
      </c>
      <c r="AJ141" s="14">
        <f>1-Operations!AJ139-Operations!AJ140</f>
        <v/>
      </c>
      <c r="AK141" s="14">
        <f>1-Operations!AK139-Operations!AK140</f>
        <v/>
      </c>
      <c r="AL141" s="14">
        <f>1-Operations!AL139-Operations!AL140</f>
        <v/>
      </c>
      <c r="AM141" s="14">
        <f>1-Operations!AM139-Operations!AM140</f>
        <v/>
      </c>
      <c r="AN141" s="14">
        <f>1-Operations!AN139-Operations!AN140</f>
        <v/>
      </c>
      <c r="AO141" s="14">
        <f>1-Operations!AO139-Operations!AO140</f>
        <v/>
      </c>
      <c r="AP141" s="14">
        <f>1-Operations!AP139-Operations!AP140</f>
        <v/>
      </c>
      <c r="AQ141" s="14">
        <f>1-Operations!AQ139-Operations!AQ140</f>
        <v/>
      </c>
      <c r="AR141" s="14">
        <f>1-Operations!AR139-Operations!AR140</f>
        <v/>
      </c>
      <c r="AS141" s="14">
        <f>1-Operations!AS139-Operations!AS140</f>
        <v/>
      </c>
      <c r="AT141" s="14">
        <f>1-Operations!AT139-Operations!AT140</f>
        <v/>
      </c>
      <c r="AU141" s="14">
        <f>1-Operations!AU139-Operations!AU140</f>
        <v/>
      </c>
    </row>
    <row r="142">
      <c r="D142" t="inlineStr">
        <is>
          <t>R2 Mesa-share contracted revenue</t>
        </is>
      </c>
      <c r="E142" t="inlineStr">
        <is>
          <t>USD m</t>
        </is>
      </c>
      <c r="J142" s="20">
        <f>Operations!J121*Operations!J107*(1-Operations!J134)</f>
        <v/>
      </c>
      <c r="K142" s="20">
        <f>Operations!K121*Operations!K107*(1-Operations!K134)</f>
        <v/>
      </c>
      <c r="L142" s="20">
        <f>Operations!L121*Operations!L107*(1-Operations!L134)</f>
        <v/>
      </c>
      <c r="M142" s="20">
        <f>Operations!M121*Operations!M107*(1-Operations!M134)</f>
        <v/>
      </c>
      <c r="N142" s="20">
        <f>Operations!N121*Operations!N107*(1-Operations!N134)</f>
        <v/>
      </c>
      <c r="O142" s="20">
        <f>Operations!O121*Operations!O107*(1-Operations!O134)</f>
        <v/>
      </c>
      <c r="P142" s="20">
        <f>Operations!P121*Operations!P107*(1-Operations!P134)</f>
        <v/>
      </c>
      <c r="Q142" s="20">
        <f>Operations!Q121*Operations!Q107*(1-Operations!Q134)</f>
        <v/>
      </c>
      <c r="R142" s="20">
        <f>Operations!R121*Operations!R107*(1-Operations!R134)</f>
        <v/>
      </c>
      <c r="S142" s="20">
        <f>Operations!S121*Operations!S107*(1-Operations!S134)</f>
        <v/>
      </c>
      <c r="T142" s="20">
        <f>Operations!T121*Operations!T107*(1-Operations!T134)</f>
        <v/>
      </c>
      <c r="U142" s="20">
        <f>Operations!U121*Operations!U107*(1-Operations!U134)</f>
        <v/>
      </c>
      <c r="V142" s="20">
        <f>Operations!V121*Operations!V107*(1-Operations!V134)</f>
        <v/>
      </c>
      <c r="W142" s="20">
        <f>Operations!W121*Operations!W107*(1-Operations!W134)</f>
        <v/>
      </c>
      <c r="X142" s="20">
        <f>Operations!X121*Operations!X107*(1-Operations!X134)</f>
        <v/>
      </c>
      <c r="Y142" s="20">
        <f>Operations!Y121*Operations!Y107*(1-Operations!Y134)</f>
        <v/>
      </c>
      <c r="Z142" s="20">
        <f>Operations!Z121*Operations!Z107*(1-Operations!Z134)</f>
        <v/>
      </c>
      <c r="AA142" s="20">
        <f>Operations!AA121*Operations!AA107*(1-Operations!AA134)</f>
        <v/>
      </c>
      <c r="AB142" s="20">
        <f>Operations!AB121*Operations!AB107*(1-Operations!AB134)</f>
        <v/>
      </c>
      <c r="AC142" s="20">
        <f>Operations!AC121*Operations!AC107*(1-Operations!AC134)</f>
        <v/>
      </c>
      <c r="AD142" s="20">
        <f>Operations!AD121*Operations!AD107*(1-Operations!AD134)</f>
        <v/>
      </c>
      <c r="AE142" s="20">
        <f>Operations!AE121*Operations!AE107*(1-Operations!AE134)</f>
        <v/>
      </c>
      <c r="AF142" s="20">
        <f>Operations!AF121*Operations!AF107*(1-Operations!AF134)</f>
        <v/>
      </c>
      <c r="AG142" s="20">
        <f>Operations!AG121*Operations!AG107*(1-Operations!AG134)</f>
        <v/>
      </c>
      <c r="AH142" s="20">
        <f>Operations!AH121*Operations!AH107*(1-Operations!AH134)</f>
        <v/>
      </c>
      <c r="AI142" s="20">
        <f>Operations!AI121*Operations!AI107*(1-Operations!AI134)</f>
        <v/>
      </c>
      <c r="AJ142" s="20">
        <f>Operations!AJ121*Operations!AJ107*(1-Operations!AJ134)</f>
        <v/>
      </c>
      <c r="AK142" s="20">
        <f>Operations!AK121*Operations!AK107*(1-Operations!AK134)</f>
        <v/>
      </c>
      <c r="AL142" s="20">
        <f>Operations!AL121*Operations!AL107*(1-Operations!AL134)</f>
        <v/>
      </c>
      <c r="AM142" s="20">
        <f>Operations!AM121*Operations!AM107*(1-Operations!AM134)</f>
        <v/>
      </c>
      <c r="AN142" s="20">
        <f>Operations!AN121*Operations!AN107*(1-Operations!AN134)</f>
        <v/>
      </c>
      <c r="AO142" s="20">
        <f>Operations!AO121*Operations!AO107*(1-Operations!AO134)</f>
        <v/>
      </c>
      <c r="AP142" s="20">
        <f>Operations!AP121*Operations!AP107*(1-Operations!AP134)</f>
        <v/>
      </c>
      <c r="AQ142" s="20">
        <f>Operations!AQ121*Operations!AQ107*(1-Operations!AQ134)</f>
        <v/>
      </c>
      <c r="AR142" s="20">
        <f>Operations!AR121*Operations!AR107*(1-Operations!AR134)</f>
        <v/>
      </c>
      <c r="AS142" s="20">
        <f>Operations!AS121*Operations!AS107*(1-Operations!AS134)</f>
        <v/>
      </c>
      <c r="AT142" s="20">
        <f>Operations!AT121*Operations!AT107*(1-Operations!AT134)</f>
        <v/>
      </c>
      <c r="AU142" s="20">
        <f>Operations!AU121*Operations!AU107*(1-Operations!AU134)</f>
        <v/>
      </c>
    </row>
    <row r="143">
      <c r="D143" t="inlineStr">
        <is>
          <t>R2 Mesa-share hedged revenue</t>
        </is>
      </c>
      <c r="E143" t="inlineStr">
        <is>
          <t>USD m</t>
        </is>
      </c>
      <c r="J143" s="20">
        <f>Operations!J122*Operations!J107*(1-Operations!J134)</f>
        <v/>
      </c>
      <c r="K143" s="20">
        <f>Operations!K122*Operations!K107*(1-Operations!K134)</f>
        <v/>
      </c>
      <c r="L143" s="20">
        <f>Operations!L122*Operations!L107*(1-Operations!L134)</f>
        <v/>
      </c>
      <c r="M143" s="20">
        <f>Operations!M122*Operations!M107*(1-Operations!M134)</f>
        <v/>
      </c>
      <c r="N143" s="20">
        <f>Operations!N122*Operations!N107*(1-Operations!N134)</f>
        <v/>
      </c>
      <c r="O143" s="20">
        <f>Operations!O122*Operations!O107*(1-Operations!O134)</f>
        <v/>
      </c>
      <c r="P143" s="20">
        <f>Operations!P122*Operations!P107*(1-Operations!P134)</f>
        <v/>
      </c>
      <c r="Q143" s="20">
        <f>Operations!Q122*Operations!Q107*(1-Operations!Q134)</f>
        <v/>
      </c>
      <c r="R143" s="20">
        <f>Operations!R122*Operations!R107*(1-Operations!R134)</f>
        <v/>
      </c>
      <c r="S143" s="20">
        <f>Operations!S122*Operations!S107*(1-Operations!S134)</f>
        <v/>
      </c>
      <c r="T143" s="20">
        <f>Operations!T122*Operations!T107*(1-Operations!T134)</f>
        <v/>
      </c>
      <c r="U143" s="20">
        <f>Operations!U122*Operations!U107*(1-Operations!U134)</f>
        <v/>
      </c>
      <c r="V143" s="20">
        <f>Operations!V122*Operations!V107*(1-Operations!V134)</f>
        <v/>
      </c>
      <c r="W143" s="20">
        <f>Operations!W122*Operations!W107*(1-Operations!W134)</f>
        <v/>
      </c>
      <c r="X143" s="20">
        <f>Operations!X122*Operations!X107*(1-Operations!X134)</f>
        <v/>
      </c>
      <c r="Y143" s="20">
        <f>Operations!Y122*Operations!Y107*(1-Operations!Y134)</f>
        <v/>
      </c>
      <c r="Z143" s="20">
        <f>Operations!Z122*Operations!Z107*(1-Operations!Z134)</f>
        <v/>
      </c>
      <c r="AA143" s="20">
        <f>Operations!AA122*Operations!AA107*(1-Operations!AA134)</f>
        <v/>
      </c>
      <c r="AB143" s="20">
        <f>Operations!AB122*Operations!AB107*(1-Operations!AB134)</f>
        <v/>
      </c>
      <c r="AC143" s="20">
        <f>Operations!AC122*Operations!AC107*(1-Operations!AC134)</f>
        <v/>
      </c>
      <c r="AD143" s="20">
        <f>Operations!AD122*Operations!AD107*(1-Operations!AD134)</f>
        <v/>
      </c>
      <c r="AE143" s="20">
        <f>Operations!AE122*Operations!AE107*(1-Operations!AE134)</f>
        <v/>
      </c>
      <c r="AF143" s="20">
        <f>Operations!AF122*Operations!AF107*(1-Operations!AF134)</f>
        <v/>
      </c>
      <c r="AG143" s="20">
        <f>Operations!AG122*Operations!AG107*(1-Operations!AG134)</f>
        <v/>
      </c>
      <c r="AH143" s="20">
        <f>Operations!AH122*Operations!AH107*(1-Operations!AH134)</f>
        <v/>
      </c>
      <c r="AI143" s="20">
        <f>Operations!AI122*Operations!AI107*(1-Operations!AI134)</f>
        <v/>
      </c>
      <c r="AJ143" s="20">
        <f>Operations!AJ122*Operations!AJ107*(1-Operations!AJ134)</f>
        <v/>
      </c>
      <c r="AK143" s="20">
        <f>Operations!AK122*Operations!AK107*(1-Operations!AK134)</f>
        <v/>
      </c>
      <c r="AL143" s="20">
        <f>Operations!AL122*Operations!AL107*(1-Operations!AL134)</f>
        <v/>
      </c>
      <c r="AM143" s="20">
        <f>Operations!AM122*Operations!AM107*(1-Operations!AM134)</f>
        <v/>
      </c>
      <c r="AN143" s="20">
        <f>Operations!AN122*Operations!AN107*(1-Operations!AN134)</f>
        <v/>
      </c>
      <c r="AO143" s="20">
        <f>Operations!AO122*Operations!AO107*(1-Operations!AO134)</f>
        <v/>
      </c>
      <c r="AP143" s="20">
        <f>Operations!AP122*Operations!AP107*(1-Operations!AP134)</f>
        <v/>
      </c>
      <c r="AQ143" s="20">
        <f>Operations!AQ122*Operations!AQ107*(1-Operations!AQ134)</f>
        <v/>
      </c>
      <c r="AR143" s="20">
        <f>Operations!AR122*Operations!AR107*(1-Operations!AR134)</f>
        <v/>
      </c>
      <c r="AS143" s="20">
        <f>Operations!AS122*Operations!AS107*(1-Operations!AS134)</f>
        <v/>
      </c>
      <c r="AT143" s="20">
        <f>Operations!AT122*Operations!AT107*(1-Operations!AT134)</f>
        <v/>
      </c>
      <c r="AU143" s="20">
        <f>Operations!AU122*Operations!AU107*(1-Operations!AU134)</f>
        <v/>
      </c>
    </row>
    <row r="144">
      <c r="D144" t="inlineStr">
        <is>
          <t>R2 Mesa-share merchant revenue</t>
        </is>
      </c>
      <c r="E144" t="inlineStr">
        <is>
          <t>USD m</t>
        </is>
      </c>
      <c r="J144" s="20">
        <f>Operations!J125*Operations!J107*(1-Operations!J134)</f>
        <v/>
      </c>
      <c r="K144" s="20">
        <f>Operations!K125*Operations!K107*(1-Operations!K134)</f>
        <v/>
      </c>
      <c r="L144" s="20">
        <f>Operations!L125*Operations!L107*(1-Operations!L134)</f>
        <v/>
      </c>
      <c r="M144" s="20">
        <f>Operations!M125*Operations!M107*(1-Operations!M134)</f>
        <v/>
      </c>
      <c r="N144" s="20">
        <f>Operations!N125*Operations!N107*(1-Operations!N134)</f>
        <v/>
      </c>
      <c r="O144" s="20">
        <f>Operations!O125*Operations!O107*(1-Operations!O134)</f>
        <v/>
      </c>
      <c r="P144" s="20">
        <f>Operations!P125*Operations!P107*(1-Operations!P134)</f>
        <v/>
      </c>
      <c r="Q144" s="20">
        <f>Operations!Q125*Operations!Q107*(1-Operations!Q134)</f>
        <v/>
      </c>
      <c r="R144" s="20">
        <f>Operations!R125*Operations!R107*(1-Operations!R134)</f>
        <v/>
      </c>
      <c r="S144" s="20">
        <f>Operations!S125*Operations!S107*(1-Operations!S134)</f>
        <v/>
      </c>
      <c r="T144" s="20">
        <f>Operations!T125*Operations!T107*(1-Operations!T134)</f>
        <v/>
      </c>
      <c r="U144" s="20">
        <f>Operations!U125*Operations!U107*(1-Operations!U134)</f>
        <v/>
      </c>
      <c r="V144" s="20">
        <f>Operations!V125*Operations!V107*(1-Operations!V134)</f>
        <v/>
      </c>
      <c r="W144" s="20">
        <f>Operations!W125*Operations!W107*(1-Operations!W134)</f>
        <v/>
      </c>
      <c r="X144" s="20">
        <f>Operations!X125*Operations!X107*(1-Operations!X134)</f>
        <v/>
      </c>
      <c r="Y144" s="20">
        <f>Operations!Y125*Operations!Y107*(1-Operations!Y134)</f>
        <v/>
      </c>
      <c r="Z144" s="20">
        <f>Operations!Z125*Operations!Z107*(1-Operations!Z134)</f>
        <v/>
      </c>
      <c r="AA144" s="20">
        <f>Operations!AA125*Operations!AA107*(1-Operations!AA134)</f>
        <v/>
      </c>
      <c r="AB144" s="20">
        <f>Operations!AB125*Operations!AB107*(1-Operations!AB134)</f>
        <v/>
      </c>
      <c r="AC144" s="20">
        <f>Operations!AC125*Operations!AC107*(1-Operations!AC134)</f>
        <v/>
      </c>
      <c r="AD144" s="20">
        <f>Operations!AD125*Operations!AD107*(1-Operations!AD134)</f>
        <v/>
      </c>
      <c r="AE144" s="20">
        <f>Operations!AE125*Operations!AE107*(1-Operations!AE134)</f>
        <v/>
      </c>
      <c r="AF144" s="20">
        <f>Operations!AF125*Operations!AF107*(1-Operations!AF134)</f>
        <v/>
      </c>
      <c r="AG144" s="20">
        <f>Operations!AG125*Operations!AG107*(1-Operations!AG134)</f>
        <v/>
      </c>
      <c r="AH144" s="20">
        <f>Operations!AH125*Operations!AH107*(1-Operations!AH134)</f>
        <v/>
      </c>
      <c r="AI144" s="20">
        <f>Operations!AI125*Operations!AI107*(1-Operations!AI134)</f>
        <v/>
      </c>
      <c r="AJ144" s="20">
        <f>Operations!AJ125*Operations!AJ107*(1-Operations!AJ134)</f>
        <v/>
      </c>
      <c r="AK144" s="20">
        <f>Operations!AK125*Operations!AK107*(1-Operations!AK134)</f>
        <v/>
      </c>
      <c r="AL144" s="20">
        <f>Operations!AL125*Operations!AL107*(1-Operations!AL134)</f>
        <v/>
      </c>
      <c r="AM144" s="20">
        <f>Operations!AM125*Operations!AM107*(1-Operations!AM134)</f>
        <v/>
      </c>
      <c r="AN144" s="20">
        <f>Operations!AN125*Operations!AN107*(1-Operations!AN134)</f>
        <v/>
      </c>
      <c r="AO144" s="20">
        <f>Operations!AO125*Operations!AO107*(1-Operations!AO134)</f>
        <v/>
      </c>
      <c r="AP144" s="20">
        <f>Operations!AP125*Operations!AP107*(1-Operations!AP134)</f>
        <v/>
      </c>
      <c r="AQ144" s="20">
        <f>Operations!AQ125*Operations!AQ107*(1-Operations!AQ134)</f>
        <v/>
      </c>
      <c r="AR144" s="20">
        <f>Operations!AR125*Operations!AR107*(1-Operations!AR134)</f>
        <v/>
      </c>
      <c r="AS144" s="20">
        <f>Operations!AS125*Operations!AS107*(1-Operations!AS134)</f>
        <v/>
      </c>
      <c r="AT144" s="20">
        <f>Operations!AT125*Operations!AT107*(1-Operations!AT134)</f>
        <v/>
      </c>
      <c r="AU144" s="20">
        <f>Operations!AU125*Operations!AU107*(1-Operations!AU134)</f>
        <v/>
      </c>
    </row>
    <row r="145">
      <c r="D145" t="inlineStr">
        <is>
          <t>R2 Mesa-share revenue</t>
        </is>
      </c>
      <c r="E145" t="inlineStr">
        <is>
          <t>USD m</t>
        </is>
      </c>
      <c r="J145" s="20">
        <f>Operations!J124*Operations!J107*(1-Operations!J134)</f>
        <v/>
      </c>
      <c r="K145" s="20">
        <f>Operations!K124*Operations!K107*(1-Operations!K134)</f>
        <v/>
      </c>
      <c r="L145" s="20">
        <f>Operations!L124*Operations!L107*(1-Operations!L134)</f>
        <v/>
      </c>
      <c r="M145" s="20">
        <f>Operations!M124*Operations!M107*(1-Operations!M134)</f>
        <v/>
      </c>
      <c r="N145" s="20">
        <f>Operations!N124*Operations!N107*(1-Operations!N134)</f>
        <v/>
      </c>
      <c r="O145" s="20">
        <f>Operations!O124*Operations!O107*(1-Operations!O134)</f>
        <v/>
      </c>
      <c r="P145" s="20">
        <f>Operations!P124*Operations!P107*(1-Operations!P134)</f>
        <v/>
      </c>
      <c r="Q145" s="20">
        <f>Operations!Q124*Operations!Q107*(1-Operations!Q134)</f>
        <v/>
      </c>
      <c r="R145" s="20">
        <f>Operations!R124*Operations!R107*(1-Operations!R134)</f>
        <v/>
      </c>
      <c r="S145" s="20">
        <f>Operations!S124*Operations!S107*(1-Operations!S134)</f>
        <v/>
      </c>
      <c r="T145" s="20">
        <f>Operations!T124*Operations!T107*(1-Operations!T134)</f>
        <v/>
      </c>
      <c r="U145" s="20">
        <f>Operations!U124*Operations!U107*(1-Operations!U134)</f>
        <v/>
      </c>
      <c r="V145" s="20">
        <f>Operations!V124*Operations!V107*(1-Operations!V134)</f>
        <v/>
      </c>
      <c r="W145" s="20">
        <f>Operations!W124*Operations!W107*(1-Operations!W134)</f>
        <v/>
      </c>
      <c r="X145" s="20">
        <f>Operations!X124*Operations!X107*(1-Operations!X134)</f>
        <v/>
      </c>
      <c r="Y145" s="20">
        <f>Operations!Y124*Operations!Y107*(1-Operations!Y134)</f>
        <v/>
      </c>
      <c r="Z145" s="20">
        <f>Operations!Z124*Operations!Z107*(1-Operations!Z134)</f>
        <v/>
      </c>
      <c r="AA145" s="20">
        <f>Operations!AA124*Operations!AA107*(1-Operations!AA134)</f>
        <v/>
      </c>
      <c r="AB145" s="20">
        <f>Operations!AB124*Operations!AB107*(1-Operations!AB134)</f>
        <v/>
      </c>
      <c r="AC145" s="20">
        <f>Operations!AC124*Operations!AC107*(1-Operations!AC134)</f>
        <v/>
      </c>
      <c r="AD145" s="20">
        <f>Operations!AD124*Operations!AD107*(1-Operations!AD134)</f>
        <v/>
      </c>
      <c r="AE145" s="20">
        <f>Operations!AE124*Operations!AE107*(1-Operations!AE134)</f>
        <v/>
      </c>
      <c r="AF145" s="20">
        <f>Operations!AF124*Operations!AF107*(1-Operations!AF134)</f>
        <v/>
      </c>
      <c r="AG145" s="20">
        <f>Operations!AG124*Operations!AG107*(1-Operations!AG134)</f>
        <v/>
      </c>
      <c r="AH145" s="20">
        <f>Operations!AH124*Operations!AH107*(1-Operations!AH134)</f>
        <v/>
      </c>
      <c r="AI145" s="20">
        <f>Operations!AI124*Operations!AI107*(1-Operations!AI134)</f>
        <v/>
      </c>
      <c r="AJ145" s="20">
        <f>Operations!AJ124*Operations!AJ107*(1-Operations!AJ134)</f>
        <v/>
      </c>
      <c r="AK145" s="20">
        <f>Operations!AK124*Operations!AK107*(1-Operations!AK134)</f>
        <v/>
      </c>
      <c r="AL145" s="20">
        <f>Operations!AL124*Operations!AL107*(1-Operations!AL134)</f>
        <v/>
      </c>
      <c r="AM145" s="20">
        <f>Operations!AM124*Operations!AM107*(1-Operations!AM134)</f>
        <v/>
      </c>
      <c r="AN145" s="20">
        <f>Operations!AN124*Operations!AN107*(1-Operations!AN134)</f>
        <v/>
      </c>
      <c r="AO145" s="20">
        <f>Operations!AO124*Operations!AO107*(1-Operations!AO134)</f>
        <v/>
      </c>
      <c r="AP145" s="20">
        <f>Operations!AP124*Operations!AP107*(1-Operations!AP134)</f>
        <v/>
      </c>
      <c r="AQ145" s="20">
        <f>Operations!AQ124*Operations!AQ107*(1-Operations!AQ134)</f>
        <v/>
      </c>
      <c r="AR145" s="20">
        <f>Operations!AR124*Operations!AR107*(1-Operations!AR134)</f>
        <v/>
      </c>
      <c r="AS145" s="20">
        <f>Operations!AS124*Operations!AS107*(1-Operations!AS134)</f>
        <v/>
      </c>
      <c r="AT145" s="20">
        <f>Operations!AT124*Operations!AT107*(1-Operations!AT134)</f>
        <v/>
      </c>
      <c r="AU145" s="20">
        <f>Operations!AU124*Operations!AU107*(1-Operations!AU134)</f>
        <v/>
      </c>
    </row>
    <row r="146">
      <c r="D146" s="19" t="inlineStr">
        <is>
          <t>R3 Ollie Creek Wind (onshore wind (Panhandle))</t>
        </is>
      </c>
    </row>
    <row r="147">
      <c r="D147" t="inlineStr">
        <is>
          <t>R3 operating fraction</t>
        </is>
      </c>
      <c r="E147" t="inlineStr">
        <is>
          <t>fraction</t>
        </is>
      </c>
      <c r="J147" s="14">
        <f>MAX(0,MIN(Inputs!$F$112,Time!J$6)-MAX(Inputs!$F$111,Time!J$5))/Time!J$7</f>
        <v/>
      </c>
      <c r="K147" s="14">
        <f>MAX(0,MIN(Inputs!$F$112,Time!K$6)-MAX(Inputs!$F$111,Time!K$5))/Time!K$7</f>
        <v/>
      </c>
      <c r="L147" s="14">
        <f>MAX(0,MIN(Inputs!$F$112,Time!L$6)-MAX(Inputs!$F$111,Time!L$5))/Time!L$7</f>
        <v/>
      </c>
      <c r="M147" s="14">
        <f>MAX(0,MIN(Inputs!$F$112,Time!M$6)-MAX(Inputs!$F$111,Time!M$5))/Time!M$7</f>
        <v/>
      </c>
      <c r="N147" s="14">
        <f>MAX(0,MIN(Inputs!$F$112,Time!N$6)-MAX(Inputs!$F$111,Time!N$5))/Time!N$7</f>
        <v/>
      </c>
      <c r="O147" s="14">
        <f>MAX(0,MIN(Inputs!$F$112,Time!O$6)-MAX(Inputs!$F$111,Time!O$5))/Time!O$7</f>
        <v/>
      </c>
      <c r="P147" s="14">
        <f>MAX(0,MIN(Inputs!$F$112,Time!P$6)-MAX(Inputs!$F$111,Time!P$5))/Time!P$7</f>
        <v/>
      </c>
      <c r="Q147" s="14">
        <f>MAX(0,MIN(Inputs!$F$112,Time!Q$6)-MAX(Inputs!$F$111,Time!Q$5))/Time!Q$7</f>
        <v/>
      </c>
      <c r="R147" s="14">
        <f>MAX(0,MIN(Inputs!$F$112,Time!R$6)-MAX(Inputs!$F$111,Time!R$5))/Time!R$7</f>
        <v/>
      </c>
      <c r="S147" s="14">
        <f>MAX(0,MIN(Inputs!$F$112,Time!S$6)-MAX(Inputs!$F$111,Time!S$5))/Time!S$7</f>
        <v/>
      </c>
      <c r="T147" s="14">
        <f>MAX(0,MIN(Inputs!$F$112,Time!T$6)-MAX(Inputs!$F$111,Time!T$5))/Time!T$7</f>
        <v/>
      </c>
      <c r="U147" s="14">
        <f>MAX(0,MIN(Inputs!$F$112,Time!U$6)-MAX(Inputs!$F$111,Time!U$5))/Time!U$7</f>
        <v/>
      </c>
      <c r="V147" s="14">
        <f>MAX(0,MIN(Inputs!$F$112,Time!V$6)-MAX(Inputs!$F$111,Time!V$5))/Time!V$7</f>
        <v/>
      </c>
      <c r="W147" s="14">
        <f>MAX(0,MIN(Inputs!$F$112,Time!W$6)-MAX(Inputs!$F$111,Time!W$5))/Time!W$7</f>
        <v/>
      </c>
      <c r="X147" s="14">
        <f>MAX(0,MIN(Inputs!$F$112,Time!X$6)-MAX(Inputs!$F$111,Time!X$5))/Time!X$7</f>
        <v/>
      </c>
      <c r="Y147" s="14">
        <f>MAX(0,MIN(Inputs!$F$112,Time!Y$6)-MAX(Inputs!$F$111,Time!Y$5))/Time!Y$7</f>
        <v/>
      </c>
      <c r="Z147" s="14">
        <f>MAX(0,MIN(Inputs!$F$112,Time!Z$6)-MAX(Inputs!$F$111,Time!Z$5))/Time!Z$7</f>
        <v/>
      </c>
      <c r="AA147" s="14">
        <f>MAX(0,MIN(Inputs!$F$112,Time!AA$6)-MAX(Inputs!$F$111,Time!AA$5))/Time!AA$7</f>
        <v/>
      </c>
      <c r="AB147" s="14">
        <f>MAX(0,MIN(Inputs!$F$112,Time!AB$6)-MAX(Inputs!$F$111,Time!AB$5))/Time!AB$7</f>
        <v/>
      </c>
      <c r="AC147" s="14">
        <f>MAX(0,MIN(Inputs!$F$112,Time!AC$6)-MAX(Inputs!$F$111,Time!AC$5))/Time!AC$7</f>
        <v/>
      </c>
      <c r="AD147" s="14">
        <f>MAX(0,MIN(Inputs!$F$112,Time!AD$6)-MAX(Inputs!$F$111,Time!AD$5))/Time!AD$7</f>
        <v/>
      </c>
      <c r="AE147" s="14">
        <f>MAX(0,MIN(Inputs!$F$112,Time!AE$6)-MAX(Inputs!$F$111,Time!AE$5))/Time!AE$7</f>
        <v/>
      </c>
      <c r="AF147" s="14">
        <f>MAX(0,MIN(Inputs!$F$112,Time!AF$6)-MAX(Inputs!$F$111,Time!AF$5))/Time!AF$7</f>
        <v/>
      </c>
      <c r="AG147" s="14">
        <f>MAX(0,MIN(Inputs!$F$112,Time!AG$6)-MAX(Inputs!$F$111,Time!AG$5))/Time!AG$7</f>
        <v/>
      </c>
      <c r="AH147" s="14">
        <f>MAX(0,MIN(Inputs!$F$112,Time!AH$6)-MAX(Inputs!$F$111,Time!AH$5))/Time!AH$7</f>
        <v/>
      </c>
      <c r="AI147" s="14">
        <f>MAX(0,MIN(Inputs!$F$112,Time!AI$6)-MAX(Inputs!$F$111,Time!AI$5))/Time!AI$7</f>
        <v/>
      </c>
      <c r="AJ147" s="14">
        <f>MAX(0,MIN(Inputs!$F$112,Time!AJ$6)-MAX(Inputs!$F$111,Time!AJ$5))/Time!AJ$7</f>
        <v/>
      </c>
      <c r="AK147" s="14">
        <f>MAX(0,MIN(Inputs!$F$112,Time!AK$6)-MAX(Inputs!$F$111,Time!AK$5))/Time!AK$7</f>
        <v/>
      </c>
      <c r="AL147" s="14">
        <f>MAX(0,MIN(Inputs!$F$112,Time!AL$6)-MAX(Inputs!$F$111,Time!AL$5))/Time!AL$7</f>
        <v/>
      </c>
      <c r="AM147" s="14">
        <f>MAX(0,MIN(Inputs!$F$112,Time!AM$6)-MAX(Inputs!$F$111,Time!AM$5))/Time!AM$7</f>
        <v/>
      </c>
      <c r="AN147" s="14">
        <f>MAX(0,MIN(Inputs!$F$112,Time!AN$6)-MAX(Inputs!$F$111,Time!AN$5))/Time!AN$7</f>
        <v/>
      </c>
      <c r="AO147" s="14">
        <f>MAX(0,MIN(Inputs!$F$112,Time!AO$6)-MAX(Inputs!$F$111,Time!AO$5))/Time!AO$7</f>
        <v/>
      </c>
      <c r="AP147" s="14">
        <f>MAX(0,MIN(Inputs!$F$112,Time!AP$6)-MAX(Inputs!$F$111,Time!AP$5))/Time!AP$7</f>
        <v/>
      </c>
      <c r="AQ147" s="14">
        <f>MAX(0,MIN(Inputs!$F$112,Time!AQ$6)-MAX(Inputs!$F$111,Time!AQ$5))/Time!AQ$7</f>
        <v/>
      </c>
      <c r="AR147" s="14">
        <f>MAX(0,MIN(Inputs!$F$112,Time!AR$6)-MAX(Inputs!$F$111,Time!AR$5))/Time!AR$7</f>
        <v/>
      </c>
      <c r="AS147" s="14">
        <f>MAX(0,MIN(Inputs!$F$112,Time!AS$6)-MAX(Inputs!$F$111,Time!AS$5))/Time!AS$7</f>
        <v/>
      </c>
      <c r="AT147" s="14">
        <f>MAX(0,MIN(Inputs!$F$112,Time!AT$6)-MAX(Inputs!$F$111,Time!AT$5))/Time!AT$7</f>
        <v/>
      </c>
      <c r="AU147" s="14">
        <f>MAX(0,MIN(Inputs!$F$112,Time!AU$6)-MAX(Inputs!$F$111,Time!AU$5))/Time!AU$7</f>
        <v/>
      </c>
    </row>
    <row r="148">
      <c r="D148" t="inlineStr">
        <is>
          <t>R3 owned fraction</t>
        </is>
      </c>
      <c r="E148" t="inlineStr">
        <is>
          <t>fraction</t>
        </is>
      </c>
      <c r="J148" s="14">
        <f>MAX(0,MIN(Inputs!$F$112,Time!J$6)-MAX(MAX(Inputs!$F$113,Inputs!$F$111),Time!J$5))/Time!J$7</f>
        <v/>
      </c>
      <c r="K148" s="14">
        <f>MAX(0,MIN(Inputs!$F$112,Time!K$6)-MAX(MAX(Inputs!$F$113,Inputs!$F$111),Time!K$5))/Time!K$7</f>
        <v/>
      </c>
      <c r="L148" s="14">
        <f>MAX(0,MIN(Inputs!$F$112,Time!L$6)-MAX(MAX(Inputs!$F$113,Inputs!$F$111),Time!L$5))/Time!L$7</f>
        <v/>
      </c>
      <c r="M148" s="14">
        <f>MAX(0,MIN(Inputs!$F$112,Time!M$6)-MAX(MAX(Inputs!$F$113,Inputs!$F$111),Time!M$5))/Time!M$7</f>
        <v/>
      </c>
      <c r="N148" s="14">
        <f>MAX(0,MIN(Inputs!$F$112,Time!N$6)-MAX(MAX(Inputs!$F$113,Inputs!$F$111),Time!N$5))/Time!N$7</f>
        <v/>
      </c>
      <c r="O148" s="14">
        <f>MAX(0,MIN(Inputs!$F$112,Time!O$6)-MAX(MAX(Inputs!$F$113,Inputs!$F$111),Time!O$5))/Time!O$7</f>
        <v/>
      </c>
      <c r="P148" s="14">
        <f>MAX(0,MIN(Inputs!$F$112,Time!P$6)-MAX(MAX(Inputs!$F$113,Inputs!$F$111),Time!P$5))/Time!P$7</f>
        <v/>
      </c>
      <c r="Q148" s="14">
        <f>MAX(0,MIN(Inputs!$F$112,Time!Q$6)-MAX(MAX(Inputs!$F$113,Inputs!$F$111),Time!Q$5))/Time!Q$7</f>
        <v/>
      </c>
      <c r="R148" s="14">
        <f>MAX(0,MIN(Inputs!$F$112,Time!R$6)-MAX(MAX(Inputs!$F$113,Inputs!$F$111),Time!R$5))/Time!R$7</f>
        <v/>
      </c>
      <c r="S148" s="14">
        <f>MAX(0,MIN(Inputs!$F$112,Time!S$6)-MAX(MAX(Inputs!$F$113,Inputs!$F$111),Time!S$5))/Time!S$7</f>
        <v/>
      </c>
      <c r="T148" s="14">
        <f>MAX(0,MIN(Inputs!$F$112,Time!T$6)-MAX(MAX(Inputs!$F$113,Inputs!$F$111),Time!T$5))/Time!T$7</f>
        <v/>
      </c>
      <c r="U148" s="14">
        <f>MAX(0,MIN(Inputs!$F$112,Time!U$6)-MAX(MAX(Inputs!$F$113,Inputs!$F$111),Time!U$5))/Time!U$7</f>
        <v/>
      </c>
      <c r="V148" s="14">
        <f>MAX(0,MIN(Inputs!$F$112,Time!V$6)-MAX(MAX(Inputs!$F$113,Inputs!$F$111),Time!V$5))/Time!V$7</f>
        <v/>
      </c>
      <c r="W148" s="14">
        <f>MAX(0,MIN(Inputs!$F$112,Time!W$6)-MAX(MAX(Inputs!$F$113,Inputs!$F$111),Time!W$5))/Time!W$7</f>
        <v/>
      </c>
      <c r="X148" s="14">
        <f>MAX(0,MIN(Inputs!$F$112,Time!X$6)-MAX(MAX(Inputs!$F$113,Inputs!$F$111),Time!X$5))/Time!X$7</f>
        <v/>
      </c>
      <c r="Y148" s="14">
        <f>MAX(0,MIN(Inputs!$F$112,Time!Y$6)-MAX(MAX(Inputs!$F$113,Inputs!$F$111),Time!Y$5))/Time!Y$7</f>
        <v/>
      </c>
      <c r="Z148" s="14">
        <f>MAX(0,MIN(Inputs!$F$112,Time!Z$6)-MAX(MAX(Inputs!$F$113,Inputs!$F$111),Time!Z$5))/Time!Z$7</f>
        <v/>
      </c>
      <c r="AA148" s="14">
        <f>MAX(0,MIN(Inputs!$F$112,Time!AA$6)-MAX(MAX(Inputs!$F$113,Inputs!$F$111),Time!AA$5))/Time!AA$7</f>
        <v/>
      </c>
      <c r="AB148" s="14">
        <f>MAX(0,MIN(Inputs!$F$112,Time!AB$6)-MAX(MAX(Inputs!$F$113,Inputs!$F$111),Time!AB$5))/Time!AB$7</f>
        <v/>
      </c>
      <c r="AC148" s="14">
        <f>MAX(0,MIN(Inputs!$F$112,Time!AC$6)-MAX(MAX(Inputs!$F$113,Inputs!$F$111),Time!AC$5))/Time!AC$7</f>
        <v/>
      </c>
      <c r="AD148" s="14">
        <f>MAX(0,MIN(Inputs!$F$112,Time!AD$6)-MAX(MAX(Inputs!$F$113,Inputs!$F$111),Time!AD$5))/Time!AD$7</f>
        <v/>
      </c>
      <c r="AE148" s="14">
        <f>MAX(0,MIN(Inputs!$F$112,Time!AE$6)-MAX(MAX(Inputs!$F$113,Inputs!$F$111),Time!AE$5))/Time!AE$7</f>
        <v/>
      </c>
      <c r="AF148" s="14">
        <f>MAX(0,MIN(Inputs!$F$112,Time!AF$6)-MAX(MAX(Inputs!$F$113,Inputs!$F$111),Time!AF$5))/Time!AF$7</f>
        <v/>
      </c>
      <c r="AG148" s="14">
        <f>MAX(0,MIN(Inputs!$F$112,Time!AG$6)-MAX(MAX(Inputs!$F$113,Inputs!$F$111),Time!AG$5))/Time!AG$7</f>
        <v/>
      </c>
      <c r="AH148" s="14">
        <f>MAX(0,MIN(Inputs!$F$112,Time!AH$6)-MAX(MAX(Inputs!$F$113,Inputs!$F$111),Time!AH$5))/Time!AH$7</f>
        <v/>
      </c>
      <c r="AI148" s="14">
        <f>MAX(0,MIN(Inputs!$F$112,Time!AI$6)-MAX(MAX(Inputs!$F$113,Inputs!$F$111),Time!AI$5))/Time!AI$7</f>
        <v/>
      </c>
      <c r="AJ148" s="14">
        <f>MAX(0,MIN(Inputs!$F$112,Time!AJ$6)-MAX(MAX(Inputs!$F$113,Inputs!$F$111),Time!AJ$5))/Time!AJ$7</f>
        <v/>
      </c>
      <c r="AK148" s="14">
        <f>MAX(0,MIN(Inputs!$F$112,Time!AK$6)-MAX(MAX(Inputs!$F$113,Inputs!$F$111),Time!AK$5))/Time!AK$7</f>
        <v/>
      </c>
      <c r="AL148" s="14">
        <f>MAX(0,MIN(Inputs!$F$112,Time!AL$6)-MAX(MAX(Inputs!$F$113,Inputs!$F$111),Time!AL$5))/Time!AL$7</f>
        <v/>
      </c>
      <c r="AM148" s="14">
        <f>MAX(0,MIN(Inputs!$F$112,Time!AM$6)-MAX(MAX(Inputs!$F$113,Inputs!$F$111),Time!AM$5))/Time!AM$7</f>
        <v/>
      </c>
      <c r="AN148" s="14">
        <f>MAX(0,MIN(Inputs!$F$112,Time!AN$6)-MAX(MAX(Inputs!$F$113,Inputs!$F$111),Time!AN$5))/Time!AN$7</f>
        <v/>
      </c>
      <c r="AO148" s="14">
        <f>MAX(0,MIN(Inputs!$F$112,Time!AO$6)-MAX(MAX(Inputs!$F$113,Inputs!$F$111),Time!AO$5))/Time!AO$7</f>
        <v/>
      </c>
      <c r="AP148" s="14">
        <f>MAX(0,MIN(Inputs!$F$112,Time!AP$6)-MAX(MAX(Inputs!$F$113,Inputs!$F$111),Time!AP$5))/Time!AP$7</f>
        <v/>
      </c>
      <c r="AQ148" s="14">
        <f>MAX(0,MIN(Inputs!$F$112,Time!AQ$6)-MAX(MAX(Inputs!$F$113,Inputs!$F$111),Time!AQ$5))/Time!AQ$7</f>
        <v/>
      </c>
      <c r="AR148" s="14">
        <f>MAX(0,MIN(Inputs!$F$112,Time!AR$6)-MAX(MAX(Inputs!$F$113,Inputs!$F$111),Time!AR$5))/Time!AR$7</f>
        <v/>
      </c>
      <c r="AS148" s="14">
        <f>MAX(0,MIN(Inputs!$F$112,Time!AS$6)-MAX(MAX(Inputs!$F$113,Inputs!$F$111),Time!AS$5))/Time!AS$7</f>
        <v/>
      </c>
      <c r="AT148" s="14">
        <f>MAX(0,MIN(Inputs!$F$112,Time!AT$6)-MAX(MAX(Inputs!$F$113,Inputs!$F$111),Time!AT$5))/Time!AT$7</f>
        <v/>
      </c>
      <c r="AU148" s="14">
        <f>MAX(0,MIN(Inputs!$F$112,Time!AU$6)-MAX(MAX(Inputs!$F$113,Inputs!$F$111),Time!AU$5))/Time!AU$7</f>
        <v/>
      </c>
    </row>
    <row r="149">
      <c r="D149" t="inlineStr">
        <is>
          <t>R3 owned share of operating period</t>
        </is>
      </c>
      <c r="E149" t="inlineStr">
        <is>
          <t>fraction</t>
        </is>
      </c>
      <c r="J149" s="14">
        <f>IF(Operations!J147&gt;0,Operations!J148/Operations!J147,0)</f>
        <v/>
      </c>
      <c r="K149" s="14">
        <f>IF(Operations!K147&gt;0,Operations!K148/Operations!K147,0)</f>
        <v/>
      </c>
      <c r="L149" s="14">
        <f>IF(Operations!L147&gt;0,Operations!L148/Operations!L147,0)</f>
        <v/>
      </c>
      <c r="M149" s="14">
        <f>IF(Operations!M147&gt;0,Operations!M148/Operations!M147,0)</f>
        <v/>
      </c>
      <c r="N149" s="14">
        <f>IF(Operations!N147&gt;0,Operations!N148/Operations!N147,0)</f>
        <v/>
      </c>
      <c r="O149" s="14">
        <f>IF(Operations!O147&gt;0,Operations!O148/Operations!O147,0)</f>
        <v/>
      </c>
      <c r="P149" s="14">
        <f>IF(Operations!P147&gt;0,Operations!P148/Operations!P147,0)</f>
        <v/>
      </c>
      <c r="Q149" s="14">
        <f>IF(Operations!Q147&gt;0,Operations!Q148/Operations!Q147,0)</f>
        <v/>
      </c>
      <c r="R149" s="14">
        <f>IF(Operations!R147&gt;0,Operations!R148/Operations!R147,0)</f>
        <v/>
      </c>
      <c r="S149" s="14">
        <f>IF(Operations!S147&gt;0,Operations!S148/Operations!S147,0)</f>
        <v/>
      </c>
      <c r="T149" s="14">
        <f>IF(Operations!T147&gt;0,Operations!T148/Operations!T147,0)</f>
        <v/>
      </c>
      <c r="U149" s="14">
        <f>IF(Operations!U147&gt;0,Operations!U148/Operations!U147,0)</f>
        <v/>
      </c>
      <c r="V149" s="14">
        <f>IF(Operations!V147&gt;0,Operations!V148/Operations!V147,0)</f>
        <v/>
      </c>
      <c r="W149" s="14">
        <f>IF(Operations!W147&gt;0,Operations!W148/Operations!W147,0)</f>
        <v/>
      </c>
      <c r="X149" s="14">
        <f>IF(Operations!X147&gt;0,Operations!X148/Operations!X147,0)</f>
        <v/>
      </c>
      <c r="Y149" s="14">
        <f>IF(Operations!Y147&gt;0,Operations!Y148/Operations!Y147,0)</f>
        <v/>
      </c>
      <c r="Z149" s="14">
        <f>IF(Operations!Z147&gt;0,Operations!Z148/Operations!Z147,0)</f>
        <v/>
      </c>
      <c r="AA149" s="14">
        <f>IF(Operations!AA147&gt;0,Operations!AA148/Operations!AA147,0)</f>
        <v/>
      </c>
      <c r="AB149" s="14">
        <f>IF(Operations!AB147&gt;0,Operations!AB148/Operations!AB147,0)</f>
        <v/>
      </c>
      <c r="AC149" s="14">
        <f>IF(Operations!AC147&gt;0,Operations!AC148/Operations!AC147,0)</f>
        <v/>
      </c>
      <c r="AD149" s="14">
        <f>IF(Operations!AD147&gt;0,Operations!AD148/Operations!AD147,0)</f>
        <v/>
      </c>
      <c r="AE149" s="14">
        <f>IF(Operations!AE147&gt;0,Operations!AE148/Operations!AE147,0)</f>
        <v/>
      </c>
      <c r="AF149" s="14">
        <f>IF(Operations!AF147&gt;0,Operations!AF148/Operations!AF147,0)</f>
        <v/>
      </c>
      <c r="AG149" s="14">
        <f>IF(Operations!AG147&gt;0,Operations!AG148/Operations!AG147,0)</f>
        <v/>
      </c>
      <c r="AH149" s="14">
        <f>IF(Operations!AH147&gt;0,Operations!AH148/Operations!AH147,0)</f>
        <v/>
      </c>
      <c r="AI149" s="14">
        <f>IF(Operations!AI147&gt;0,Operations!AI148/Operations!AI147,0)</f>
        <v/>
      </c>
      <c r="AJ149" s="14">
        <f>IF(Operations!AJ147&gt;0,Operations!AJ148/Operations!AJ147,0)</f>
        <v/>
      </c>
      <c r="AK149" s="14">
        <f>IF(Operations!AK147&gt;0,Operations!AK148/Operations!AK147,0)</f>
        <v/>
      </c>
      <c r="AL149" s="14">
        <f>IF(Operations!AL147&gt;0,Operations!AL148/Operations!AL147,0)</f>
        <v/>
      </c>
      <c r="AM149" s="14">
        <f>IF(Operations!AM147&gt;0,Operations!AM148/Operations!AM147,0)</f>
        <v/>
      </c>
      <c r="AN149" s="14">
        <f>IF(Operations!AN147&gt;0,Operations!AN148/Operations!AN147,0)</f>
        <v/>
      </c>
      <c r="AO149" s="14">
        <f>IF(Operations!AO147&gt;0,Operations!AO148/Operations!AO147,0)</f>
        <v/>
      </c>
      <c r="AP149" s="14">
        <f>IF(Operations!AP147&gt;0,Operations!AP148/Operations!AP147,0)</f>
        <v/>
      </c>
      <c r="AQ149" s="14">
        <f>IF(Operations!AQ147&gt;0,Operations!AQ148/Operations!AQ147,0)</f>
        <v/>
      </c>
      <c r="AR149" s="14">
        <f>IF(Operations!AR147&gt;0,Operations!AR148/Operations!AR147,0)</f>
        <v/>
      </c>
      <c r="AS149" s="14">
        <f>IF(Operations!AS147&gt;0,Operations!AS148/Operations!AS147,0)</f>
        <v/>
      </c>
      <c r="AT149" s="14">
        <f>IF(Operations!AT147&gt;0,Operations!AT148/Operations!AT147,0)</f>
        <v/>
      </c>
      <c r="AU149" s="14">
        <f>IF(Operations!AU147&gt;0,Operations!AU148/Operations!AU147,0)</f>
        <v/>
      </c>
    </row>
    <row r="150">
      <c r="D150" t="inlineStr">
        <is>
          <t>R3 own hub ATC</t>
        </is>
      </c>
      <c r="E150" t="inlineStr">
        <is>
          <t>USD/MWh</t>
        </is>
      </c>
      <c r="J150" s="18">
        <f>Operations!J53</f>
        <v/>
      </c>
      <c r="K150" s="18">
        <f>Operations!K53</f>
        <v/>
      </c>
      <c r="L150" s="18">
        <f>Operations!L53</f>
        <v/>
      </c>
      <c r="M150" s="18">
        <f>Operations!M53</f>
        <v/>
      </c>
      <c r="N150" s="18">
        <f>Operations!N53</f>
        <v/>
      </c>
      <c r="O150" s="18">
        <f>Operations!O53</f>
        <v/>
      </c>
      <c r="P150" s="18">
        <f>Operations!P53</f>
        <v/>
      </c>
      <c r="Q150" s="18">
        <f>Operations!Q53</f>
        <v/>
      </c>
      <c r="R150" s="18">
        <f>Operations!R53</f>
        <v/>
      </c>
      <c r="S150" s="18">
        <f>Operations!S53</f>
        <v/>
      </c>
      <c r="T150" s="18">
        <f>Operations!T53</f>
        <v/>
      </c>
      <c r="U150" s="18">
        <f>Operations!U53</f>
        <v/>
      </c>
      <c r="V150" s="18">
        <f>Operations!V53</f>
        <v/>
      </c>
      <c r="W150" s="18">
        <f>Operations!W53</f>
        <v/>
      </c>
      <c r="X150" s="18">
        <f>Operations!X53</f>
        <v/>
      </c>
      <c r="Y150" s="18">
        <f>Operations!Y53</f>
        <v/>
      </c>
      <c r="Z150" s="18">
        <f>Operations!Z53</f>
        <v/>
      </c>
      <c r="AA150" s="18">
        <f>Operations!AA53</f>
        <v/>
      </c>
      <c r="AB150" s="18">
        <f>Operations!AB53</f>
        <v/>
      </c>
      <c r="AC150" s="18">
        <f>Operations!AC53</f>
        <v/>
      </c>
      <c r="AD150" s="18">
        <f>Operations!AD53</f>
        <v/>
      </c>
      <c r="AE150" s="18">
        <f>Operations!AE53</f>
        <v/>
      </c>
      <c r="AF150" s="18">
        <f>Operations!AF53</f>
        <v/>
      </c>
      <c r="AG150" s="18">
        <f>Operations!AG53</f>
        <v/>
      </c>
      <c r="AH150" s="18">
        <f>Operations!AH53</f>
        <v/>
      </c>
      <c r="AI150" s="18">
        <f>Operations!AI53</f>
        <v/>
      </c>
      <c r="AJ150" s="18">
        <f>Operations!AJ53</f>
        <v/>
      </c>
      <c r="AK150" s="18">
        <f>Operations!AK53</f>
        <v/>
      </c>
      <c r="AL150" s="18">
        <f>Operations!AL53</f>
        <v/>
      </c>
      <c r="AM150" s="18">
        <f>Operations!AM53</f>
        <v/>
      </c>
      <c r="AN150" s="18">
        <f>Operations!AN53</f>
        <v/>
      </c>
      <c r="AO150" s="18">
        <f>Operations!AO53</f>
        <v/>
      </c>
      <c r="AP150" s="18">
        <f>Operations!AP53</f>
        <v/>
      </c>
      <c r="AQ150" s="18">
        <f>Operations!AQ53</f>
        <v/>
      </c>
      <c r="AR150" s="18">
        <f>Operations!AR53</f>
        <v/>
      </c>
      <c r="AS150" s="18">
        <f>Operations!AS53</f>
        <v/>
      </c>
      <c r="AT150" s="18">
        <f>Operations!AT53</f>
        <v/>
      </c>
      <c r="AU150" s="18">
        <f>Operations!AU53</f>
        <v/>
      </c>
    </row>
    <row r="151">
      <c r="D151" t="inlineStr">
        <is>
          <t>R3 volume factor</t>
        </is>
      </c>
      <c r="E151" t="inlineStr">
        <is>
          <t>factor</t>
        </is>
      </c>
      <c r="J151" s="14">
        <f>CHOOSE(Operations!$F$47,1,Inputs!$F$117/100,Inputs!$F$118/100,Operations!$F$24/100)</f>
        <v/>
      </c>
      <c r="K151" s="14">
        <f>CHOOSE(Operations!$F$47,1,Inputs!$F$117/100,Inputs!$F$118/100,Operations!$F$24/100)</f>
        <v/>
      </c>
      <c r="L151" s="14">
        <f>CHOOSE(Operations!$F$47,1,Inputs!$F$117/100,Inputs!$F$118/100,Operations!$F$24/100)</f>
        <v/>
      </c>
      <c r="M151" s="14">
        <f>CHOOSE(Operations!$F$47,1,Inputs!$F$117/100,Inputs!$F$118/100,Operations!$F$24/100)</f>
        <v/>
      </c>
      <c r="N151" s="14">
        <f>CHOOSE(Operations!$F$47,1,Inputs!$F$117/100,Inputs!$F$118/100,Operations!$F$24/100)</f>
        <v/>
      </c>
      <c r="O151" s="14">
        <f>CHOOSE(Operations!$F$47,1,Inputs!$F$117/100,Inputs!$F$118/100,Operations!$F$24/100)</f>
        <v/>
      </c>
      <c r="P151" s="14">
        <f>CHOOSE(Operations!$F$47,1,Inputs!$F$117/100,Inputs!$F$118/100,Operations!$F$24/100)</f>
        <v/>
      </c>
      <c r="Q151" s="14">
        <f>CHOOSE(Operations!$F$47,1,Inputs!$F$117/100,Inputs!$F$118/100,Operations!$F$24/100)</f>
        <v/>
      </c>
      <c r="R151" s="14">
        <f>CHOOSE(Operations!$F$47,1,Inputs!$F$117/100,Inputs!$F$118/100,Operations!$F$24/100)</f>
        <v/>
      </c>
      <c r="S151" s="14">
        <f>CHOOSE(Operations!$F$47,1,Inputs!$F$117/100,Inputs!$F$118/100,Operations!$F$24/100)</f>
        <v/>
      </c>
      <c r="T151" s="14">
        <f>CHOOSE(Operations!$F$47,1,Inputs!$F$117/100,Inputs!$F$118/100,Operations!$F$24/100)</f>
        <v/>
      </c>
      <c r="U151" s="14">
        <f>CHOOSE(Operations!$F$47,1,Inputs!$F$117/100,Inputs!$F$118/100,Operations!$F$24/100)</f>
        <v/>
      </c>
      <c r="V151" s="14">
        <f>CHOOSE(Operations!$F$47,1,Inputs!$F$117/100,Inputs!$F$118/100,Operations!$F$24/100)</f>
        <v/>
      </c>
      <c r="W151" s="14">
        <f>CHOOSE(Operations!$F$47,1,Inputs!$F$117/100,Inputs!$F$118/100,Operations!$F$24/100)</f>
        <v/>
      </c>
      <c r="X151" s="14">
        <f>CHOOSE(Operations!$F$47,1,Inputs!$F$117/100,Inputs!$F$118/100,Operations!$F$24/100)</f>
        <v/>
      </c>
      <c r="Y151" s="14">
        <f>CHOOSE(Operations!$F$47,1,Inputs!$F$117/100,Inputs!$F$118/100,Operations!$F$24/100)</f>
        <v/>
      </c>
      <c r="Z151" s="14">
        <f>CHOOSE(Operations!$F$47,1,Inputs!$F$117/100,Inputs!$F$118/100,Operations!$F$24/100)</f>
        <v/>
      </c>
      <c r="AA151" s="14">
        <f>CHOOSE(Operations!$F$47,1,Inputs!$F$117/100,Inputs!$F$118/100,Operations!$F$24/100)</f>
        <v/>
      </c>
      <c r="AB151" s="14">
        <f>CHOOSE(Operations!$F$47,1,Inputs!$F$117/100,Inputs!$F$118/100,Operations!$F$24/100)</f>
        <v/>
      </c>
      <c r="AC151" s="14">
        <f>CHOOSE(Operations!$F$47,1,Inputs!$F$117/100,Inputs!$F$118/100,Operations!$F$24/100)</f>
        <v/>
      </c>
      <c r="AD151" s="14">
        <f>CHOOSE(Operations!$F$47,1,Inputs!$F$117/100,Inputs!$F$118/100,Operations!$F$24/100)</f>
        <v/>
      </c>
      <c r="AE151" s="14">
        <f>CHOOSE(Operations!$F$47,1,Inputs!$F$117/100,Inputs!$F$118/100,Operations!$F$24/100)</f>
        <v/>
      </c>
      <c r="AF151" s="14">
        <f>CHOOSE(Operations!$F$47,1,Inputs!$F$117/100,Inputs!$F$118/100,Operations!$F$24/100)</f>
        <v/>
      </c>
      <c r="AG151" s="14">
        <f>CHOOSE(Operations!$F$47,1,Inputs!$F$117/100,Inputs!$F$118/100,Operations!$F$24/100)</f>
        <v/>
      </c>
      <c r="AH151" s="14">
        <f>CHOOSE(Operations!$F$47,1,Inputs!$F$117/100,Inputs!$F$118/100,Operations!$F$24/100)</f>
        <v/>
      </c>
      <c r="AI151" s="14">
        <f>CHOOSE(Operations!$F$47,1,Inputs!$F$117/100,Inputs!$F$118/100,Operations!$F$24/100)</f>
        <v/>
      </c>
      <c r="AJ151" s="14">
        <f>CHOOSE(Operations!$F$47,1,Inputs!$F$117/100,Inputs!$F$118/100,Operations!$F$24/100)</f>
        <v/>
      </c>
      <c r="AK151" s="14">
        <f>CHOOSE(Operations!$F$47,1,Inputs!$F$117/100,Inputs!$F$118/100,Operations!$F$24/100)</f>
        <v/>
      </c>
      <c r="AL151" s="14">
        <f>CHOOSE(Operations!$F$47,1,Inputs!$F$117/100,Inputs!$F$118/100,Operations!$F$24/100)</f>
        <v/>
      </c>
      <c r="AM151" s="14">
        <f>CHOOSE(Operations!$F$47,1,Inputs!$F$117/100,Inputs!$F$118/100,Operations!$F$24/100)</f>
        <v/>
      </c>
      <c r="AN151" s="14">
        <f>CHOOSE(Operations!$F$47,1,Inputs!$F$117/100,Inputs!$F$118/100,Operations!$F$24/100)</f>
        <v/>
      </c>
      <c r="AO151" s="14">
        <f>CHOOSE(Operations!$F$47,1,Inputs!$F$117/100,Inputs!$F$118/100,Operations!$F$24/100)</f>
        <v/>
      </c>
      <c r="AP151" s="14">
        <f>CHOOSE(Operations!$F$47,1,Inputs!$F$117/100,Inputs!$F$118/100,Operations!$F$24/100)</f>
        <v/>
      </c>
      <c r="AQ151" s="14">
        <f>CHOOSE(Operations!$F$47,1,Inputs!$F$117/100,Inputs!$F$118/100,Operations!$F$24/100)</f>
        <v/>
      </c>
      <c r="AR151" s="14">
        <f>CHOOSE(Operations!$F$47,1,Inputs!$F$117/100,Inputs!$F$118/100,Operations!$F$24/100)</f>
        <v/>
      </c>
      <c r="AS151" s="14">
        <f>CHOOSE(Operations!$F$47,1,Inputs!$F$117/100,Inputs!$F$118/100,Operations!$F$24/100)</f>
        <v/>
      </c>
      <c r="AT151" s="14">
        <f>CHOOSE(Operations!$F$47,1,Inputs!$F$117/100,Inputs!$F$118/100,Operations!$F$24/100)</f>
        <v/>
      </c>
      <c r="AU151" s="14">
        <f>CHOOSE(Operations!$F$47,1,Inputs!$F$117/100,Inputs!$F$118/100,Operations!$F$24/100)</f>
        <v/>
      </c>
    </row>
    <row r="152">
      <c r="D152" t="inlineStr">
        <is>
          <t>R3 degradation factor</t>
        </is>
      </c>
      <c r="E152" t="inlineStr">
        <is>
          <t>factor</t>
        </is>
      </c>
      <c r="J152" s="14">
        <f>(1-Inputs!$F$119/100)^MAX(0,Time!J$4-Inputs!$F$120)</f>
        <v/>
      </c>
      <c r="K152" s="14">
        <f>(1-Inputs!$F$119/100)^MAX(0,Time!K$4-Inputs!$F$120)</f>
        <v/>
      </c>
      <c r="L152" s="14">
        <f>(1-Inputs!$F$119/100)^MAX(0,Time!L$4-Inputs!$F$120)</f>
        <v/>
      </c>
      <c r="M152" s="14">
        <f>(1-Inputs!$F$119/100)^MAX(0,Time!M$4-Inputs!$F$120)</f>
        <v/>
      </c>
      <c r="N152" s="14">
        <f>(1-Inputs!$F$119/100)^MAX(0,Time!N$4-Inputs!$F$120)</f>
        <v/>
      </c>
      <c r="O152" s="14">
        <f>(1-Inputs!$F$119/100)^MAX(0,Time!O$4-Inputs!$F$120)</f>
        <v/>
      </c>
      <c r="P152" s="14">
        <f>(1-Inputs!$F$119/100)^MAX(0,Time!P$4-Inputs!$F$120)</f>
        <v/>
      </c>
      <c r="Q152" s="14">
        <f>(1-Inputs!$F$119/100)^MAX(0,Time!Q$4-Inputs!$F$120)</f>
        <v/>
      </c>
      <c r="R152" s="14">
        <f>(1-Inputs!$F$119/100)^MAX(0,Time!R$4-Inputs!$F$120)</f>
        <v/>
      </c>
      <c r="S152" s="14">
        <f>(1-Inputs!$F$119/100)^MAX(0,Time!S$4-Inputs!$F$120)</f>
        <v/>
      </c>
      <c r="T152" s="14">
        <f>(1-Inputs!$F$119/100)^MAX(0,Time!T$4-Inputs!$F$120)</f>
        <v/>
      </c>
      <c r="U152" s="14">
        <f>(1-Inputs!$F$119/100)^MAX(0,Time!U$4-Inputs!$F$120)</f>
        <v/>
      </c>
      <c r="V152" s="14">
        <f>(1-Inputs!$F$119/100)^MAX(0,Time!V$4-Inputs!$F$120)</f>
        <v/>
      </c>
      <c r="W152" s="14">
        <f>(1-Inputs!$F$119/100)^MAX(0,Time!W$4-Inputs!$F$120)</f>
        <v/>
      </c>
      <c r="X152" s="14">
        <f>(1-Inputs!$F$119/100)^MAX(0,Time!X$4-Inputs!$F$120)</f>
        <v/>
      </c>
      <c r="Y152" s="14">
        <f>(1-Inputs!$F$119/100)^MAX(0,Time!Y$4-Inputs!$F$120)</f>
        <v/>
      </c>
      <c r="Z152" s="14">
        <f>(1-Inputs!$F$119/100)^MAX(0,Time!Z$4-Inputs!$F$120)</f>
        <v/>
      </c>
      <c r="AA152" s="14">
        <f>(1-Inputs!$F$119/100)^MAX(0,Time!AA$4-Inputs!$F$120)</f>
        <v/>
      </c>
      <c r="AB152" s="14">
        <f>(1-Inputs!$F$119/100)^MAX(0,Time!AB$4-Inputs!$F$120)</f>
        <v/>
      </c>
      <c r="AC152" s="14">
        <f>(1-Inputs!$F$119/100)^MAX(0,Time!AC$4-Inputs!$F$120)</f>
        <v/>
      </c>
      <c r="AD152" s="14">
        <f>(1-Inputs!$F$119/100)^MAX(0,Time!AD$4-Inputs!$F$120)</f>
        <v/>
      </c>
      <c r="AE152" s="14">
        <f>(1-Inputs!$F$119/100)^MAX(0,Time!AE$4-Inputs!$F$120)</f>
        <v/>
      </c>
      <c r="AF152" s="14">
        <f>(1-Inputs!$F$119/100)^MAX(0,Time!AF$4-Inputs!$F$120)</f>
        <v/>
      </c>
      <c r="AG152" s="14">
        <f>(1-Inputs!$F$119/100)^MAX(0,Time!AG$4-Inputs!$F$120)</f>
        <v/>
      </c>
      <c r="AH152" s="14">
        <f>(1-Inputs!$F$119/100)^MAX(0,Time!AH$4-Inputs!$F$120)</f>
        <v/>
      </c>
      <c r="AI152" s="14">
        <f>(1-Inputs!$F$119/100)^MAX(0,Time!AI$4-Inputs!$F$120)</f>
        <v/>
      </c>
      <c r="AJ152" s="14">
        <f>(1-Inputs!$F$119/100)^MAX(0,Time!AJ$4-Inputs!$F$120)</f>
        <v/>
      </c>
      <c r="AK152" s="14">
        <f>(1-Inputs!$F$119/100)^MAX(0,Time!AK$4-Inputs!$F$120)</f>
        <v/>
      </c>
      <c r="AL152" s="14">
        <f>(1-Inputs!$F$119/100)^MAX(0,Time!AL$4-Inputs!$F$120)</f>
        <v/>
      </c>
      <c r="AM152" s="14">
        <f>(1-Inputs!$F$119/100)^MAX(0,Time!AM$4-Inputs!$F$120)</f>
        <v/>
      </c>
      <c r="AN152" s="14">
        <f>(1-Inputs!$F$119/100)^MAX(0,Time!AN$4-Inputs!$F$120)</f>
        <v/>
      </c>
      <c r="AO152" s="14">
        <f>(1-Inputs!$F$119/100)^MAX(0,Time!AO$4-Inputs!$F$120)</f>
        <v/>
      </c>
      <c r="AP152" s="14">
        <f>(1-Inputs!$F$119/100)^MAX(0,Time!AP$4-Inputs!$F$120)</f>
        <v/>
      </c>
      <c r="AQ152" s="14">
        <f>(1-Inputs!$F$119/100)^MAX(0,Time!AQ$4-Inputs!$F$120)</f>
        <v/>
      </c>
      <c r="AR152" s="14">
        <f>(1-Inputs!$F$119/100)^MAX(0,Time!AR$4-Inputs!$F$120)</f>
        <v/>
      </c>
      <c r="AS152" s="14">
        <f>(1-Inputs!$F$119/100)^MAX(0,Time!AS$4-Inputs!$F$120)</f>
        <v/>
      </c>
      <c r="AT152" s="14">
        <f>(1-Inputs!$F$119/100)^MAX(0,Time!AT$4-Inputs!$F$120)</f>
        <v/>
      </c>
      <c r="AU152" s="14">
        <f>(1-Inputs!$F$119/100)^MAX(0,Time!AU$4-Inputs!$F$120)</f>
        <v/>
      </c>
    </row>
    <row r="153">
      <c r="D153" t="inlineStr">
        <is>
          <t>R3 curtailment</t>
        </is>
      </c>
      <c r="E153" t="inlineStr">
        <is>
          <t>fraction</t>
        </is>
      </c>
      <c r="J153" s="14">
        <f>(IF(Time!J$4&gt;=Inputs!$F$61,Inputs!$F$65,Inputs!$F$64+(Inputs!$F$65-Inputs!$F$64)*(Time!J$4-Inputs!$F$23)/(Inputs!$F$61-Inputs!$F$23))+Operations!$F$49)/100</f>
        <v/>
      </c>
      <c r="K153" s="14">
        <f>(IF(Time!K$4&gt;=Inputs!$F$61,Inputs!$F$65,Inputs!$F$64+(Inputs!$F$65-Inputs!$F$64)*(Time!K$4-Inputs!$F$23)/(Inputs!$F$61-Inputs!$F$23))+Operations!$F$49)/100</f>
        <v/>
      </c>
      <c r="L153" s="14">
        <f>(IF(Time!L$4&gt;=Inputs!$F$61,Inputs!$F$65,Inputs!$F$64+(Inputs!$F$65-Inputs!$F$64)*(Time!L$4-Inputs!$F$23)/(Inputs!$F$61-Inputs!$F$23))+Operations!$F$49)/100</f>
        <v/>
      </c>
      <c r="M153" s="14">
        <f>(IF(Time!M$4&gt;=Inputs!$F$61,Inputs!$F$65,Inputs!$F$64+(Inputs!$F$65-Inputs!$F$64)*(Time!M$4-Inputs!$F$23)/(Inputs!$F$61-Inputs!$F$23))+Operations!$F$49)/100</f>
        <v/>
      </c>
      <c r="N153" s="14">
        <f>(IF(Time!N$4&gt;=Inputs!$F$61,Inputs!$F$65,Inputs!$F$64+(Inputs!$F$65-Inputs!$F$64)*(Time!N$4-Inputs!$F$23)/(Inputs!$F$61-Inputs!$F$23))+Operations!$F$49)/100</f>
        <v/>
      </c>
      <c r="O153" s="14">
        <f>(IF(Time!O$4&gt;=Inputs!$F$61,Inputs!$F$65,Inputs!$F$64+(Inputs!$F$65-Inputs!$F$64)*(Time!O$4-Inputs!$F$23)/(Inputs!$F$61-Inputs!$F$23))+Operations!$F$49)/100</f>
        <v/>
      </c>
      <c r="P153" s="14">
        <f>(IF(Time!P$4&gt;=Inputs!$F$61,Inputs!$F$65,Inputs!$F$64+(Inputs!$F$65-Inputs!$F$64)*(Time!P$4-Inputs!$F$23)/(Inputs!$F$61-Inputs!$F$23))+Operations!$F$49)/100</f>
        <v/>
      </c>
      <c r="Q153" s="14">
        <f>(IF(Time!Q$4&gt;=Inputs!$F$61,Inputs!$F$65,Inputs!$F$64+(Inputs!$F$65-Inputs!$F$64)*(Time!Q$4-Inputs!$F$23)/(Inputs!$F$61-Inputs!$F$23))+Operations!$F$49)/100</f>
        <v/>
      </c>
      <c r="R153" s="14">
        <f>(IF(Time!R$4&gt;=Inputs!$F$61,Inputs!$F$65,Inputs!$F$64+(Inputs!$F$65-Inputs!$F$64)*(Time!R$4-Inputs!$F$23)/(Inputs!$F$61-Inputs!$F$23))+Operations!$F$49)/100</f>
        <v/>
      </c>
      <c r="S153" s="14">
        <f>(IF(Time!S$4&gt;=Inputs!$F$61,Inputs!$F$65,Inputs!$F$64+(Inputs!$F$65-Inputs!$F$64)*(Time!S$4-Inputs!$F$23)/(Inputs!$F$61-Inputs!$F$23))+Operations!$F$49)/100</f>
        <v/>
      </c>
      <c r="T153" s="14">
        <f>(IF(Time!T$4&gt;=Inputs!$F$61,Inputs!$F$65,Inputs!$F$64+(Inputs!$F$65-Inputs!$F$64)*(Time!T$4-Inputs!$F$23)/(Inputs!$F$61-Inputs!$F$23))+Operations!$F$49)/100</f>
        <v/>
      </c>
      <c r="U153" s="14">
        <f>(IF(Time!U$4&gt;=Inputs!$F$61,Inputs!$F$65,Inputs!$F$64+(Inputs!$F$65-Inputs!$F$64)*(Time!U$4-Inputs!$F$23)/(Inputs!$F$61-Inputs!$F$23))+Operations!$F$49)/100</f>
        <v/>
      </c>
      <c r="V153" s="14">
        <f>(IF(Time!V$4&gt;=Inputs!$F$61,Inputs!$F$65,Inputs!$F$64+(Inputs!$F$65-Inputs!$F$64)*(Time!V$4-Inputs!$F$23)/(Inputs!$F$61-Inputs!$F$23))+Operations!$F$49)/100</f>
        <v/>
      </c>
      <c r="W153" s="14">
        <f>(IF(Time!W$4&gt;=Inputs!$F$61,Inputs!$F$65,Inputs!$F$64+(Inputs!$F$65-Inputs!$F$64)*(Time!W$4-Inputs!$F$23)/(Inputs!$F$61-Inputs!$F$23))+Operations!$F$49)/100</f>
        <v/>
      </c>
      <c r="X153" s="14">
        <f>(IF(Time!X$4&gt;=Inputs!$F$61,Inputs!$F$65,Inputs!$F$64+(Inputs!$F$65-Inputs!$F$64)*(Time!X$4-Inputs!$F$23)/(Inputs!$F$61-Inputs!$F$23))+Operations!$F$49)/100</f>
        <v/>
      </c>
      <c r="Y153" s="14">
        <f>(IF(Time!Y$4&gt;=Inputs!$F$61,Inputs!$F$65,Inputs!$F$64+(Inputs!$F$65-Inputs!$F$64)*(Time!Y$4-Inputs!$F$23)/(Inputs!$F$61-Inputs!$F$23))+Operations!$F$49)/100</f>
        <v/>
      </c>
      <c r="Z153" s="14">
        <f>(IF(Time!Z$4&gt;=Inputs!$F$61,Inputs!$F$65,Inputs!$F$64+(Inputs!$F$65-Inputs!$F$64)*(Time!Z$4-Inputs!$F$23)/(Inputs!$F$61-Inputs!$F$23))+Operations!$F$49)/100</f>
        <v/>
      </c>
      <c r="AA153" s="14">
        <f>(IF(Time!AA$4&gt;=Inputs!$F$61,Inputs!$F$65,Inputs!$F$64+(Inputs!$F$65-Inputs!$F$64)*(Time!AA$4-Inputs!$F$23)/(Inputs!$F$61-Inputs!$F$23))+Operations!$F$49)/100</f>
        <v/>
      </c>
      <c r="AB153" s="14">
        <f>(IF(Time!AB$4&gt;=Inputs!$F$61,Inputs!$F$65,Inputs!$F$64+(Inputs!$F$65-Inputs!$F$64)*(Time!AB$4-Inputs!$F$23)/(Inputs!$F$61-Inputs!$F$23))+Operations!$F$49)/100</f>
        <v/>
      </c>
      <c r="AC153" s="14">
        <f>(IF(Time!AC$4&gt;=Inputs!$F$61,Inputs!$F$65,Inputs!$F$64+(Inputs!$F$65-Inputs!$F$64)*(Time!AC$4-Inputs!$F$23)/(Inputs!$F$61-Inputs!$F$23))+Operations!$F$49)/100</f>
        <v/>
      </c>
      <c r="AD153" s="14">
        <f>(IF(Time!AD$4&gt;=Inputs!$F$61,Inputs!$F$65,Inputs!$F$64+(Inputs!$F$65-Inputs!$F$64)*(Time!AD$4-Inputs!$F$23)/(Inputs!$F$61-Inputs!$F$23))+Operations!$F$49)/100</f>
        <v/>
      </c>
      <c r="AE153" s="14">
        <f>(IF(Time!AE$4&gt;=Inputs!$F$61,Inputs!$F$65,Inputs!$F$64+(Inputs!$F$65-Inputs!$F$64)*(Time!AE$4-Inputs!$F$23)/(Inputs!$F$61-Inputs!$F$23))+Operations!$F$49)/100</f>
        <v/>
      </c>
      <c r="AF153" s="14">
        <f>(IF(Time!AF$4&gt;=Inputs!$F$61,Inputs!$F$65,Inputs!$F$64+(Inputs!$F$65-Inputs!$F$64)*(Time!AF$4-Inputs!$F$23)/(Inputs!$F$61-Inputs!$F$23))+Operations!$F$49)/100</f>
        <v/>
      </c>
      <c r="AG153" s="14">
        <f>(IF(Time!AG$4&gt;=Inputs!$F$61,Inputs!$F$65,Inputs!$F$64+(Inputs!$F$65-Inputs!$F$64)*(Time!AG$4-Inputs!$F$23)/(Inputs!$F$61-Inputs!$F$23))+Operations!$F$49)/100</f>
        <v/>
      </c>
      <c r="AH153" s="14">
        <f>(IF(Time!AH$4&gt;=Inputs!$F$61,Inputs!$F$65,Inputs!$F$64+(Inputs!$F$65-Inputs!$F$64)*(Time!AH$4-Inputs!$F$23)/(Inputs!$F$61-Inputs!$F$23))+Operations!$F$49)/100</f>
        <v/>
      </c>
      <c r="AI153" s="14">
        <f>(IF(Time!AI$4&gt;=Inputs!$F$61,Inputs!$F$65,Inputs!$F$64+(Inputs!$F$65-Inputs!$F$64)*(Time!AI$4-Inputs!$F$23)/(Inputs!$F$61-Inputs!$F$23))+Operations!$F$49)/100</f>
        <v/>
      </c>
      <c r="AJ153" s="14">
        <f>(IF(Time!AJ$4&gt;=Inputs!$F$61,Inputs!$F$65,Inputs!$F$64+(Inputs!$F$65-Inputs!$F$64)*(Time!AJ$4-Inputs!$F$23)/(Inputs!$F$61-Inputs!$F$23))+Operations!$F$49)/100</f>
        <v/>
      </c>
      <c r="AK153" s="14">
        <f>(IF(Time!AK$4&gt;=Inputs!$F$61,Inputs!$F$65,Inputs!$F$64+(Inputs!$F$65-Inputs!$F$64)*(Time!AK$4-Inputs!$F$23)/(Inputs!$F$61-Inputs!$F$23))+Operations!$F$49)/100</f>
        <v/>
      </c>
      <c r="AL153" s="14">
        <f>(IF(Time!AL$4&gt;=Inputs!$F$61,Inputs!$F$65,Inputs!$F$64+(Inputs!$F$65-Inputs!$F$64)*(Time!AL$4-Inputs!$F$23)/(Inputs!$F$61-Inputs!$F$23))+Operations!$F$49)/100</f>
        <v/>
      </c>
      <c r="AM153" s="14">
        <f>(IF(Time!AM$4&gt;=Inputs!$F$61,Inputs!$F$65,Inputs!$F$64+(Inputs!$F$65-Inputs!$F$64)*(Time!AM$4-Inputs!$F$23)/(Inputs!$F$61-Inputs!$F$23))+Operations!$F$49)/100</f>
        <v/>
      </c>
      <c r="AN153" s="14">
        <f>(IF(Time!AN$4&gt;=Inputs!$F$61,Inputs!$F$65,Inputs!$F$64+(Inputs!$F$65-Inputs!$F$64)*(Time!AN$4-Inputs!$F$23)/(Inputs!$F$61-Inputs!$F$23))+Operations!$F$49)/100</f>
        <v/>
      </c>
      <c r="AO153" s="14">
        <f>(IF(Time!AO$4&gt;=Inputs!$F$61,Inputs!$F$65,Inputs!$F$64+(Inputs!$F$65-Inputs!$F$64)*(Time!AO$4-Inputs!$F$23)/(Inputs!$F$61-Inputs!$F$23))+Operations!$F$49)/100</f>
        <v/>
      </c>
      <c r="AP153" s="14">
        <f>(IF(Time!AP$4&gt;=Inputs!$F$61,Inputs!$F$65,Inputs!$F$64+(Inputs!$F$65-Inputs!$F$64)*(Time!AP$4-Inputs!$F$23)/(Inputs!$F$61-Inputs!$F$23))+Operations!$F$49)/100</f>
        <v/>
      </c>
      <c r="AQ153" s="14">
        <f>(IF(Time!AQ$4&gt;=Inputs!$F$61,Inputs!$F$65,Inputs!$F$64+(Inputs!$F$65-Inputs!$F$64)*(Time!AQ$4-Inputs!$F$23)/(Inputs!$F$61-Inputs!$F$23))+Operations!$F$49)/100</f>
        <v/>
      </c>
      <c r="AR153" s="14">
        <f>(IF(Time!AR$4&gt;=Inputs!$F$61,Inputs!$F$65,Inputs!$F$64+(Inputs!$F$65-Inputs!$F$64)*(Time!AR$4-Inputs!$F$23)/(Inputs!$F$61-Inputs!$F$23))+Operations!$F$49)/100</f>
        <v/>
      </c>
      <c r="AS153" s="14">
        <f>(IF(Time!AS$4&gt;=Inputs!$F$61,Inputs!$F$65,Inputs!$F$64+(Inputs!$F$65-Inputs!$F$64)*(Time!AS$4-Inputs!$F$23)/(Inputs!$F$61-Inputs!$F$23))+Operations!$F$49)/100</f>
        <v/>
      </c>
      <c r="AT153" s="14">
        <f>(IF(Time!AT$4&gt;=Inputs!$F$61,Inputs!$F$65,Inputs!$F$64+(Inputs!$F$65-Inputs!$F$64)*(Time!AT$4-Inputs!$F$23)/(Inputs!$F$61-Inputs!$F$23))+Operations!$F$49)/100</f>
        <v/>
      </c>
      <c r="AU153" s="14">
        <f>(IF(Time!AU$4&gt;=Inputs!$F$61,Inputs!$F$65,Inputs!$F$64+(Inputs!$F$65-Inputs!$F$64)*(Time!AU$4-Inputs!$F$23)/(Inputs!$F$61-Inputs!$F$23))+Operations!$F$49)/100</f>
        <v/>
      </c>
    </row>
    <row r="154">
      <c r="D154" t="inlineStr">
        <is>
          <t>R3 net generation, full year</t>
        </is>
      </c>
      <c r="E154" t="inlineStr">
        <is>
          <t>GWh</t>
        </is>
      </c>
      <c r="J154" s="20">
        <f>Inputs!$F$116*Operations!J151*Inputs!$F$185/100*Operations!J152*(1-Operations!J153)</f>
        <v/>
      </c>
      <c r="K154" s="20">
        <f>Inputs!$F$116*Operations!K151*Inputs!$F$185/100*Operations!K152*(1-Operations!K153)</f>
        <v/>
      </c>
      <c r="L154" s="20">
        <f>Inputs!$F$116*Operations!L151*Inputs!$F$185/100*Operations!L152*(1-Operations!L153)</f>
        <v/>
      </c>
      <c r="M154" s="20">
        <f>Inputs!$F$116*Operations!M151*Inputs!$F$185/100*Operations!M152*(1-Operations!M153)</f>
        <v/>
      </c>
      <c r="N154" s="20">
        <f>Inputs!$F$116*Operations!N151*Inputs!$F$185/100*Operations!N152*(1-Operations!N153)</f>
        <v/>
      </c>
      <c r="O154" s="20">
        <f>Inputs!$F$116*Operations!O151*Inputs!$F$185/100*Operations!O152*(1-Operations!O153)</f>
        <v/>
      </c>
      <c r="P154" s="20">
        <f>Inputs!$F$116*Operations!P151*Inputs!$F$185/100*Operations!P152*(1-Operations!P153)</f>
        <v/>
      </c>
      <c r="Q154" s="20">
        <f>Inputs!$F$116*Operations!Q151*Inputs!$F$185/100*Operations!Q152*(1-Operations!Q153)</f>
        <v/>
      </c>
      <c r="R154" s="20">
        <f>Inputs!$F$116*Operations!R151*Inputs!$F$185/100*Operations!R152*(1-Operations!R153)</f>
        <v/>
      </c>
      <c r="S154" s="20">
        <f>Inputs!$F$116*Operations!S151*Inputs!$F$185/100*Operations!S152*(1-Operations!S153)</f>
        <v/>
      </c>
      <c r="T154" s="20">
        <f>Inputs!$F$116*Operations!T151*Inputs!$F$185/100*Operations!T152*(1-Operations!T153)</f>
        <v/>
      </c>
      <c r="U154" s="20">
        <f>Inputs!$F$116*Operations!U151*Inputs!$F$185/100*Operations!U152*(1-Operations!U153)</f>
        <v/>
      </c>
      <c r="V154" s="20">
        <f>Inputs!$F$116*Operations!V151*Inputs!$F$185/100*Operations!V152*(1-Operations!V153)</f>
        <v/>
      </c>
      <c r="W154" s="20">
        <f>Inputs!$F$116*Operations!W151*Inputs!$F$185/100*Operations!W152*(1-Operations!W153)</f>
        <v/>
      </c>
      <c r="X154" s="20">
        <f>Inputs!$F$116*Operations!X151*Inputs!$F$185/100*Operations!X152*(1-Operations!X153)</f>
        <v/>
      </c>
      <c r="Y154" s="20">
        <f>Inputs!$F$116*Operations!Y151*Inputs!$F$185/100*Operations!Y152*(1-Operations!Y153)</f>
        <v/>
      </c>
      <c r="Z154" s="20">
        <f>Inputs!$F$116*Operations!Z151*Inputs!$F$185/100*Operations!Z152*(1-Operations!Z153)</f>
        <v/>
      </c>
      <c r="AA154" s="20">
        <f>Inputs!$F$116*Operations!AA151*Inputs!$F$185/100*Operations!AA152*(1-Operations!AA153)</f>
        <v/>
      </c>
      <c r="AB154" s="20">
        <f>Inputs!$F$116*Operations!AB151*Inputs!$F$185/100*Operations!AB152*(1-Operations!AB153)</f>
        <v/>
      </c>
      <c r="AC154" s="20">
        <f>Inputs!$F$116*Operations!AC151*Inputs!$F$185/100*Operations!AC152*(1-Operations!AC153)</f>
        <v/>
      </c>
      <c r="AD154" s="20">
        <f>Inputs!$F$116*Operations!AD151*Inputs!$F$185/100*Operations!AD152*(1-Operations!AD153)</f>
        <v/>
      </c>
      <c r="AE154" s="20">
        <f>Inputs!$F$116*Operations!AE151*Inputs!$F$185/100*Operations!AE152*(1-Operations!AE153)</f>
        <v/>
      </c>
      <c r="AF154" s="20">
        <f>Inputs!$F$116*Operations!AF151*Inputs!$F$185/100*Operations!AF152*(1-Operations!AF153)</f>
        <v/>
      </c>
      <c r="AG154" s="20">
        <f>Inputs!$F$116*Operations!AG151*Inputs!$F$185/100*Operations!AG152*(1-Operations!AG153)</f>
        <v/>
      </c>
      <c r="AH154" s="20">
        <f>Inputs!$F$116*Operations!AH151*Inputs!$F$185/100*Operations!AH152*(1-Operations!AH153)</f>
        <v/>
      </c>
      <c r="AI154" s="20">
        <f>Inputs!$F$116*Operations!AI151*Inputs!$F$185/100*Operations!AI152*(1-Operations!AI153)</f>
        <v/>
      </c>
      <c r="AJ154" s="20">
        <f>Inputs!$F$116*Operations!AJ151*Inputs!$F$185/100*Operations!AJ152*(1-Operations!AJ153)</f>
        <v/>
      </c>
      <c r="AK154" s="20">
        <f>Inputs!$F$116*Operations!AK151*Inputs!$F$185/100*Operations!AK152*(1-Operations!AK153)</f>
        <v/>
      </c>
      <c r="AL154" s="20">
        <f>Inputs!$F$116*Operations!AL151*Inputs!$F$185/100*Operations!AL152*(1-Operations!AL153)</f>
        <v/>
      </c>
      <c r="AM154" s="20">
        <f>Inputs!$F$116*Operations!AM151*Inputs!$F$185/100*Operations!AM152*(1-Operations!AM153)</f>
        <v/>
      </c>
      <c r="AN154" s="20">
        <f>Inputs!$F$116*Operations!AN151*Inputs!$F$185/100*Operations!AN152*(1-Operations!AN153)</f>
        <v/>
      </c>
      <c r="AO154" s="20">
        <f>Inputs!$F$116*Operations!AO151*Inputs!$F$185/100*Operations!AO152*(1-Operations!AO153)</f>
        <v/>
      </c>
      <c r="AP154" s="20">
        <f>Inputs!$F$116*Operations!AP151*Inputs!$F$185/100*Operations!AP152*(1-Operations!AP153)</f>
        <v/>
      </c>
      <c r="AQ154" s="20">
        <f>Inputs!$F$116*Operations!AQ151*Inputs!$F$185/100*Operations!AQ152*(1-Operations!AQ153)</f>
        <v/>
      </c>
      <c r="AR154" s="20">
        <f>Inputs!$F$116*Operations!AR151*Inputs!$F$185/100*Operations!AR152*(1-Operations!AR153)</f>
        <v/>
      </c>
      <c r="AS154" s="20">
        <f>Inputs!$F$116*Operations!AS151*Inputs!$F$185/100*Operations!AS152*(1-Operations!AS153)</f>
        <v/>
      </c>
      <c r="AT154" s="20">
        <f>Inputs!$F$116*Operations!AT151*Inputs!$F$185/100*Operations!AT152*(1-Operations!AT153)</f>
        <v/>
      </c>
      <c r="AU154" s="20">
        <f>Inputs!$F$116*Operations!AU151*Inputs!$F$185/100*Operations!AU152*(1-Operations!AU153)</f>
        <v/>
      </c>
    </row>
    <row r="155">
      <c r="D155" t="inlineStr">
        <is>
          <t>R3 net generation</t>
        </is>
      </c>
      <c r="E155" t="inlineStr">
        <is>
          <t>GWh</t>
        </is>
      </c>
      <c r="G155" s="20">
        <f>SUM(J155:AU155)</f>
        <v/>
      </c>
      <c r="J155" s="20">
        <f>Operations!J154*Operations!J147</f>
        <v/>
      </c>
      <c r="K155" s="20">
        <f>Operations!K154*Operations!K147</f>
        <v/>
      </c>
      <c r="L155" s="20">
        <f>Operations!L154*Operations!L147</f>
        <v/>
      </c>
      <c r="M155" s="20">
        <f>Operations!M154*Operations!M147</f>
        <v/>
      </c>
      <c r="N155" s="20">
        <f>Operations!N154*Operations!N147</f>
        <v/>
      </c>
      <c r="O155" s="20">
        <f>Operations!O154*Operations!O147</f>
        <v/>
      </c>
      <c r="P155" s="20">
        <f>Operations!P154*Operations!P147</f>
        <v/>
      </c>
      <c r="Q155" s="20">
        <f>Operations!Q154*Operations!Q147</f>
        <v/>
      </c>
      <c r="R155" s="20">
        <f>Operations!R154*Operations!R147</f>
        <v/>
      </c>
      <c r="S155" s="20">
        <f>Operations!S154*Operations!S147</f>
        <v/>
      </c>
      <c r="T155" s="20">
        <f>Operations!T154*Operations!T147</f>
        <v/>
      </c>
      <c r="U155" s="20">
        <f>Operations!U154*Operations!U147</f>
        <v/>
      </c>
      <c r="V155" s="20">
        <f>Operations!V154*Operations!V147</f>
        <v/>
      </c>
      <c r="W155" s="20">
        <f>Operations!W154*Operations!W147</f>
        <v/>
      </c>
      <c r="X155" s="20">
        <f>Operations!X154*Operations!X147</f>
        <v/>
      </c>
      <c r="Y155" s="20">
        <f>Operations!Y154*Operations!Y147</f>
        <v/>
      </c>
      <c r="Z155" s="20">
        <f>Operations!Z154*Operations!Z147</f>
        <v/>
      </c>
      <c r="AA155" s="20">
        <f>Operations!AA154*Operations!AA147</f>
        <v/>
      </c>
      <c r="AB155" s="20">
        <f>Operations!AB154*Operations!AB147</f>
        <v/>
      </c>
      <c r="AC155" s="20">
        <f>Operations!AC154*Operations!AC147</f>
        <v/>
      </c>
      <c r="AD155" s="20">
        <f>Operations!AD154*Operations!AD147</f>
        <v/>
      </c>
      <c r="AE155" s="20">
        <f>Operations!AE154*Operations!AE147</f>
        <v/>
      </c>
      <c r="AF155" s="20">
        <f>Operations!AF154*Operations!AF147</f>
        <v/>
      </c>
      <c r="AG155" s="20">
        <f>Operations!AG154*Operations!AG147</f>
        <v/>
      </c>
      <c r="AH155" s="20">
        <f>Operations!AH154*Operations!AH147</f>
        <v/>
      </c>
      <c r="AI155" s="20">
        <f>Operations!AI154*Operations!AI147</f>
        <v/>
      </c>
      <c r="AJ155" s="20">
        <f>Operations!AJ154*Operations!AJ147</f>
        <v/>
      </c>
      <c r="AK155" s="20">
        <f>Operations!AK154*Operations!AK147</f>
        <v/>
      </c>
      <c r="AL155" s="20">
        <f>Operations!AL154*Operations!AL147</f>
        <v/>
      </c>
      <c r="AM155" s="20">
        <f>Operations!AM154*Operations!AM147</f>
        <v/>
      </c>
      <c r="AN155" s="20">
        <f>Operations!AN154*Operations!AN147</f>
        <v/>
      </c>
      <c r="AO155" s="20">
        <f>Operations!AO154*Operations!AO147</f>
        <v/>
      </c>
      <c r="AP155" s="20">
        <f>Operations!AP154*Operations!AP147</f>
        <v/>
      </c>
      <c r="AQ155" s="20">
        <f>Operations!AQ154*Operations!AQ147</f>
        <v/>
      </c>
      <c r="AR155" s="20">
        <f>Operations!AR154*Operations!AR147</f>
        <v/>
      </c>
      <c r="AS155" s="20">
        <f>Operations!AS154*Operations!AS147</f>
        <v/>
      </c>
      <c r="AT155" s="20">
        <f>Operations!AT154*Operations!AT147</f>
        <v/>
      </c>
      <c r="AU155" s="20">
        <f>Operations!AU154*Operations!AU147</f>
        <v/>
      </c>
    </row>
    <row r="156">
      <c r="D156" t="inlineStr">
        <is>
          <t>R3 hub capture ratio</t>
        </is>
      </c>
      <c r="E156" t="inlineStr">
        <is>
          <t>ratio</t>
        </is>
      </c>
      <c r="J156" s="14">
        <f>Operations!J58</f>
        <v/>
      </c>
      <c r="K156" s="14">
        <f>Operations!K58</f>
        <v/>
      </c>
      <c r="L156" s="14">
        <f>Operations!L58</f>
        <v/>
      </c>
      <c r="M156" s="14">
        <f>Operations!M58</f>
        <v/>
      </c>
      <c r="N156" s="14">
        <f>Operations!N58</f>
        <v/>
      </c>
      <c r="O156" s="14">
        <f>Operations!O58</f>
        <v/>
      </c>
      <c r="P156" s="14">
        <f>Operations!P58</f>
        <v/>
      </c>
      <c r="Q156" s="14">
        <f>Operations!Q58</f>
        <v/>
      </c>
      <c r="R156" s="14">
        <f>Operations!R58</f>
        <v/>
      </c>
      <c r="S156" s="14">
        <f>Operations!S58</f>
        <v/>
      </c>
      <c r="T156" s="14">
        <f>Operations!T58</f>
        <v/>
      </c>
      <c r="U156" s="14">
        <f>Operations!U58</f>
        <v/>
      </c>
      <c r="V156" s="14">
        <f>Operations!V58</f>
        <v/>
      </c>
      <c r="W156" s="14">
        <f>Operations!W58</f>
        <v/>
      </c>
      <c r="X156" s="14">
        <f>Operations!X58</f>
        <v/>
      </c>
      <c r="Y156" s="14">
        <f>Operations!Y58</f>
        <v/>
      </c>
      <c r="Z156" s="14">
        <f>Operations!Z58</f>
        <v/>
      </c>
      <c r="AA156" s="14">
        <f>Operations!AA58</f>
        <v/>
      </c>
      <c r="AB156" s="14">
        <f>Operations!AB58</f>
        <v/>
      </c>
      <c r="AC156" s="14">
        <f>Operations!AC58</f>
        <v/>
      </c>
      <c r="AD156" s="14">
        <f>Operations!AD58</f>
        <v/>
      </c>
      <c r="AE156" s="14">
        <f>Operations!AE58</f>
        <v/>
      </c>
      <c r="AF156" s="14">
        <f>Operations!AF58</f>
        <v/>
      </c>
      <c r="AG156" s="14">
        <f>Operations!AG58</f>
        <v/>
      </c>
      <c r="AH156" s="14">
        <f>Operations!AH58</f>
        <v/>
      </c>
      <c r="AI156" s="14">
        <f>Operations!AI58</f>
        <v/>
      </c>
      <c r="AJ156" s="14">
        <f>Operations!AJ58</f>
        <v/>
      </c>
      <c r="AK156" s="14">
        <f>Operations!AK58</f>
        <v/>
      </c>
      <c r="AL156" s="14">
        <f>Operations!AL58</f>
        <v/>
      </c>
      <c r="AM156" s="14">
        <f>Operations!AM58</f>
        <v/>
      </c>
      <c r="AN156" s="14">
        <f>Operations!AN58</f>
        <v/>
      </c>
      <c r="AO156" s="14">
        <f>Operations!AO58</f>
        <v/>
      </c>
      <c r="AP156" s="14">
        <f>Operations!AP58</f>
        <v/>
      </c>
      <c r="AQ156" s="14">
        <f>Operations!AQ58</f>
        <v/>
      </c>
      <c r="AR156" s="14">
        <f>Operations!AR58</f>
        <v/>
      </c>
      <c r="AS156" s="14">
        <f>Operations!AS58</f>
        <v/>
      </c>
      <c r="AT156" s="14">
        <f>Operations!AT58</f>
        <v/>
      </c>
      <c r="AU156" s="14">
        <f>Operations!AU58</f>
        <v/>
      </c>
    </row>
    <row r="157">
      <c r="D157" t="inlineStr">
        <is>
          <t>R3 node capture ratio</t>
        </is>
      </c>
      <c r="E157" t="inlineStr">
        <is>
          <t>ratio</t>
        </is>
      </c>
      <c r="J157" s="14">
        <f>Operations!J156-Inputs!$F$48</f>
        <v/>
      </c>
      <c r="K157" s="14">
        <f>Operations!K156-Inputs!$F$48</f>
        <v/>
      </c>
      <c r="L157" s="14">
        <f>Operations!L156-Inputs!$F$48</f>
        <v/>
      </c>
      <c r="M157" s="14">
        <f>Operations!M156-Inputs!$F$48</f>
        <v/>
      </c>
      <c r="N157" s="14">
        <f>Operations!N156-Inputs!$F$48</f>
        <v/>
      </c>
      <c r="O157" s="14">
        <f>Operations!O156-Inputs!$F$48</f>
        <v/>
      </c>
      <c r="P157" s="14">
        <f>Operations!P156-Inputs!$F$48</f>
        <v/>
      </c>
      <c r="Q157" s="14">
        <f>Operations!Q156-Inputs!$F$48</f>
        <v/>
      </c>
      <c r="R157" s="14">
        <f>Operations!R156-Inputs!$F$48</f>
        <v/>
      </c>
      <c r="S157" s="14">
        <f>Operations!S156-Inputs!$F$48</f>
        <v/>
      </c>
      <c r="T157" s="14">
        <f>Operations!T156-Inputs!$F$48</f>
        <v/>
      </c>
      <c r="U157" s="14">
        <f>Operations!U156-Inputs!$F$48</f>
        <v/>
      </c>
      <c r="V157" s="14">
        <f>Operations!V156-Inputs!$F$48</f>
        <v/>
      </c>
      <c r="W157" s="14">
        <f>Operations!W156-Inputs!$F$48</f>
        <v/>
      </c>
      <c r="X157" s="14">
        <f>Operations!X156-Inputs!$F$48</f>
        <v/>
      </c>
      <c r="Y157" s="14">
        <f>Operations!Y156-Inputs!$F$48</f>
        <v/>
      </c>
      <c r="Z157" s="14">
        <f>Operations!Z156-Inputs!$F$48</f>
        <v/>
      </c>
      <c r="AA157" s="14">
        <f>Operations!AA156-Inputs!$F$48</f>
        <v/>
      </c>
      <c r="AB157" s="14">
        <f>Operations!AB156-Inputs!$F$48</f>
        <v/>
      </c>
      <c r="AC157" s="14">
        <f>Operations!AC156-Inputs!$F$48</f>
        <v/>
      </c>
      <c r="AD157" s="14">
        <f>Operations!AD156-Inputs!$F$48</f>
        <v/>
      </c>
      <c r="AE157" s="14">
        <f>Operations!AE156-Inputs!$F$48</f>
        <v/>
      </c>
      <c r="AF157" s="14">
        <f>Operations!AF156-Inputs!$F$48</f>
        <v/>
      </c>
      <c r="AG157" s="14">
        <f>Operations!AG156-Inputs!$F$48</f>
        <v/>
      </c>
      <c r="AH157" s="14">
        <f>Operations!AH156-Inputs!$F$48</f>
        <v/>
      </c>
      <c r="AI157" s="14">
        <f>Operations!AI156-Inputs!$F$48</f>
        <v/>
      </c>
      <c r="AJ157" s="14">
        <f>Operations!AJ156-Inputs!$F$48</f>
        <v/>
      </c>
      <c r="AK157" s="14">
        <f>Operations!AK156-Inputs!$F$48</f>
        <v/>
      </c>
      <c r="AL157" s="14">
        <f>Operations!AL156-Inputs!$F$48</f>
        <v/>
      </c>
      <c r="AM157" s="14">
        <f>Operations!AM156-Inputs!$F$48</f>
        <v/>
      </c>
      <c r="AN157" s="14">
        <f>Operations!AN156-Inputs!$F$48</f>
        <v/>
      </c>
      <c r="AO157" s="14">
        <f>Operations!AO156-Inputs!$F$48</f>
        <v/>
      </c>
      <c r="AP157" s="14">
        <f>Operations!AP156-Inputs!$F$48</f>
        <v/>
      </c>
      <c r="AQ157" s="14">
        <f>Operations!AQ156-Inputs!$F$48</f>
        <v/>
      </c>
      <c r="AR157" s="14">
        <f>Operations!AR156-Inputs!$F$48</f>
        <v/>
      </c>
      <c r="AS157" s="14">
        <f>Operations!AS156-Inputs!$F$48</f>
        <v/>
      </c>
      <c r="AT157" s="14">
        <f>Operations!AT156-Inputs!$F$48</f>
        <v/>
      </c>
      <c r="AU157" s="14">
        <f>Operations!AU156-Inputs!$F$48</f>
        <v/>
      </c>
    </row>
    <row r="158">
      <c r="D158" t="inlineStr">
        <is>
          <t>R3 realized node price</t>
        </is>
      </c>
      <c r="E158" t="inlineStr">
        <is>
          <t>USD/MWh</t>
        </is>
      </c>
      <c r="J158" s="18">
        <f>Operations!J150*Operations!J157</f>
        <v/>
      </c>
      <c r="K158" s="18">
        <f>Operations!K150*Operations!K157</f>
        <v/>
      </c>
      <c r="L158" s="18">
        <f>Operations!L150*Operations!L157</f>
        <v/>
      </c>
      <c r="M158" s="18">
        <f>Operations!M150*Operations!M157</f>
        <v/>
      </c>
      <c r="N158" s="18">
        <f>Operations!N150*Operations!N157</f>
        <v/>
      </c>
      <c r="O158" s="18">
        <f>Operations!O150*Operations!O157</f>
        <v/>
      </c>
      <c r="P158" s="18">
        <f>Operations!P150*Operations!P157</f>
        <v/>
      </c>
      <c r="Q158" s="18">
        <f>Operations!Q150*Operations!Q157</f>
        <v/>
      </c>
      <c r="R158" s="18">
        <f>Operations!R150*Operations!R157</f>
        <v/>
      </c>
      <c r="S158" s="18">
        <f>Operations!S150*Operations!S157</f>
        <v/>
      </c>
      <c r="T158" s="18">
        <f>Operations!T150*Operations!T157</f>
        <v/>
      </c>
      <c r="U158" s="18">
        <f>Operations!U150*Operations!U157</f>
        <v/>
      </c>
      <c r="V158" s="18">
        <f>Operations!V150*Operations!V157</f>
        <v/>
      </c>
      <c r="W158" s="18">
        <f>Operations!W150*Operations!W157</f>
        <v/>
      </c>
      <c r="X158" s="18">
        <f>Operations!X150*Operations!X157</f>
        <v/>
      </c>
      <c r="Y158" s="18">
        <f>Operations!Y150*Operations!Y157</f>
        <v/>
      </c>
      <c r="Z158" s="18">
        <f>Operations!Z150*Operations!Z157</f>
        <v/>
      </c>
      <c r="AA158" s="18">
        <f>Operations!AA150*Operations!AA157</f>
        <v/>
      </c>
      <c r="AB158" s="18">
        <f>Operations!AB150*Operations!AB157</f>
        <v/>
      </c>
      <c r="AC158" s="18">
        <f>Operations!AC150*Operations!AC157</f>
        <v/>
      </c>
      <c r="AD158" s="18">
        <f>Operations!AD150*Operations!AD157</f>
        <v/>
      </c>
      <c r="AE158" s="18">
        <f>Operations!AE150*Operations!AE157</f>
        <v/>
      </c>
      <c r="AF158" s="18">
        <f>Operations!AF150*Operations!AF157</f>
        <v/>
      </c>
      <c r="AG158" s="18">
        <f>Operations!AG150*Operations!AG157</f>
        <v/>
      </c>
      <c r="AH158" s="18">
        <f>Operations!AH150*Operations!AH157</f>
        <v/>
      </c>
      <c r="AI158" s="18">
        <f>Operations!AI150*Operations!AI157</f>
        <v/>
      </c>
      <c r="AJ158" s="18">
        <f>Operations!AJ150*Operations!AJ157</f>
        <v/>
      </c>
      <c r="AK158" s="18">
        <f>Operations!AK150*Operations!AK157</f>
        <v/>
      </c>
      <c r="AL158" s="18">
        <f>Operations!AL150*Operations!AL157</f>
        <v/>
      </c>
      <c r="AM158" s="18">
        <f>Operations!AM150*Operations!AM157</f>
        <v/>
      </c>
      <c r="AN158" s="18">
        <f>Operations!AN150*Operations!AN157</f>
        <v/>
      </c>
      <c r="AO158" s="18">
        <f>Operations!AO150*Operations!AO157</f>
        <v/>
      </c>
      <c r="AP158" s="18">
        <f>Operations!AP150*Operations!AP157</f>
        <v/>
      </c>
      <c r="AQ158" s="18">
        <f>Operations!AQ150*Operations!AQ157</f>
        <v/>
      </c>
      <c r="AR158" s="18">
        <f>Operations!AR150*Operations!AR157</f>
        <v/>
      </c>
      <c r="AS158" s="18">
        <f>Operations!AS150*Operations!AS157</f>
        <v/>
      </c>
      <c r="AT158" s="18">
        <f>Operations!AT150*Operations!AT157</f>
        <v/>
      </c>
      <c r="AU158" s="18">
        <f>Operations!AU150*Operations!AU157</f>
        <v/>
      </c>
    </row>
    <row r="159">
      <c r="D159" t="inlineStr">
        <is>
          <t>R3 PRS term fraction</t>
        </is>
      </c>
      <c r="E159" t="inlineStr">
        <is>
          <t>fraction</t>
        </is>
      </c>
      <c r="J159" s="14">
        <f>MAX(0,MIN(Inputs!$F$199,Time!J$6)-MAX(Inputs!$F$198-1,Time!J$5))/Time!J$7</f>
        <v/>
      </c>
      <c r="K159" s="14">
        <f>MAX(0,MIN(Inputs!$F$199,Time!K$6)-MAX(Inputs!$F$198-1,Time!K$5))/Time!K$7</f>
        <v/>
      </c>
      <c r="L159" s="14">
        <f>MAX(0,MIN(Inputs!$F$199,Time!L$6)-MAX(Inputs!$F$198-1,Time!L$5))/Time!L$7</f>
        <v/>
      </c>
      <c r="M159" s="14">
        <f>MAX(0,MIN(Inputs!$F$199,Time!M$6)-MAX(Inputs!$F$198-1,Time!M$5))/Time!M$7</f>
        <v/>
      </c>
      <c r="N159" s="14">
        <f>MAX(0,MIN(Inputs!$F$199,Time!N$6)-MAX(Inputs!$F$198-1,Time!N$5))/Time!N$7</f>
        <v/>
      </c>
      <c r="O159" s="14">
        <f>MAX(0,MIN(Inputs!$F$199,Time!O$6)-MAX(Inputs!$F$198-1,Time!O$5))/Time!O$7</f>
        <v/>
      </c>
      <c r="P159" s="14">
        <f>MAX(0,MIN(Inputs!$F$199,Time!P$6)-MAX(Inputs!$F$198-1,Time!P$5))/Time!P$7</f>
        <v/>
      </c>
      <c r="Q159" s="14">
        <f>MAX(0,MIN(Inputs!$F$199,Time!Q$6)-MAX(Inputs!$F$198-1,Time!Q$5))/Time!Q$7</f>
        <v/>
      </c>
      <c r="R159" s="14">
        <f>MAX(0,MIN(Inputs!$F$199,Time!R$6)-MAX(Inputs!$F$198-1,Time!R$5))/Time!R$7</f>
        <v/>
      </c>
      <c r="S159" s="14">
        <f>MAX(0,MIN(Inputs!$F$199,Time!S$6)-MAX(Inputs!$F$198-1,Time!S$5))/Time!S$7</f>
        <v/>
      </c>
      <c r="T159" s="14">
        <f>MAX(0,MIN(Inputs!$F$199,Time!T$6)-MAX(Inputs!$F$198-1,Time!T$5))/Time!T$7</f>
        <v/>
      </c>
      <c r="U159" s="14">
        <f>MAX(0,MIN(Inputs!$F$199,Time!U$6)-MAX(Inputs!$F$198-1,Time!U$5))/Time!U$7</f>
        <v/>
      </c>
      <c r="V159" s="14">
        <f>MAX(0,MIN(Inputs!$F$199,Time!V$6)-MAX(Inputs!$F$198-1,Time!V$5))/Time!V$7</f>
        <v/>
      </c>
      <c r="W159" s="14">
        <f>MAX(0,MIN(Inputs!$F$199,Time!W$6)-MAX(Inputs!$F$198-1,Time!W$5))/Time!W$7</f>
        <v/>
      </c>
      <c r="X159" s="14">
        <f>MAX(0,MIN(Inputs!$F$199,Time!X$6)-MAX(Inputs!$F$198-1,Time!X$5))/Time!X$7</f>
        <v/>
      </c>
      <c r="Y159" s="14">
        <f>MAX(0,MIN(Inputs!$F$199,Time!Y$6)-MAX(Inputs!$F$198-1,Time!Y$5))/Time!Y$7</f>
        <v/>
      </c>
      <c r="Z159" s="14">
        <f>MAX(0,MIN(Inputs!$F$199,Time!Z$6)-MAX(Inputs!$F$198-1,Time!Z$5))/Time!Z$7</f>
        <v/>
      </c>
      <c r="AA159" s="14">
        <f>MAX(0,MIN(Inputs!$F$199,Time!AA$6)-MAX(Inputs!$F$198-1,Time!AA$5))/Time!AA$7</f>
        <v/>
      </c>
      <c r="AB159" s="14">
        <f>MAX(0,MIN(Inputs!$F$199,Time!AB$6)-MAX(Inputs!$F$198-1,Time!AB$5))/Time!AB$7</f>
        <v/>
      </c>
      <c r="AC159" s="14">
        <f>MAX(0,MIN(Inputs!$F$199,Time!AC$6)-MAX(Inputs!$F$198-1,Time!AC$5))/Time!AC$7</f>
        <v/>
      </c>
      <c r="AD159" s="14">
        <f>MAX(0,MIN(Inputs!$F$199,Time!AD$6)-MAX(Inputs!$F$198-1,Time!AD$5))/Time!AD$7</f>
        <v/>
      </c>
      <c r="AE159" s="14">
        <f>MAX(0,MIN(Inputs!$F$199,Time!AE$6)-MAX(Inputs!$F$198-1,Time!AE$5))/Time!AE$7</f>
        <v/>
      </c>
      <c r="AF159" s="14">
        <f>MAX(0,MIN(Inputs!$F$199,Time!AF$6)-MAX(Inputs!$F$198-1,Time!AF$5))/Time!AF$7</f>
        <v/>
      </c>
      <c r="AG159" s="14">
        <f>MAX(0,MIN(Inputs!$F$199,Time!AG$6)-MAX(Inputs!$F$198-1,Time!AG$5))/Time!AG$7</f>
        <v/>
      </c>
      <c r="AH159" s="14">
        <f>MAX(0,MIN(Inputs!$F$199,Time!AH$6)-MAX(Inputs!$F$198-1,Time!AH$5))/Time!AH$7</f>
        <v/>
      </c>
      <c r="AI159" s="14">
        <f>MAX(0,MIN(Inputs!$F$199,Time!AI$6)-MAX(Inputs!$F$198-1,Time!AI$5))/Time!AI$7</f>
        <v/>
      </c>
      <c r="AJ159" s="14">
        <f>MAX(0,MIN(Inputs!$F$199,Time!AJ$6)-MAX(Inputs!$F$198-1,Time!AJ$5))/Time!AJ$7</f>
        <v/>
      </c>
      <c r="AK159" s="14">
        <f>MAX(0,MIN(Inputs!$F$199,Time!AK$6)-MAX(Inputs!$F$198-1,Time!AK$5))/Time!AK$7</f>
        <v/>
      </c>
      <c r="AL159" s="14">
        <f>MAX(0,MIN(Inputs!$F$199,Time!AL$6)-MAX(Inputs!$F$198-1,Time!AL$5))/Time!AL$7</f>
        <v/>
      </c>
      <c r="AM159" s="14">
        <f>MAX(0,MIN(Inputs!$F$199,Time!AM$6)-MAX(Inputs!$F$198-1,Time!AM$5))/Time!AM$7</f>
        <v/>
      </c>
      <c r="AN159" s="14">
        <f>MAX(0,MIN(Inputs!$F$199,Time!AN$6)-MAX(Inputs!$F$198-1,Time!AN$5))/Time!AN$7</f>
        <v/>
      </c>
      <c r="AO159" s="14">
        <f>MAX(0,MIN(Inputs!$F$199,Time!AO$6)-MAX(Inputs!$F$198-1,Time!AO$5))/Time!AO$7</f>
        <v/>
      </c>
      <c r="AP159" s="14">
        <f>MAX(0,MIN(Inputs!$F$199,Time!AP$6)-MAX(Inputs!$F$198-1,Time!AP$5))/Time!AP$7</f>
        <v/>
      </c>
      <c r="AQ159" s="14">
        <f>MAX(0,MIN(Inputs!$F$199,Time!AQ$6)-MAX(Inputs!$F$198-1,Time!AQ$5))/Time!AQ$7</f>
        <v/>
      </c>
      <c r="AR159" s="14">
        <f>MAX(0,MIN(Inputs!$F$199,Time!AR$6)-MAX(Inputs!$F$198-1,Time!AR$5))/Time!AR$7</f>
        <v/>
      </c>
      <c r="AS159" s="14">
        <f>MAX(0,MIN(Inputs!$F$199,Time!AS$6)-MAX(Inputs!$F$198-1,Time!AS$5))/Time!AS$7</f>
        <v/>
      </c>
      <c r="AT159" s="14">
        <f>MAX(0,MIN(Inputs!$F$199,Time!AT$6)-MAX(Inputs!$F$198-1,Time!AT$5))/Time!AT$7</f>
        <v/>
      </c>
      <c r="AU159" s="14">
        <f>MAX(0,MIN(Inputs!$F$199,Time!AU$6)-MAX(Inputs!$F$198-1,Time!AU$5))/Time!AU$7</f>
        <v/>
      </c>
    </row>
    <row r="160">
      <c r="D160" t="inlineStr">
        <is>
          <t>R3 proxy generation</t>
        </is>
      </c>
      <c r="E160" t="inlineStr">
        <is>
          <t>GWh</t>
        </is>
      </c>
      <c r="J160" s="20">
        <f>Operations!J154*Operations!J159</f>
        <v/>
      </c>
      <c r="K160" s="20">
        <f>Operations!K154*Operations!K159</f>
        <v/>
      </c>
      <c r="L160" s="20">
        <f>Operations!L154*Operations!L159</f>
        <v/>
      </c>
      <c r="M160" s="20">
        <f>Operations!M154*Operations!M159</f>
        <v/>
      </c>
      <c r="N160" s="20">
        <f>Operations!N154*Operations!N159</f>
        <v/>
      </c>
      <c r="O160" s="20">
        <f>Operations!O154*Operations!O159</f>
        <v/>
      </c>
      <c r="P160" s="20">
        <f>Operations!P154*Operations!P159</f>
        <v/>
      </c>
      <c r="Q160" s="20">
        <f>Operations!Q154*Operations!Q159</f>
        <v/>
      </c>
      <c r="R160" s="20">
        <f>Operations!R154*Operations!R159</f>
        <v/>
      </c>
      <c r="S160" s="20">
        <f>Operations!S154*Operations!S159</f>
        <v/>
      </c>
      <c r="T160" s="20">
        <f>Operations!T154*Operations!T159</f>
        <v/>
      </c>
      <c r="U160" s="20">
        <f>Operations!U154*Operations!U159</f>
        <v/>
      </c>
      <c r="V160" s="20">
        <f>Operations!V154*Operations!V159</f>
        <v/>
      </c>
      <c r="W160" s="20">
        <f>Operations!W154*Operations!W159</f>
        <v/>
      </c>
      <c r="X160" s="20">
        <f>Operations!X154*Operations!X159</f>
        <v/>
      </c>
      <c r="Y160" s="20">
        <f>Operations!Y154*Operations!Y159</f>
        <v/>
      </c>
      <c r="Z160" s="20">
        <f>Operations!Z154*Operations!Z159</f>
        <v/>
      </c>
      <c r="AA160" s="20">
        <f>Operations!AA154*Operations!AA159</f>
        <v/>
      </c>
      <c r="AB160" s="20">
        <f>Operations!AB154*Operations!AB159</f>
        <v/>
      </c>
      <c r="AC160" s="20">
        <f>Operations!AC154*Operations!AC159</f>
        <v/>
      </c>
      <c r="AD160" s="20">
        <f>Operations!AD154*Operations!AD159</f>
        <v/>
      </c>
      <c r="AE160" s="20">
        <f>Operations!AE154*Operations!AE159</f>
        <v/>
      </c>
      <c r="AF160" s="20">
        <f>Operations!AF154*Operations!AF159</f>
        <v/>
      </c>
      <c r="AG160" s="20">
        <f>Operations!AG154*Operations!AG159</f>
        <v/>
      </c>
      <c r="AH160" s="20">
        <f>Operations!AH154*Operations!AH159</f>
        <v/>
      </c>
      <c r="AI160" s="20">
        <f>Operations!AI154*Operations!AI159</f>
        <v/>
      </c>
      <c r="AJ160" s="20">
        <f>Operations!AJ154*Operations!AJ159</f>
        <v/>
      </c>
      <c r="AK160" s="20">
        <f>Operations!AK154*Operations!AK159</f>
        <v/>
      </c>
      <c r="AL160" s="20">
        <f>Operations!AL154*Operations!AL159</f>
        <v/>
      </c>
      <c r="AM160" s="20">
        <f>Operations!AM154*Operations!AM159</f>
        <v/>
      </c>
      <c r="AN160" s="20">
        <f>Operations!AN154*Operations!AN159</f>
        <v/>
      </c>
      <c r="AO160" s="20">
        <f>Operations!AO154*Operations!AO159</f>
        <v/>
      </c>
      <c r="AP160" s="20">
        <f>Operations!AP154*Operations!AP159</f>
        <v/>
      </c>
      <c r="AQ160" s="20">
        <f>Operations!AQ154*Operations!AQ159</f>
        <v/>
      </c>
      <c r="AR160" s="20">
        <f>Operations!AR154*Operations!AR159</f>
        <v/>
      </c>
      <c r="AS160" s="20">
        <f>Operations!AS154*Operations!AS159</f>
        <v/>
      </c>
      <c r="AT160" s="20">
        <f>Operations!AT154*Operations!AT159</f>
        <v/>
      </c>
      <c r="AU160" s="20">
        <f>Operations!AU154*Operations!AU159</f>
        <v/>
      </c>
    </row>
    <row r="161">
      <c r="D161" t="inlineStr">
        <is>
          <t>R3 PRS net (fixed received less proxy revenue paid)</t>
        </is>
      </c>
      <c r="E161" t="inlineStr">
        <is>
          <t>USD m</t>
        </is>
      </c>
      <c r="G161" s="20">
        <f>SUM(J161:AU161)</f>
        <v/>
      </c>
      <c r="J161" s="20">
        <f>Inputs!$F$197*Operations!J159-Operations!J160*Operations!J156*Operations!J150/1000</f>
        <v/>
      </c>
      <c r="K161" s="20">
        <f>Inputs!$F$197*Operations!K159-Operations!K160*Operations!K156*Operations!K150/1000</f>
        <v/>
      </c>
      <c r="L161" s="20">
        <f>Inputs!$F$197*Operations!L159-Operations!L160*Operations!L156*Operations!L150/1000</f>
        <v/>
      </c>
      <c r="M161" s="20">
        <f>Inputs!$F$197*Operations!M159-Operations!M160*Operations!M156*Operations!M150/1000</f>
        <v/>
      </c>
      <c r="N161" s="20">
        <f>Inputs!$F$197*Operations!N159-Operations!N160*Operations!N156*Operations!N150/1000</f>
        <v/>
      </c>
      <c r="O161" s="20">
        <f>Inputs!$F$197*Operations!O159-Operations!O160*Operations!O156*Operations!O150/1000</f>
        <v/>
      </c>
      <c r="P161" s="20">
        <f>Inputs!$F$197*Operations!P159-Operations!P160*Operations!P156*Operations!P150/1000</f>
        <v/>
      </c>
      <c r="Q161" s="20">
        <f>Inputs!$F$197*Operations!Q159-Operations!Q160*Operations!Q156*Operations!Q150/1000</f>
        <v/>
      </c>
      <c r="R161" s="20">
        <f>Inputs!$F$197*Operations!R159-Operations!R160*Operations!R156*Operations!R150/1000</f>
        <v/>
      </c>
      <c r="S161" s="20">
        <f>Inputs!$F$197*Operations!S159-Operations!S160*Operations!S156*Operations!S150/1000</f>
        <v/>
      </c>
      <c r="T161" s="20">
        <f>Inputs!$F$197*Operations!T159-Operations!T160*Operations!T156*Operations!T150/1000</f>
        <v/>
      </c>
      <c r="U161" s="20">
        <f>Inputs!$F$197*Operations!U159-Operations!U160*Operations!U156*Operations!U150/1000</f>
        <v/>
      </c>
      <c r="V161" s="20">
        <f>Inputs!$F$197*Operations!V159-Operations!V160*Operations!V156*Operations!V150/1000</f>
        <v/>
      </c>
      <c r="W161" s="20">
        <f>Inputs!$F$197*Operations!W159-Operations!W160*Operations!W156*Operations!W150/1000</f>
        <v/>
      </c>
      <c r="X161" s="20">
        <f>Inputs!$F$197*Operations!X159-Operations!X160*Operations!X156*Operations!X150/1000</f>
        <v/>
      </c>
      <c r="Y161" s="20">
        <f>Inputs!$F$197*Operations!Y159-Operations!Y160*Operations!Y156*Operations!Y150/1000</f>
        <v/>
      </c>
      <c r="Z161" s="20">
        <f>Inputs!$F$197*Operations!Z159-Operations!Z160*Operations!Z156*Operations!Z150/1000</f>
        <v/>
      </c>
      <c r="AA161" s="20">
        <f>Inputs!$F$197*Operations!AA159-Operations!AA160*Operations!AA156*Operations!AA150/1000</f>
        <v/>
      </c>
      <c r="AB161" s="20">
        <f>Inputs!$F$197*Operations!AB159-Operations!AB160*Operations!AB156*Operations!AB150/1000</f>
        <v/>
      </c>
      <c r="AC161" s="20">
        <f>Inputs!$F$197*Operations!AC159-Operations!AC160*Operations!AC156*Operations!AC150/1000</f>
        <v/>
      </c>
      <c r="AD161" s="20">
        <f>Inputs!$F$197*Operations!AD159-Operations!AD160*Operations!AD156*Operations!AD150/1000</f>
        <v/>
      </c>
      <c r="AE161" s="20">
        <f>Inputs!$F$197*Operations!AE159-Operations!AE160*Operations!AE156*Operations!AE150/1000</f>
        <v/>
      </c>
      <c r="AF161" s="20">
        <f>Inputs!$F$197*Operations!AF159-Operations!AF160*Operations!AF156*Operations!AF150/1000</f>
        <v/>
      </c>
      <c r="AG161" s="20">
        <f>Inputs!$F$197*Operations!AG159-Operations!AG160*Operations!AG156*Operations!AG150/1000</f>
        <v/>
      </c>
      <c r="AH161" s="20">
        <f>Inputs!$F$197*Operations!AH159-Operations!AH160*Operations!AH156*Operations!AH150/1000</f>
        <v/>
      </c>
      <c r="AI161" s="20">
        <f>Inputs!$F$197*Operations!AI159-Operations!AI160*Operations!AI156*Operations!AI150/1000</f>
        <v/>
      </c>
      <c r="AJ161" s="20">
        <f>Inputs!$F$197*Operations!AJ159-Operations!AJ160*Operations!AJ156*Operations!AJ150/1000</f>
        <v/>
      </c>
      <c r="AK161" s="20">
        <f>Inputs!$F$197*Operations!AK159-Operations!AK160*Operations!AK156*Operations!AK150/1000</f>
        <v/>
      </c>
      <c r="AL161" s="20">
        <f>Inputs!$F$197*Operations!AL159-Operations!AL160*Operations!AL156*Operations!AL150/1000</f>
        <v/>
      </c>
      <c r="AM161" s="20">
        <f>Inputs!$F$197*Operations!AM159-Operations!AM160*Operations!AM156*Operations!AM150/1000</f>
        <v/>
      </c>
      <c r="AN161" s="20">
        <f>Inputs!$F$197*Operations!AN159-Operations!AN160*Operations!AN156*Operations!AN150/1000</f>
        <v/>
      </c>
      <c r="AO161" s="20">
        <f>Inputs!$F$197*Operations!AO159-Operations!AO160*Operations!AO156*Operations!AO150/1000</f>
        <v/>
      </c>
      <c r="AP161" s="20">
        <f>Inputs!$F$197*Operations!AP159-Operations!AP160*Operations!AP156*Operations!AP150/1000</f>
        <v/>
      </c>
      <c r="AQ161" s="20">
        <f>Inputs!$F$197*Operations!AQ159-Operations!AQ160*Operations!AQ156*Operations!AQ150/1000</f>
        <v/>
      </c>
      <c r="AR161" s="20">
        <f>Inputs!$F$197*Operations!AR159-Operations!AR160*Operations!AR156*Operations!AR150/1000</f>
        <v/>
      </c>
      <c r="AS161" s="20">
        <f>Inputs!$F$197*Operations!AS159-Operations!AS160*Operations!AS156*Operations!AS150/1000</f>
        <v/>
      </c>
      <c r="AT161" s="20">
        <f>Inputs!$F$197*Operations!AT159-Operations!AT160*Operations!AT156*Operations!AT150/1000</f>
        <v/>
      </c>
      <c r="AU161" s="20">
        <f>Inputs!$F$197*Operations!AU159-Operations!AU160*Operations!AU156*Operations!AU150/1000</f>
        <v/>
      </c>
    </row>
    <row r="162">
      <c r="D162" t="inlineStr">
        <is>
          <t>R3 generation sold at node</t>
        </is>
      </c>
      <c r="E162" t="inlineStr">
        <is>
          <t>GWh</t>
        </is>
      </c>
      <c r="J162" s="20">
        <f>Operations!J155</f>
        <v/>
      </c>
      <c r="K162" s="20">
        <f>Operations!K155</f>
        <v/>
      </c>
      <c r="L162" s="20">
        <f>Operations!L155</f>
        <v/>
      </c>
      <c r="M162" s="20">
        <f>Operations!M155</f>
        <v/>
      </c>
      <c r="N162" s="20">
        <f>Operations!N155</f>
        <v/>
      </c>
      <c r="O162" s="20">
        <f>Operations!O155</f>
        <v/>
      </c>
      <c r="P162" s="20">
        <f>Operations!P155</f>
        <v/>
      </c>
      <c r="Q162" s="20">
        <f>Operations!Q155</f>
        <v/>
      </c>
      <c r="R162" s="20">
        <f>Operations!R155</f>
        <v/>
      </c>
      <c r="S162" s="20">
        <f>Operations!S155</f>
        <v/>
      </c>
      <c r="T162" s="20">
        <f>Operations!T155</f>
        <v/>
      </c>
      <c r="U162" s="20">
        <f>Operations!U155</f>
        <v/>
      </c>
      <c r="V162" s="20">
        <f>Operations!V155</f>
        <v/>
      </c>
      <c r="W162" s="20">
        <f>Operations!W155</f>
        <v/>
      </c>
      <c r="X162" s="20">
        <f>Operations!X155</f>
        <v/>
      </c>
      <c r="Y162" s="20">
        <f>Operations!Y155</f>
        <v/>
      </c>
      <c r="Z162" s="20">
        <f>Operations!Z155</f>
        <v/>
      </c>
      <c r="AA162" s="20">
        <f>Operations!AA155</f>
        <v/>
      </c>
      <c r="AB162" s="20">
        <f>Operations!AB155</f>
        <v/>
      </c>
      <c r="AC162" s="20">
        <f>Operations!AC155</f>
        <v/>
      </c>
      <c r="AD162" s="20">
        <f>Operations!AD155</f>
        <v/>
      </c>
      <c r="AE162" s="20">
        <f>Operations!AE155</f>
        <v/>
      </c>
      <c r="AF162" s="20">
        <f>Operations!AF155</f>
        <v/>
      </c>
      <c r="AG162" s="20">
        <f>Operations!AG155</f>
        <v/>
      </c>
      <c r="AH162" s="20">
        <f>Operations!AH155</f>
        <v/>
      </c>
      <c r="AI162" s="20">
        <f>Operations!AI155</f>
        <v/>
      </c>
      <c r="AJ162" s="20">
        <f>Operations!AJ155</f>
        <v/>
      </c>
      <c r="AK162" s="20">
        <f>Operations!AK155</f>
        <v/>
      </c>
      <c r="AL162" s="20">
        <f>Operations!AL155</f>
        <v/>
      </c>
      <c r="AM162" s="20">
        <f>Operations!AM155</f>
        <v/>
      </c>
      <c r="AN162" s="20">
        <f>Operations!AN155</f>
        <v/>
      </c>
      <c r="AO162" s="20">
        <f>Operations!AO155</f>
        <v/>
      </c>
      <c r="AP162" s="20">
        <f>Operations!AP155</f>
        <v/>
      </c>
      <c r="AQ162" s="20">
        <f>Operations!AQ155</f>
        <v/>
      </c>
      <c r="AR162" s="20">
        <f>Operations!AR155</f>
        <v/>
      </c>
      <c r="AS162" s="20">
        <f>Operations!AS155</f>
        <v/>
      </c>
      <c r="AT162" s="20">
        <f>Operations!AT155</f>
        <v/>
      </c>
      <c r="AU162" s="20">
        <f>Operations!AU155</f>
        <v/>
      </c>
    </row>
    <row r="163">
      <c r="D163" t="inlineStr">
        <is>
          <t>R3 contracted revenue (PRS fixed payment)</t>
        </is>
      </c>
      <c r="E163" t="inlineStr">
        <is>
          <t>USD m</t>
        </is>
      </c>
      <c r="J163" s="20">
        <f>Inputs!$F$197*Operations!J159</f>
        <v/>
      </c>
      <c r="K163" s="20">
        <f>Inputs!$F$197*Operations!K159</f>
        <v/>
      </c>
      <c r="L163" s="20">
        <f>Inputs!$F$197*Operations!L159</f>
        <v/>
      </c>
      <c r="M163" s="20">
        <f>Inputs!$F$197*Operations!M159</f>
        <v/>
      </c>
      <c r="N163" s="20">
        <f>Inputs!$F$197*Operations!N159</f>
        <v/>
      </c>
      <c r="O163" s="20">
        <f>Inputs!$F$197*Operations!O159</f>
        <v/>
      </c>
      <c r="P163" s="20">
        <f>Inputs!$F$197*Operations!P159</f>
        <v/>
      </c>
      <c r="Q163" s="20">
        <f>Inputs!$F$197*Operations!Q159</f>
        <v/>
      </c>
      <c r="R163" s="20">
        <f>Inputs!$F$197*Operations!R159</f>
        <v/>
      </c>
      <c r="S163" s="20">
        <f>Inputs!$F$197*Operations!S159</f>
        <v/>
      </c>
      <c r="T163" s="20">
        <f>Inputs!$F$197*Operations!T159</f>
        <v/>
      </c>
      <c r="U163" s="20">
        <f>Inputs!$F$197*Operations!U159</f>
        <v/>
      </c>
      <c r="V163" s="20">
        <f>Inputs!$F$197*Operations!V159</f>
        <v/>
      </c>
      <c r="W163" s="20">
        <f>Inputs!$F$197*Operations!W159</f>
        <v/>
      </c>
      <c r="X163" s="20">
        <f>Inputs!$F$197*Operations!X159</f>
        <v/>
      </c>
      <c r="Y163" s="20">
        <f>Inputs!$F$197*Operations!Y159</f>
        <v/>
      </c>
      <c r="Z163" s="20">
        <f>Inputs!$F$197*Operations!Z159</f>
        <v/>
      </c>
      <c r="AA163" s="20">
        <f>Inputs!$F$197*Operations!AA159</f>
        <v/>
      </c>
      <c r="AB163" s="20">
        <f>Inputs!$F$197*Operations!AB159</f>
        <v/>
      </c>
      <c r="AC163" s="20">
        <f>Inputs!$F$197*Operations!AC159</f>
        <v/>
      </c>
      <c r="AD163" s="20">
        <f>Inputs!$F$197*Operations!AD159</f>
        <v/>
      </c>
      <c r="AE163" s="20">
        <f>Inputs!$F$197*Operations!AE159</f>
        <v/>
      </c>
      <c r="AF163" s="20">
        <f>Inputs!$F$197*Operations!AF159</f>
        <v/>
      </c>
      <c r="AG163" s="20">
        <f>Inputs!$F$197*Operations!AG159</f>
        <v/>
      </c>
      <c r="AH163" s="20">
        <f>Inputs!$F$197*Operations!AH159</f>
        <v/>
      </c>
      <c r="AI163" s="20">
        <f>Inputs!$F$197*Operations!AI159</f>
        <v/>
      </c>
      <c r="AJ163" s="20">
        <f>Inputs!$F$197*Operations!AJ159</f>
        <v/>
      </c>
      <c r="AK163" s="20">
        <f>Inputs!$F$197*Operations!AK159</f>
        <v/>
      </c>
      <c r="AL163" s="20">
        <f>Inputs!$F$197*Operations!AL159</f>
        <v/>
      </c>
      <c r="AM163" s="20">
        <f>Inputs!$F$197*Operations!AM159</f>
        <v/>
      </c>
      <c r="AN163" s="20">
        <f>Inputs!$F$197*Operations!AN159</f>
        <v/>
      </c>
      <c r="AO163" s="20">
        <f>Inputs!$F$197*Operations!AO159</f>
        <v/>
      </c>
      <c r="AP163" s="20">
        <f>Inputs!$F$197*Operations!AP159</f>
        <v/>
      </c>
      <c r="AQ163" s="20">
        <f>Inputs!$F$197*Operations!AQ159</f>
        <v/>
      </c>
      <c r="AR163" s="20">
        <f>Inputs!$F$197*Operations!AR159</f>
        <v/>
      </c>
      <c r="AS163" s="20">
        <f>Inputs!$F$197*Operations!AS159</f>
        <v/>
      </c>
      <c r="AT163" s="20">
        <f>Inputs!$F$197*Operations!AT159</f>
        <v/>
      </c>
      <c r="AU163" s="20">
        <f>Inputs!$F$197*Operations!AU159</f>
        <v/>
      </c>
    </row>
    <row r="164">
      <c r="D164" t="inlineStr">
        <is>
          <t>R3 hedged revenue</t>
        </is>
      </c>
      <c r="E164" t="inlineStr">
        <is>
          <t>USD m</t>
        </is>
      </c>
      <c r="J164" s="20">
        <f>0</f>
        <v/>
      </c>
      <c r="K164" s="20">
        <f>0</f>
        <v/>
      </c>
      <c r="L164" s="20">
        <f>0</f>
        <v/>
      </c>
      <c r="M164" s="20">
        <f>0</f>
        <v/>
      </c>
      <c r="N164" s="20">
        <f>0</f>
        <v/>
      </c>
      <c r="O164" s="20">
        <f>0</f>
        <v/>
      </c>
      <c r="P164" s="20">
        <f>0</f>
        <v/>
      </c>
      <c r="Q164" s="20">
        <f>0</f>
        <v/>
      </c>
      <c r="R164" s="20">
        <f>0</f>
        <v/>
      </c>
      <c r="S164" s="20">
        <f>0</f>
        <v/>
      </c>
      <c r="T164" s="20">
        <f>0</f>
        <v/>
      </c>
      <c r="U164" s="20">
        <f>0</f>
        <v/>
      </c>
      <c r="V164" s="20">
        <f>0</f>
        <v/>
      </c>
      <c r="W164" s="20">
        <f>0</f>
        <v/>
      </c>
      <c r="X164" s="20">
        <f>0</f>
        <v/>
      </c>
      <c r="Y164" s="20">
        <f>0</f>
        <v/>
      </c>
      <c r="Z164" s="20">
        <f>0</f>
        <v/>
      </c>
      <c r="AA164" s="20">
        <f>0</f>
        <v/>
      </c>
      <c r="AB164" s="20">
        <f>0</f>
        <v/>
      </c>
      <c r="AC164" s="20">
        <f>0</f>
        <v/>
      </c>
      <c r="AD164" s="20">
        <f>0</f>
        <v/>
      </c>
      <c r="AE164" s="20">
        <f>0</f>
        <v/>
      </c>
      <c r="AF164" s="20">
        <f>0</f>
        <v/>
      </c>
      <c r="AG164" s="20">
        <f>0</f>
        <v/>
      </c>
      <c r="AH164" s="20">
        <f>0</f>
        <v/>
      </c>
      <c r="AI164" s="20">
        <f>0</f>
        <v/>
      </c>
      <c r="AJ164" s="20">
        <f>0</f>
        <v/>
      </c>
      <c r="AK164" s="20">
        <f>0</f>
        <v/>
      </c>
      <c r="AL164" s="20">
        <f>0</f>
        <v/>
      </c>
      <c r="AM164" s="20">
        <f>0</f>
        <v/>
      </c>
      <c r="AN164" s="20">
        <f>0</f>
        <v/>
      </c>
      <c r="AO164" s="20">
        <f>0</f>
        <v/>
      </c>
      <c r="AP164" s="20">
        <f>0</f>
        <v/>
      </c>
      <c r="AQ164" s="20">
        <f>0</f>
        <v/>
      </c>
      <c r="AR164" s="20">
        <f>0</f>
        <v/>
      </c>
      <c r="AS164" s="20">
        <f>0</f>
        <v/>
      </c>
      <c r="AT164" s="20">
        <f>0</f>
        <v/>
      </c>
      <c r="AU164" s="20">
        <f>0</f>
        <v/>
      </c>
    </row>
    <row r="165">
      <c r="D165" t="inlineStr">
        <is>
          <t>R3 market revenue at node</t>
        </is>
      </c>
      <c r="E165" t="inlineStr">
        <is>
          <t>USD m</t>
        </is>
      </c>
      <c r="G165" s="20">
        <f>SUM(J165:AU165)</f>
        <v/>
      </c>
      <c r="J165" s="20">
        <f>Operations!J162*Operations!J158/1000</f>
        <v/>
      </c>
      <c r="K165" s="20">
        <f>Operations!K162*Operations!K158/1000</f>
        <v/>
      </c>
      <c r="L165" s="20">
        <f>Operations!L162*Operations!L158/1000</f>
        <v/>
      </c>
      <c r="M165" s="20">
        <f>Operations!M162*Operations!M158/1000</f>
        <v/>
      </c>
      <c r="N165" s="20">
        <f>Operations!N162*Operations!N158/1000</f>
        <v/>
      </c>
      <c r="O165" s="20">
        <f>Operations!O162*Operations!O158/1000</f>
        <v/>
      </c>
      <c r="P165" s="20">
        <f>Operations!P162*Operations!P158/1000</f>
        <v/>
      </c>
      <c r="Q165" s="20">
        <f>Operations!Q162*Operations!Q158/1000</f>
        <v/>
      </c>
      <c r="R165" s="20">
        <f>Operations!R162*Operations!R158/1000</f>
        <v/>
      </c>
      <c r="S165" s="20">
        <f>Operations!S162*Operations!S158/1000</f>
        <v/>
      </c>
      <c r="T165" s="20">
        <f>Operations!T162*Operations!T158/1000</f>
        <v/>
      </c>
      <c r="U165" s="20">
        <f>Operations!U162*Operations!U158/1000</f>
        <v/>
      </c>
      <c r="V165" s="20">
        <f>Operations!V162*Operations!V158/1000</f>
        <v/>
      </c>
      <c r="W165" s="20">
        <f>Operations!W162*Operations!W158/1000</f>
        <v/>
      </c>
      <c r="X165" s="20">
        <f>Operations!X162*Operations!X158/1000</f>
        <v/>
      </c>
      <c r="Y165" s="20">
        <f>Operations!Y162*Operations!Y158/1000</f>
        <v/>
      </c>
      <c r="Z165" s="20">
        <f>Operations!Z162*Operations!Z158/1000</f>
        <v/>
      </c>
      <c r="AA165" s="20">
        <f>Operations!AA162*Operations!AA158/1000</f>
        <v/>
      </c>
      <c r="AB165" s="20">
        <f>Operations!AB162*Operations!AB158/1000</f>
        <v/>
      </c>
      <c r="AC165" s="20">
        <f>Operations!AC162*Operations!AC158/1000</f>
        <v/>
      </c>
      <c r="AD165" s="20">
        <f>Operations!AD162*Operations!AD158/1000</f>
        <v/>
      </c>
      <c r="AE165" s="20">
        <f>Operations!AE162*Operations!AE158/1000</f>
        <v/>
      </c>
      <c r="AF165" s="20">
        <f>Operations!AF162*Operations!AF158/1000</f>
        <v/>
      </c>
      <c r="AG165" s="20">
        <f>Operations!AG162*Operations!AG158/1000</f>
        <v/>
      </c>
      <c r="AH165" s="20">
        <f>Operations!AH162*Operations!AH158/1000</f>
        <v/>
      </c>
      <c r="AI165" s="20">
        <f>Operations!AI162*Operations!AI158/1000</f>
        <v/>
      </c>
      <c r="AJ165" s="20">
        <f>Operations!AJ162*Operations!AJ158/1000</f>
        <v/>
      </c>
      <c r="AK165" s="20">
        <f>Operations!AK162*Operations!AK158/1000</f>
        <v/>
      </c>
      <c r="AL165" s="20">
        <f>Operations!AL162*Operations!AL158/1000</f>
        <v/>
      </c>
      <c r="AM165" s="20">
        <f>Operations!AM162*Operations!AM158/1000</f>
        <v/>
      </c>
      <c r="AN165" s="20">
        <f>Operations!AN162*Operations!AN158/1000</f>
        <v/>
      </c>
      <c r="AO165" s="20">
        <f>Operations!AO162*Operations!AO158/1000</f>
        <v/>
      </c>
      <c r="AP165" s="20">
        <f>Operations!AP162*Operations!AP158/1000</f>
        <v/>
      </c>
      <c r="AQ165" s="20">
        <f>Operations!AQ162*Operations!AQ158/1000</f>
        <v/>
      </c>
      <c r="AR165" s="20">
        <f>Operations!AR162*Operations!AR158/1000</f>
        <v/>
      </c>
      <c r="AS165" s="20">
        <f>Operations!AS162*Operations!AS158/1000</f>
        <v/>
      </c>
      <c r="AT165" s="20">
        <f>Operations!AT162*Operations!AT158/1000</f>
        <v/>
      </c>
      <c r="AU165" s="20">
        <f>Operations!AU162*Operations!AU158/1000</f>
        <v/>
      </c>
    </row>
    <row r="166">
      <c r="D166" t="inlineStr">
        <is>
          <t>R3 total revenue</t>
        </is>
      </c>
      <c r="E166" t="inlineStr">
        <is>
          <t>USD m</t>
        </is>
      </c>
      <c r="G166" s="20">
        <f>SUM(J166:AU166)</f>
        <v/>
      </c>
      <c r="J166" s="20">
        <f>Operations!J165+Operations!J161</f>
        <v/>
      </c>
      <c r="K166" s="20">
        <f>Operations!K165+Operations!K161</f>
        <v/>
      </c>
      <c r="L166" s="20">
        <f>Operations!L165+Operations!L161</f>
        <v/>
      </c>
      <c r="M166" s="20">
        <f>Operations!M165+Operations!M161</f>
        <v/>
      </c>
      <c r="N166" s="20">
        <f>Operations!N165+Operations!N161</f>
        <v/>
      </c>
      <c r="O166" s="20">
        <f>Operations!O165+Operations!O161</f>
        <v/>
      </c>
      <c r="P166" s="20">
        <f>Operations!P165+Operations!P161</f>
        <v/>
      </c>
      <c r="Q166" s="20">
        <f>Operations!Q165+Operations!Q161</f>
        <v/>
      </c>
      <c r="R166" s="20">
        <f>Operations!R165+Operations!R161</f>
        <v/>
      </c>
      <c r="S166" s="20">
        <f>Operations!S165+Operations!S161</f>
        <v/>
      </c>
      <c r="T166" s="20">
        <f>Operations!T165+Operations!T161</f>
        <v/>
      </c>
      <c r="U166" s="20">
        <f>Operations!U165+Operations!U161</f>
        <v/>
      </c>
      <c r="V166" s="20">
        <f>Operations!V165+Operations!V161</f>
        <v/>
      </c>
      <c r="W166" s="20">
        <f>Operations!W165+Operations!W161</f>
        <v/>
      </c>
      <c r="X166" s="20">
        <f>Operations!X165+Operations!X161</f>
        <v/>
      </c>
      <c r="Y166" s="20">
        <f>Operations!Y165+Operations!Y161</f>
        <v/>
      </c>
      <c r="Z166" s="20">
        <f>Operations!Z165+Operations!Z161</f>
        <v/>
      </c>
      <c r="AA166" s="20">
        <f>Operations!AA165+Operations!AA161</f>
        <v/>
      </c>
      <c r="AB166" s="20">
        <f>Operations!AB165+Operations!AB161</f>
        <v/>
      </c>
      <c r="AC166" s="20">
        <f>Operations!AC165+Operations!AC161</f>
        <v/>
      </c>
      <c r="AD166" s="20">
        <f>Operations!AD165+Operations!AD161</f>
        <v/>
      </c>
      <c r="AE166" s="20">
        <f>Operations!AE165+Operations!AE161</f>
        <v/>
      </c>
      <c r="AF166" s="20">
        <f>Operations!AF165+Operations!AF161</f>
        <v/>
      </c>
      <c r="AG166" s="20">
        <f>Operations!AG165+Operations!AG161</f>
        <v/>
      </c>
      <c r="AH166" s="20">
        <f>Operations!AH165+Operations!AH161</f>
        <v/>
      </c>
      <c r="AI166" s="20">
        <f>Operations!AI165+Operations!AI161</f>
        <v/>
      </c>
      <c r="AJ166" s="20">
        <f>Operations!AJ165+Operations!AJ161</f>
        <v/>
      </c>
      <c r="AK166" s="20">
        <f>Operations!AK165+Operations!AK161</f>
        <v/>
      </c>
      <c r="AL166" s="20">
        <f>Operations!AL165+Operations!AL161</f>
        <v/>
      </c>
      <c r="AM166" s="20">
        <f>Operations!AM165+Operations!AM161</f>
        <v/>
      </c>
      <c r="AN166" s="20">
        <f>Operations!AN165+Operations!AN161</f>
        <v/>
      </c>
      <c r="AO166" s="20">
        <f>Operations!AO165+Operations!AO161</f>
        <v/>
      </c>
      <c r="AP166" s="20">
        <f>Operations!AP165+Operations!AP161</f>
        <v/>
      </c>
      <c r="AQ166" s="20">
        <f>Operations!AQ165+Operations!AQ161</f>
        <v/>
      </c>
      <c r="AR166" s="20">
        <f>Operations!AR165+Operations!AR161</f>
        <v/>
      </c>
      <c r="AS166" s="20">
        <f>Operations!AS165+Operations!AS161</f>
        <v/>
      </c>
      <c r="AT166" s="20">
        <f>Operations!AT165+Operations!AT161</f>
        <v/>
      </c>
      <c r="AU166" s="20">
        <f>Operations!AU165+Operations!AU161</f>
        <v/>
      </c>
    </row>
    <row r="167">
      <c r="D167" t="inlineStr">
        <is>
          <t>R3 merchant revenue (total less contracted and hedged)</t>
        </is>
      </c>
      <c r="E167" t="inlineStr">
        <is>
          <t>USD m</t>
        </is>
      </c>
      <c r="J167" s="20">
        <f>Operations!J166-Operations!J163-Operations!J164</f>
        <v/>
      </c>
      <c r="K167" s="20">
        <f>Operations!K166-Operations!K163-Operations!K164</f>
        <v/>
      </c>
      <c r="L167" s="20">
        <f>Operations!L166-Operations!L163-Operations!L164</f>
        <v/>
      </c>
      <c r="M167" s="20">
        <f>Operations!M166-Operations!M163-Operations!M164</f>
        <v/>
      </c>
      <c r="N167" s="20">
        <f>Operations!N166-Operations!N163-Operations!N164</f>
        <v/>
      </c>
      <c r="O167" s="20">
        <f>Operations!O166-Operations!O163-Operations!O164</f>
        <v/>
      </c>
      <c r="P167" s="20">
        <f>Operations!P166-Operations!P163-Operations!P164</f>
        <v/>
      </c>
      <c r="Q167" s="20">
        <f>Operations!Q166-Operations!Q163-Operations!Q164</f>
        <v/>
      </c>
      <c r="R167" s="20">
        <f>Operations!R166-Operations!R163-Operations!R164</f>
        <v/>
      </c>
      <c r="S167" s="20">
        <f>Operations!S166-Operations!S163-Operations!S164</f>
        <v/>
      </c>
      <c r="T167" s="20">
        <f>Operations!T166-Operations!T163-Operations!T164</f>
        <v/>
      </c>
      <c r="U167" s="20">
        <f>Operations!U166-Operations!U163-Operations!U164</f>
        <v/>
      </c>
      <c r="V167" s="20">
        <f>Operations!V166-Operations!V163-Operations!V164</f>
        <v/>
      </c>
      <c r="W167" s="20">
        <f>Operations!W166-Operations!W163-Operations!W164</f>
        <v/>
      </c>
      <c r="X167" s="20">
        <f>Operations!X166-Operations!X163-Operations!X164</f>
        <v/>
      </c>
      <c r="Y167" s="20">
        <f>Operations!Y166-Operations!Y163-Operations!Y164</f>
        <v/>
      </c>
      <c r="Z167" s="20">
        <f>Operations!Z166-Operations!Z163-Operations!Z164</f>
        <v/>
      </c>
      <c r="AA167" s="20">
        <f>Operations!AA166-Operations!AA163-Operations!AA164</f>
        <v/>
      </c>
      <c r="AB167" s="20">
        <f>Operations!AB166-Operations!AB163-Operations!AB164</f>
        <v/>
      </c>
      <c r="AC167" s="20">
        <f>Operations!AC166-Operations!AC163-Operations!AC164</f>
        <v/>
      </c>
      <c r="AD167" s="20">
        <f>Operations!AD166-Operations!AD163-Operations!AD164</f>
        <v/>
      </c>
      <c r="AE167" s="20">
        <f>Operations!AE166-Operations!AE163-Operations!AE164</f>
        <v/>
      </c>
      <c r="AF167" s="20">
        <f>Operations!AF166-Operations!AF163-Operations!AF164</f>
        <v/>
      </c>
      <c r="AG167" s="20">
        <f>Operations!AG166-Operations!AG163-Operations!AG164</f>
        <v/>
      </c>
      <c r="AH167" s="20">
        <f>Operations!AH166-Operations!AH163-Operations!AH164</f>
        <v/>
      </c>
      <c r="AI167" s="20">
        <f>Operations!AI166-Operations!AI163-Operations!AI164</f>
        <v/>
      </c>
      <c r="AJ167" s="20">
        <f>Operations!AJ166-Operations!AJ163-Operations!AJ164</f>
        <v/>
      </c>
      <c r="AK167" s="20">
        <f>Operations!AK166-Operations!AK163-Operations!AK164</f>
        <v/>
      </c>
      <c r="AL167" s="20">
        <f>Operations!AL166-Operations!AL163-Operations!AL164</f>
        <v/>
      </c>
      <c r="AM167" s="20">
        <f>Operations!AM166-Operations!AM163-Operations!AM164</f>
        <v/>
      </c>
      <c r="AN167" s="20">
        <f>Operations!AN166-Operations!AN163-Operations!AN164</f>
        <v/>
      </c>
      <c r="AO167" s="20">
        <f>Operations!AO166-Operations!AO163-Operations!AO164</f>
        <v/>
      </c>
      <c r="AP167" s="20">
        <f>Operations!AP166-Operations!AP163-Operations!AP164</f>
        <v/>
      </c>
      <c r="AQ167" s="20">
        <f>Operations!AQ166-Operations!AQ163-Operations!AQ164</f>
        <v/>
      </c>
      <c r="AR167" s="20">
        <f>Operations!AR166-Operations!AR163-Operations!AR164</f>
        <v/>
      </c>
      <c r="AS167" s="20">
        <f>Operations!AS166-Operations!AS163-Operations!AS164</f>
        <v/>
      </c>
      <c r="AT167" s="20">
        <f>Operations!AT166-Operations!AT163-Operations!AT164</f>
        <v/>
      </c>
      <c r="AU167" s="20">
        <f>Operations!AU166-Operations!AU163-Operations!AU164</f>
        <v/>
      </c>
    </row>
    <row r="168">
      <c r="D168" t="inlineStr">
        <is>
          <t>R3 opex (O&amp;M, land, insurance, property tax, site)</t>
        </is>
      </c>
      <c r="E168" t="inlineStr">
        <is>
          <t>USD m</t>
        </is>
      </c>
      <c r="J168" s="20">
        <f>Inputs!$F$114*Inputs!$F$110/1000*Time!J$9*Time!J$10*Operations!J147*Operations!$F$50</f>
        <v/>
      </c>
      <c r="K168" s="20">
        <f>Inputs!$F$114*Inputs!$F$110/1000*Time!K$9*Time!K$10*Operations!K147*Operations!$F$50</f>
        <v/>
      </c>
      <c r="L168" s="20">
        <f>Inputs!$F$114*Inputs!$F$110/1000*Time!L$9*Time!L$10*Operations!L147*Operations!$F$50</f>
        <v/>
      </c>
      <c r="M168" s="20">
        <f>Inputs!$F$114*Inputs!$F$110/1000*Time!M$9*Time!M$10*Operations!M147*Operations!$F$50</f>
        <v/>
      </c>
      <c r="N168" s="20">
        <f>Inputs!$F$114*Inputs!$F$110/1000*Time!N$9*Time!N$10*Operations!N147*Operations!$F$50</f>
        <v/>
      </c>
      <c r="O168" s="20">
        <f>Inputs!$F$114*Inputs!$F$110/1000*Time!O$9*Time!O$10*Operations!O147*Operations!$F$50</f>
        <v/>
      </c>
      <c r="P168" s="20">
        <f>Inputs!$F$114*Inputs!$F$110/1000*Time!P$9*Time!P$10*Operations!P147*Operations!$F$50</f>
        <v/>
      </c>
      <c r="Q168" s="20">
        <f>Inputs!$F$114*Inputs!$F$110/1000*Time!Q$9*Time!Q$10*Operations!Q147*Operations!$F$50</f>
        <v/>
      </c>
      <c r="R168" s="20">
        <f>Inputs!$F$114*Inputs!$F$110/1000*Time!R$9*Time!R$10*Operations!R147*Operations!$F$50</f>
        <v/>
      </c>
      <c r="S168" s="20">
        <f>Inputs!$F$114*Inputs!$F$110/1000*Time!S$9*Time!S$10*Operations!S147*Operations!$F$50</f>
        <v/>
      </c>
      <c r="T168" s="20">
        <f>Inputs!$F$114*Inputs!$F$110/1000*Time!T$9*Time!T$10*Operations!T147*Operations!$F$50</f>
        <v/>
      </c>
      <c r="U168" s="20">
        <f>Inputs!$F$114*Inputs!$F$110/1000*Time!U$9*Time!U$10*Operations!U147*Operations!$F$50</f>
        <v/>
      </c>
      <c r="V168" s="20">
        <f>Inputs!$F$114*Inputs!$F$110/1000*Time!V$9*Time!V$10*Operations!V147*Operations!$F$50</f>
        <v/>
      </c>
      <c r="W168" s="20">
        <f>Inputs!$F$114*Inputs!$F$110/1000*Time!W$9*Time!W$10*Operations!W147*Operations!$F$50</f>
        <v/>
      </c>
      <c r="X168" s="20">
        <f>Inputs!$F$114*Inputs!$F$110/1000*Time!X$9*Time!X$10*Operations!X147*Operations!$F$50</f>
        <v/>
      </c>
      <c r="Y168" s="20">
        <f>Inputs!$F$114*Inputs!$F$110/1000*Time!Y$9*Time!Y$10*Operations!Y147*Operations!$F$50</f>
        <v/>
      </c>
      <c r="Z168" s="20">
        <f>Inputs!$F$114*Inputs!$F$110/1000*Time!Z$9*Time!Z$10*Operations!Z147*Operations!$F$50</f>
        <v/>
      </c>
      <c r="AA168" s="20">
        <f>Inputs!$F$114*Inputs!$F$110/1000*Time!AA$9*Time!AA$10*Operations!AA147*Operations!$F$50</f>
        <v/>
      </c>
      <c r="AB168" s="20">
        <f>Inputs!$F$114*Inputs!$F$110/1000*Time!AB$9*Time!AB$10*Operations!AB147*Operations!$F$50</f>
        <v/>
      </c>
      <c r="AC168" s="20">
        <f>Inputs!$F$114*Inputs!$F$110/1000*Time!AC$9*Time!AC$10*Operations!AC147*Operations!$F$50</f>
        <v/>
      </c>
      <c r="AD168" s="20">
        <f>Inputs!$F$114*Inputs!$F$110/1000*Time!AD$9*Time!AD$10*Operations!AD147*Operations!$F$50</f>
        <v/>
      </c>
      <c r="AE168" s="20">
        <f>Inputs!$F$114*Inputs!$F$110/1000*Time!AE$9*Time!AE$10*Operations!AE147*Operations!$F$50</f>
        <v/>
      </c>
      <c r="AF168" s="20">
        <f>Inputs!$F$114*Inputs!$F$110/1000*Time!AF$9*Time!AF$10*Operations!AF147*Operations!$F$50</f>
        <v/>
      </c>
      <c r="AG168" s="20">
        <f>Inputs!$F$114*Inputs!$F$110/1000*Time!AG$9*Time!AG$10*Operations!AG147*Operations!$F$50</f>
        <v/>
      </c>
      <c r="AH168" s="20">
        <f>Inputs!$F$114*Inputs!$F$110/1000*Time!AH$9*Time!AH$10*Operations!AH147*Operations!$F$50</f>
        <v/>
      </c>
      <c r="AI168" s="20">
        <f>Inputs!$F$114*Inputs!$F$110/1000*Time!AI$9*Time!AI$10*Operations!AI147*Operations!$F$50</f>
        <v/>
      </c>
      <c r="AJ168" s="20">
        <f>Inputs!$F$114*Inputs!$F$110/1000*Time!AJ$9*Time!AJ$10*Operations!AJ147*Operations!$F$50</f>
        <v/>
      </c>
      <c r="AK168" s="20">
        <f>Inputs!$F$114*Inputs!$F$110/1000*Time!AK$9*Time!AK$10*Operations!AK147*Operations!$F$50</f>
        <v/>
      </c>
      <c r="AL168" s="20">
        <f>Inputs!$F$114*Inputs!$F$110/1000*Time!AL$9*Time!AL$10*Operations!AL147*Operations!$F$50</f>
        <v/>
      </c>
      <c r="AM168" s="20">
        <f>Inputs!$F$114*Inputs!$F$110/1000*Time!AM$9*Time!AM$10*Operations!AM147*Operations!$F$50</f>
        <v/>
      </c>
      <c r="AN168" s="20">
        <f>Inputs!$F$114*Inputs!$F$110/1000*Time!AN$9*Time!AN$10*Operations!AN147*Operations!$F$50</f>
        <v/>
      </c>
      <c r="AO168" s="20">
        <f>Inputs!$F$114*Inputs!$F$110/1000*Time!AO$9*Time!AO$10*Operations!AO147*Operations!$F$50</f>
        <v/>
      </c>
      <c r="AP168" s="20">
        <f>Inputs!$F$114*Inputs!$F$110/1000*Time!AP$9*Time!AP$10*Operations!AP147*Operations!$F$50</f>
        <v/>
      </c>
      <c r="AQ168" s="20">
        <f>Inputs!$F$114*Inputs!$F$110/1000*Time!AQ$9*Time!AQ$10*Operations!AQ147*Operations!$F$50</f>
        <v/>
      </c>
      <c r="AR168" s="20">
        <f>Inputs!$F$114*Inputs!$F$110/1000*Time!AR$9*Time!AR$10*Operations!AR147*Operations!$F$50</f>
        <v/>
      </c>
      <c r="AS168" s="20">
        <f>Inputs!$F$114*Inputs!$F$110/1000*Time!AS$9*Time!AS$10*Operations!AS147*Operations!$F$50</f>
        <v/>
      </c>
      <c r="AT168" s="20">
        <f>Inputs!$F$114*Inputs!$F$110/1000*Time!AT$9*Time!AT$10*Operations!AT147*Operations!$F$50</f>
        <v/>
      </c>
      <c r="AU168" s="20">
        <f>Inputs!$F$114*Inputs!$F$110/1000*Time!AU$9*Time!AU$10*Operations!AU147*Operations!$F$50</f>
        <v/>
      </c>
    </row>
    <row r="169">
      <c r="D169" t="inlineStr">
        <is>
          <t>R3 wind land lease</t>
        </is>
      </c>
      <c r="E169" t="inlineStr">
        <is>
          <t>USD m</t>
        </is>
      </c>
      <c r="J169" s="20">
        <f>Inputs!$F$232/100*Operations!J166</f>
        <v/>
      </c>
      <c r="K169" s="20">
        <f>Inputs!$F$232/100*Operations!K166</f>
        <v/>
      </c>
      <c r="L169" s="20">
        <f>Inputs!$F$232/100*Operations!L166</f>
        <v/>
      </c>
      <c r="M169" s="20">
        <f>Inputs!$F$232/100*Operations!M166</f>
        <v/>
      </c>
      <c r="N169" s="20">
        <f>Inputs!$F$232/100*Operations!N166</f>
        <v/>
      </c>
      <c r="O169" s="20">
        <f>Inputs!$F$232/100*Operations!O166</f>
        <v/>
      </c>
      <c r="P169" s="20">
        <f>Inputs!$F$232/100*Operations!P166</f>
        <v/>
      </c>
      <c r="Q169" s="20">
        <f>Inputs!$F$232/100*Operations!Q166</f>
        <v/>
      </c>
      <c r="R169" s="20">
        <f>Inputs!$F$232/100*Operations!R166</f>
        <v/>
      </c>
      <c r="S169" s="20">
        <f>Inputs!$F$232/100*Operations!S166</f>
        <v/>
      </c>
      <c r="T169" s="20">
        <f>Inputs!$F$232/100*Operations!T166</f>
        <v/>
      </c>
      <c r="U169" s="20">
        <f>Inputs!$F$232/100*Operations!U166</f>
        <v/>
      </c>
      <c r="V169" s="20">
        <f>Inputs!$F$232/100*Operations!V166</f>
        <v/>
      </c>
      <c r="W169" s="20">
        <f>Inputs!$F$232/100*Operations!W166</f>
        <v/>
      </c>
      <c r="X169" s="20">
        <f>Inputs!$F$232/100*Operations!X166</f>
        <v/>
      </c>
      <c r="Y169" s="20">
        <f>Inputs!$F$232/100*Operations!Y166</f>
        <v/>
      </c>
      <c r="Z169" s="20">
        <f>Inputs!$F$232/100*Operations!Z166</f>
        <v/>
      </c>
      <c r="AA169" s="20">
        <f>Inputs!$F$232/100*Operations!AA166</f>
        <v/>
      </c>
      <c r="AB169" s="20">
        <f>Inputs!$F$232/100*Operations!AB166</f>
        <v/>
      </c>
      <c r="AC169" s="20">
        <f>Inputs!$F$232/100*Operations!AC166</f>
        <v/>
      </c>
      <c r="AD169" s="20">
        <f>Inputs!$F$232/100*Operations!AD166</f>
        <v/>
      </c>
      <c r="AE169" s="20">
        <f>Inputs!$F$232/100*Operations!AE166</f>
        <v/>
      </c>
      <c r="AF169" s="20">
        <f>Inputs!$F$232/100*Operations!AF166</f>
        <v/>
      </c>
      <c r="AG169" s="20">
        <f>Inputs!$F$232/100*Operations!AG166</f>
        <v/>
      </c>
      <c r="AH169" s="20">
        <f>Inputs!$F$232/100*Operations!AH166</f>
        <v/>
      </c>
      <c r="AI169" s="20">
        <f>Inputs!$F$232/100*Operations!AI166</f>
        <v/>
      </c>
      <c r="AJ169" s="20">
        <f>Inputs!$F$232/100*Operations!AJ166</f>
        <v/>
      </c>
      <c r="AK169" s="20">
        <f>Inputs!$F$232/100*Operations!AK166</f>
        <v/>
      </c>
      <c r="AL169" s="20">
        <f>Inputs!$F$232/100*Operations!AL166</f>
        <v/>
      </c>
      <c r="AM169" s="20">
        <f>Inputs!$F$232/100*Operations!AM166</f>
        <v/>
      </c>
      <c r="AN169" s="20">
        <f>Inputs!$F$232/100*Operations!AN166</f>
        <v/>
      </c>
      <c r="AO169" s="20">
        <f>Inputs!$F$232/100*Operations!AO166</f>
        <v/>
      </c>
      <c r="AP169" s="20">
        <f>Inputs!$F$232/100*Operations!AP166</f>
        <v/>
      </c>
      <c r="AQ169" s="20">
        <f>Inputs!$F$232/100*Operations!AQ166</f>
        <v/>
      </c>
      <c r="AR169" s="20">
        <f>Inputs!$F$232/100*Operations!AR166</f>
        <v/>
      </c>
      <c r="AS169" s="20">
        <f>Inputs!$F$232/100*Operations!AS166</f>
        <v/>
      </c>
      <c r="AT169" s="20">
        <f>Inputs!$F$232/100*Operations!AT166</f>
        <v/>
      </c>
      <c r="AU169" s="20">
        <f>Inputs!$F$232/100*Operations!AU166</f>
        <v/>
      </c>
    </row>
    <row r="170">
      <c r="D170" t="inlineStr">
        <is>
          <t>R3 decommissioning surety cost</t>
        </is>
      </c>
      <c r="E170" t="inlineStr">
        <is>
          <t>USD m</t>
        </is>
      </c>
      <c r="J170" s="20">
        <f>Inputs!$F$236/100*Inputs!$F$115*Inputs!$F$110/1000*Time!J$9*Operations!J147</f>
        <v/>
      </c>
      <c r="K170" s="20">
        <f>Inputs!$F$236/100*Inputs!$F$115*Inputs!$F$110/1000*Time!K$9*Operations!K147</f>
        <v/>
      </c>
      <c r="L170" s="20">
        <f>Inputs!$F$236/100*Inputs!$F$115*Inputs!$F$110/1000*Time!L$9*Operations!L147</f>
        <v/>
      </c>
      <c r="M170" s="20">
        <f>Inputs!$F$236/100*Inputs!$F$115*Inputs!$F$110/1000*Time!M$9*Operations!M147</f>
        <v/>
      </c>
      <c r="N170" s="20">
        <f>Inputs!$F$236/100*Inputs!$F$115*Inputs!$F$110/1000*Time!N$9*Operations!N147</f>
        <v/>
      </c>
      <c r="O170" s="20">
        <f>Inputs!$F$236/100*Inputs!$F$115*Inputs!$F$110/1000*Time!O$9*Operations!O147</f>
        <v/>
      </c>
      <c r="P170" s="20">
        <f>Inputs!$F$236/100*Inputs!$F$115*Inputs!$F$110/1000*Time!P$9*Operations!P147</f>
        <v/>
      </c>
      <c r="Q170" s="20">
        <f>Inputs!$F$236/100*Inputs!$F$115*Inputs!$F$110/1000*Time!Q$9*Operations!Q147</f>
        <v/>
      </c>
      <c r="R170" s="20">
        <f>Inputs!$F$236/100*Inputs!$F$115*Inputs!$F$110/1000*Time!R$9*Operations!R147</f>
        <v/>
      </c>
      <c r="S170" s="20">
        <f>Inputs!$F$236/100*Inputs!$F$115*Inputs!$F$110/1000*Time!S$9*Operations!S147</f>
        <v/>
      </c>
      <c r="T170" s="20">
        <f>Inputs!$F$236/100*Inputs!$F$115*Inputs!$F$110/1000*Time!T$9*Operations!T147</f>
        <v/>
      </c>
      <c r="U170" s="20">
        <f>Inputs!$F$236/100*Inputs!$F$115*Inputs!$F$110/1000*Time!U$9*Operations!U147</f>
        <v/>
      </c>
      <c r="V170" s="20">
        <f>Inputs!$F$236/100*Inputs!$F$115*Inputs!$F$110/1000*Time!V$9*Operations!V147</f>
        <v/>
      </c>
      <c r="W170" s="20">
        <f>Inputs!$F$236/100*Inputs!$F$115*Inputs!$F$110/1000*Time!W$9*Operations!W147</f>
        <v/>
      </c>
      <c r="X170" s="20">
        <f>Inputs!$F$236/100*Inputs!$F$115*Inputs!$F$110/1000*Time!X$9*Operations!X147</f>
        <v/>
      </c>
      <c r="Y170" s="20">
        <f>Inputs!$F$236/100*Inputs!$F$115*Inputs!$F$110/1000*Time!Y$9*Operations!Y147</f>
        <v/>
      </c>
      <c r="Z170" s="20">
        <f>Inputs!$F$236/100*Inputs!$F$115*Inputs!$F$110/1000*Time!Z$9*Operations!Z147</f>
        <v/>
      </c>
      <c r="AA170" s="20">
        <f>Inputs!$F$236/100*Inputs!$F$115*Inputs!$F$110/1000*Time!AA$9*Operations!AA147</f>
        <v/>
      </c>
      <c r="AB170" s="20">
        <f>Inputs!$F$236/100*Inputs!$F$115*Inputs!$F$110/1000*Time!AB$9*Operations!AB147</f>
        <v/>
      </c>
      <c r="AC170" s="20">
        <f>Inputs!$F$236/100*Inputs!$F$115*Inputs!$F$110/1000*Time!AC$9*Operations!AC147</f>
        <v/>
      </c>
      <c r="AD170" s="20">
        <f>Inputs!$F$236/100*Inputs!$F$115*Inputs!$F$110/1000*Time!AD$9*Operations!AD147</f>
        <v/>
      </c>
      <c r="AE170" s="20">
        <f>Inputs!$F$236/100*Inputs!$F$115*Inputs!$F$110/1000*Time!AE$9*Operations!AE147</f>
        <v/>
      </c>
      <c r="AF170" s="20">
        <f>Inputs!$F$236/100*Inputs!$F$115*Inputs!$F$110/1000*Time!AF$9*Operations!AF147</f>
        <v/>
      </c>
      <c r="AG170" s="20">
        <f>Inputs!$F$236/100*Inputs!$F$115*Inputs!$F$110/1000*Time!AG$9*Operations!AG147</f>
        <v/>
      </c>
      <c r="AH170" s="20">
        <f>Inputs!$F$236/100*Inputs!$F$115*Inputs!$F$110/1000*Time!AH$9*Operations!AH147</f>
        <v/>
      </c>
      <c r="AI170" s="20">
        <f>Inputs!$F$236/100*Inputs!$F$115*Inputs!$F$110/1000*Time!AI$9*Operations!AI147</f>
        <v/>
      </c>
      <c r="AJ170" s="20">
        <f>Inputs!$F$236/100*Inputs!$F$115*Inputs!$F$110/1000*Time!AJ$9*Operations!AJ147</f>
        <v/>
      </c>
      <c r="AK170" s="20">
        <f>Inputs!$F$236/100*Inputs!$F$115*Inputs!$F$110/1000*Time!AK$9*Operations!AK147</f>
        <v/>
      </c>
      <c r="AL170" s="20">
        <f>Inputs!$F$236/100*Inputs!$F$115*Inputs!$F$110/1000*Time!AL$9*Operations!AL147</f>
        <v/>
      </c>
      <c r="AM170" s="20">
        <f>Inputs!$F$236/100*Inputs!$F$115*Inputs!$F$110/1000*Time!AM$9*Operations!AM147</f>
        <v/>
      </c>
      <c r="AN170" s="20">
        <f>Inputs!$F$236/100*Inputs!$F$115*Inputs!$F$110/1000*Time!AN$9*Operations!AN147</f>
        <v/>
      </c>
      <c r="AO170" s="20">
        <f>Inputs!$F$236/100*Inputs!$F$115*Inputs!$F$110/1000*Time!AO$9*Operations!AO147</f>
        <v/>
      </c>
      <c r="AP170" s="20">
        <f>Inputs!$F$236/100*Inputs!$F$115*Inputs!$F$110/1000*Time!AP$9*Operations!AP147</f>
        <v/>
      </c>
      <c r="AQ170" s="20">
        <f>Inputs!$F$236/100*Inputs!$F$115*Inputs!$F$110/1000*Time!AQ$9*Operations!AQ147</f>
        <v/>
      </c>
      <c r="AR170" s="20">
        <f>Inputs!$F$236/100*Inputs!$F$115*Inputs!$F$110/1000*Time!AR$9*Operations!AR147</f>
        <v/>
      </c>
      <c r="AS170" s="20">
        <f>Inputs!$F$236/100*Inputs!$F$115*Inputs!$F$110/1000*Time!AS$9*Operations!AS147</f>
        <v/>
      </c>
      <c r="AT170" s="20">
        <f>Inputs!$F$236/100*Inputs!$F$115*Inputs!$F$110/1000*Time!AT$9*Operations!AT147</f>
        <v/>
      </c>
      <c r="AU170" s="20">
        <f>Inputs!$F$236/100*Inputs!$F$115*Inputs!$F$110/1000*Time!AU$9*Operations!AU147</f>
        <v/>
      </c>
    </row>
    <row r="171">
      <c r="D171" t="inlineStr">
        <is>
          <t>R3 Texas margin tax</t>
        </is>
      </c>
      <c r="E171" t="inlineStr">
        <is>
          <t>USD m</t>
        </is>
      </c>
      <c r="J171" s="20">
        <f>Inputs!$F$237/100*Inputs!$F$238/100*Operations!J166</f>
        <v/>
      </c>
      <c r="K171" s="20">
        <f>Inputs!$F$237/100*Inputs!$F$238/100*Operations!K166</f>
        <v/>
      </c>
      <c r="L171" s="20">
        <f>Inputs!$F$237/100*Inputs!$F$238/100*Operations!L166</f>
        <v/>
      </c>
      <c r="M171" s="20">
        <f>Inputs!$F$237/100*Inputs!$F$238/100*Operations!M166</f>
        <v/>
      </c>
      <c r="N171" s="20">
        <f>Inputs!$F$237/100*Inputs!$F$238/100*Operations!N166</f>
        <v/>
      </c>
      <c r="O171" s="20">
        <f>Inputs!$F$237/100*Inputs!$F$238/100*Operations!O166</f>
        <v/>
      </c>
      <c r="P171" s="20">
        <f>Inputs!$F$237/100*Inputs!$F$238/100*Operations!P166</f>
        <v/>
      </c>
      <c r="Q171" s="20">
        <f>Inputs!$F$237/100*Inputs!$F$238/100*Operations!Q166</f>
        <v/>
      </c>
      <c r="R171" s="20">
        <f>Inputs!$F$237/100*Inputs!$F$238/100*Operations!R166</f>
        <v/>
      </c>
      <c r="S171" s="20">
        <f>Inputs!$F$237/100*Inputs!$F$238/100*Operations!S166</f>
        <v/>
      </c>
      <c r="T171" s="20">
        <f>Inputs!$F$237/100*Inputs!$F$238/100*Operations!T166</f>
        <v/>
      </c>
      <c r="U171" s="20">
        <f>Inputs!$F$237/100*Inputs!$F$238/100*Operations!U166</f>
        <v/>
      </c>
      <c r="V171" s="20">
        <f>Inputs!$F$237/100*Inputs!$F$238/100*Operations!V166</f>
        <v/>
      </c>
      <c r="W171" s="20">
        <f>Inputs!$F$237/100*Inputs!$F$238/100*Operations!W166</f>
        <v/>
      </c>
      <c r="X171" s="20">
        <f>Inputs!$F$237/100*Inputs!$F$238/100*Operations!X166</f>
        <v/>
      </c>
      <c r="Y171" s="20">
        <f>Inputs!$F$237/100*Inputs!$F$238/100*Operations!Y166</f>
        <v/>
      </c>
      <c r="Z171" s="20">
        <f>Inputs!$F$237/100*Inputs!$F$238/100*Operations!Z166</f>
        <v/>
      </c>
      <c r="AA171" s="20">
        <f>Inputs!$F$237/100*Inputs!$F$238/100*Operations!AA166</f>
        <v/>
      </c>
      <c r="AB171" s="20">
        <f>Inputs!$F$237/100*Inputs!$F$238/100*Operations!AB166</f>
        <v/>
      </c>
      <c r="AC171" s="20">
        <f>Inputs!$F$237/100*Inputs!$F$238/100*Operations!AC166</f>
        <v/>
      </c>
      <c r="AD171" s="20">
        <f>Inputs!$F$237/100*Inputs!$F$238/100*Operations!AD166</f>
        <v/>
      </c>
      <c r="AE171" s="20">
        <f>Inputs!$F$237/100*Inputs!$F$238/100*Operations!AE166</f>
        <v/>
      </c>
      <c r="AF171" s="20">
        <f>Inputs!$F$237/100*Inputs!$F$238/100*Operations!AF166</f>
        <v/>
      </c>
      <c r="AG171" s="20">
        <f>Inputs!$F$237/100*Inputs!$F$238/100*Operations!AG166</f>
        <v/>
      </c>
      <c r="AH171" s="20">
        <f>Inputs!$F$237/100*Inputs!$F$238/100*Operations!AH166</f>
        <v/>
      </c>
      <c r="AI171" s="20">
        <f>Inputs!$F$237/100*Inputs!$F$238/100*Operations!AI166</f>
        <v/>
      </c>
      <c r="AJ171" s="20">
        <f>Inputs!$F$237/100*Inputs!$F$238/100*Operations!AJ166</f>
        <v/>
      </c>
      <c r="AK171" s="20">
        <f>Inputs!$F$237/100*Inputs!$F$238/100*Operations!AK166</f>
        <v/>
      </c>
      <c r="AL171" s="20">
        <f>Inputs!$F$237/100*Inputs!$F$238/100*Operations!AL166</f>
        <v/>
      </c>
      <c r="AM171" s="20">
        <f>Inputs!$F$237/100*Inputs!$F$238/100*Operations!AM166</f>
        <v/>
      </c>
      <c r="AN171" s="20">
        <f>Inputs!$F$237/100*Inputs!$F$238/100*Operations!AN166</f>
        <v/>
      </c>
      <c r="AO171" s="20">
        <f>Inputs!$F$237/100*Inputs!$F$238/100*Operations!AO166</f>
        <v/>
      </c>
      <c r="AP171" s="20">
        <f>Inputs!$F$237/100*Inputs!$F$238/100*Operations!AP166</f>
        <v/>
      </c>
      <c r="AQ171" s="20">
        <f>Inputs!$F$237/100*Inputs!$F$238/100*Operations!AQ166</f>
        <v/>
      </c>
      <c r="AR171" s="20">
        <f>Inputs!$F$237/100*Inputs!$F$238/100*Operations!AR166</f>
        <v/>
      </c>
      <c r="AS171" s="20">
        <f>Inputs!$F$237/100*Inputs!$F$238/100*Operations!AS166</f>
        <v/>
      </c>
      <c r="AT171" s="20">
        <f>Inputs!$F$237/100*Inputs!$F$238/100*Operations!AT166</f>
        <v/>
      </c>
      <c r="AU171" s="20">
        <f>Inputs!$F$237/100*Inputs!$F$238/100*Operations!AU166</f>
        <v/>
      </c>
    </row>
    <row r="172">
      <c r="D172" t="inlineStr">
        <is>
          <t>R3 EBITDA</t>
        </is>
      </c>
      <c r="E172" t="inlineStr">
        <is>
          <t>USD m</t>
        </is>
      </c>
      <c r="G172" s="20">
        <f>SUM(J172:AU172)</f>
        <v/>
      </c>
      <c r="J172" s="20">
        <f>Operations!J166-Operations!J168-Operations!J169-Operations!J170-Operations!J171</f>
        <v/>
      </c>
      <c r="K172" s="20">
        <f>Operations!K166-Operations!K168-Operations!K169-Operations!K170-Operations!K171</f>
        <v/>
      </c>
      <c r="L172" s="20">
        <f>Operations!L166-Operations!L168-Operations!L169-Operations!L170-Operations!L171</f>
        <v/>
      </c>
      <c r="M172" s="20">
        <f>Operations!M166-Operations!M168-Operations!M169-Operations!M170-Operations!M171</f>
        <v/>
      </c>
      <c r="N172" s="20">
        <f>Operations!N166-Operations!N168-Operations!N169-Operations!N170-Operations!N171</f>
        <v/>
      </c>
      <c r="O172" s="20">
        <f>Operations!O166-Operations!O168-Operations!O169-Operations!O170-Operations!O171</f>
        <v/>
      </c>
      <c r="P172" s="20">
        <f>Operations!P166-Operations!P168-Operations!P169-Operations!P170-Operations!P171</f>
        <v/>
      </c>
      <c r="Q172" s="20">
        <f>Operations!Q166-Operations!Q168-Operations!Q169-Operations!Q170-Operations!Q171</f>
        <v/>
      </c>
      <c r="R172" s="20">
        <f>Operations!R166-Operations!R168-Operations!R169-Operations!R170-Operations!R171</f>
        <v/>
      </c>
      <c r="S172" s="20">
        <f>Operations!S166-Operations!S168-Operations!S169-Operations!S170-Operations!S171</f>
        <v/>
      </c>
      <c r="T172" s="20">
        <f>Operations!T166-Operations!T168-Operations!T169-Operations!T170-Operations!T171</f>
        <v/>
      </c>
      <c r="U172" s="20">
        <f>Operations!U166-Operations!U168-Operations!U169-Operations!U170-Operations!U171</f>
        <v/>
      </c>
      <c r="V172" s="20">
        <f>Operations!V166-Operations!V168-Operations!V169-Operations!V170-Operations!V171</f>
        <v/>
      </c>
      <c r="W172" s="20">
        <f>Operations!W166-Operations!W168-Operations!W169-Operations!W170-Operations!W171</f>
        <v/>
      </c>
      <c r="X172" s="20">
        <f>Operations!X166-Operations!X168-Operations!X169-Operations!X170-Operations!X171</f>
        <v/>
      </c>
      <c r="Y172" s="20">
        <f>Operations!Y166-Operations!Y168-Operations!Y169-Operations!Y170-Operations!Y171</f>
        <v/>
      </c>
      <c r="Z172" s="20">
        <f>Operations!Z166-Operations!Z168-Operations!Z169-Operations!Z170-Operations!Z171</f>
        <v/>
      </c>
      <c r="AA172" s="20">
        <f>Operations!AA166-Operations!AA168-Operations!AA169-Operations!AA170-Operations!AA171</f>
        <v/>
      </c>
      <c r="AB172" s="20">
        <f>Operations!AB166-Operations!AB168-Operations!AB169-Operations!AB170-Operations!AB171</f>
        <v/>
      </c>
      <c r="AC172" s="20">
        <f>Operations!AC166-Operations!AC168-Operations!AC169-Operations!AC170-Operations!AC171</f>
        <v/>
      </c>
      <c r="AD172" s="20">
        <f>Operations!AD166-Operations!AD168-Operations!AD169-Operations!AD170-Operations!AD171</f>
        <v/>
      </c>
      <c r="AE172" s="20">
        <f>Operations!AE166-Operations!AE168-Operations!AE169-Operations!AE170-Operations!AE171</f>
        <v/>
      </c>
      <c r="AF172" s="20">
        <f>Operations!AF166-Operations!AF168-Operations!AF169-Operations!AF170-Operations!AF171</f>
        <v/>
      </c>
      <c r="AG172" s="20">
        <f>Operations!AG166-Operations!AG168-Operations!AG169-Operations!AG170-Operations!AG171</f>
        <v/>
      </c>
      <c r="AH172" s="20">
        <f>Operations!AH166-Operations!AH168-Operations!AH169-Operations!AH170-Operations!AH171</f>
        <v/>
      </c>
      <c r="AI172" s="20">
        <f>Operations!AI166-Operations!AI168-Operations!AI169-Operations!AI170-Operations!AI171</f>
        <v/>
      </c>
      <c r="AJ172" s="20">
        <f>Operations!AJ166-Operations!AJ168-Operations!AJ169-Operations!AJ170-Operations!AJ171</f>
        <v/>
      </c>
      <c r="AK172" s="20">
        <f>Operations!AK166-Operations!AK168-Operations!AK169-Operations!AK170-Operations!AK171</f>
        <v/>
      </c>
      <c r="AL172" s="20">
        <f>Operations!AL166-Operations!AL168-Operations!AL169-Operations!AL170-Operations!AL171</f>
        <v/>
      </c>
      <c r="AM172" s="20">
        <f>Operations!AM166-Operations!AM168-Operations!AM169-Operations!AM170-Operations!AM171</f>
        <v/>
      </c>
      <c r="AN172" s="20">
        <f>Operations!AN166-Operations!AN168-Operations!AN169-Operations!AN170-Operations!AN171</f>
        <v/>
      </c>
      <c r="AO172" s="20">
        <f>Operations!AO166-Operations!AO168-Operations!AO169-Operations!AO170-Operations!AO171</f>
        <v/>
      </c>
      <c r="AP172" s="20">
        <f>Operations!AP166-Operations!AP168-Operations!AP169-Operations!AP170-Operations!AP171</f>
        <v/>
      </c>
      <c r="AQ172" s="20">
        <f>Operations!AQ166-Operations!AQ168-Operations!AQ169-Operations!AQ170-Operations!AQ171</f>
        <v/>
      </c>
      <c r="AR172" s="20">
        <f>Operations!AR166-Operations!AR168-Operations!AR169-Operations!AR170-Operations!AR171</f>
        <v/>
      </c>
      <c r="AS172" s="20">
        <f>Operations!AS166-Operations!AS168-Operations!AS169-Operations!AS170-Operations!AS171</f>
        <v/>
      </c>
      <c r="AT172" s="20">
        <f>Operations!AT166-Operations!AT168-Operations!AT169-Operations!AT170-Operations!AT171</f>
        <v/>
      </c>
      <c r="AU172" s="20">
        <f>Operations!AU166-Operations!AU168-Operations!AU169-Operations!AU170-Operations!AU171</f>
        <v/>
      </c>
    </row>
    <row r="173">
      <c r="D173" t="inlineStr">
        <is>
          <t>R3 capex</t>
        </is>
      </c>
      <c r="E173" t="inlineStr">
        <is>
          <t>USD m</t>
        </is>
      </c>
      <c r="J173" s="20">
        <f>0</f>
        <v/>
      </c>
      <c r="K173" s="20">
        <f>0</f>
        <v/>
      </c>
      <c r="L173" s="20">
        <f>0</f>
        <v/>
      </c>
      <c r="M173" s="20">
        <f>0</f>
        <v/>
      </c>
      <c r="N173" s="20">
        <f>0</f>
        <v/>
      </c>
      <c r="O173" s="20">
        <f>0</f>
        <v/>
      </c>
      <c r="P173" s="20">
        <f>0</f>
        <v/>
      </c>
      <c r="Q173" s="20">
        <f>0</f>
        <v/>
      </c>
      <c r="R173" s="20">
        <f>0</f>
        <v/>
      </c>
      <c r="S173" s="20">
        <f>0</f>
        <v/>
      </c>
      <c r="T173" s="20">
        <f>0</f>
        <v/>
      </c>
      <c r="U173" s="20">
        <f>0</f>
        <v/>
      </c>
      <c r="V173" s="20">
        <f>0</f>
        <v/>
      </c>
      <c r="W173" s="20">
        <f>0</f>
        <v/>
      </c>
      <c r="X173" s="20">
        <f>0</f>
        <v/>
      </c>
      <c r="Y173" s="20">
        <f>0</f>
        <v/>
      </c>
      <c r="Z173" s="20">
        <f>0</f>
        <v/>
      </c>
      <c r="AA173" s="20">
        <f>0</f>
        <v/>
      </c>
      <c r="AB173" s="20">
        <f>0</f>
        <v/>
      </c>
      <c r="AC173" s="20">
        <f>0</f>
        <v/>
      </c>
      <c r="AD173" s="20">
        <f>0</f>
        <v/>
      </c>
      <c r="AE173" s="20">
        <f>0</f>
        <v/>
      </c>
      <c r="AF173" s="20">
        <f>0</f>
        <v/>
      </c>
      <c r="AG173" s="20">
        <f>0</f>
        <v/>
      </c>
      <c r="AH173" s="20">
        <f>0</f>
        <v/>
      </c>
      <c r="AI173" s="20">
        <f>0</f>
        <v/>
      </c>
      <c r="AJ173" s="20">
        <f>0</f>
        <v/>
      </c>
      <c r="AK173" s="20">
        <f>0</f>
        <v/>
      </c>
      <c r="AL173" s="20">
        <f>0</f>
        <v/>
      </c>
      <c r="AM173" s="20">
        <f>0</f>
        <v/>
      </c>
      <c r="AN173" s="20">
        <f>0</f>
        <v/>
      </c>
      <c r="AO173" s="20">
        <f>0</f>
        <v/>
      </c>
      <c r="AP173" s="20">
        <f>0</f>
        <v/>
      </c>
      <c r="AQ173" s="20">
        <f>0</f>
        <v/>
      </c>
      <c r="AR173" s="20">
        <f>0</f>
        <v/>
      </c>
      <c r="AS173" s="20">
        <f>0</f>
        <v/>
      </c>
      <c r="AT173" s="20">
        <f>0</f>
        <v/>
      </c>
      <c r="AU173" s="20">
        <f>0</f>
        <v/>
      </c>
    </row>
    <row r="174">
      <c r="D174" t="inlineStr">
        <is>
          <t>R3 decommissioning at end of life</t>
        </is>
      </c>
      <c r="E174" t="inlineStr">
        <is>
          <t>USD m</t>
        </is>
      </c>
      <c r="J174" s="20">
        <f>IF(Time!J$4=YEAR(Inputs!$F$112),Inputs!$F$115*Inputs!$F$110/1000*Time!J$9,0)</f>
        <v/>
      </c>
      <c r="K174" s="20">
        <f>IF(Time!K$4=YEAR(Inputs!$F$112),Inputs!$F$115*Inputs!$F$110/1000*Time!K$9,0)</f>
        <v/>
      </c>
      <c r="L174" s="20">
        <f>IF(Time!L$4=YEAR(Inputs!$F$112),Inputs!$F$115*Inputs!$F$110/1000*Time!L$9,0)</f>
        <v/>
      </c>
      <c r="M174" s="20">
        <f>IF(Time!M$4=YEAR(Inputs!$F$112),Inputs!$F$115*Inputs!$F$110/1000*Time!M$9,0)</f>
        <v/>
      </c>
      <c r="N174" s="20">
        <f>IF(Time!N$4=YEAR(Inputs!$F$112),Inputs!$F$115*Inputs!$F$110/1000*Time!N$9,0)</f>
        <v/>
      </c>
      <c r="O174" s="20">
        <f>IF(Time!O$4=YEAR(Inputs!$F$112),Inputs!$F$115*Inputs!$F$110/1000*Time!O$9,0)</f>
        <v/>
      </c>
      <c r="P174" s="20">
        <f>IF(Time!P$4=YEAR(Inputs!$F$112),Inputs!$F$115*Inputs!$F$110/1000*Time!P$9,0)</f>
        <v/>
      </c>
      <c r="Q174" s="20">
        <f>IF(Time!Q$4=YEAR(Inputs!$F$112),Inputs!$F$115*Inputs!$F$110/1000*Time!Q$9,0)</f>
        <v/>
      </c>
      <c r="R174" s="20">
        <f>IF(Time!R$4=YEAR(Inputs!$F$112),Inputs!$F$115*Inputs!$F$110/1000*Time!R$9,0)</f>
        <v/>
      </c>
      <c r="S174" s="20">
        <f>IF(Time!S$4=YEAR(Inputs!$F$112),Inputs!$F$115*Inputs!$F$110/1000*Time!S$9,0)</f>
        <v/>
      </c>
      <c r="T174" s="20">
        <f>IF(Time!T$4=YEAR(Inputs!$F$112),Inputs!$F$115*Inputs!$F$110/1000*Time!T$9,0)</f>
        <v/>
      </c>
      <c r="U174" s="20">
        <f>IF(Time!U$4=YEAR(Inputs!$F$112),Inputs!$F$115*Inputs!$F$110/1000*Time!U$9,0)</f>
        <v/>
      </c>
      <c r="V174" s="20">
        <f>IF(Time!V$4=YEAR(Inputs!$F$112),Inputs!$F$115*Inputs!$F$110/1000*Time!V$9,0)</f>
        <v/>
      </c>
      <c r="W174" s="20">
        <f>IF(Time!W$4=YEAR(Inputs!$F$112),Inputs!$F$115*Inputs!$F$110/1000*Time!W$9,0)</f>
        <v/>
      </c>
      <c r="X174" s="20">
        <f>IF(Time!X$4=YEAR(Inputs!$F$112),Inputs!$F$115*Inputs!$F$110/1000*Time!X$9,0)</f>
        <v/>
      </c>
      <c r="Y174" s="20">
        <f>IF(Time!Y$4=YEAR(Inputs!$F$112),Inputs!$F$115*Inputs!$F$110/1000*Time!Y$9,0)</f>
        <v/>
      </c>
      <c r="Z174" s="20">
        <f>IF(Time!Z$4=YEAR(Inputs!$F$112),Inputs!$F$115*Inputs!$F$110/1000*Time!Z$9,0)</f>
        <v/>
      </c>
      <c r="AA174" s="20">
        <f>IF(Time!AA$4=YEAR(Inputs!$F$112),Inputs!$F$115*Inputs!$F$110/1000*Time!AA$9,0)</f>
        <v/>
      </c>
      <c r="AB174" s="20">
        <f>IF(Time!AB$4=YEAR(Inputs!$F$112),Inputs!$F$115*Inputs!$F$110/1000*Time!AB$9,0)</f>
        <v/>
      </c>
      <c r="AC174" s="20">
        <f>IF(Time!AC$4=YEAR(Inputs!$F$112),Inputs!$F$115*Inputs!$F$110/1000*Time!AC$9,0)</f>
        <v/>
      </c>
      <c r="AD174" s="20">
        <f>IF(Time!AD$4=YEAR(Inputs!$F$112),Inputs!$F$115*Inputs!$F$110/1000*Time!AD$9,0)</f>
        <v/>
      </c>
      <c r="AE174" s="20">
        <f>IF(Time!AE$4=YEAR(Inputs!$F$112),Inputs!$F$115*Inputs!$F$110/1000*Time!AE$9,0)</f>
        <v/>
      </c>
      <c r="AF174" s="20">
        <f>IF(Time!AF$4=YEAR(Inputs!$F$112),Inputs!$F$115*Inputs!$F$110/1000*Time!AF$9,0)</f>
        <v/>
      </c>
      <c r="AG174" s="20">
        <f>IF(Time!AG$4=YEAR(Inputs!$F$112),Inputs!$F$115*Inputs!$F$110/1000*Time!AG$9,0)</f>
        <v/>
      </c>
      <c r="AH174" s="20">
        <f>IF(Time!AH$4=YEAR(Inputs!$F$112),Inputs!$F$115*Inputs!$F$110/1000*Time!AH$9,0)</f>
        <v/>
      </c>
      <c r="AI174" s="20">
        <f>IF(Time!AI$4=YEAR(Inputs!$F$112),Inputs!$F$115*Inputs!$F$110/1000*Time!AI$9,0)</f>
        <v/>
      </c>
      <c r="AJ174" s="20">
        <f>IF(Time!AJ$4=YEAR(Inputs!$F$112),Inputs!$F$115*Inputs!$F$110/1000*Time!AJ$9,0)</f>
        <v/>
      </c>
      <c r="AK174" s="20">
        <f>IF(Time!AK$4=YEAR(Inputs!$F$112),Inputs!$F$115*Inputs!$F$110/1000*Time!AK$9,0)</f>
        <v/>
      </c>
      <c r="AL174" s="20">
        <f>IF(Time!AL$4=YEAR(Inputs!$F$112),Inputs!$F$115*Inputs!$F$110/1000*Time!AL$9,0)</f>
        <v/>
      </c>
      <c r="AM174" s="20">
        <f>IF(Time!AM$4=YEAR(Inputs!$F$112),Inputs!$F$115*Inputs!$F$110/1000*Time!AM$9,0)</f>
        <v/>
      </c>
      <c r="AN174" s="20">
        <f>IF(Time!AN$4=YEAR(Inputs!$F$112),Inputs!$F$115*Inputs!$F$110/1000*Time!AN$9,0)</f>
        <v/>
      </c>
      <c r="AO174" s="20">
        <f>IF(Time!AO$4=YEAR(Inputs!$F$112),Inputs!$F$115*Inputs!$F$110/1000*Time!AO$9,0)</f>
        <v/>
      </c>
      <c r="AP174" s="20">
        <f>IF(Time!AP$4=YEAR(Inputs!$F$112),Inputs!$F$115*Inputs!$F$110/1000*Time!AP$9,0)</f>
        <v/>
      </c>
      <c r="AQ174" s="20">
        <f>IF(Time!AQ$4=YEAR(Inputs!$F$112),Inputs!$F$115*Inputs!$F$110/1000*Time!AQ$9,0)</f>
        <v/>
      </c>
      <c r="AR174" s="20">
        <f>IF(Time!AR$4=YEAR(Inputs!$F$112),Inputs!$F$115*Inputs!$F$110/1000*Time!AR$9,0)</f>
        <v/>
      </c>
      <c r="AS174" s="20">
        <f>IF(Time!AS$4=YEAR(Inputs!$F$112),Inputs!$F$115*Inputs!$F$110/1000*Time!AS$9,0)</f>
        <v/>
      </c>
      <c r="AT174" s="20">
        <f>IF(Time!AT$4=YEAR(Inputs!$F$112),Inputs!$F$115*Inputs!$F$110/1000*Time!AT$9,0)</f>
        <v/>
      </c>
      <c r="AU174" s="20">
        <f>IF(Time!AU$4=YEAR(Inputs!$F$112),Inputs!$F$115*Inputs!$F$110/1000*Time!AU$9,0)</f>
        <v/>
      </c>
    </row>
    <row r="175">
      <c r="D175" t="inlineStr">
        <is>
          <t>R3 pre-tax cash flow, 100% of asset</t>
        </is>
      </c>
      <c r="E175" t="inlineStr">
        <is>
          <t>USD m</t>
        </is>
      </c>
      <c r="G175" s="20">
        <f>SUM(J175:AU175)</f>
        <v/>
      </c>
      <c r="J175" s="20">
        <f>Operations!J172-Operations!J173-Operations!J174</f>
        <v/>
      </c>
      <c r="K175" s="20">
        <f>Operations!K172-Operations!K173-Operations!K174</f>
        <v/>
      </c>
      <c r="L175" s="20">
        <f>Operations!L172-Operations!L173-Operations!L174</f>
        <v/>
      </c>
      <c r="M175" s="20">
        <f>Operations!M172-Operations!M173-Operations!M174</f>
        <v/>
      </c>
      <c r="N175" s="20">
        <f>Operations!N172-Operations!N173-Operations!N174</f>
        <v/>
      </c>
      <c r="O175" s="20">
        <f>Operations!O172-Operations!O173-Operations!O174</f>
        <v/>
      </c>
      <c r="P175" s="20">
        <f>Operations!P172-Operations!P173-Operations!P174</f>
        <v/>
      </c>
      <c r="Q175" s="20">
        <f>Operations!Q172-Operations!Q173-Operations!Q174</f>
        <v/>
      </c>
      <c r="R175" s="20">
        <f>Operations!R172-Operations!R173-Operations!R174</f>
        <v/>
      </c>
      <c r="S175" s="20">
        <f>Operations!S172-Operations!S173-Operations!S174</f>
        <v/>
      </c>
      <c r="T175" s="20">
        <f>Operations!T172-Operations!T173-Operations!T174</f>
        <v/>
      </c>
      <c r="U175" s="20">
        <f>Operations!U172-Operations!U173-Operations!U174</f>
        <v/>
      </c>
      <c r="V175" s="20">
        <f>Operations!V172-Operations!V173-Operations!V174</f>
        <v/>
      </c>
      <c r="W175" s="20">
        <f>Operations!W172-Operations!W173-Operations!W174</f>
        <v/>
      </c>
      <c r="X175" s="20">
        <f>Operations!X172-Operations!X173-Operations!X174</f>
        <v/>
      </c>
      <c r="Y175" s="20">
        <f>Operations!Y172-Operations!Y173-Operations!Y174</f>
        <v/>
      </c>
      <c r="Z175" s="20">
        <f>Operations!Z172-Operations!Z173-Operations!Z174</f>
        <v/>
      </c>
      <c r="AA175" s="20">
        <f>Operations!AA172-Operations!AA173-Operations!AA174</f>
        <v/>
      </c>
      <c r="AB175" s="20">
        <f>Operations!AB172-Operations!AB173-Operations!AB174</f>
        <v/>
      </c>
      <c r="AC175" s="20">
        <f>Operations!AC172-Operations!AC173-Operations!AC174</f>
        <v/>
      </c>
      <c r="AD175" s="20">
        <f>Operations!AD172-Operations!AD173-Operations!AD174</f>
        <v/>
      </c>
      <c r="AE175" s="20">
        <f>Operations!AE172-Operations!AE173-Operations!AE174</f>
        <v/>
      </c>
      <c r="AF175" s="20">
        <f>Operations!AF172-Operations!AF173-Operations!AF174</f>
        <v/>
      </c>
      <c r="AG175" s="20">
        <f>Operations!AG172-Operations!AG173-Operations!AG174</f>
        <v/>
      </c>
      <c r="AH175" s="20">
        <f>Operations!AH172-Operations!AH173-Operations!AH174</f>
        <v/>
      </c>
      <c r="AI175" s="20">
        <f>Operations!AI172-Operations!AI173-Operations!AI174</f>
        <v/>
      </c>
      <c r="AJ175" s="20">
        <f>Operations!AJ172-Operations!AJ173-Operations!AJ174</f>
        <v/>
      </c>
      <c r="AK175" s="20">
        <f>Operations!AK172-Operations!AK173-Operations!AK174</f>
        <v/>
      </c>
      <c r="AL175" s="20">
        <f>Operations!AL172-Operations!AL173-Operations!AL174</f>
        <v/>
      </c>
      <c r="AM175" s="20">
        <f>Operations!AM172-Operations!AM173-Operations!AM174</f>
        <v/>
      </c>
      <c r="AN175" s="20">
        <f>Operations!AN172-Operations!AN173-Operations!AN174</f>
        <v/>
      </c>
      <c r="AO175" s="20">
        <f>Operations!AO172-Operations!AO173-Operations!AO174</f>
        <v/>
      </c>
      <c r="AP175" s="20">
        <f>Operations!AP172-Operations!AP173-Operations!AP174</f>
        <v/>
      </c>
      <c r="AQ175" s="20">
        <f>Operations!AQ172-Operations!AQ173-Operations!AQ174</f>
        <v/>
      </c>
      <c r="AR175" s="20">
        <f>Operations!AR172-Operations!AR173-Operations!AR174</f>
        <v/>
      </c>
      <c r="AS175" s="20">
        <f>Operations!AS172-Operations!AS173-Operations!AS174</f>
        <v/>
      </c>
      <c r="AT175" s="20">
        <f>Operations!AT172-Operations!AT173-Operations!AT174</f>
        <v/>
      </c>
      <c r="AU175" s="20">
        <f>Operations!AU172-Operations!AU173-Operations!AU174</f>
        <v/>
      </c>
    </row>
    <row r="176">
      <c r="D176" t="inlineStr">
        <is>
          <t>R3 fraction of year before flip</t>
        </is>
      </c>
      <c r="E176" t="inlineStr">
        <is>
          <t>fraction</t>
        </is>
      </c>
      <c r="J176" s="14">
        <f>MAX(0,MIN(Inputs!$F$224,Time!J$6)-Time!J$5)/Time!J$7</f>
        <v/>
      </c>
      <c r="K176" s="14">
        <f>MAX(0,MIN(Inputs!$F$224,Time!K$6)-Time!K$5)/Time!K$7</f>
        <v/>
      </c>
      <c r="L176" s="14">
        <f>MAX(0,MIN(Inputs!$F$224,Time!L$6)-Time!L$5)/Time!L$7</f>
        <v/>
      </c>
      <c r="M176" s="14">
        <f>MAX(0,MIN(Inputs!$F$224,Time!M$6)-Time!M$5)/Time!M$7</f>
        <v/>
      </c>
      <c r="N176" s="14">
        <f>MAX(0,MIN(Inputs!$F$224,Time!N$6)-Time!N$5)/Time!N$7</f>
        <v/>
      </c>
      <c r="O176" s="14">
        <f>MAX(0,MIN(Inputs!$F$224,Time!O$6)-Time!O$5)/Time!O$7</f>
        <v/>
      </c>
      <c r="P176" s="14">
        <f>MAX(0,MIN(Inputs!$F$224,Time!P$6)-Time!P$5)/Time!P$7</f>
        <v/>
      </c>
      <c r="Q176" s="14">
        <f>MAX(0,MIN(Inputs!$F$224,Time!Q$6)-Time!Q$5)/Time!Q$7</f>
        <v/>
      </c>
      <c r="R176" s="14">
        <f>MAX(0,MIN(Inputs!$F$224,Time!R$6)-Time!R$5)/Time!R$7</f>
        <v/>
      </c>
      <c r="S176" s="14">
        <f>MAX(0,MIN(Inputs!$F$224,Time!S$6)-Time!S$5)/Time!S$7</f>
        <v/>
      </c>
      <c r="T176" s="14">
        <f>MAX(0,MIN(Inputs!$F$224,Time!T$6)-Time!T$5)/Time!T$7</f>
        <v/>
      </c>
      <c r="U176" s="14">
        <f>MAX(0,MIN(Inputs!$F$224,Time!U$6)-Time!U$5)/Time!U$7</f>
        <v/>
      </c>
      <c r="V176" s="14">
        <f>MAX(0,MIN(Inputs!$F$224,Time!V$6)-Time!V$5)/Time!V$7</f>
        <v/>
      </c>
      <c r="W176" s="14">
        <f>MAX(0,MIN(Inputs!$F$224,Time!W$6)-Time!W$5)/Time!W$7</f>
        <v/>
      </c>
      <c r="X176" s="14">
        <f>MAX(0,MIN(Inputs!$F$224,Time!X$6)-Time!X$5)/Time!X$7</f>
        <v/>
      </c>
      <c r="Y176" s="14">
        <f>MAX(0,MIN(Inputs!$F$224,Time!Y$6)-Time!Y$5)/Time!Y$7</f>
        <v/>
      </c>
      <c r="Z176" s="14">
        <f>MAX(0,MIN(Inputs!$F$224,Time!Z$6)-Time!Z$5)/Time!Z$7</f>
        <v/>
      </c>
      <c r="AA176" s="14">
        <f>MAX(0,MIN(Inputs!$F$224,Time!AA$6)-Time!AA$5)/Time!AA$7</f>
        <v/>
      </c>
      <c r="AB176" s="14">
        <f>MAX(0,MIN(Inputs!$F$224,Time!AB$6)-Time!AB$5)/Time!AB$7</f>
        <v/>
      </c>
      <c r="AC176" s="14">
        <f>MAX(0,MIN(Inputs!$F$224,Time!AC$6)-Time!AC$5)/Time!AC$7</f>
        <v/>
      </c>
      <c r="AD176" s="14">
        <f>MAX(0,MIN(Inputs!$F$224,Time!AD$6)-Time!AD$5)/Time!AD$7</f>
        <v/>
      </c>
      <c r="AE176" s="14">
        <f>MAX(0,MIN(Inputs!$F$224,Time!AE$6)-Time!AE$5)/Time!AE$7</f>
        <v/>
      </c>
      <c r="AF176" s="14">
        <f>MAX(0,MIN(Inputs!$F$224,Time!AF$6)-Time!AF$5)/Time!AF$7</f>
        <v/>
      </c>
      <c r="AG176" s="14">
        <f>MAX(0,MIN(Inputs!$F$224,Time!AG$6)-Time!AG$5)/Time!AG$7</f>
        <v/>
      </c>
      <c r="AH176" s="14">
        <f>MAX(0,MIN(Inputs!$F$224,Time!AH$6)-Time!AH$5)/Time!AH$7</f>
        <v/>
      </c>
      <c r="AI176" s="14">
        <f>MAX(0,MIN(Inputs!$F$224,Time!AI$6)-Time!AI$5)/Time!AI$7</f>
        <v/>
      </c>
      <c r="AJ176" s="14">
        <f>MAX(0,MIN(Inputs!$F$224,Time!AJ$6)-Time!AJ$5)/Time!AJ$7</f>
        <v/>
      </c>
      <c r="AK176" s="14">
        <f>MAX(0,MIN(Inputs!$F$224,Time!AK$6)-Time!AK$5)/Time!AK$7</f>
        <v/>
      </c>
      <c r="AL176" s="14">
        <f>MAX(0,MIN(Inputs!$F$224,Time!AL$6)-Time!AL$5)/Time!AL$7</f>
        <v/>
      </c>
      <c r="AM176" s="14">
        <f>MAX(0,MIN(Inputs!$F$224,Time!AM$6)-Time!AM$5)/Time!AM$7</f>
        <v/>
      </c>
      <c r="AN176" s="14">
        <f>MAX(0,MIN(Inputs!$F$224,Time!AN$6)-Time!AN$5)/Time!AN$7</f>
        <v/>
      </c>
      <c r="AO176" s="14">
        <f>MAX(0,MIN(Inputs!$F$224,Time!AO$6)-Time!AO$5)/Time!AO$7</f>
        <v/>
      </c>
      <c r="AP176" s="14">
        <f>MAX(0,MIN(Inputs!$F$224,Time!AP$6)-Time!AP$5)/Time!AP$7</f>
        <v/>
      </c>
      <c r="AQ176" s="14">
        <f>MAX(0,MIN(Inputs!$F$224,Time!AQ$6)-Time!AQ$5)/Time!AQ$7</f>
        <v/>
      </c>
      <c r="AR176" s="14">
        <f>MAX(0,MIN(Inputs!$F$224,Time!AR$6)-Time!AR$5)/Time!AR$7</f>
        <v/>
      </c>
      <c r="AS176" s="14">
        <f>MAX(0,MIN(Inputs!$F$224,Time!AS$6)-Time!AS$5)/Time!AS$7</f>
        <v/>
      </c>
      <c r="AT176" s="14">
        <f>MAX(0,MIN(Inputs!$F$224,Time!AT$6)-Time!AT$5)/Time!AT$7</f>
        <v/>
      </c>
      <c r="AU176" s="14">
        <f>MAX(0,MIN(Inputs!$F$224,Time!AU$6)-Time!AU$5)/Time!AU$7</f>
        <v/>
      </c>
    </row>
    <row r="177">
      <c r="D177" t="inlineStr">
        <is>
          <t>R3 tax equity cash share</t>
        </is>
      </c>
      <c r="E177" t="inlineStr">
        <is>
          <t>fraction</t>
        </is>
      </c>
      <c r="J177" s="14">
        <f>Inputs!$F$221/100*Operations!J176+Inputs!$F$223/100*(1-Operations!J176)</f>
        <v/>
      </c>
      <c r="K177" s="14">
        <f>Inputs!$F$221/100*Operations!K176+Inputs!$F$223/100*(1-Operations!K176)</f>
        <v/>
      </c>
      <c r="L177" s="14">
        <f>Inputs!$F$221/100*Operations!L176+Inputs!$F$223/100*(1-Operations!L176)</f>
        <v/>
      </c>
      <c r="M177" s="14">
        <f>Inputs!$F$221/100*Operations!M176+Inputs!$F$223/100*(1-Operations!M176)</f>
        <v/>
      </c>
      <c r="N177" s="14">
        <f>Inputs!$F$221/100*Operations!N176+Inputs!$F$223/100*(1-Operations!N176)</f>
        <v/>
      </c>
      <c r="O177" s="14">
        <f>Inputs!$F$221/100*Operations!O176+Inputs!$F$223/100*(1-Operations!O176)</f>
        <v/>
      </c>
      <c r="P177" s="14">
        <f>Inputs!$F$221/100*Operations!P176+Inputs!$F$223/100*(1-Operations!P176)</f>
        <v/>
      </c>
      <c r="Q177" s="14">
        <f>Inputs!$F$221/100*Operations!Q176+Inputs!$F$223/100*(1-Operations!Q176)</f>
        <v/>
      </c>
      <c r="R177" s="14">
        <f>Inputs!$F$221/100*Operations!R176+Inputs!$F$223/100*(1-Operations!R176)</f>
        <v/>
      </c>
      <c r="S177" s="14">
        <f>Inputs!$F$221/100*Operations!S176+Inputs!$F$223/100*(1-Operations!S176)</f>
        <v/>
      </c>
      <c r="T177" s="14">
        <f>Inputs!$F$221/100*Operations!T176+Inputs!$F$223/100*(1-Operations!T176)</f>
        <v/>
      </c>
      <c r="U177" s="14">
        <f>Inputs!$F$221/100*Operations!U176+Inputs!$F$223/100*(1-Operations!U176)</f>
        <v/>
      </c>
      <c r="V177" s="14">
        <f>Inputs!$F$221/100*Operations!V176+Inputs!$F$223/100*(1-Operations!V176)</f>
        <v/>
      </c>
      <c r="W177" s="14">
        <f>Inputs!$F$221/100*Operations!W176+Inputs!$F$223/100*(1-Operations!W176)</f>
        <v/>
      </c>
      <c r="X177" s="14">
        <f>Inputs!$F$221/100*Operations!X176+Inputs!$F$223/100*(1-Operations!X176)</f>
        <v/>
      </c>
      <c r="Y177" s="14">
        <f>Inputs!$F$221/100*Operations!Y176+Inputs!$F$223/100*(1-Operations!Y176)</f>
        <v/>
      </c>
      <c r="Z177" s="14">
        <f>Inputs!$F$221/100*Operations!Z176+Inputs!$F$223/100*(1-Operations!Z176)</f>
        <v/>
      </c>
      <c r="AA177" s="14">
        <f>Inputs!$F$221/100*Operations!AA176+Inputs!$F$223/100*(1-Operations!AA176)</f>
        <v/>
      </c>
      <c r="AB177" s="14">
        <f>Inputs!$F$221/100*Operations!AB176+Inputs!$F$223/100*(1-Operations!AB176)</f>
        <v/>
      </c>
      <c r="AC177" s="14">
        <f>Inputs!$F$221/100*Operations!AC176+Inputs!$F$223/100*(1-Operations!AC176)</f>
        <v/>
      </c>
      <c r="AD177" s="14">
        <f>Inputs!$F$221/100*Operations!AD176+Inputs!$F$223/100*(1-Operations!AD176)</f>
        <v/>
      </c>
      <c r="AE177" s="14">
        <f>Inputs!$F$221/100*Operations!AE176+Inputs!$F$223/100*(1-Operations!AE176)</f>
        <v/>
      </c>
      <c r="AF177" s="14">
        <f>Inputs!$F$221/100*Operations!AF176+Inputs!$F$223/100*(1-Operations!AF176)</f>
        <v/>
      </c>
      <c r="AG177" s="14">
        <f>Inputs!$F$221/100*Operations!AG176+Inputs!$F$223/100*(1-Operations!AG176)</f>
        <v/>
      </c>
      <c r="AH177" s="14">
        <f>Inputs!$F$221/100*Operations!AH176+Inputs!$F$223/100*(1-Operations!AH176)</f>
        <v/>
      </c>
      <c r="AI177" s="14">
        <f>Inputs!$F$221/100*Operations!AI176+Inputs!$F$223/100*(1-Operations!AI176)</f>
        <v/>
      </c>
      <c r="AJ177" s="14">
        <f>Inputs!$F$221/100*Operations!AJ176+Inputs!$F$223/100*(1-Operations!AJ176)</f>
        <v/>
      </c>
      <c r="AK177" s="14">
        <f>Inputs!$F$221/100*Operations!AK176+Inputs!$F$223/100*(1-Operations!AK176)</f>
        <v/>
      </c>
      <c r="AL177" s="14">
        <f>Inputs!$F$221/100*Operations!AL176+Inputs!$F$223/100*(1-Operations!AL176)</f>
        <v/>
      </c>
      <c r="AM177" s="14">
        <f>Inputs!$F$221/100*Operations!AM176+Inputs!$F$223/100*(1-Operations!AM176)</f>
        <v/>
      </c>
      <c r="AN177" s="14">
        <f>Inputs!$F$221/100*Operations!AN176+Inputs!$F$223/100*(1-Operations!AN176)</f>
        <v/>
      </c>
      <c r="AO177" s="14">
        <f>Inputs!$F$221/100*Operations!AO176+Inputs!$F$223/100*(1-Operations!AO176)</f>
        <v/>
      </c>
      <c r="AP177" s="14">
        <f>Inputs!$F$221/100*Operations!AP176+Inputs!$F$223/100*(1-Operations!AP176)</f>
        <v/>
      </c>
      <c r="AQ177" s="14">
        <f>Inputs!$F$221/100*Operations!AQ176+Inputs!$F$223/100*(1-Operations!AQ176)</f>
        <v/>
      </c>
      <c r="AR177" s="14">
        <f>Inputs!$F$221/100*Operations!AR176+Inputs!$F$223/100*(1-Operations!AR176)</f>
        <v/>
      </c>
      <c r="AS177" s="14">
        <f>Inputs!$F$221/100*Operations!AS176+Inputs!$F$223/100*(1-Operations!AS176)</f>
        <v/>
      </c>
      <c r="AT177" s="14">
        <f>Inputs!$F$221/100*Operations!AT176+Inputs!$F$223/100*(1-Operations!AT176)</f>
        <v/>
      </c>
      <c r="AU177" s="14">
        <f>Inputs!$F$221/100*Operations!AU176+Inputs!$F$223/100*(1-Operations!AU176)</f>
        <v/>
      </c>
    </row>
    <row r="178">
      <c r="D178" t="inlineStr">
        <is>
          <t>R3 Mesa share of taxable income</t>
        </is>
      </c>
      <c r="E178" t="inlineStr">
        <is>
          <t>fraction</t>
        </is>
      </c>
      <c r="J178" s="14">
        <f>(1-Inputs!$F$222/100)*Operations!J176+(1-Inputs!$F$223/100)*(1-Operations!J176)</f>
        <v/>
      </c>
      <c r="K178" s="14">
        <f>(1-Inputs!$F$222/100)*Operations!K176+(1-Inputs!$F$223/100)*(1-Operations!K176)</f>
        <v/>
      </c>
      <c r="L178" s="14">
        <f>(1-Inputs!$F$222/100)*Operations!L176+(1-Inputs!$F$223/100)*(1-Operations!L176)</f>
        <v/>
      </c>
      <c r="M178" s="14">
        <f>(1-Inputs!$F$222/100)*Operations!M176+(1-Inputs!$F$223/100)*(1-Operations!M176)</f>
        <v/>
      </c>
      <c r="N178" s="14">
        <f>(1-Inputs!$F$222/100)*Operations!N176+(1-Inputs!$F$223/100)*(1-Operations!N176)</f>
        <v/>
      </c>
      <c r="O178" s="14">
        <f>(1-Inputs!$F$222/100)*Operations!O176+(1-Inputs!$F$223/100)*(1-Operations!O176)</f>
        <v/>
      </c>
      <c r="P178" s="14">
        <f>(1-Inputs!$F$222/100)*Operations!P176+(1-Inputs!$F$223/100)*(1-Operations!P176)</f>
        <v/>
      </c>
      <c r="Q178" s="14">
        <f>(1-Inputs!$F$222/100)*Operations!Q176+(1-Inputs!$F$223/100)*(1-Operations!Q176)</f>
        <v/>
      </c>
      <c r="R178" s="14">
        <f>(1-Inputs!$F$222/100)*Operations!R176+(1-Inputs!$F$223/100)*(1-Operations!R176)</f>
        <v/>
      </c>
      <c r="S178" s="14">
        <f>(1-Inputs!$F$222/100)*Operations!S176+(1-Inputs!$F$223/100)*(1-Operations!S176)</f>
        <v/>
      </c>
      <c r="T178" s="14">
        <f>(1-Inputs!$F$222/100)*Operations!T176+(1-Inputs!$F$223/100)*(1-Operations!T176)</f>
        <v/>
      </c>
      <c r="U178" s="14">
        <f>(1-Inputs!$F$222/100)*Operations!U176+(1-Inputs!$F$223/100)*(1-Operations!U176)</f>
        <v/>
      </c>
      <c r="V178" s="14">
        <f>(1-Inputs!$F$222/100)*Operations!V176+(1-Inputs!$F$223/100)*(1-Operations!V176)</f>
        <v/>
      </c>
      <c r="W178" s="14">
        <f>(1-Inputs!$F$222/100)*Operations!W176+(1-Inputs!$F$223/100)*(1-Operations!W176)</f>
        <v/>
      </c>
      <c r="X178" s="14">
        <f>(1-Inputs!$F$222/100)*Operations!X176+(1-Inputs!$F$223/100)*(1-Operations!X176)</f>
        <v/>
      </c>
      <c r="Y178" s="14">
        <f>(1-Inputs!$F$222/100)*Operations!Y176+(1-Inputs!$F$223/100)*(1-Operations!Y176)</f>
        <v/>
      </c>
      <c r="Z178" s="14">
        <f>(1-Inputs!$F$222/100)*Operations!Z176+(1-Inputs!$F$223/100)*(1-Operations!Z176)</f>
        <v/>
      </c>
      <c r="AA178" s="14">
        <f>(1-Inputs!$F$222/100)*Operations!AA176+(1-Inputs!$F$223/100)*(1-Operations!AA176)</f>
        <v/>
      </c>
      <c r="AB178" s="14">
        <f>(1-Inputs!$F$222/100)*Operations!AB176+(1-Inputs!$F$223/100)*(1-Operations!AB176)</f>
        <v/>
      </c>
      <c r="AC178" s="14">
        <f>(1-Inputs!$F$222/100)*Operations!AC176+(1-Inputs!$F$223/100)*(1-Operations!AC176)</f>
        <v/>
      </c>
      <c r="AD178" s="14">
        <f>(1-Inputs!$F$222/100)*Operations!AD176+(1-Inputs!$F$223/100)*(1-Operations!AD176)</f>
        <v/>
      </c>
      <c r="AE178" s="14">
        <f>(1-Inputs!$F$222/100)*Operations!AE176+(1-Inputs!$F$223/100)*(1-Operations!AE176)</f>
        <v/>
      </c>
      <c r="AF178" s="14">
        <f>(1-Inputs!$F$222/100)*Operations!AF176+(1-Inputs!$F$223/100)*(1-Operations!AF176)</f>
        <v/>
      </c>
      <c r="AG178" s="14">
        <f>(1-Inputs!$F$222/100)*Operations!AG176+(1-Inputs!$F$223/100)*(1-Operations!AG176)</f>
        <v/>
      </c>
      <c r="AH178" s="14">
        <f>(1-Inputs!$F$222/100)*Operations!AH176+(1-Inputs!$F$223/100)*(1-Operations!AH176)</f>
        <v/>
      </c>
      <c r="AI178" s="14">
        <f>(1-Inputs!$F$222/100)*Operations!AI176+(1-Inputs!$F$223/100)*(1-Operations!AI176)</f>
        <v/>
      </c>
      <c r="AJ178" s="14">
        <f>(1-Inputs!$F$222/100)*Operations!AJ176+(1-Inputs!$F$223/100)*(1-Operations!AJ176)</f>
        <v/>
      </c>
      <c r="AK178" s="14">
        <f>(1-Inputs!$F$222/100)*Operations!AK176+(1-Inputs!$F$223/100)*(1-Operations!AK176)</f>
        <v/>
      </c>
      <c r="AL178" s="14">
        <f>(1-Inputs!$F$222/100)*Operations!AL176+(1-Inputs!$F$223/100)*(1-Operations!AL176)</f>
        <v/>
      </c>
      <c r="AM178" s="14">
        <f>(1-Inputs!$F$222/100)*Operations!AM176+(1-Inputs!$F$223/100)*(1-Operations!AM176)</f>
        <v/>
      </c>
      <c r="AN178" s="14">
        <f>(1-Inputs!$F$222/100)*Operations!AN176+(1-Inputs!$F$223/100)*(1-Operations!AN176)</f>
        <v/>
      </c>
      <c r="AO178" s="14">
        <f>(1-Inputs!$F$222/100)*Operations!AO176+(1-Inputs!$F$223/100)*(1-Operations!AO176)</f>
        <v/>
      </c>
      <c r="AP178" s="14">
        <f>(1-Inputs!$F$222/100)*Operations!AP176+(1-Inputs!$F$223/100)*(1-Operations!AP176)</f>
        <v/>
      </c>
      <c r="AQ178" s="14">
        <f>(1-Inputs!$F$222/100)*Operations!AQ176+(1-Inputs!$F$223/100)*(1-Operations!AQ176)</f>
        <v/>
      </c>
      <c r="AR178" s="14">
        <f>(1-Inputs!$F$222/100)*Operations!AR176+(1-Inputs!$F$223/100)*(1-Operations!AR176)</f>
        <v/>
      </c>
      <c r="AS178" s="14">
        <f>(1-Inputs!$F$222/100)*Operations!AS176+(1-Inputs!$F$223/100)*(1-Operations!AS176)</f>
        <v/>
      </c>
      <c r="AT178" s="14">
        <f>(1-Inputs!$F$222/100)*Operations!AT176+(1-Inputs!$F$223/100)*(1-Operations!AT176)</f>
        <v/>
      </c>
      <c r="AU178" s="14">
        <f>(1-Inputs!$F$222/100)*Operations!AU176+(1-Inputs!$F$223/100)*(1-Operations!AU176)</f>
        <v/>
      </c>
    </row>
    <row r="179">
      <c r="D179" t="inlineStr">
        <is>
          <t>R3 Mesa share of cash flow</t>
        </is>
      </c>
      <c r="E179" t="inlineStr">
        <is>
          <t>USD m</t>
        </is>
      </c>
      <c r="G179" s="20">
        <f>SUM(J179:AU179)</f>
        <v/>
      </c>
      <c r="J179" s="20">
        <f>Operations!J175*(1-Operations!J177)*Operations!J149</f>
        <v/>
      </c>
      <c r="K179" s="20">
        <f>Operations!K175*(1-Operations!K177)*Operations!K149</f>
        <v/>
      </c>
      <c r="L179" s="20">
        <f>Operations!L175*(1-Operations!L177)*Operations!L149</f>
        <v/>
      </c>
      <c r="M179" s="20">
        <f>Operations!M175*(1-Operations!M177)*Operations!M149</f>
        <v/>
      </c>
      <c r="N179" s="20">
        <f>Operations!N175*(1-Operations!N177)*Operations!N149</f>
        <v/>
      </c>
      <c r="O179" s="20">
        <f>Operations!O175*(1-Operations!O177)*Operations!O149</f>
        <v/>
      </c>
      <c r="P179" s="20">
        <f>Operations!P175*(1-Operations!P177)*Operations!P149</f>
        <v/>
      </c>
      <c r="Q179" s="20">
        <f>Operations!Q175*(1-Operations!Q177)*Operations!Q149</f>
        <v/>
      </c>
      <c r="R179" s="20">
        <f>Operations!R175*(1-Operations!R177)*Operations!R149</f>
        <v/>
      </c>
      <c r="S179" s="20">
        <f>Operations!S175*(1-Operations!S177)*Operations!S149</f>
        <v/>
      </c>
      <c r="T179" s="20">
        <f>Operations!T175*(1-Operations!T177)*Operations!T149</f>
        <v/>
      </c>
      <c r="U179" s="20">
        <f>Operations!U175*(1-Operations!U177)*Operations!U149</f>
        <v/>
      </c>
      <c r="V179" s="20">
        <f>Operations!V175*(1-Operations!V177)*Operations!V149</f>
        <v/>
      </c>
      <c r="W179" s="20">
        <f>Operations!W175*(1-Operations!W177)*Operations!W149</f>
        <v/>
      </c>
      <c r="X179" s="20">
        <f>Operations!X175*(1-Operations!X177)*Operations!X149</f>
        <v/>
      </c>
      <c r="Y179" s="20">
        <f>Operations!Y175*(1-Operations!Y177)*Operations!Y149</f>
        <v/>
      </c>
      <c r="Z179" s="20">
        <f>Operations!Z175*(1-Operations!Z177)*Operations!Z149</f>
        <v/>
      </c>
      <c r="AA179" s="20">
        <f>Operations!AA175*(1-Operations!AA177)*Operations!AA149</f>
        <v/>
      </c>
      <c r="AB179" s="20">
        <f>Operations!AB175*(1-Operations!AB177)*Operations!AB149</f>
        <v/>
      </c>
      <c r="AC179" s="20">
        <f>Operations!AC175*(1-Operations!AC177)*Operations!AC149</f>
        <v/>
      </c>
      <c r="AD179" s="20">
        <f>Operations!AD175*(1-Operations!AD177)*Operations!AD149</f>
        <v/>
      </c>
      <c r="AE179" s="20">
        <f>Operations!AE175*(1-Operations!AE177)*Operations!AE149</f>
        <v/>
      </c>
      <c r="AF179" s="20">
        <f>Operations!AF175*(1-Operations!AF177)*Operations!AF149</f>
        <v/>
      </c>
      <c r="AG179" s="20">
        <f>Operations!AG175*(1-Operations!AG177)*Operations!AG149</f>
        <v/>
      </c>
      <c r="AH179" s="20">
        <f>Operations!AH175*(1-Operations!AH177)*Operations!AH149</f>
        <v/>
      </c>
      <c r="AI179" s="20">
        <f>Operations!AI175*(1-Operations!AI177)*Operations!AI149</f>
        <v/>
      </c>
      <c r="AJ179" s="20">
        <f>Operations!AJ175*(1-Operations!AJ177)*Operations!AJ149</f>
        <v/>
      </c>
      <c r="AK179" s="20">
        <f>Operations!AK175*(1-Operations!AK177)*Operations!AK149</f>
        <v/>
      </c>
      <c r="AL179" s="20">
        <f>Operations!AL175*(1-Operations!AL177)*Operations!AL149</f>
        <v/>
      </c>
      <c r="AM179" s="20">
        <f>Operations!AM175*(1-Operations!AM177)*Operations!AM149</f>
        <v/>
      </c>
      <c r="AN179" s="20">
        <f>Operations!AN175*(1-Operations!AN177)*Operations!AN149</f>
        <v/>
      </c>
      <c r="AO179" s="20">
        <f>Operations!AO175*(1-Operations!AO177)*Operations!AO149</f>
        <v/>
      </c>
      <c r="AP179" s="20">
        <f>Operations!AP175*(1-Operations!AP177)*Operations!AP149</f>
        <v/>
      </c>
      <c r="AQ179" s="20">
        <f>Operations!AQ175*(1-Operations!AQ177)*Operations!AQ149</f>
        <v/>
      </c>
      <c r="AR179" s="20">
        <f>Operations!AR175*(1-Operations!AR177)*Operations!AR149</f>
        <v/>
      </c>
      <c r="AS179" s="20">
        <f>Operations!AS175*(1-Operations!AS177)*Operations!AS149</f>
        <v/>
      </c>
      <c r="AT179" s="20">
        <f>Operations!AT175*(1-Operations!AT177)*Operations!AT149</f>
        <v/>
      </c>
      <c r="AU179" s="20">
        <f>Operations!AU175*(1-Operations!AU177)*Operations!AU149</f>
        <v/>
      </c>
    </row>
    <row r="180">
      <c r="D180" t="inlineStr">
        <is>
          <t>R3 Mesa taxable operating income</t>
        </is>
      </c>
      <c r="E180" t="inlineStr">
        <is>
          <t>USD m</t>
        </is>
      </c>
      <c r="J180" s="20">
        <f>Operations!J175*Operations!J178*Operations!J149</f>
        <v/>
      </c>
      <c r="K180" s="20">
        <f>Operations!K175*Operations!K178*Operations!K149</f>
        <v/>
      </c>
      <c r="L180" s="20">
        <f>Operations!L175*Operations!L178*Operations!L149</f>
        <v/>
      </c>
      <c r="M180" s="20">
        <f>Operations!M175*Operations!M178*Operations!M149</f>
        <v/>
      </c>
      <c r="N180" s="20">
        <f>Operations!N175*Operations!N178*Operations!N149</f>
        <v/>
      </c>
      <c r="O180" s="20">
        <f>Operations!O175*Operations!O178*Operations!O149</f>
        <v/>
      </c>
      <c r="P180" s="20">
        <f>Operations!P175*Operations!P178*Operations!P149</f>
        <v/>
      </c>
      <c r="Q180" s="20">
        <f>Operations!Q175*Operations!Q178*Operations!Q149</f>
        <v/>
      </c>
      <c r="R180" s="20">
        <f>Operations!R175*Operations!R178*Operations!R149</f>
        <v/>
      </c>
      <c r="S180" s="20">
        <f>Operations!S175*Operations!S178*Operations!S149</f>
        <v/>
      </c>
      <c r="T180" s="20">
        <f>Operations!T175*Operations!T178*Operations!T149</f>
        <v/>
      </c>
      <c r="U180" s="20">
        <f>Operations!U175*Operations!U178*Operations!U149</f>
        <v/>
      </c>
      <c r="V180" s="20">
        <f>Operations!V175*Operations!V178*Operations!V149</f>
        <v/>
      </c>
      <c r="W180" s="20">
        <f>Operations!W175*Operations!W178*Operations!W149</f>
        <v/>
      </c>
      <c r="X180" s="20">
        <f>Operations!X175*Operations!X178*Operations!X149</f>
        <v/>
      </c>
      <c r="Y180" s="20">
        <f>Operations!Y175*Operations!Y178*Operations!Y149</f>
        <v/>
      </c>
      <c r="Z180" s="20">
        <f>Operations!Z175*Operations!Z178*Operations!Z149</f>
        <v/>
      </c>
      <c r="AA180" s="20">
        <f>Operations!AA175*Operations!AA178*Operations!AA149</f>
        <v/>
      </c>
      <c r="AB180" s="20">
        <f>Operations!AB175*Operations!AB178*Operations!AB149</f>
        <v/>
      </c>
      <c r="AC180" s="20">
        <f>Operations!AC175*Operations!AC178*Operations!AC149</f>
        <v/>
      </c>
      <c r="AD180" s="20">
        <f>Operations!AD175*Operations!AD178*Operations!AD149</f>
        <v/>
      </c>
      <c r="AE180" s="20">
        <f>Operations!AE175*Operations!AE178*Operations!AE149</f>
        <v/>
      </c>
      <c r="AF180" s="20">
        <f>Operations!AF175*Operations!AF178*Operations!AF149</f>
        <v/>
      </c>
      <c r="AG180" s="20">
        <f>Operations!AG175*Operations!AG178*Operations!AG149</f>
        <v/>
      </c>
      <c r="AH180" s="20">
        <f>Operations!AH175*Operations!AH178*Operations!AH149</f>
        <v/>
      </c>
      <c r="AI180" s="20">
        <f>Operations!AI175*Operations!AI178*Operations!AI149</f>
        <v/>
      </c>
      <c r="AJ180" s="20">
        <f>Operations!AJ175*Operations!AJ178*Operations!AJ149</f>
        <v/>
      </c>
      <c r="AK180" s="20">
        <f>Operations!AK175*Operations!AK178*Operations!AK149</f>
        <v/>
      </c>
      <c r="AL180" s="20">
        <f>Operations!AL175*Operations!AL178*Operations!AL149</f>
        <v/>
      </c>
      <c r="AM180" s="20">
        <f>Operations!AM175*Operations!AM178*Operations!AM149</f>
        <v/>
      </c>
      <c r="AN180" s="20">
        <f>Operations!AN175*Operations!AN178*Operations!AN149</f>
        <v/>
      </c>
      <c r="AO180" s="20">
        <f>Operations!AO175*Operations!AO178*Operations!AO149</f>
        <v/>
      </c>
      <c r="AP180" s="20">
        <f>Operations!AP175*Operations!AP178*Operations!AP149</f>
        <v/>
      </c>
      <c r="AQ180" s="20">
        <f>Operations!AQ175*Operations!AQ178*Operations!AQ149</f>
        <v/>
      </c>
      <c r="AR180" s="20">
        <f>Operations!AR175*Operations!AR178*Operations!AR149</f>
        <v/>
      </c>
      <c r="AS180" s="20">
        <f>Operations!AS175*Operations!AS178*Operations!AS149</f>
        <v/>
      </c>
      <c r="AT180" s="20">
        <f>Operations!AT175*Operations!AT178*Operations!AT149</f>
        <v/>
      </c>
      <c r="AU180" s="20">
        <f>Operations!AU175*Operations!AU178*Operations!AU149</f>
        <v/>
      </c>
    </row>
    <row r="181">
      <c r="D181" t="inlineStr">
        <is>
          <t>R3 Mesa unlevered post-tax cash flow (before price shield)</t>
        </is>
      </c>
      <c r="E181" t="inlineStr">
        <is>
          <t>USD m</t>
        </is>
      </c>
      <c r="J181" s="20">
        <f>Operations!J179-Inputs!$F$241/100*Operations!J180</f>
        <v/>
      </c>
      <c r="K181" s="20">
        <f>Operations!K179-Inputs!$F$241/100*Operations!K180</f>
        <v/>
      </c>
      <c r="L181" s="20">
        <f>Operations!L179-Inputs!$F$241/100*Operations!L180</f>
        <v/>
      </c>
      <c r="M181" s="20">
        <f>Operations!M179-Inputs!$F$241/100*Operations!M180</f>
        <v/>
      </c>
      <c r="N181" s="20">
        <f>Operations!N179-Inputs!$F$241/100*Operations!N180</f>
        <v/>
      </c>
      <c r="O181" s="20">
        <f>Operations!O179-Inputs!$F$241/100*Operations!O180</f>
        <v/>
      </c>
      <c r="P181" s="20">
        <f>Operations!P179-Inputs!$F$241/100*Operations!P180</f>
        <v/>
      </c>
      <c r="Q181" s="20">
        <f>Operations!Q179-Inputs!$F$241/100*Operations!Q180</f>
        <v/>
      </c>
      <c r="R181" s="20">
        <f>Operations!R179-Inputs!$F$241/100*Operations!R180</f>
        <v/>
      </c>
      <c r="S181" s="20">
        <f>Operations!S179-Inputs!$F$241/100*Operations!S180</f>
        <v/>
      </c>
      <c r="T181" s="20">
        <f>Operations!T179-Inputs!$F$241/100*Operations!T180</f>
        <v/>
      </c>
      <c r="U181" s="20">
        <f>Operations!U179-Inputs!$F$241/100*Operations!U180</f>
        <v/>
      </c>
      <c r="V181" s="20">
        <f>Operations!V179-Inputs!$F$241/100*Operations!V180</f>
        <v/>
      </c>
      <c r="W181" s="20">
        <f>Operations!W179-Inputs!$F$241/100*Operations!W180</f>
        <v/>
      </c>
      <c r="X181" s="20">
        <f>Operations!X179-Inputs!$F$241/100*Operations!X180</f>
        <v/>
      </c>
      <c r="Y181" s="20">
        <f>Operations!Y179-Inputs!$F$241/100*Operations!Y180</f>
        <v/>
      </c>
      <c r="Z181" s="20">
        <f>Operations!Z179-Inputs!$F$241/100*Operations!Z180</f>
        <v/>
      </c>
      <c r="AA181" s="20">
        <f>Operations!AA179-Inputs!$F$241/100*Operations!AA180</f>
        <v/>
      </c>
      <c r="AB181" s="20">
        <f>Operations!AB179-Inputs!$F$241/100*Operations!AB180</f>
        <v/>
      </c>
      <c r="AC181" s="20">
        <f>Operations!AC179-Inputs!$F$241/100*Operations!AC180</f>
        <v/>
      </c>
      <c r="AD181" s="20">
        <f>Operations!AD179-Inputs!$F$241/100*Operations!AD180</f>
        <v/>
      </c>
      <c r="AE181" s="20">
        <f>Operations!AE179-Inputs!$F$241/100*Operations!AE180</f>
        <v/>
      </c>
      <c r="AF181" s="20">
        <f>Operations!AF179-Inputs!$F$241/100*Operations!AF180</f>
        <v/>
      </c>
      <c r="AG181" s="20">
        <f>Operations!AG179-Inputs!$F$241/100*Operations!AG180</f>
        <v/>
      </c>
      <c r="AH181" s="20">
        <f>Operations!AH179-Inputs!$F$241/100*Operations!AH180</f>
        <v/>
      </c>
      <c r="AI181" s="20">
        <f>Operations!AI179-Inputs!$F$241/100*Operations!AI180</f>
        <v/>
      </c>
      <c r="AJ181" s="20">
        <f>Operations!AJ179-Inputs!$F$241/100*Operations!AJ180</f>
        <v/>
      </c>
      <c r="AK181" s="20">
        <f>Operations!AK179-Inputs!$F$241/100*Operations!AK180</f>
        <v/>
      </c>
      <c r="AL181" s="20">
        <f>Operations!AL179-Inputs!$F$241/100*Operations!AL180</f>
        <v/>
      </c>
      <c r="AM181" s="20">
        <f>Operations!AM179-Inputs!$F$241/100*Operations!AM180</f>
        <v/>
      </c>
      <c r="AN181" s="20">
        <f>Operations!AN179-Inputs!$F$241/100*Operations!AN180</f>
        <v/>
      </c>
      <c r="AO181" s="20">
        <f>Operations!AO179-Inputs!$F$241/100*Operations!AO180</f>
        <v/>
      </c>
      <c r="AP181" s="20">
        <f>Operations!AP179-Inputs!$F$241/100*Operations!AP180</f>
        <v/>
      </c>
      <c r="AQ181" s="20">
        <f>Operations!AQ179-Inputs!$F$241/100*Operations!AQ180</f>
        <v/>
      </c>
      <c r="AR181" s="20">
        <f>Operations!AR179-Inputs!$F$241/100*Operations!AR180</f>
        <v/>
      </c>
      <c r="AS181" s="20">
        <f>Operations!AS179-Inputs!$F$241/100*Operations!AS180</f>
        <v/>
      </c>
      <c r="AT181" s="20">
        <f>Operations!AT179-Inputs!$F$241/100*Operations!AT180</f>
        <v/>
      </c>
      <c r="AU181" s="20">
        <f>Operations!AU179-Inputs!$F$241/100*Operations!AU180</f>
        <v/>
      </c>
    </row>
    <row r="182">
      <c r="D182" t="inlineStr">
        <is>
          <t>R3 contracted share of revenue</t>
        </is>
      </c>
      <c r="E182" t="inlineStr">
        <is>
          <t>fraction</t>
        </is>
      </c>
      <c r="J182" s="14">
        <f>IF(Operations!J166=0,0,Operations!J163/Operations!J166)</f>
        <v/>
      </c>
      <c r="K182" s="14">
        <f>IF(Operations!K166=0,0,Operations!K163/Operations!K166)</f>
        <v/>
      </c>
      <c r="L182" s="14">
        <f>IF(Operations!L166=0,0,Operations!L163/Operations!L166)</f>
        <v/>
      </c>
      <c r="M182" s="14">
        <f>IF(Operations!M166=0,0,Operations!M163/Operations!M166)</f>
        <v/>
      </c>
      <c r="N182" s="14">
        <f>IF(Operations!N166=0,0,Operations!N163/Operations!N166)</f>
        <v/>
      </c>
      <c r="O182" s="14">
        <f>IF(Operations!O166=0,0,Operations!O163/Operations!O166)</f>
        <v/>
      </c>
      <c r="P182" s="14">
        <f>IF(Operations!P166=0,0,Operations!P163/Operations!P166)</f>
        <v/>
      </c>
      <c r="Q182" s="14">
        <f>IF(Operations!Q166=0,0,Operations!Q163/Operations!Q166)</f>
        <v/>
      </c>
      <c r="R182" s="14">
        <f>IF(Operations!R166=0,0,Operations!R163/Operations!R166)</f>
        <v/>
      </c>
      <c r="S182" s="14">
        <f>IF(Operations!S166=0,0,Operations!S163/Operations!S166)</f>
        <v/>
      </c>
      <c r="T182" s="14">
        <f>IF(Operations!T166=0,0,Operations!T163/Operations!T166)</f>
        <v/>
      </c>
      <c r="U182" s="14">
        <f>IF(Operations!U166=0,0,Operations!U163/Operations!U166)</f>
        <v/>
      </c>
      <c r="V182" s="14">
        <f>IF(Operations!V166=0,0,Operations!V163/Operations!V166)</f>
        <v/>
      </c>
      <c r="W182" s="14">
        <f>IF(Operations!W166=0,0,Operations!W163/Operations!W166)</f>
        <v/>
      </c>
      <c r="X182" s="14">
        <f>IF(Operations!X166=0,0,Operations!X163/Operations!X166)</f>
        <v/>
      </c>
      <c r="Y182" s="14">
        <f>IF(Operations!Y166=0,0,Operations!Y163/Operations!Y166)</f>
        <v/>
      </c>
      <c r="Z182" s="14">
        <f>IF(Operations!Z166=0,0,Operations!Z163/Operations!Z166)</f>
        <v/>
      </c>
      <c r="AA182" s="14">
        <f>IF(Operations!AA166=0,0,Operations!AA163/Operations!AA166)</f>
        <v/>
      </c>
      <c r="AB182" s="14">
        <f>IF(Operations!AB166=0,0,Operations!AB163/Operations!AB166)</f>
        <v/>
      </c>
      <c r="AC182" s="14">
        <f>IF(Operations!AC166=0,0,Operations!AC163/Operations!AC166)</f>
        <v/>
      </c>
      <c r="AD182" s="14">
        <f>IF(Operations!AD166=0,0,Operations!AD163/Operations!AD166)</f>
        <v/>
      </c>
      <c r="AE182" s="14">
        <f>IF(Operations!AE166=0,0,Operations!AE163/Operations!AE166)</f>
        <v/>
      </c>
      <c r="AF182" s="14">
        <f>IF(Operations!AF166=0,0,Operations!AF163/Operations!AF166)</f>
        <v/>
      </c>
      <c r="AG182" s="14">
        <f>IF(Operations!AG166=0,0,Operations!AG163/Operations!AG166)</f>
        <v/>
      </c>
      <c r="AH182" s="14">
        <f>IF(Operations!AH166=0,0,Operations!AH163/Operations!AH166)</f>
        <v/>
      </c>
      <c r="AI182" s="14">
        <f>IF(Operations!AI166=0,0,Operations!AI163/Operations!AI166)</f>
        <v/>
      </c>
      <c r="AJ182" s="14">
        <f>IF(Operations!AJ166=0,0,Operations!AJ163/Operations!AJ166)</f>
        <v/>
      </c>
      <c r="AK182" s="14">
        <f>IF(Operations!AK166=0,0,Operations!AK163/Operations!AK166)</f>
        <v/>
      </c>
      <c r="AL182" s="14">
        <f>IF(Operations!AL166=0,0,Operations!AL163/Operations!AL166)</f>
        <v/>
      </c>
      <c r="AM182" s="14">
        <f>IF(Operations!AM166=0,0,Operations!AM163/Operations!AM166)</f>
        <v/>
      </c>
      <c r="AN182" s="14">
        <f>IF(Operations!AN166=0,0,Operations!AN163/Operations!AN166)</f>
        <v/>
      </c>
      <c r="AO182" s="14">
        <f>IF(Operations!AO166=0,0,Operations!AO163/Operations!AO166)</f>
        <v/>
      </c>
      <c r="AP182" s="14">
        <f>IF(Operations!AP166=0,0,Operations!AP163/Operations!AP166)</f>
        <v/>
      </c>
      <c r="AQ182" s="14">
        <f>IF(Operations!AQ166=0,0,Operations!AQ163/Operations!AQ166)</f>
        <v/>
      </c>
      <c r="AR182" s="14">
        <f>IF(Operations!AR166=0,0,Operations!AR163/Operations!AR166)</f>
        <v/>
      </c>
      <c r="AS182" s="14">
        <f>IF(Operations!AS166=0,0,Operations!AS163/Operations!AS166)</f>
        <v/>
      </c>
      <c r="AT182" s="14">
        <f>IF(Operations!AT166=0,0,Operations!AT163/Operations!AT166)</f>
        <v/>
      </c>
      <c r="AU182" s="14">
        <f>IF(Operations!AU166=0,0,Operations!AU163/Operations!AU166)</f>
        <v/>
      </c>
    </row>
    <row r="183">
      <c r="D183" t="inlineStr">
        <is>
          <t>R3 hedged share of revenue</t>
        </is>
      </c>
      <c r="E183" t="inlineStr">
        <is>
          <t>fraction</t>
        </is>
      </c>
      <c r="J183" s="14">
        <f>IF(Operations!J166=0,0,Operations!J164/Operations!J166)</f>
        <v/>
      </c>
      <c r="K183" s="14">
        <f>IF(Operations!K166=0,0,Operations!K164/Operations!K166)</f>
        <v/>
      </c>
      <c r="L183" s="14">
        <f>IF(Operations!L166=0,0,Operations!L164/Operations!L166)</f>
        <v/>
      </c>
      <c r="M183" s="14">
        <f>IF(Operations!M166=0,0,Operations!M164/Operations!M166)</f>
        <v/>
      </c>
      <c r="N183" s="14">
        <f>IF(Operations!N166=0,0,Operations!N164/Operations!N166)</f>
        <v/>
      </c>
      <c r="O183" s="14">
        <f>IF(Operations!O166=0,0,Operations!O164/Operations!O166)</f>
        <v/>
      </c>
      <c r="P183" s="14">
        <f>IF(Operations!P166=0,0,Operations!P164/Operations!P166)</f>
        <v/>
      </c>
      <c r="Q183" s="14">
        <f>IF(Operations!Q166=0,0,Operations!Q164/Operations!Q166)</f>
        <v/>
      </c>
      <c r="R183" s="14">
        <f>IF(Operations!R166=0,0,Operations!R164/Operations!R166)</f>
        <v/>
      </c>
      <c r="S183" s="14">
        <f>IF(Operations!S166=0,0,Operations!S164/Operations!S166)</f>
        <v/>
      </c>
      <c r="T183" s="14">
        <f>IF(Operations!T166=0,0,Operations!T164/Operations!T166)</f>
        <v/>
      </c>
      <c r="U183" s="14">
        <f>IF(Operations!U166=0,0,Operations!U164/Operations!U166)</f>
        <v/>
      </c>
      <c r="V183" s="14">
        <f>IF(Operations!V166=0,0,Operations!V164/Operations!V166)</f>
        <v/>
      </c>
      <c r="W183" s="14">
        <f>IF(Operations!W166=0,0,Operations!W164/Operations!W166)</f>
        <v/>
      </c>
      <c r="X183" s="14">
        <f>IF(Operations!X166=0,0,Operations!X164/Operations!X166)</f>
        <v/>
      </c>
      <c r="Y183" s="14">
        <f>IF(Operations!Y166=0,0,Operations!Y164/Operations!Y166)</f>
        <v/>
      </c>
      <c r="Z183" s="14">
        <f>IF(Operations!Z166=0,0,Operations!Z164/Operations!Z166)</f>
        <v/>
      </c>
      <c r="AA183" s="14">
        <f>IF(Operations!AA166=0,0,Operations!AA164/Operations!AA166)</f>
        <v/>
      </c>
      <c r="AB183" s="14">
        <f>IF(Operations!AB166=0,0,Operations!AB164/Operations!AB166)</f>
        <v/>
      </c>
      <c r="AC183" s="14">
        <f>IF(Operations!AC166=0,0,Operations!AC164/Operations!AC166)</f>
        <v/>
      </c>
      <c r="AD183" s="14">
        <f>IF(Operations!AD166=0,0,Operations!AD164/Operations!AD166)</f>
        <v/>
      </c>
      <c r="AE183" s="14">
        <f>IF(Operations!AE166=0,0,Operations!AE164/Operations!AE166)</f>
        <v/>
      </c>
      <c r="AF183" s="14">
        <f>IF(Operations!AF166=0,0,Operations!AF164/Operations!AF166)</f>
        <v/>
      </c>
      <c r="AG183" s="14">
        <f>IF(Operations!AG166=0,0,Operations!AG164/Operations!AG166)</f>
        <v/>
      </c>
      <c r="AH183" s="14">
        <f>IF(Operations!AH166=0,0,Operations!AH164/Operations!AH166)</f>
        <v/>
      </c>
      <c r="AI183" s="14">
        <f>IF(Operations!AI166=0,0,Operations!AI164/Operations!AI166)</f>
        <v/>
      </c>
      <c r="AJ183" s="14">
        <f>IF(Operations!AJ166=0,0,Operations!AJ164/Operations!AJ166)</f>
        <v/>
      </c>
      <c r="AK183" s="14">
        <f>IF(Operations!AK166=0,0,Operations!AK164/Operations!AK166)</f>
        <v/>
      </c>
      <c r="AL183" s="14">
        <f>IF(Operations!AL166=0,0,Operations!AL164/Operations!AL166)</f>
        <v/>
      </c>
      <c r="AM183" s="14">
        <f>IF(Operations!AM166=0,0,Operations!AM164/Operations!AM166)</f>
        <v/>
      </c>
      <c r="AN183" s="14">
        <f>IF(Operations!AN166=0,0,Operations!AN164/Operations!AN166)</f>
        <v/>
      </c>
      <c r="AO183" s="14">
        <f>IF(Operations!AO166=0,0,Operations!AO164/Operations!AO166)</f>
        <v/>
      </c>
      <c r="AP183" s="14">
        <f>IF(Operations!AP166=0,0,Operations!AP164/Operations!AP166)</f>
        <v/>
      </c>
      <c r="AQ183" s="14">
        <f>IF(Operations!AQ166=0,0,Operations!AQ164/Operations!AQ166)</f>
        <v/>
      </c>
      <c r="AR183" s="14">
        <f>IF(Operations!AR166=0,0,Operations!AR164/Operations!AR166)</f>
        <v/>
      </c>
      <c r="AS183" s="14">
        <f>IF(Operations!AS166=0,0,Operations!AS164/Operations!AS166)</f>
        <v/>
      </c>
      <c r="AT183" s="14">
        <f>IF(Operations!AT166=0,0,Operations!AT164/Operations!AT166)</f>
        <v/>
      </c>
      <c r="AU183" s="14">
        <f>IF(Operations!AU166=0,0,Operations!AU164/Operations!AU166)</f>
        <v/>
      </c>
    </row>
    <row r="184">
      <c r="D184" t="inlineStr">
        <is>
          <t>R3 merchant share of revenue</t>
        </is>
      </c>
      <c r="E184" t="inlineStr">
        <is>
          <t>fraction</t>
        </is>
      </c>
      <c r="J184" s="14">
        <f>1-Operations!J182-Operations!J183</f>
        <v/>
      </c>
      <c r="K184" s="14">
        <f>1-Operations!K182-Operations!K183</f>
        <v/>
      </c>
      <c r="L184" s="14">
        <f>1-Operations!L182-Operations!L183</f>
        <v/>
      </c>
      <c r="M184" s="14">
        <f>1-Operations!M182-Operations!M183</f>
        <v/>
      </c>
      <c r="N184" s="14">
        <f>1-Operations!N182-Operations!N183</f>
        <v/>
      </c>
      <c r="O184" s="14">
        <f>1-Operations!O182-Operations!O183</f>
        <v/>
      </c>
      <c r="P184" s="14">
        <f>1-Operations!P182-Operations!P183</f>
        <v/>
      </c>
      <c r="Q184" s="14">
        <f>1-Operations!Q182-Operations!Q183</f>
        <v/>
      </c>
      <c r="R184" s="14">
        <f>1-Operations!R182-Operations!R183</f>
        <v/>
      </c>
      <c r="S184" s="14">
        <f>1-Operations!S182-Operations!S183</f>
        <v/>
      </c>
      <c r="T184" s="14">
        <f>1-Operations!T182-Operations!T183</f>
        <v/>
      </c>
      <c r="U184" s="14">
        <f>1-Operations!U182-Operations!U183</f>
        <v/>
      </c>
      <c r="V184" s="14">
        <f>1-Operations!V182-Operations!V183</f>
        <v/>
      </c>
      <c r="W184" s="14">
        <f>1-Operations!W182-Operations!W183</f>
        <v/>
      </c>
      <c r="X184" s="14">
        <f>1-Operations!X182-Operations!X183</f>
        <v/>
      </c>
      <c r="Y184" s="14">
        <f>1-Operations!Y182-Operations!Y183</f>
        <v/>
      </c>
      <c r="Z184" s="14">
        <f>1-Operations!Z182-Operations!Z183</f>
        <v/>
      </c>
      <c r="AA184" s="14">
        <f>1-Operations!AA182-Operations!AA183</f>
        <v/>
      </c>
      <c r="AB184" s="14">
        <f>1-Operations!AB182-Operations!AB183</f>
        <v/>
      </c>
      <c r="AC184" s="14">
        <f>1-Operations!AC182-Operations!AC183</f>
        <v/>
      </c>
      <c r="AD184" s="14">
        <f>1-Operations!AD182-Operations!AD183</f>
        <v/>
      </c>
      <c r="AE184" s="14">
        <f>1-Operations!AE182-Operations!AE183</f>
        <v/>
      </c>
      <c r="AF184" s="14">
        <f>1-Operations!AF182-Operations!AF183</f>
        <v/>
      </c>
      <c r="AG184" s="14">
        <f>1-Operations!AG182-Operations!AG183</f>
        <v/>
      </c>
      <c r="AH184" s="14">
        <f>1-Operations!AH182-Operations!AH183</f>
        <v/>
      </c>
      <c r="AI184" s="14">
        <f>1-Operations!AI182-Operations!AI183</f>
        <v/>
      </c>
      <c r="AJ184" s="14">
        <f>1-Operations!AJ182-Operations!AJ183</f>
        <v/>
      </c>
      <c r="AK184" s="14">
        <f>1-Operations!AK182-Operations!AK183</f>
        <v/>
      </c>
      <c r="AL184" s="14">
        <f>1-Operations!AL182-Operations!AL183</f>
        <v/>
      </c>
      <c r="AM184" s="14">
        <f>1-Operations!AM182-Operations!AM183</f>
        <v/>
      </c>
      <c r="AN184" s="14">
        <f>1-Operations!AN182-Operations!AN183</f>
        <v/>
      </c>
      <c r="AO184" s="14">
        <f>1-Operations!AO182-Operations!AO183</f>
        <v/>
      </c>
      <c r="AP184" s="14">
        <f>1-Operations!AP182-Operations!AP183</f>
        <v/>
      </c>
      <c r="AQ184" s="14">
        <f>1-Operations!AQ182-Operations!AQ183</f>
        <v/>
      </c>
      <c r="AR184" s="14">
        <f>1-Operations!AR182-Operations!AR183</f>
        <v/>
      </c>
      <c r="AS184" s="14">
        <f>1-Operations!AS182-Operations!AS183</f>
        <v/>
      </c>
      <c r="AT184" s="14">
        <f>1-Operations!AT182-Operations!AT183</f>
        <v/>
      </c>
      <c r="AU184" s="14">
        <f>1-Operations!AU182-Operations!AU183</f>
        <v/>
      </c>
    </row>
    <row r="185">
      <c r="D185" t="inlineStr">
        <is>
          <t>R3 Mesa-share contracted revenue</t>
        </is>
      </c>
      <c r="E185" t="inlineStr">
        <is>
          <t>USD m</t>
        </is>
      </c>
      <c r="J185" s="20">
        <f>Operations!J163*Operations!J149*(1-Operations!J177)</f>
        <v/>
      </c>
      <c r="K185" s="20">
        <f>Operations!K163*Operations!K149*(1-Operations!K177)</f>
        <v/>
      </c>
      <c r="L185" s="20">
        <f>Operations!L163*Operations!L149*(1-Operations!L177)</f>
        <v/>
      </c>
      <c r="M185" s="20">
        <f>Operations!M163*Operations!M149*(1-Operations!M177)</f>
        <v/>
      </c>
      <c r="N185" s="20">
        <f>Operations!N163*Operations!N149*(1-Operations!N177)</f>
        <v/>
      </c>
      <c r="O185" s="20">
        <f>Operations!O163*Operations!O149*(1-Operations!O177)</f>
        <v/>
      </c>
      <c r="P185" s="20">
        <f>Operations!P163*Operations!P149*(1-Operations!P177)</f>
        <v/>
      </c>
      <c r="Q185" s="20">
        <f>Operations!Q163*Operations!Q149*(1-Operations!Q177)</f>
        <v/>
      </c>
      <c r="R185" s="20">
        <f>Operations!R163*Operations!R149*(1-Operations!R177)</f>
        <v/>
      </c>
      <c r="S185" s="20">
        <f>Operations!S163*Operations!S149*(1-Operations!S177)</f>
        <v/>
      </c>
      <c r="T185" s="20">
        <f>Operations!T163*Operations!T149*(1-Operations!T177)</f>
        <v/>
      </c>
      <c r="U185" s="20">
        <f>Operations!U163*Operations!U149*(1-Operations!U177)</f>
        <v/>
      </c>
      <c r="V185" s="20">
        <f>Operations!V163*Operations!V149*(1-Operations!V177)</f>
        <v/>
      </c>
      <c r="W185" s="20">
        <f>Operations!W163*Operations!W149*(1-Operations!W177)</f>
        <v/>
      </c>
      <c r="X185" s="20">
        <f>Operations!X163*Operations!X149*(1-Operations!X177)</f>
        <v/>
      </c>
      <c r="Y185" s="20">
        <f>Operations!Y163*Operations!Y149*(1-Operations!Y177)</f>
        <v/>
      </c>
      <c r="Z185" s="20">
        <f>Operations!Z163*Operations!Z149*(1-Operations!Z177)</f>
        <v/>
      </c>
      <c r="AA185" s="20">
        <f>Operations!AA163*Operations!AA149*(1-Operations!AA177)</f>
        <v/>
      </c>
      <c r="AB185" s="20">
        <f>Operations!AB163*Operations!AB149*(1-Operations!AB177)</f>
        <v/>
      </c>
      <c r="AC185" s="20">
        <f>Operations!AC163*Operations!AC149*(1-Operations!AC177)</f>
        <v/>
      </c>
      <c r="AD185" s="20">
        <f>Operations!AD163*Operations!AD149*(1-Operations!AD177)</f>
        <v/>
      </c>
      <c r="AE185" s="20">
        <f>Operations!AE163*Operations!AE149*(1-Operations!AE177)</f>
        <v/>
      </c>
      <c r="AF185" s="20">
        <f>Operations!AF163*Operations!AF149*(1-Operations!AF177)</f>
        <v/>
      </c>
      <c r="AG185" s="20">
        <f>Operations!AG163*Operations!AG149*(1-Operations!AG177)</f>
        <v/>
      </c>
      <c r="AH185" s="20">
        <f>Operations!AH163*Operations!AH149*(1-Operations!AH177)</f>
        <v/>
      </c>
      <c r="AI185" s="20">
        <f>Operations!AI163*Operations!AI149*(1-Operations!AI177)</f>
        <v/>
      </c>
      <c r="AJ185" s="20">
        <f>Operations!AJ163*Operations!AJ149*(1-Operations!AJ177)</f>
        <v/>
      </c>
      <c r="AK185" s="20">
        <f>Operations!AK163*Operations!AK149*(1-Operations!AK177)</f>
        <v/>
      </c>
      <c r="AL185" s="20">
        <f>Operations!AL163*Operations!AL149*(1-Operations!AL177)</f>
        <v/>
      </c>
      <c r="AM185" s="20">
        <f>Operations!AM163*Operations!AM149*(1-Operations!AM177)</f>
        <v/>
      </c>
      <c r="AN185" s="20">
        <f>Operations!AN163*Operations!AN149*(1-Operations!AN177)</f>
        <v/>
      </c>
      <c r="AO185" s="20">
        <f>Operations!AO163*Operations!AO149*(1-Operations!AO177)</f>
        <v/>
      </c>
      <c r="AP185" s="20">
        <f>Operations!AP163*Operations!AP149*(1-Operations!AP177)</f>
        <v/>
      </c>
      <c r="AQ185" s="20">
        <f>Operations!AQ163*Operations!AQ149*(1-Operations!AQ177)</f>
        <v/>
      </c>
      <c r="AR185" s="20">
        <f>Operations!AR163*Operations!AR149*(1-Operations!AR177)</f>
        <v/>
      </c>
      <c r="AS185" s="20">
        <f>Operations!AS163*Operations!AS149*(1-Operations!AS177)</f>
        <v/>
      </c>
      <c r="AT185" s="20">
        <f>Operations!AT163*Operations!AT149*(1-Operations!AT177)</f>
        <v/>
      </c>
      <c r="AU185" s="20">
        <f>Operations!AU163*Operations!AU149*(1-Operations!AU177)</f>
        <v/>
      </c>
    </row>
    <row r="186">
      <c r="D186" t="inlineStr">
        <is>
          <t>R3 Mesa-share hedged revenue</t>
        </is>
      </c>
      <c r="E186" t="inlineStr">
        <is>
          <t>USD m</t>
        </is>
      </c>
      <c r="J186" s="20">
        <f>Operations!J164*Operations!J149*(1-Operations!J177)</f>
        <v/>
      </c>
      <c r="K186" s="20">
        <f>Operations!K164*Operations!K149*(1-Operations!K177)</f>
        <v/>
      </c>
      <c r="L186" s="20">
        <f>Operations!L164*Operations!L149*(1-Operations!L177)</f>
        <v/>
      </c>
      <c r="M186" s="20">
        <f>Operations!M164*Operations!M149*(1-Operations!M177)</f>
        <v/>
      </c>
      <c r="N186" s="20">
        <f>Operations!N164*Operations!N149*(1-Operations!N177)</f>
        <v/>
      </c>
      <c r="O186" s="20">
        <f>Operations!O164*Operations!O149*(1-Operations!O177)</f>
        <v/>
      </c>
      <c r="P186" s="20">
        <f>Operations!P164*Operations!P149*(1-Operations!P177)</f>
        <v/>
      </c>
      <c r="Q186" s="20">
        <f>Operations!Q164*Operations!Q149*(1-Operations!Q177)</f>
        <v/>
      </c>
      <c r="R186" s="20">
        <f>Operations!R164*Operations!R149*(1-Operations!R177)</f>
        <v/>
      </c>
      <c r="S186" s="20">
        <f>Operations!S164*Operations!S149*(1-Operations!S177)</f>
        <v/>
      </c>
      <c r="T186" s="20">
        <f>Operations!T164*Operations!T149*(1-Operations!T177)</f>
        <v/>
      </c>
      <c r="U186" s="20">
        <f>Operations!U164*Operations!U149*(1-Operations!U177)</f>
        <v/>
      </c>
      <c r="V186" s="20">
        <f>Operations!V164*Operations!V149*(1-Operations!V177)</f>
        <v/>
      </c>
      <c r="W186" s="20">
        <f>Operations!W164*Operations!W149*(1-Operations!W177)</f>
        <v/>
      </c>
      <c r="X186" s="20">
        <f>Operations!X164*Operations!X149*(1-Operations!X177)</f>
        <v/>
      </c>
      <c r="Y186" s="20">
        <f>Operations!Y164*Operations!Y149*(1-Operations!Y177)</f>
        <v/>
      </c>
      <c r="Z186" s="20">
        <f>Operations!Z164*Operations!Z149*(1-Operations!Z177)</f>
        <v/>
      </c>
      <c r="AA186" s="20">
        <f>Operations!AA164*Operations!AA149*(1-Operations!AA177)</f>
        <v/>
      </c>
      <c r="AB186" s="20">
        <f>Operations!AB164*Operations!AB149*(1-Operations!AB177)</f>
        <v/>
      </c>
      <c r="AC186" s="20">
        <f>Operations!AC164*Operations!AC149*(1-Operations!AC177)</f>
        <v/>
      </c>
      <c r="AD186" s="20">
        <f>Operations!AD164*Operations!AD149*(1-Operations!AD177)</f>
        <v/>
      </c>
      <c r="AE186" s="20">
        <f>Operations!AE164*Operations!AE149*(1-Operations!AE177)</f>
        <v/>
      </c>
      <c r="AF186" s="20">
        <f>Operations!AF164*Operations!AF149*(1-Operations!AF177)</f>
        <v/>
      </c>
      <c r="AG186" s="20">
        <f>Operations!AG164*Operations!AG149*(1-Operations!AG177)</f>
        <v/>
      </c>
      <c r="AH186" s="20">
        <f>Operations!AH164*Operations!AH149*(1-Operations!AH177)</f>
        <v/>
      </c>
      <c r="AI186" s="20">
        <f>Operations!AI164*Operations!AI149*(1-Operations!AI177)</f>
        <v/>
      </c>
      <c r="AJ186" s="20">
        <f>Operations!AJ164*Operations!AJ149*(1-Operations!AJ177)</f>
        <v/>
      </c>
      <c r="AK186" s="20">
        <f>Operations!AK164*Operations!AK149*(1-Operations!AK177)</f>
        <v/>
      </c>
      <c r="AL186" s="20">
        <f>Operations!AL164*Operations!AL149*(1-Operations!AL177)</f>
        <v/>
      </c>
      <c r="AM186" s="20">
        <f>Operations!AM164*Operations!AM149*(1-Operations!AM177)</f>
        <v/>
      </c>
      <c r="AN186" s="20">
        <f>Operations!AN164*Operations!AN149*(1-Operations!AN177)</f>
        <v/>
      </c>
      <c r="AO186" s="20">
        <f>Operations!AO164*Operations!AO149*(1-Operations!AO177)</f>
        <v/>
      </c>
      <c r="AP186" s="20">
        <f>Operations!AP164*Operations!AP149*(1-Operations!AP177)</f>
        <v/>
      </c>
      <c r="AQ186" s="20">
        <f>Operations!AQ164*Operations!AQ149*(1-Operations!AQ177)</f>
        <v/>
      </c>
      <c r="AR186" s="20">
        <f>Operations!AR164*Operations!AR149*(1-Operations!AR177)</f>
        <v/>
      </c>
      <c r="AS186" s="20">
        <f>Operations!AS164*Operations!AS149*(1-Operations!AS177)</f>
        <v/>
      </c>
      <c r="AT186" s="20">
        <f>Operations!AT164*Operations!AT149*(1-Operations!AT177)</f>
        <v/>
      </c>
      <c r="AU186" s="20">
        <f>Operations!AU164*Operations!AU149*(1-Operations!AU177)</f>
        <v/>
      </c>
    </row>
    <row r="187">
      <c r="D187" t="inlineStr">
        <is>
          <t>R3 Mesa-share merchant revenue</t>
        </is>
      </c>
      <c r="E187" t="inlineStr">
        <is>
          <t>USD m</t>
        </is>
      </c>
      <c r="J187" s="20">
        <f>Operations!J167*Operations!J149*(1-Operations!J177)</f>
        <v/>
      </c>
      <c r="K187" s="20">
        <f>Operations!K167*Operations!K149*(1-Operations!K177)</f>
        <v/>
      </c>
      <c r="L187" s="20">
        <f>Operations!L167*Operations!L149*(1-Operations!L177)</f>
        <v/>
      </c>
      <c r="M187" s="20">
        <f>Operations!M167*Operations!M149*(1-Operations!M177)</f>
        <v/>
      </c>
      <c r="N187" s="20">
        <f>Operations!N167*Operations!N149*(1-Operations!N177)</f>
        <v/>
      </c>
      <c r="O187" s="20">
        <f>Operations!O167*Operations!O149*(1-Operations!O177)</f>
        <v/>
      </c>
      <c r="P187" s="20">
        <f>Operations!P167*Operations!P149*(1-Operations!P177)</f>
        <v/>
      </c>
      <c r="Q187" s="20">
        <f>Operations!Q167*Operations!Q149*(1-Operations!Q177)</f>
        <v/>
      </c>
      <c r="R187" s="20">
        <f>Operations!R167*Operations!R149*(1-Operations!R177)</f>
        <v/>
      </c>
      <c r="S187" s="20">
        <f>Operations!S167*Operations!S149*(1-Operations!S177)</f>
        <v/>
      </c>
      <c r="T187" s="20">
        <f>Operations!T167*Operations!T149*(1-Operations!T177)</f>
        <v/>
      </c>
      <c r="U187" s="20">
        <f>Operations!U167*Operations!U149*(1-Operations!U177)</f>
        <v/>
      </c>
      <c r="V187" s="20">
        <f>Operations!V167*Operations!V149*(1-Operations!V177)</f>
        <v/>
      </c>
      <c r="W187" s="20">
        <f>Operations!W167*Operations!W149*(1-Operations!W177)</f>
        <v/>
      </c>
      <c r="X187" s="20">
        <f>Operations!X167*Operations!X149*(1-Operations!X177)</f>
        <v/>
      </c>
      <c r="Y187" s="20">
        <f>Operations!Y167*Operations!Y149*(1-Operations!Y177)</f>
        <v/>
      </c>
      <c r="Z187" s="20">
        <f>Operations!Z167*Operations!Z149*(1-Operations!Z177)</f>
        <v/>
      </c>
      <c r="AA187" s="20">
        <f>Operations!AA167*Operations!AA149*(1-Operations!AA177)</f>
        <v/>
      </c>
      <c r="AB187" s="20">
        <f>Operations!AB167*Operations!AB149*(1-Operations!AB177)</f>
        <v/>
      </c>
      <c r="AC187" s="20">
        <f>Operations!AC167*Operations!AC149*(1-Operations!AC177)</f>
        <v/>
      </c>
      <c r="AD187" s="20">
        <f>Operations!AD167*Operations!AD149*(1-Operations!AD177)</f>
        <v/>
      </c>
      <c r="AE187" s="20">
        <f>Operations!AE167*Operations!AE149*(1-Operations!AE177)</f>
        <v/>
      </c>
      <c r="AF187" s="20">
        <f>Operations!AF167*Operations!AF149*(1-Operations!AF177)</f>
        <v/>
      </c>
      <c r="AG187" s="20">
        <f>Operations!AG167*Operations!AG149*(1-Operations!AG177)</f>
        <v/>
      </c>
      <c r="AH187" s="20">
        <f>Operations!AH167*Operations!AH149*(1-Operations!AH177)</f>
        <v/>
      </c>
      <c r="AI187" s="20">
        <f>Operations!AI167*Operations!AI149*(1-Operations!AI177)</f>
        <v/>
      </c>
      <c r="AJ187" s="20">
        <f>Operations!AJ167*Operations!AJ149*(1-Operations!AJ177)</f>
        <v/>
      </c>
      <c r="AK187" s="20">
        <f>Operations!AK167*Operations!AK149*(1-Operations!AK177)</f>
        <v/>
      </c>
      <c r="AL187" s="20">
        <f>Operations!AL167*Operations!AL149*(1-Operations!AL177)</f>
        <v/>
      </c>
      <c r="AM187" s="20">
        <f>Operations!AM167*Operations!AM149*(1-Operations!AM177)</f>
        <v/>
      </c>
      <c r="AN187" s="20">
        <f>Operations!AN167*Operations!AN149*(1-Operations!AN177)</f>
        <v/>
      </c>
      <c r="AO187" s="20">
        <f>Operations!AO167*Operations!AO149*(1-Operations!AO177)</f>
        <v/>
      </c>
      <c r="AP187" s="20">
        <f>Operations!AP167*Operations!AP149*(1-Operations!AP177)</f>
        <v/>
      </c>
      <c r="AQ187" s="20">
        <f>Operations!AQ167*Operations!AQ149*(1-Operations!AQ177)</f>
        <v/>
      </c>
      <c r="AR187" s="20">
        <f>Operations!AR167*Operations!AR149*(1-Operations!AR177)</f>
        <v/>
      </c>
      <c r="AS187" s="20">
        <f>Operations!AS167*Operations!AS149*(1-Operations!AS177)</f>
        <v/>
      </c>
      <c r="AT187" s="20">
        <f>Operations!AT167*Operations!AT149*(1-Operations!AT177)</f>
        <v/>
      </c>
      <c r="AU187" s="20">
        <f>Operations!AU167*Operations!AU149*(1-Operations!AU177)</f>
        <v/>
      </c>
    </row>
    <row r="188">
      <c r="D188" t="inlineStr">
        <is>
          <t>R3 Mesa-share revenue</t>
        </is>
      </c>
      <c r="E188" t="inlineStr">
        <is>
          <t>USD m</t>
        </is>
      </c>
      <c r="J188" s="20">
        <f>Operations!J166*Operations!J149*(1-Operations!J177)</f>
        <v/>
      </c>
      <c r="K188" s="20">
        <f>Operations!K166*Operations!K149*(1-Operations!K177)</f>
        <v/>
      </c>
      <c r="L188" s="20">
        <f>Operations!L166*Operations!L149*(1-Operations!L177)</f>
        <v/>
      </c>
      <c r="M188" s="20">
        <f>Operations!M166*Operations!M149*(1-Operations!M177)</f>
        <v/>
      </c>
      <c r="N188" s="20">
        <f>Operations!N166*Operations!N149*(1-Operations!N177)</f>
        <v/>
      </c>
      <c r="O188" s="20">
        <f>Operations!O166*Operations!O149*(1-Operations!O177)</f>
        <v/>
      </c>
      <c r="P188" s="20">
        <f>Operations!P166*Operations!P149*(1-Operations!P177)</f>
        <v/>
      </c>
      <c r="Q188" s="20">
        <f>Operations!Q166*Operations!Q149*(1-Operations!Q177)</f>
        <v/>
      </c>
      <c r="R188" s="20">
        <f>Operations!R166*Operations!R149*(1-Operations!R177)</f>
        <v/>
      </c>
      <c r="S188" s="20">
        <f>Operations!S166*Operations!S149*(1-Operations!S177)</f>
        <v/>
      </c>
      <c r="T188" s="20">
        <f>Operations!T166*Operations!T149*(1-Operations!T177)</f>
        <v/>
      </c>
      <c r="U188" s="20">
        <f>Operations!U166*Operations!U149*(1-Operations!U177)</f>
        <v/>
      </c>
      <c r="V188" s="20">
        <f>Operations!V166*Operations!V149*(1-Operations!V177)</f>
        <v/>
      </c>
      <c r="W188" s="20">
        <f>Operations!W166*Operations!W149*(1-Operations!W177)</f>
        <v/>
      </c>
      <c r="X188" s="20">
        <f>Operations!X166*Operations!X149*(1-Operations!X177)</f>
        <v/>
      </c>
      <c r="Y188" s="20">
        <f>Operations!Y166*Operations!Y149*(1-Operations!Y177)</f>
        <v/>
      </c>
      <c r="Z188" s="20">
        <f>Operations!Z166*Operations!Z149*(1-Operations!Z177)</f>
        <v/>
      </c>
      <c r="AA188" s="20">
        <f>Operations!AA166*Operations!AA149*(1-Operations!AA177)</f>
        <v/>
      </c>
      <c r="AB188" s="20">
        <f>Operations!AB166*Operations!AB149*(1-Operations!AB177)</f>
        <v/>
      </c>
      <c r="AC188" s="20">
        <f>Operations!AC166*Operations!AC149*(1-Operations!AC177)</f>
        <v/>
      </c>
      <c r="AD188" s="20">
        <f>Operations!AD166*Operations!AD149*(1-Operations!AD177)</f>
        <v/>
      </c>
      <c r="AE188" s="20">
        <f>Operations!AE166*Operations!AE149*(1-Operations!AE177)</f>
        <v/>
      </c>
      <c r="AF188" s="20">
        <f>Operations!AF166*Operations!AF149*(1-Operations!AF177)</f>
        <v/>
      </c>
      <c r="AG188" s="20">
        <f>Operations!AG166*Operations!AG149*(1-Operations!AG177)</f>
        <v/>
      </c>
      <c r="AH188" s="20">
        <f>Operations!AH166*Operations!AH149*(1-Operations!AH177)</f>
        <v/>
      </c>
      <c r="AI188" s="20">
        <f>Operations!AI166*Operations!AI149*(1-Operations!AI177)</f>
        <v/>
      </c>
      <c r="AJ188" s="20">
        <f>Operations!AJ166*Operations!AJ149*(1-Operations!AJ177)</f>
        <v/>
      </c>
      <c r="AK188" s="20">
        <f>Operations!AK166*Operations!AK149*(1-Operations!AK177)</f>
        <v/>
      </c>
      <c r="AL188" s="20">
        <f>Operations!AL166*Operations!AL149*(1-Operations!AL177)</f>
        <v/>
      </c>
      <c r="AM188" s="20">
        <f>Operations!AM166*Operations!AM149*(1-Operations!AM177)</f>
        <v/>
      </c>
      <c r="AN188" s="20">
        <f>Operations!AN166*Operations!AN149*(1-Operations!AN177)</f>
        <v/>
      </c>
      <c r="AO188" s="20">
        <f>Operations!AO166*Operations!AO149*(1-Operations!AO177)</f>
        <v/>
      </c>
      <c r="AP188" s="20">
        <f>Operations!AP166*Operations!AP149*(1-Operations!AP177)</f>
        <v/>
      </c>
      <c r="AQ188" s="20">
        <f>Operations!AQ166*Operations!AQ149*(1-Operations!AQ177)</f>
        <v/>
      </c>
      <c r="AR188" s="20">
        <f>Operations!AR166*Operations!AR149*(1-Operations!AR177)</f>
        <v/>
      </c>
      <c r="AS188" s="20">
        <f>Operations!AS166*Operations!AS149*(1-Operations!AS177)</f>
        <v/>
      </c>
      <c r="AT188" s="20">
        <f>Operations!AT166*Operations!AT149*(1-Operations!AT177)</f>
        <v/>
      </c>
      <c r="AU188" s="20">
        <f>Operations!AU166*Operations!AU149*(1-Operations!AU177)</f>
        <v/>
      </c>
    </row>
    <row r="189">
      <c r="D189" t="inlineStr">
        <is>
          <t>R3 PTC generated (99% to tax equity before flip)</t>
        </is>
      </c>
      <c r="E189" t="inlineStr">
        <is>
          <t>USD m</t>
        </is>
      </c>
      <c r="J189" s="20">
        <f>Operations!J154*MAX(0,MIN(DATE(YEAR(Inputs!$F$111)+Inputs!$F$229,MONTH(Inputs!$F$111),DAY(Inputs!$F$111)),Time!J$6)-MAX(Inputs!$F$111,Time!J$5))/Time!J$7*Inputs!J81/1000</f>
        <v/>
      </c>
      <c r="K189" s="20">
        <f>Operations!K154*MAX(0,MIN(DATE(YEAR(Inputs!$F$111)+Inputs!$F$229,MONTH(Inputs!$F$111),DAY(Inputs!$F$111)),Time!K$6)-MAX(Inputs!$F$111,Time!K$5))/Time!K$7*Inputs!K81/1000</f>
        <v/>
      </c>
      <c r="L189" s="20">
        <f>Operations!L154*MAX(0,MIN(DATE(YEAR(Inputs!$F$111)+Inputs!$F$229,MONTH(Inputs!$F$111),DAY(Inputs!$F$111)),Time!L$6)-MAX(Inputs!$F$111,Time!L$5))/Time!L$7*Inputs!L81/1000</f>
        <v/>
      </c>
      <c r="M189" s="20">
        <f>Operations!M154*MAX(0,MIN(DATE(YEAR(Inputs!$F$111)+Inputs!$F$229,MONTH(Inputs!$F$111),DAY(Inputs!$F$111)),Time!M$6)-MAX(Inputs!$F$111,Time!M$5))/Time!M$7*Inputs!M81/1000</f>
        <v/>
      </c>
      <c r="N189" s="20">
        <f>Operations!N154*MAX(0,MIN(DATE(YEAR(Inputs!$F$111)+Inputs!$F$229,MONTH(Inputs!$F$111),DAY(Inputs!$F$111)),Time!N$6)-MAX(Inputs!$F$111,Time!N$5))/Time!N$7*Inputs!N81/1000</f>
        <v/>
      </c>
      <c r="O189" s="20">
        <f>Operations!O154*MAX(0,MIN(DATE(YEAR(Inputs!$F$111)+Inputs!$F$229,MONTH(Inputs!$F$111),DAY(Inputs!$F$111)),Time!O$6)-MAX(Inputs!$F$111,Time!O$5))/Time!O$7*Inputs!O81/1000</f>
        <v/>
      </c>
      <c r="P189" s="20">
        <f>Operations!P154*MAX(0,MIN(DATE(YEAR(Inputs!$F$111)+Inputs!$F$229,MONTH(Inputs!$F$111),DAY(Inputs!$F$111)),Time!P$6)-MAX(Inputs!$F$111,Time!P$5))/Time!P$7*Inputs!P81/1000</f>
        <v/>
      </c>
      <c r="Q189" s="20">
        <f>Operations!Q154*MAX(0,MIN(DATE(YEAR(Inputs!$F$111)+Inputs!$F$229,MONTH(Inputs!$F$111),DAY(Inputs!$F$111)),Time!Q$6)-MAX(Inputs!$F$111,Time!Q$5))/Time!Q$7*Inputs!Q81/1000</f>
        <v/>
      </c>
      <c r="R189" s="20">
        <f>Operations!R154*MAX(0,MIN(DATE(YEAR(Inputs!$F$111)+Inputs!$F$229,MONTH(Inputs!$F$111),DAY(Inputs!$F$111)),Time!R$6)-MAX(Inputs!$F$111,Time!R$5))/Time!R$7*Inputs!R81/1000</f>
        <v/>
      </c>
      <c r="S189" s="20">
        <f>Operations!S154*MAX(0,MIN(DATE(YEAR(Inputs!$F$111)+Inputs!$F$229,MONTH(Inputs!$F$111),DAY(Inputs!$F$111)),Time!S$6)-MAX(Inputs!$F$111,Time!S$5))/Time!S$7*Inputs!S81/1000</f>
        <v/>
      </c>
      <c r="T189" s="20">
        <f>Operations!T154*MAX(0,MIN(DATE(YEAR(Inputs!$F$111)+Inputs!$F$229,MONTH(Inputs!$F$111),DAY(Inputs!$F$111)),Time!T$6)-MAX(Inputs!$F$111,Time!T$5))/Time!T$7*Inputs!T81/1000</f>
        <v/>
      </c>
      <c r="U189" s="20">
        <f>Operations!U154*MAX(0,MIN(DATE(YEAR(Inputs!$F$111)+Inputs!$F$229,MONTH(Inputs!$F$111),DAY(Inputs!$F$111)),Time!U$6)-MAX(Inputs!$F$111,Time!U$5))/Time!U$7*Inputs!U81/1000</f>
        <v/>
      </c>
      <c r="V189" s="20">
        <f>Operations!V154*MAX(0,MIN(DATE(YEAR(Inputs!$F$111)+Inputs!$F$229,MONTH(Inputs!$F$111),DAY(Inputs!$F$111)),Time!V$6)-MAX(Inputs!$F$111,Time!V$5))/Time!V$7*Inputs!V81/1000</f>
        <v/>
      </c>
      <c r="W189" s="20">
        <f>Operations!W154*MAX(0,MIN(DATE(YEAR(Inputs!$F$111)+Inputs!$F$229,MONTH(Inputs!$F$111),DAY(Inputs!$F$111)),Time!W$6)-MAX(Inputs!$F$111,Time!W$5))/Time!W$7*Inputs!W81/1000</f>
        <v/>
      </c>
      <c r="X189" s="20">
        <f>Operations!X154*MAX(0,MIN(DATE(YEAR(Inputs!$F$111)+Inputs!$F$229,MONTH(Inputs!$F$111),DAY(Inputs!$F$111)),Time!X$6)-MAX(Inputs!$F$111,Time!X$5))/Time!X$7*Inputs!X81/1000</f>
        <v/>
      </c>
      <c r="Y189" s="20">
        <f>Operations!Y154*MAX(0,MIN(DATE(YEAR(Inputs!$F$111)+Inputs!$F$229,MONTH(Inputs!$F$111),DAY(Inputs!$F$111)),Time!Y$6)-MAX(Inputs!$F$111,Time!Y$5))/Time!Y$7*Inputs!Y81/1000</f>
        <v/>
      </c>
      <c r="Z189" s="20">
        <f>Operations!Z154*MAX(0,MIN(DATE(YEAR(Inputs!$F$111)+Inputs!$F$229,MONTH(Inputs!$F$111),DAY(Inputs!$F$111)),Time!Z$6)-MAX(Inputs!$F$111,Time!Z$5))/Time!Z$7*Inputs!Z81/1000</f>
        <v/>
      </c>
      <c r="AA189" s="20">
        <f>Operations!AA154*MAX(0,MIN(DATE(YEAR(Inputs!$F$111)+Inputs!$F$229,MONTH(Inputs!$F$111),DAY(Inputs!$F$111)),Time!AA$6)-MAX(Inputs!$F$111,Time!AA$5))/Time!AA$7*Inputs!AA81/1000</f>
        <v/>
      </c>
      <c r="AB189" s="20">
        <f>Operations!AB154*MAX(0,MIN(DATE(YEAR(Inputs!$F$111)+Inputs!$F$229,MONTH(Inputs!$F$111),DAY(Inputs!$F$111)),Time!AB$6)-MAX(Inputs!$F$111,Time!AB$5))/Time!AB$7*Inputs!AB81/1000</f>
        <v/>
      </c>
      <c r="AC189" s="20">
        <f>Operations!AC154*MAX(0,MIN(DATE(YEAR(Inputs!$F$111)+Inputs!$F$229,MONTH(Inputs!$F$111),DAY(Inputs!$F$111)),Time!AC$6)-MAX(Inputs!$F$111,Time!AC$5))/Time!AC$7*Inputs!AC81/1000</f>
        <v/>
      </c>
      <c r="AD189" s="20">
        <f>Operations!AD154*MAX(0,MIN(DATE(YEAR(Inputs!$F$111)+Inputs!$F$229,MONTH(Inputs!$F$111),DAY(Inputs!$F$111)),Time!AD$6)-MAX(Inputs!$F$111,Time!AD$5))/Time!AD$7*Inputs!AD81/1000</f>
        <v/>
      </c>
      <c r="AE189" s="20">
        <f>Operations!AE154*MAX(0,MIN(DATE(YEAR(Inputs!$F$111)+Inputs!$F$229,MONTH(Inputs!$F$111),DAY(Inputs!$F$111)),Time!AE$6)-MAX(Inputs!$F$111,Time!AE$5))/Time!AE$7*Inputs!AE81/1000</f>
        <v/>
      </c>
      <c r="AF189" s="20">
        <f>Operations!AF154*MAX(0,MIN(DATE(YEAR(Inputs!$F$111)+Inputs!$F$229,MONTH(Inputs!$F$111),DAY(Inputs!$F$111)),Time!AF$6)-MAX(Inputs!$F$111,Time!AF$5))/Time!AF$7*Inputs!AF81/1000</f>
        <v/>
      </c>
      <c r="AG189" s="20">
        <f>Operations!AG154*MAX(0,MIN(DATE(YEAR(Inputs!$F$111)+Inputs!$F$229,MONTH(Inputs!$F$111),DAY(Inputs!$F$111)),Time!AG$6)-MAX(Inputs!$F$111,Time!AG$5))/Time!AG$7*Inputs!AG81/1000</f>
        <v/>
      </c>
      <c r="AH189" s="20">
        <f>Operations!AH154*MAX(0,MIN(DATE(YEAR(Inputs!$F$111)+Inputs!$F$229,MONTH(Inputs!$F$111),DAY(Inputs!$F$111)),Time!AH$6)-MAX(Inputs!$F$111,Time!AH$5))/Time!AH$7*Inputs!AH81/1000</f>
        <v/>
      </c>
      <c r="AI189" s="20">
        <f>Operations!AI154*MAX(0,MIN(DATE(YEAR(Inputs!$F$111)+Inputs!$F$229,MONTH(Inputs!$F$111),DAY(Inputs!$F$111)),Time!AI$6)-MAX(Inputs!$F$111,Time!AI$5))/Time!AI$7*Inputs!AI81/1000</f>
        <v/>
      </c>
      <c r="AJ189" s="20">
        <f>Operations!AJ154*MAX(0,MIN(DATE(YEAR(Inputs!$F$111)+Inputs!$F$229,MONTH(Inputs!$F$111),DAY(Inputs!$F$111)),Time!AJ$6)-MAX(Inputs!$F$111,Time!AJ$5))/Time!AJ$7*Inputs!AJ81/1000</f>
        <v/>
      </c>
      <c r="AK189" s="20">
        <f>Operations!AK154*MAX(0,MIN(DATE(YEAR(Inputs!$F$111)+Inputs!$F$229,MONTH(Inputs!$F$111),DAY(Inputs!$F$111)),Time!AK$6)-MAX(Inputs!$F$111,Time!AK$5))/Time!AK$7*Inputs!AK81/1000</f>
        <v/>
      </c>
      <c r="AL189" s="20">
        <f>Operations!AL154*MAX(0,MIN(DATE(YEAR(Inputs!$F$111)+Inputs!$F$229,MONTH(Inputs!$F$111),DAY(Inputs!$F$111)),Time!AL$6)-MAX(Inputs!$F$111,Time!AL$5))/Time!AL$7*Inputs!AL81/1000</f>
        <v/>
      </c>
      <c r="AM189" s="20">
        <f>Operations!AM154*MAX(0,MIN(DATE(YEAR(Inputs!$F$111)+Inputs!$F$229,MONTH(Inputs!$F$111),DAY(Inputs!$F$111)),Time!AM$6)-MAX(Inputs!$F$111,Time!AM$5))/Time!AM$7*Inputs!AM81/1000</f>
        <v/>
      </c>
      <c r="AN189" s="20">
        <f>Operations!AN154*MAX(0,MIN(DATE(YEAR(Inputs!$F$111)+Inputs!$F$229,MONTH(Inputs!$F$111),DAY(Inputs!$F$111)),Time!AN$6)-MAX(Inputs!$F$111,Time!AN$5))/Time!AN$7*Inputs!AN81/1000</f>
        <v/>
      </c>
      <c r="AO189" s="20">
        <f>Operations!AO154*MAX(0,MIN(DATE(YEAR(Inputs!$F$111)+Inputs!$F$229,MONTH(Inputs!$F$111),DAY(Inputs!$F$111)),Time!AO$6)-MAX(Inputs!$F$111,Time!AO$5))/Time!AO$7*Inputs!AO81/1000</f>
        <v/>
      </c>
      <c r="AP189" s="20">
        <f>Operations!AP154*MAX(0,MIN(DATE(YEAR(Inputs!$F$111)+Inputs!$F$229,MONTH(Inputs!$F$111),DAY(Inputs!$F$111)),Time!AP$6)-MAX(Inputs!$F$111,Time!AP$5))/Time!AP$7*Inputs!AP81/1000</f>
        <v/>
      </c>
      <c r="AQ189" s="20">
        <f>Operations!AQ154*MAX(0,MIN(DATE(YEAR(Inputs!$F$111)+Inputs!$F$229,MONTH(Inputs!$F$111),DAY(Inputs!$F$111)),Time!AQ$6)-MAX(Inputs!$F$111,Time!AQ$5))/Time!AQ$7*Inputs!AQ81/1000</f>
        <v/>
      </c>
      <c r="AR189" s="20">
        <f>Operations!AR154*MAX(0,MIN(DATE(YEAR(Inputs!$F$111)+Inputs!$F$229,MONTH(Inputs!$F$111),DAY(Inputs!$F$111)),Time!AR$6)-MAX(Inputs!$F$111,Time!AR$5))/Time!AR$7*Inputs!AR81/1000</f>
        <v/>
      </c>
      <c r="AS189" s="20">
        <f>Operations!AS154*MAX(0,MIN(DATE(YEAR(Inputs!$F$111)+Inputs!$F$229,MONTH(Inputs!$F$111),DAY(Inputs!$F$111)),Time!AS$6)-MAX(Inputs!$F$111,Time!AS$5))/Time!AS$7*Inputs!AS81/1000</f>
        <v/>
      </c>
      <c r="AT189" s="20">
        <f>Operations!AT154*MAX(0,MIN(DATE(YEAR(Inputs!$F$111)+Inputs!$F$229,MONTH(Inputs!$F$111),DAY(Inputs!$F$111)),Time!AT$6)-MAX(Inputs!$F$111,Time!AT$5))/Time!AT$7*Inputs!AT81/1000</f>
        <v/>
      </c>
      <c r="AU189" s="20">
        <f>Operations!AU154*MAX(0,MIN(DATE(YEAR(Inputs!$F$111)+Inputs!$F$229,MONTH(Inputs!$F$111),DAY(Inputs!$F$111)),Time!AU$6)-MAX(Inputs!$F$111,Time!AU$5))/Time!AU$7*Inputs!AU81/1000</f>
        <v/>
      </c>
    </row>
    <row r="190">
      <c r="D190" s="19" t="inlineStr">
        <is>
          <t>R4 Peeler Draw Solar (single-axis tracking PV)</t>
        </is>
      </c>
    </row>
    <row r="191">
      <c r="D191" t="inlineStr">
        <is>
          <t>R4 operating fraction</t>
        </is>
      </c>
      <c r="E191" t="inlineStr">
        <is>
          <t>fraction</t>
        </is>
      </c>
      <c r="J191" s="14">
        <f>MAX(0,MIN(Inputs!$F$123,Time!J$6)-MAX(Inputs!$F$122,Time!J$5))/Time!J$7</f>
        <v/>
      </c>
      <c r="K191" s="14">
        <f>MAX(0,MIN(Inputs!$F$123,Time!K$6)-MAX(Inputs!$F$122,Time!K$5))/Time!K$7</f>
        <v/>
      </c>
      <c r="L191" s="14">
        <f>MAX(0,MIN(Inputs!$F$123,Time!L$6)-MAX(Inputs!$F$122,Time!L$5))/Time!L$7</f>
        <v/>
      </c>
      <c r="M191" s="14">
        <f>MAX(0,MIN(Inputs!$F$123,Time!M$6)-MAX(Inputs!$F$122,Time!M$5))/Time!M$7</f>
        <v/>
      </c>
      <c r="N191" s="14">
        <f>MAX(0,MIN(Inputs!$F$123,Time!N$6)-MAX(Inputs!$F$122,Time!N$5))/Time!N$7</f>
        <v/>
      </c>
      <c r="O191" s="14">
        <f>MAX(0,MIN(Inputs!$F$123,Time!O$6)-MAX(Inputs!$F$122,Time!O$5))/Time!O$7</f>
        <v/>
      </c>
      <c r="P191" s="14">
        <f>MAX(0,MIN(Inputs!$F$123,Time!P$6)-MAX(Inputs!$F$122,Time!P$5))/Time!P$7</f>
        <v/>
      </c>
      <c r="Q191" s="14">
        <f>MAX(0,MIN(Inputs!$F$123,Time!Q$6)-MAX(Inputs!$F$122,Time!Q$5))/Time!Q$7</f>
        <v/>
      </c>
      <c r="R191" s="14">
        <f>MAX(0,MIN(Inputs!$F$123,Time!R$6)-MAX(Inputs!$F$122,Time!R$5))/Time!R$7</f>
        <v/>
      </c>
      <c r="S191" s="14">
        <f>MAX(0,MIN(Inputs!$F$123,Time!S$6)-MAX(Inputs!$F$122,Time!S$5))/Time!S$7</f>
        <v/>
      </c>
      <c r="T191" s="14">
        <f>MAX(0,MIN(Inputs!$F$123,Time!T$6)-MAX(Inputs!$F$122,Time!T$5))/Time!T$7</f>
        <v/>
      </c>
      <c r="U191" s="14">
        <f>MAX(0,MIN(Inputs!$F$123,Time!U$6)-MAX(Inputs!$F$122,Time!U$5))/Time!U$7</f>
        <v/>
      </c>
      <c r="V191" s="14">
        <f>MAX(0,MIN(Inputs!$F$123,Time!V$6)-MAX(Inputs!$F$122,Time!V$5))/Time!V$7</f>
        <v/>
      </c>
      <c r="W191" s="14">
        <f>MAX(0,MIN(Inputs!$F$123,Time!W$6)-MAX(Inputs!$F$122,Time!W$5))/Time!W$7</f>
        <v/>
      </c>
      <c r="X191" s="14">
        <f>MAX(0,MIN(Inputs!$F$123,Time!X$6)-MAX(Inputs!$F$122,Time!X$5))/Time!X$7</f>
        <v/>
      </c>
      <c r="Y191" s="14">
        <f>MAX(0,MIN(Inputs!$F$123,Time!Y$6)-MAX(Inputs!$F$122,Time!Y$5))/Time!Y$7</f>
        <v/>
      </c>
      <c r="Z191" s="14">
        <f>MAX(0,MIN(Inputs!$F$123,Time!Z$6)-MAX(Inputs!$F$122,Time!Z$5))/Time!Z$7</f>
        <v/>
      </c>
      <c r="AA191" s="14">
        <f>MAX(0,MIN(Inputs!$F$123,Time!AA$6)-MAX(Inputs!$F$122,Time!AA$5))/Time!AA$7</f>
        <v/>
      </c>
      <c r="AB191" s="14">
        <f>MAX(0,MIN(Inputs!$F$123,Time!AB$6)-MAX(Inputs!$F$122,Time!AB$5))/Time!AB$7</f>
        <v/>
      </c>
      <c r="AC191" s="14">
        <f>MAX(0,MIN(Inputs!$F$123,Time!AC$6)-MAX(Inputs!$F$122,Time!AC$5))/Time!AC$7</f>
        <v/>
      </c>
      <c r="AD191" s="14">
        <f>MAX(0,MIN(Inputs!$F$123,Time!AD$6)-MAX(Inputs!$F$122,Time!AD$5))/Time!AD$7</f>
        <v/>
      </c>
      <c r="AE191" s="14">
        <f>MAX(0,MIN(Inputs!$F$123,Time!AE$6)-MAX(Inputs!$F$122,Time!AE$5))/Time!AE$7</f>
        <v/>
      </c>
      <c r="AF191" s="14">
        <f>MAX(0,MIN(Inputs!$F$123,Time!AF$6)-MAX(Inputs!$F$122,Time!AF$5))/Time!AF$7</f>
        <v/>
      </c>
      <c r="AG191" s="14">
        <f>MAX(0,MIN(Inputs!$F$123,Time!AG$6)-MAX(Inputs!$F$122,Time!AG$5))/Time!AG$7</f>
        <v/>
      </c>
      <c r="AH191" s="14">
        <f>MAX(0,MIN(Inputs!$F$123,Time!AH$6)-MAX(Inputs!$F$122,Time!AH$5))/Time!AH$7</f>
        <v/>
      </c>
      <c r="AI191" s="14">
        <f>MAX(0,MIN(Inputs!$F$123,Time!AI$6)-MAX(Inputs!$F$122,Time!AI$5))/Time!AI$7</f>
        <v/>
      </c>
      <c r="AJ191" s="14">
        <f>MAX(0,MIN(Inputs!$F$123,Time!AJ$6)-MAX(Inputs!$F$122,Time!AJ$5))/Time!AJ$7</f>
        <v/>
      </c>
      <c r="AK191" s="14">
        <f>MAX(0,MIN(Inputs!$F$123,Time!AK$6)-MAX(Inputs!$F$122,Time!AK$5))/Time!AK$7</f>
        <v/>
      </c>
      <c r="AL191" s="14">
        <f>MAX(0,MIN(Inputs!$F$123,Time!AL$6)-MAX(Inputs!$F$122,Time!AL$5))/Time!AL$7</f>
        <v/>
      </c>
      <c r="AM191" s="14">
        <f>MAX(0,MIN(Inputs!$F$123,Time!AM$6)-MAX(Inputs!$F$122,Time!AM$5))/Time!AM$7</f>
        <v/>
      </c>
      <c r="AN191" s="14">
        <f>MAX(0,MIN(Inputs!$F$123,Time!AN$6)-MAX(Inputs!$F$122,Time!AN$5))/Time!AN$7</f>
        <v/>
      </c>
      <c r="AO191" s="14">
        <f>MAX(0,MIN(Inputs!$F$123,Time!AO$6)-MAX(Inputs!$F$122,Time!AO$5))/Time!AO$7</f>
        <v/>
      </c>
      <c r="AP191" s="14">
        <f>MAX(0,MIN(Inputs!$F$123,Time!AP$6)-MAX(Inputs!$F$122,Time!AP$5))/Time!AP$7</f>
        <v/>
      </c>
      <c r="AQ191" s="14">
        <f>MAX(0,MIN(Inputs!$F$123,Time!AQ$6)-MAX(Inputs!$F$122,Time!AQ$5))/Time!AQ$7</f>
        <v/>
      </c>
      <c r="AR191" s="14">
        <f>MAX(0,MIN(Inputs!$F$123,Time!AR$6)-MAX(Inputs!$F$122,Time!AR$5))/Time!AR$7</f>
        <v/>
      </c>
      <c r="AS191" s="14">
        <f>MAX(0,MIN(Inputs!$F$123,Time!AS$6)-MAX(Inputs!$F$122,Time!AS$5))/Time!AS$7</f>
        <v/>
      </c>
      <c r="AT191" s="14">
        <f>MAX(0,MIN(Inputs!$F$123,Time!AT$6)-MAX(Inputs!$F$122,Time!AT$5))/Time!AT$7</f>
        <v/>
      </c>
      <c r="AU191" s="14">
        <f>MAX(0,MIN(Inputs!$F$123,Time!AU$6)-MAX(Inputs!$F$122,Time!AU$5))/Time!AU$7</f>
        <v/>
      </c>
    </row>
    <row r="192">
      <c r="D192" t="inlineStr">
        <is>
          <t>R4 owned fraction</t>
        </is>
      </c>
      <c r="E192" t="inlineStr">
        <is>
          <t>fraction</t>
        </is>
      </c>
      <c r="J192" s="14">
        <f>MAX(0,MIN(Inputs!$F$123,Time!J$6)-MAX(MAX(Inputs!$F$124,Inputs!$F$122),Time!J$5))/Time!J$7</f>
        <v/>
      </c>
      <c r="K192" s="14">
        <f>MAX(0,MIN(Inputs!$F$123,Time!K$6)-MAX(MAX(Inputs!$F$124,Inputs!$F$122),Time!K$5))/Time!K$7</f>
        <v/>
      </c>
      <c r="L192" s="14">
        <f>MAX(0,MIN(Inputs!$F$123,Time!L$6)-MAX(MAX(Inputs!$F$124,Inputs!$F$122),Time!L$5))/Time!L$7</f>
        <v/>
      </c>
      <c r="M192" s="14">
        <f>MAX(0,MIN(Inputs!$F$123,Time!M$6)-MAX(MAX(Inputs!$F$124,Inputs!$F$122),Time!M$5))/Time!M$7</f>
        <v/>
      </c>
      <c r="N192" s="14">
        <f>MAX(0,MIN(Inputs!$F$123,Time!N$6)-MAX(MAX(Inputs!$F$124,Inputs!$F$122),Time!N$5))/Time!N$7</f>
        <v/>
      </c>
      <c r="O192" s="14">
        <f>MAX(0,MIN(Inputs!$F$123,Time!O$6)-MAX(MAX(Inputs!$F$124,Inputs!$F$122),Time!O$5))/Time!O$7</f>
        <v/>
      </c>
      <c r="P192" s="14">
        <f>MAX(0,MIN(Inputs!$F$123,Time!P$6)-MAX(MAX(Inputs!$F$124,Inputs!$F$122),Time!P$5))/Time!P$7</f>
        <v/>
      </c>
      <c r="Q192" s="14">
        <f>MAX(0,MIN(Inputs!$F$123,Time!Q$6)-MAX(MAX(Inputs!$F$124,Inputs!$F$122),Time!Q$5))/Time!Q$7</f>
        <v/>
      </c>
      <c r="R192" s="14">
        <f>MAX(0,MIN(Inputs!$F$123,Time!R$6)-MAX(MAX(Inputs!$F$124,Inputs!$F$122),Time!R$5))/Time!R$7</f>
        <v/>
      </c>
      <c r="S192" s="14">
        <f>MAX(0,MIN(Inputs!$F$123,Time!S$6)-MAX(MAX(Inputs!$F$124,Inputs!$F$122),Time!S$5))/Time!S$7</f>
        <v/>
      </c>
      <c r="T192" s="14">
        <f>MAX(0,MIN(Inputs!$F$123,Time!T$6)-MAX(MAX(Inputs!$F$124,Inputs!$F$122),Time!T$5))/Time!T$7</f>
        <v/>
      </c>
      <c r="U192" s="14">
        <f>MAX(0,MIN(Inputs!$F$123,Time!U$6)-MAX(MAX(Inputs!$F$124,Inputs!$F$122),Time!U$5))/Time!U$7</f>
        <v/>
      </c>
      <c r="V192" s="14">
        <f>MAX(0,MIN(Inputs!$F$123,Time!V$6)-MAX(MAX(Inputs!$F$124,Inputs!$F$122),Time!V$5))/Time!V$7</f>
        <v/>
      </c>
      <c r="W192" s="14">
        <f>MAX(0,MIN(Inputs!$F$123,Time!W$6)-MAX(MAX(Inputs!$F$124,Inputs!$F$122),Time!W$5))/Time!W$7</f>
        <v/>
      </c>
      <c r="X192" s="14">
        <f>MAX(0,MIN(Inputs!$F$123,Time!X$6)-MAX(MAX(Inputs!$F$124,Inputs!$F$122),Time!X$5))/Time!X$7</f>
        <v/>
      </c>
      <c r="Y192" s="14">
        <f>MAX(0,MIN(Inputs!$F$123,Time!Y$6)-MAX(MAX(Inputs!$F$124,Inputs!$F$122),Time!Y$5))/Time!Y$7</f>
        <v/>
      </c>
      <c r="Z192" s="14">
        <f>MAX(0,MIN(Inputs!$F$123,Time!Z$6)-MAX(MAX(Inputs!$F$124,Inputs!$F$122),Time!Z$5))/Time!Z$7</f>
        <v/>
      </c>
      <c r="AA192" s="14">
        <f>MAX(0,MIN(Inputs!$F$123,Time!AA$6)-MAX(MAX(Inputs!$F$124,Inputs!$F$122),Time!AA$5))/Time!AA$7</f>
        <v/>
      </c>
      <c r="AB192" s="14">
        <f>MAX(0,MIN(Inputs!$F$123,Time!AB$6)-MAX(MAX(Inputs!$F$124,Inputs!$F$122),Time!AB$5))/Time!AB$7</f>
        <v/>
      </c>
      <c r="AC192" s="14">
        <f>MAX(0,MIN(Inputs!$F$123,Time!AC$6)-MAX(MAX(Inputs!$F$124,Inputs!$F$122),Time!AC$5))/Time!AC$7</f>
        <v/>
      </c>
      <c r="AD192" s="14">
        <f>MAX(0,MIN(Inputs!$F$123,Time!AD$6)-MAX(MAX(Inputs!$F$124,Inputs!$F$122),Time!AD$5))/Time!AD$7</f>
        <v/>
      </c>
      <c r="AE192" s="14">
        <f>MAX(0,MIN(Inputs!$F$123,Time!AE$6)-MAX(MAX(Inputs!$F$124,Inputs!$F$122),Time!AE$5))/Time!AE$7</f>
        <v/>
      </c>
      <c r="AF192" s="14">
        <f>MAX(0,MIN(Inputs!$F$123,Time!AF$6)-MAX(MAX(Inputs!$F$124,Inputs!$F$122),Time!AF$5))/Time!AF$7</f>
        <v/>
      </c>
      <c r="AG192" s="14">
        <f>MAX(0,MIN(Inputs!$F$123,Time!AG$6)-MAX(MAX(Inputs!$F$124,Inputs!$F$122),Time!AG$5))/Time!AG$7</f>
        <v/>
      </c>
      <c r="AH192" s="14">
        <f>MAX(0,MIN(Inputs!$F$123,Time!AH$6)-MAX(MAX(Inputs!$F$124,Inputs!$F$122),Time!AH$5))/Time!AH$7</f>
        <v/>
      </c>
      <c r="AI192" s="14">
        <f>MAX(0,MIN(Inputs!$F$123,Time!AI$6)-MAX(MAX(Inputs!$F$124,Inputs!$F$122),Time!AI$5))/Time!AI$7</f>
        <v/>
      </c>
      <c r="AJ192" s="14">
        <f>MAX(0,MIN(Inputs!$F$123,Time!AJ$6)-MAX(MAX(Inputs!$F$124,Inputs!$F$122),Time!AJ$5))/Time!AJ$7</f>
        <v/>
      </c>
      <c r="AK192" s="14">
        <f>MAX(0,MIN(Inputs!$F$123,Time!AK$6)-MAX(MAX(Inputs!$F$124,Inputs!$F$122),Time!AK$5))/Time!AK$7</f>
        <v/>
      </c>
      <c r="AL192" s="14">
        <f>MAX(0,MIN(Inputs!$F$123,Time!AL$6)-MAX(MAX(Inputs!$F$124,Inputs!$F$122),Time!AL$5))/Time!AL$7</f>
        <v/>
      </c>
      <c r="AM192" s="14">
        <f>MAX(0,MIN(Inputs!$F$123,Time!AM$6)-MAX(MAX(Inputs!$F$124,Inputs!$F$122),Time!AM$5))/Time!AM$7</f>
        <v/>
      </c>
      <c r="AN192" s="14">
        <f>MAX(0,MIN(Inputs!$F$123,Time!AN$6)-MAX(MAX(Inputs!$F$124,Inputs!$F$122),Time!AN$5))/Time!AN$7</f>
        <v/>
      </c>
      <c r="AO192" s="14">
        <f>MAX(0,MIN(Inputs!$F$123,Time!AO$6)-MAX(MAX(Inputs!$F$124,Inputs!$F$122),Time!AO$5))/Time!AO$7</f>
        <v/>
      </c>
      <c r="AP192" s="14">
        <f>MAX(0,MIN(Inputs!$F$123,Time!AP$6)-MAX(MAX(Inputs!$F$124,Inputs!$F$122),Time!AP$5))/Time!AP$7</f>
        <v/>
      </c>
      <c r="AQ192" s="14">
        <f>MAX(0,MIN(Inputs!$F$123,Time!AQ$6)-MAX(MAX(Inputs!$F$124,Inputs!$F$122),Time!AQ$5))/Time!AQ$7</f>
        <v/>
      </c>
      <c r="AR192" s="14">
        <f>MAX(0,MIN(Inputs!$F$123,Time!AR$6)-MAX(MAX(Inputs!$F$124,Inputs!$F$122),Time!AR$5))/Time!AR$7</f>
        <v/>
      </c>
      <c r="AS192" s="14">
        <f>MAX(0,MIN(Inputs!$F$123,Time!AS$6)-MAX(MAX(Inputs!$F$124,Inputs!$F$122),Time!AS$5))/Time!AS$7</f>
        <v/>
      </c>
      <c r="AT192" s="14">
        <f>MAX(0,MIN(Inputs!$F$123,Time!AT$6)-MAX(MAX(Inputs!$F$124,Inputs!$F$122),Time!AT$5))/Time!AT$7</f>
        <v/>
      </c>
      <c r="AU192" s="14">
        <f>MAX(0,MIN(Inputs!$F$123,Time!AU$6)-MAX(MAX(Inputs!$F$124,Inputs!$F$122),Time!AU$5))/Time!AU$7</f>
        <v/>
      </c>
    </row>
    <row r="193">
      <c r="D193" t="inlineStr">
        <is>
          <t>R4 owned share of operating period</t>
        </is>
      </c>
      <c r="E193" t="inlineStr">
        <is>
          <t>fraction</t>
        </is>
      </c>
      <c r="J193" s="14">
        <f>IF(Operations!J191&gt;0,Operations!J192/Operations!J191,0)</f>
        <v/>
      </c>
      <c r="K193" s="14">
        <f>IF(Operations!K191&gt;0,Operations!K192/Operations!K191,0)</f>
        <v/>
      </c>
      <c r="L193" s="14">
        <f>IF(Operations!L191&gt;0,Operations!L192/Operations!L191,0)</f>
        <v/>
      </c>
      <c r="M193" s="14">
        <f>IF(Operations!M191&gt;0,Operations!M192/Operations!M191,0)</f>
        <v/>
      </c>
      <c r="N193" s="14">
        <f>IF(Operations!N191&gt;0,Operations!N192/Operations!N191,0)</f>
        <v/>
      </c>
      <c r="O193" s="14">
        <f>IF(Operations!O191&gt;0,Operations!O192/Operations!O191,0)</f>
        <v/>
      </c>
      <c r="P193" s="14">
        <f>IF(Operations!P191&gt;0,Operations!P192/Operations!P191,0)</f>
        <v/>
      </c>
      <c r="Q193" s="14">
        <f>IF(Operations!Q191&gt;0,Operations!Q192/Operations!Q191,0)</f>
        <v/>
      </c>
      <c r="R193" s="14">
        <f>IF(Operations!R191&gt;0,Operations!R192/Operations!R191,0)</f>
        <v/>
      </c>
      <c r="S193" s="14">
        <f>IF(Operations!S191&gt;0,Operations!S192/Operations!S191,0)</f>
        <v/>
      </c>
      <c r="T193" s="14">
        <f>IF(Operations!T191&gt;0,Operations!T192/Operations!T191,0)</f>
        <v/>
      </c>
      <c r="U193" s="14">
        <f>IF(Operations!U191&gt;0,Operations!U192/Operations!U191,0)</f>
        <v/>
      </c>
      <c r="V193" s="14">
        <f>IF(Operations!V191&gt;0,Operations!V192/Operations!V191,0)</f>
        <v/>
      </c>
      <c r="W193" s="14">
        <f>IF(Operations!W191&gt;0,Operations!W192/Operations!W191,0)</f>
        <v/>
      </c>
      <c r="X193" s="14">
        <f>IF(Operations!X191&gt;0,Operations!X192/Operations!X191,0)</f>
        <v/>
      </c>
      <c r="Y193" s="14">
        <f>IF(Operations!Y191&gt;0,Operations!Y192/Operations!Y191,0)</f>
        <v/>
      </c>
      <c r="Z193" s="14">
        <f>IF(Operations!Z191&gt;0,Operations!Z192/Operations!Z191,0)</f>
        <v/>
      </c>
      <c r="AA193" s="14">
        <f>IF(Operations!AA191&gt;0,Operations!AA192/Operations!AA191,0)</f>
        <v/>
      </c>
      <c r="AB193" s="14">
        <f>IF(Operations!AB191&gt;0,Operations!AB192/Operations!AB191,0)</f>
        <v/>
      </c>
      <c r="AC193" s="14">
        <f>IF(Operations!AC191&gt;0,Operations!AC192/Operations!AC191,0)</f>
        <v/>
      </c>
      <c r="AD193" s="14">
        <f>IF(Operations!AD191&gt;0,Operations!AD192/Operations!AD191,0)</f>
        <v/>
      </c>
      <c r="AE193" s="14">
        <f>IF(Operations!AE191&gt;0,Operations!AE192/Operations!AE191,0)</f>
        <v/>
      </c>
      <c r="AF193" s="14">
        <f>IF(Operations!AF191&gt;0,Operations!AF192/Operations!AF191,0)</f>
        <v/>
      </c>
      <c r="AG193" s="14">
        <f>IF(Operations!AG191&gt;0,Operations!AG192/Operations!AG191,0)</f>
        <v/>
      </c>
      <c r="AH193" s="14">
        <f>IF(Operations!AH191&gt;0,Operations!AH192/Operations!AH191,0)</f>
        <v/>
      </c>
      <c r="AI193" s="14">
        <f>IF(Operations!AI191&gt;0,Operations!AI192/Operations!AI191,0)</f>
        <v/>
      </c>
      <c r="AJ193" s="14">
        <f>IF(Operations!AJ191&gt;0,Operations!AJ192/Operations!AJ191,0)</f>
        <v/>
      </c>
      <c r="AK193" s="14">
        <f>IF(Operations!AK191&gt;0,Operations!AK192/Operations!AK191,0)</f>
        <v/>
      </c>
      <c r="AL193" s="14">
        <f>IF(Operations!AL191&gt;0,Operations!AL192/Operations!AL191,0)</f>
        <v/>
      </c>
      <c r="AM193" s="14">
        <f>IF(Operations!AM191&gt;0,Operations!AM192/Operations!AM191,0)</f>
        <v/>
      </c>
      <c r="AN193" s="14">
        <f>IF(Operations!AN191&gt;0,Operations!AN192/Operations!AN191,0)</f>
        <v/>
      </c>
      <c r="AO193" s="14">
        <f>IF(Operations!AO191&gt;0,Operations!AO192/Operations!AO191,0)</f>
        <v/>
      </c>
      <c r="AP193" s="14">
        <f>IF(Operations!AP191&gt;0,Operations!AP192/Operations!AP191,0)</f>
        <v/>
      </c>
      <c r="AQ193" s="14">
        <f>IF(Operations!AQ191&gt;0,Operations!AQ192/Operations!AQ191,0)</f>
        <v/>
      </c>
      <c r="AR193" s="14">
        <f>IF(Operations!AR191&gt;0,Operations!AR192/Operations!AR191,0)</f>
        <v/>
      </c>
      <c r="AS193" s="14">
        <f>IF(Operations!AS191&gt;0,Operations!AS192/Operations!AS191,0)</f>
        <v/>
      </c>
      <c r="AT193" s="14">
        <f>IF(Operations!AT191&gt;0,Operations!AT192/Operations!AT191,0)</f>
        <v/>
      </c>
      <c r="AU193" s="14">
        <f>IF(Operations!AU191&gt;0,Operations!AU192/Operations!AU191,0)</f>
        <v/>
      </c>
    </row>
    <row r="194">
      <c r="D194" t="inlineStr">
        <is>
          <t>R4 own hub ATC</t>
        </is>
      </c>
      <c r="E194" t="inlineStr">
        <is>
          <t>USD/MWh</t>
        </is>
      </c>
      <c r="J194" s="18">
        <f>Operations!J53</f>
        <v/>
      </c>
      <c r="K194" s="18">
        <f>Operations!K53</f>
        <v/>
      </c>
      <c r="L194" s="18">
        <f>Operations!L53</f>
        <v/>
      </c>
      <c r="M194" s="18">
        <f>Operations!M53</f>
        <v/>
      </c>
      <c r="N194" s="18">
        <f>Operations!N53</f>
        <v/>
      </c>
      <c r="O194" s="18">
        <f>Operations!O53</f>
        <v/>
      </c>
      <c r="P194" s="18">
        <f>Operations!P53</f>
        <v/>
      </c>
      <c r="Q194" s="18">
        <f>Operations!Q53</f>
        <v/>
      </c>
      <c r="R194" s="18">
        <f>Operations!R53</f>
        <v/>
      </c>
      <c r="S194" s="18">
        <f>Operations!S53</f>
        <v/>
      </c>
      <c r="T194" s="18">
        <f>Operations!T53</f>
        <v/>
      </c>
      <c r="U194" s="18">
        <f>Operations!U53</f>
        <v/>
      </c>
      <c r="V194" s="18">
        <f>Operations!V53</f>
        <v/>
      </c>
      <c r="W194" s="18">
        <f>Operations!W53</f>
        <v/>
      </c>
      <c r="X194" s="18">
        <f>Operations!X53</f>
        <v/>
      </c>
      <c r="Y194" s="18">
        <f>Operations!Y53</f>
        <v/>
      </c>
      <c r="Z194" s="18">
        <f>Operations!Z53</f>
        <v/>
      </c>
      <c r="AA194" s="18">
        <f>Operations!AA53</f>
        <v/>
      </c>
      <c r="AB194" s="18">
        <f>Operations!AB53</f>
        <v/>
      </c>
      <c r="AC194" s="18">
        <f>Operations!AC53</f>
        <v/>
      </c>
      <c r="AD194" s="18">
        <f>Operations!AD53</f>
        <v/>
      </c>
      <c r="AE194" s="18">
        <f>Operations!AE53</f>
        <v/>
      </c>
      <c r="AF194" s="18">
        <f>Operations!AF53</f>
        <v/>
      </c>
      <c r="AG194" s="18">
        <f>Operations!AG53</f>
        <v/>
      </c>
      <c r="AH194" s="18">
        <f>Operations!AH53</f>
        <v/>
      </c>
      <c r="AI194" s="18">
        <f>Operations!AI53</f>
        <v/>
      </c>
      <c r="AJ194" s="18">
        <f>Operations!AJ53</f>
        <v/>
      </c>
      <c r="AK194" s="18">
        <f>Operations!AK53</f>
        <v/>
      </c>
      <c r="AL194" s="18">
        <f>Operations!AL53</f>
        <v/>
      </c>
      <c r="AM194" s="18">
        <f>Operations!AM53</f>
        <v/>
      </c>
      <c r="AN194" s="18">
        <f>Operations!AN53</f>
        <v/>
      </c>
      <c r="AO194" s="18">
        <f>Operations!AO53</f>
        <v/>
      </c>
      <c r="AP194" s="18">
        <f>Operations!AP53</f>
        <v/>
      </c>
      <c r="AQ194" s="18">
        <f>Operations!AQ53</f>
        <v/>
      </c>
      <c r="AR194" s="18">
        <f>Operations!AR53</f>
        <v/>
      </c>
      <c r="AS194" s="18">
        <f>Operations!AS53</f>
        <v/>
      </c>
      <c r="AT194" s="18">
        <f>Operations!AT53</f>
        <v/>
      </c>
      <c r="AU194" s="18">
        <f>Operations!AU53</f>
        <v/>
      </c>
    </row>
    <row r="195">
      <c r="D195" t="inlineStr">
        <is>
          <t>R4 volume factor</t>
        </is>
      </c>
      <c r="E195" t="inlineStr">
        <is>
          <t>factor</t>
        </is>
      </c>
      <c r="J195" s="14">
        <f>CHOOSE(Operations!$F$47,1,Inputs!$F$128/100,Inputs!$F$129/100,Operations!$F$30/100)</f>
        <v/>
      </c>
      <c r="K195" s="14">
        <f>CHOOSE(Operations!$F$47,1,Inputs!$F$128/100,Inputs!$F$129/100,Operations!$F$30/100)</f>
        <v/>
      </c>
      <c r="L195" s="14">
        <f>CHOOSE(Operations!$F$47,1,Inputs!$F$128/100,Inputs!$F$129/100,Operations!$F$30/100)</f>
        <v/>
      </c>
      <c r="M195" s="14">
        <f>CHOOSE(Operations!$F$47,1,Inputs!$F$128/100,Inputs!$F$129/100,Operations!$F$30/100)</f>
        <v/>
      </c>
      <c r="N195" s="14">
        <f>CHOOSE(Operations!$F$47,1,Inputs!$F$128/100,Inputs!$F$129/100,Operations!$F$30/100)</f>
        <v/>
      </c>
      <c r="O195" s="14">
        <f>CHOOSE(Operations!$F$47,1,Inputs!$F$128/100,Inputs!$F$129/100,Operations!$F$30/100)</f>
        <v/>
      </c>
      <c r="P195" s="14">
        <f>CHOOSE(Operations!$F$47,1,Inputs!$F$128/100,Inputs!$F$129/100,Operations!$F$30/100)</f>
        <v/>
      </c>
      <c r="Q195" s="14">
        <f>CHOOSE(Operations!$F$47,1,Inputs!$F$128/100,Inputs!$F$129/100,Operations!$F$30/100)</f>
        <v/>
      </c>
      <c r="R195" s="14">
        <f>CHOOSE(Operations!$F$47,1,Inputs!$F$128/100,Inputs!$F$129/100,Operations!$F$30/100)</f>
        <v/>
      </c>
      <c r="S195" s="14">
        <f>CHOOSE(Operations!$F$47,1,Inputs!$F$128/100,Inputs!$F$129/100,Operations!$F$30/100)</f>
        <v/>
      </c>
      <c r="T195" s="14">
        <f>CHOOSE(Operations!$F$47,1,Inputs!$F$128/100,Inputs!$F$129/100,Operations!$F$30/100)</f>
        <v/>
      </c>
      <c r="U195" s="14">
        <f>CHOOSE(Operations!$F$47,1,Inputs!$F$128/100,Inputs!$F$129/100,Operations!$F$30/100)</f>
        <v/>
      </c>
      <c r="V195" s="14">
        <f>CHOOSE(Operations!$F$47,1,Inputs!$F$128/100,Inputs!$F$129/100,Operations!$F$30/100)</f>
        <v/>
      </c>
      <c r="W195" s="14">
        <f>CHOOSE(Operations!$F$47,1,Inputs!$F$128/100,Inputs!$F$129/100,Operations!$F$30/100)</f>
        <v/>
      </c>
      <c r="X195" s="14">
        <f>CHOOSE(Operations!$F$47,1,Inputs!$F$128/100,Inputs!$F$129/100,Operations!$F$30/100)</f>
        <v/>
      </c>
      <c r="Y195" s="14">
        <f>CHOOSE(Operations!$F$47,1,Inputs!$F$128/100,Inputs!$F$129/100,Operations!$F$30/100)</f>
        <v/>
      </c>
      <c r="Z195" s="14">
        <f>CHOOSE(Operations!$F$47,1,Inputs!$F$128/100,Inputs!$F$129/100,Operations!$F$30/100)</f>
        <v/>
      </c>
      <c r="AA195" s="14">
        <f>CHOOSE(Operations!$F$47,1,Inputs!$F$128/100,Inputs!$F$129/100,Operations!$F$30/100)</f>
        <v/>
      </c>
      <c r="AB195" s="14">
        <f>CHOOSE(Operations!$F$47,1,Inputs!$F$128/100,Inputs!$F$129/100,Operations!$F$30/100)</f>
        <v/>
      </c>
      <c r="AC195" s="14">
        <f>CHOOSE(Operations!$F$47,1,Inputs!$F$128/100,Inputs!$F$129/100,Operations!$F$30/100)</f>
        <v/>
      </c>
      <c r="AD195" s="14">
        <f>CHOOSE(Operations!$F$47,1,Inputs!$F$128/100,Inputs!$F$129/100,Operations!$F$30/100)</f>
        <v/>
      </c>
      <c r="AE195" s="14">
        <f>CHOOSE(Operations!$F$47,1,Inputs!$F$128/100,Inputs!$F$129/100,Operations!$F$30/100)</f>
        <v/>
      </c>
      <c r="AF195" s="14">
        <f>CHOOSE(Operations!$F$47,1,Inputs!$F$128/100,Inputs!$F$129/100,Operations!$F$30/100)</f>
        <v/>
      </c>
      <c r="AG195" s="14">
        <f>CHOOSE(Operations!$F$47,1,Inputs!$F$128/100,Inputs!$F$129/100,Operations!$F$30/100)</f>
        <v/>
      </c>
      <c r="AH195" s="14">
        <f>CHOOSE(Operations!$F$47,1,Inputs!$F$128/100,Inputs!$F$129/100,Operations!$F$30/100)</f>
        <v/>
      </c>
      <c r="AI195" s="14">
        <f>CHOOSE(Operations!$F$47,1,Inputs!$F$128/100,Inputs!$F$129/100,Operations!$F$30/100)</f>
        <v/>
      </c>
      <c r="AJ195" s="14">
        <f>CHOOSE(Operations!$F$47,1,Inputs!$F$128/100,Inputs!$F$129/100,Operations!$F$30/100)</f>
        <v/>
      </c>
      <c r="AK195" s="14">
        <f>CHOOSE(Operations!$F$47,1,Inputs!$F$128/100,Inputs!$F$129/100,Operations!$F$30/100)</f>
        <v/>
      </c>
      <c r="AL195" s="14">
        <f>CHOOSE(Operations!$F$47,1,Inputs!$F$128/100,Inputs!$F$129/100,Operations!$F$30/100)</f>
        <v/>
      </c>
      <c r="AM195" s="14">
        <f>CHOOSE(Operations!$F$47,1,Inputs!$F$128/100,Inputs!$F$129/100,Operations!$F$30/100)</f>
        <v/>
      </c>
      <c r="AN195" s="14">
        <f>CHOOSE(Operations!$F$47,1,Inputs!$F$128/100,Inputs!$F$129/100,Operations!$F$30/100)</f>
        <v/>
      </c>
      <c r="AO195" s="14">
        <f>CHOOSE(Operations!$F$47,1,Inputs!$F$128/100,Inputs!$F$129/100,Operations!$F$30/100)</f>
        <v/>
      </c>
      <c r="AP195" s="14">
        <f>CHOOSE(Operations!$F$47,1,Inputs!$F$128/100,Inputs!$F$129/100,Operations!$F$30/100)</f>
        <v/>
      </c>
      <c r="AQ195" s="14">
        <f>CHOOSE(Operations!$F$47,1,Inputs!$F$128/100,Inputs!$F$129/100,Operations!$F$30/100)</f>
        <v/>
      </c>
      <c r="AR195" s="14">
        <f>CHOOSE(Operations!$F$47,1,Inputs!$F$128/100,Inputs!$F$129/100,Operations!$F$30/100)</f>
        <v/>
      </c>
      <c r="AS195" s="14">
        <f>CHOOSE(Operations!$F$47,1,Inputs!$F$128/100,Inputs!$F$129/100,Operations!$F$30/100)</f>
        <v/>
      </c>
      <c r="AT195" s="14">
        <f>CHOOSE(Operations!$F$47,1,Inputs!$F$128/100,Inputs!$F$129/100,Operations!$F$30/100)</f>
        <v/>
      </c>
      <c r="AU195" s="14">
        <f>CHOOSE(Operations!$F$47,1,Inputs!$F$128/100,Inputs!$F$129/100,Operations!$F$30/100)</f>
        <v/>
      </c>
    </row>
    <row r="196">
      <c r="D196" t="inlineStr">
        <is>
          <t>R4 degradation factor</t>
        </is>
      </c>
      <c r="E196" t="inlineStr">
        <is>
          <t>factor</t>
        </is>
      </c>
      <c r="J196" s="14">
        <f>(1-Inputs!$F$130/100)^MAX(0,Time!J$4-Inputs!$F$131)</f>
        <v/>
      </c>
      <c r="K196" s="14">
        <f>(1-Inputs!$F$130/100)^MAX(0,Time!K$4-Inputs!$F$131)</f>
        <v/>
      </c>
      <c r="L196" s="14">
        <f>(1-Inputs!$F$130/100)^MAX(0,Time!L$4-Inputs!$F$131)</f>
        <v/>
      </c>
      <c r="M196" s="14">
        <f>(1-Inputs!$F$130/100)^MAX(0,Time!M$4-Inputs!$F$131)</f>
        <v/>
      </c>
      <c r="N196" s="14">
        <f>(1-Inputs!$F$130/100)^MAX(0,Time!N$4-Inputs!$F$131)</f>
        <v/>
      </c>
      <c r="O196" s="14">
        <f>(1-Inputs!$F$130/100)^MAX(0,Time!O$4-Inputs!$F$131)</f>
        <v/>
      </c>
      <c r="P196" s="14">
        <f>(1-Inputs!$F$130/100)^MAX(0,Time!P$4-Inputs!$F$131)</f>
        <v/>
      </c>
      <c r="Q196" s="14">
        <f>(1-Inputs!$F$130/100)^MAX(0,Time!Q$4-Inputs!$F$131)</f>
        <v/>
      </c>
      <c r="R196" s="14">
        <f>(1-Inputs!$F$130/100)^MAX(0,Time!R$4-Inputs!$F$131)</f>
        <v/>
      </c>
      <c r="S196" s="14">
        <f>(1-Inputs!$F$130/100)^MAX(0,Time!S$4-Inputs!$F$131)</f>
        <v/>
      </c>
      <c r="T196" s="14">
        <f>(1-Inputs!$F$130/100)^MAX(0,Time!T$4-Inputs!$F$131)</f>
        <v/>
      </c>
      <c r="U196" s="14">
        <f>(1-Inputs!$F$130/100)^MAX(0,Time!U$4-Inputs!$F$131)</f>
        <v/>
      </c>
      <c r="V196" s="14">
        <f>(1-Inputs!$F$130/100)^MAX(0,Time!V$4-Inputs!$F$131)</f>
        <v/>
      </c>
      <c r="W196" s="14">
        <f>(1-Inputs!$F$130/100)^MAX(0,Time!W$4-Inputs!$F$131)</f>
        <v/>
      </c>
      <c r="X196" s="14">
        <f>(1-Inputs!$F$130/100)^MAX(0,Time!X$4-Inputs!$F$131)</f>
        <v/>
      </c>
      <c r="Y196" s="14">
        <f>(1-Inputs!$F$130/100)^MAX(0,Time!Y$4-Inputs!$F$131)</f>
        <v/>
      </c>
      <c r="Z196" s="14">
        <f>(1-Inputs!$F$130/100)^MAX(0,Time!Z$4-Inputs!$F$131)</f>
        <v/>
      </c>
      <c r="AA196" s="14">
        <f>(1-Inputs!$F$130/100)^MAX(0,Time!AA$4-Inputs!$F$131)</f>
        <v/>
      </c>
      <c r="AB196" s="14">
        <f>(1-Inputs!$F$130/100)^MAX(0,Time!AB$4-Inputs!$F$131)</f>
        <v/>
      </c>
      <c r="AC196" s="14">
        <f>(1-Inputs!$F$130/100)^MAX(0,Time!AC$4-Inputs!$F$131)</f>
        <v/>
      </c>
      <c r="AD196" s="14">
        <f>(1-Inputs!$F$130/100)^MAX(0,Time!AD$4-Inputs!$F$131)</f>
        <v/>
      </c>
      <c r="AE196" s="14">
        <f>(1-Inputs!$F$130/100)^MAX(0,Time!AE$4-Inputs!$F$131)</f>
        <v/>
      </c>
      <c r="AF196" s="14">
        <f>(1-Inputs!$F$130/100)^MAX(0,Time!AF$4-Inputs!$F$131)</f>
        <v/>
      </c>
      <c r="AG196" s="14">
        <f>(1-Inputs!$F$130/100)^MAX(0,Time!AG$4-Inputs!$F$131)</f>
        <v/>
      </c>
      <c r="AH196" s="14">
        <f>(1-Inputs!$F$130/100)^MAX(0,Time!AH$4-Inputs!$F$131)</f>
        <v/>
      </c>
      <c r="AI196" s="14">
        <f>(1-Inputs!$F$130/100)^MAX(0,Time!AI$4-Inputs!$F$131)</f>
        <v/>
      </c>
      <c r="AJ196" s="14">
        <f>(1-Inputs!$F$130/100)^MAX(0,Time!AJ$4-Inputs!$F$131)</f>
        <v/>
      </c>
      <c r="AK196" s="14">
        <f>(1-Inputs!$F$130/100)^MAX(0,Time!AK$4-Inputs!$F$131)</f>
        <v/>
      </c>
      <c r="AL196" s="14">
        <f>(1-Inputs!$F$130/100)^MAX(0,Time!AL$4-Inputs!$F$131)</f>
        <v/>
      </c>
      <c r="AM196" s="14">
        <f>(1-Inputs!$F$130/100)^MAX(0,Time!AM$4-Inputs!$F$131)</f>
        <v/>
      </c>
      <c r="AN196" s="14">
        <f>(1-Inputs!$F$130/100)^MAX(0,Time!AN$4-Inputs!$F$131)</f>
        <v/>
      </c>
      <c r="AO196" s="14">
        <f>(1-Inputs!$F$130/100)^MAX(0,Time!AO$4-Inputs!$F$131)</f>
        <v/>
      </c>
      <c r="AP196" s="14">
        <f>(1-Inputs!$F$130/100)^MAX(0,Time!AP$4-Inputs!$F$131)</f>
        <v/>
      </c>
      <c r="AQ196" s="14">
        <f>(1-Inputs!$F$130/100)^MAX(0,Time!AQ$4-Inputs!$F$131)</f>
        <v/>
      </c>
      <c r="AR196" s="14">
        <f>(1-Inputs!$F$130/100)^MAX(0,Time!AR$4-Inputs!$F$131)</f>
        <v/>
      </c>
      <c r="AS196" s="14">
        <f>(1-Inputs!$F$130/100)^MAX(0,Time!AS$4-Inputs!$F$131)</f>
        <v/>
      </c>
      <c r="AT196" s="14">
        <f>(1-Inputs!$F$130/100)^MAX(0,Time!AT$4-Inputs!$F$131)</f>
        <v/>
      </c>
      <c r="AU196" s="14">
        <f>(1-Inputs!$F$130/100)^MAX(0,Time!AU$4-Inputs!$F$131)</f>
        <v/>
      </c>
    </row>
    <row r="197">
      <c r="D197" t="inlineStr">
        <is>
          <t>R4 curtailment</t>
        </is>
      </c>
      <c r="E197" t="inlineStr">
        <is>
          <t>fraction</t>
        </is>
      </c>
      <c r="J197" s="14">
        <f>(IF(Time!J$4&gt;=Inputs!$F$61,Inputs!$F$67,Inputs!$F$66+(Inputs!$F$67-Inputs!$F$66)*(Time!J$4-Inputs!$F$23)/(Inputs!$F$61-Inputs!$F$23))+Operations!$F$49)/100</f>
        <v/>
      </c>
      <c r="K197" s="14">
        <f>(IF(Time!K$4&gt;=Inputs!$F$61,Inputs!$F$67,Inputs!$F$66+(Inputs!$F$67-Inputs!$F$66)*(Time!K$4-Inputs!$F$23)/(Inputs!$F$61-Inputs!$F$23))+Operations!$F$49)/100</f>
        <v/>
      </c>
      <c r="L197" s="14">
        <f>(IF(Time!L$4&gt;=Inputs!$F$61,Inputs!$F$67,Inputs!$F$66+(Inputs!$F$67-Inputs!$F$66)*(Time!L$4-Inputs!$F$23)/(Inputs!$F$61-Inputs!$F$23))+Operations!$F$49)/100</f>
        <v/>
      </c>
      <c r="M197" s="14">
        <f>(IF(Time!M$4&gt;=Inputs!$F$61,Inputs!$F$67,Inputs!$F$66+(Inputs!$F$67-Inputs!$F$66)*(Time!M$4-Inputs!$F$23)/(Inputs!$F$61-Inputs!$F$23))+Operations!$F$49)/100</f>
        <v/>
      </c>
      <c r="N197" s="14">
        <f>(IF(Time!N$4&gt;=Inputs!$F$61,Inputs!$F$67,Inputs!$F$66+(Inputs!$F$67-Inputs!$F$66)*(Time!N$4-Inputs!$F$23)/(Inputs!$F$61-Inputs!$F$23))+Operations!$F$49)/100</f>
        <v/>
      </c>
      <c r="O197" s="14">
        <f>(IF(Time!O$4&gt;=Inputs!$F$61,Inputs!$F$67,Inputs!$F$66+(Inputs!$F$67-Inputs!$F$66)*(Time!O$4-Inputs!$F$23)/(Inputs!$F$61-Inputs!$F$23))+Operations!$F$49)/100</f>
        <v/>
      </c>
      <c r="P197" s="14">
        <f>(IF(Time!P$4&gt;=Inputs!$F$61,Inputs!$F$67,Inputs!$F$66+(Inputs!$F$67-Inputs!$F$66)*(Time!P$4-Inputs!$F$23)/(Inputs!$F$61-Inputs!$F$23))+Operations!$F$49)/100</f>
        <v/>
      </c>
      <c r="Q197" s="14">
        <f>(IF(Time!Q$4&gt;=Inputs!$F$61,Inputs!$F$67,Inputs!$F$66+(Inputs!$F$67-Inputs!$F$66)*(Time!Q$4-Inputs!$F$23)/(Inputs!$F$61-Inputs!$F$23))+Operations!$F$49)/100</f>
        <v/>
      </c>
      <c r="R197" s="14">
        <f>(IF(Time!R$4&gt;=Inputs!$F$61,Inputs!$F$67,Inputs!$F$66+(Inputs!$F$67-Inputs!$F$66)*(Time!R$4-Inputs!$F$23)/(Inputs!$F$61-Inputs!$F$23))+Operations!$F$49)/100</f>
        <v/>
      </c>
      <c r="S197" s="14">
        <f>(IF(Time!S$4&gt;=Inputs!$F$61,Inputs!$F$67,Inputs!$F$66+(Inputs!$F$67-Inputs!$F$66)*(Time!S$4-Inputs!$F$23)/(Inputs!$F$61-Inputs!$F$23))+Operations!$F$49)/100</f>
        <v/>
      </c>
      <c r="T197" s="14">
        <f>(IF(Time!T$4&gt;=Inputs!$F$61,Inputs!$F$67,Inputs!$F$66+(Inputs!$F$67-Inputs!$F$66)*(Time!T$4-Inputs!$F$23)/(Inputs!$F$61-Inputs!$F$23))+Operations!$F$49)/100</f>
        <v/>
      </c>
      <c r="U197" s="14">
        <f>(IF(Time!U$4&gt;=Inputs!$F$61,Inputs!$F$67,Inputs!$F$66+(Inputs!$F$67-Inputs!$F$66)*(Time!U$4-Inputs!$F$23)/(Inputs!$F$61-Inputs!$F$23))+Operations!$F$49)/100</f>
        <v/>
      </c>
      <c r="V197" s="14">
        <f>(IF(Time!V$4&gt;=Inputs!$F$61,Inputs!$F$67,Inputs!$F$66+(Inputs!$F$67-Inputs!$F$66)*(Time!V$4-Inputs!$F$23)/(Inputs!$F$61-Inputs!$F$23))+Operations!$F$49)/100</f>
        <v/>
      </c>
      <c r="W197" s="14">
        <f>(IF(Time!W$4&gt;=Inputs!$F$61,Inputs!$F$67,Inputs!$F$66+(Inputs!$F$67-Inputs!$F$66)*(Time!W$4-Inputs!$F$23)/(Inputs!$F$61-Inputs!$F$23))+Operations!$F$49)/100</f>
        <v/>
      </c>
      <c r="X197" s="14">
        <f>(IF(Time!X$4&gt;=Inputs!$F$61,Inputs!$F$67,Inputs!$F$66+(Inputs!$F$67-Inputs!$F$66)*(Time!X$4-Inputs!$F$23)/(Inputs!$F$61-Inputs!$F$23))+Operations!$F$49)/100</f>
        <v/>
      </c>
      <c r="Y197" s="14">
        <f>(IF(Time!Y$4&gt;=Inputs!$F$61,Inputs!$F$67,Inputs!$F$66+(Inputs!$F$67-Inputs!$F$66)*(Time!Y$4-Inputs!$F$23)/(Inputs!$F$61-Inputs!$F$23))+Operations!$F$49)/100</f>
        <v/>
      </c>
      <c r="Z197" s="14">
        <f>(IF(Time!Z$4&gt;=Inputs!$F$61,Inputs!$F$67,Inputs!$F$66+(Inputs!$F$67-Inputs!$F$66)*(Time!Z$4-Inputs!$F$23)/(Inputs!$F$61-Inputs!$F$23))+Operations!$F$49)/100</f>
        <v/>
      </c>
      <c r="AA197" s="14">
        <f>(IF(Time!AA$4&gt;=Inputs!$F$61,Inputs!$F$67,Inputs!$F$66+(Inputs!$F$67-Inputs!$F$66)*(Time!AA$4-Inputs!$F$23)/(Inputs!$F$61-Inputs!$F$23))+Operations!$F$49)/100</f>
        <v/>
      </c>
      <c r="AB197" s="14">
        <f>(IF(Time!AB$4&gt;=Inputs!$F$61,Inputs!$F$67,Inputs!$F$66+(Inputs!$F$67-Inputs!$F$66)*(Time!AB$4-Inputs!$F$23)/(Inputs!$F$61-Inputs!$F$23))+Operations!$F$49)/100</f>
        <v/>
      </c>
      <c r="AC197" s="14">
        <f>(IF(Time!AC$4&gt;=Inputs!$F$61,Inputs!$F$67,Inputs!$F$66+(Inputs!$F$67-Inputs!$F$66)*(Time!AC$4-Inputs!$F$23)/(Inputs!$F$61-Inputs!$F$23))+Operations!$F$49)/100</f>
        <v/>
      </c>
      <c r="AD197" s="14">
        <f>(IF(Time!AD$4&gt;=Inputs!$F$61,Inputs!$F$67,Inputs!$F$66+(Inputs!$F$67-Inputs!$F$66)*(Time!AD$4-Inputs!$F$23)/(Inputs!$F$61-Inputs!$F$23))+Operations!$F$49)/100</f>
        <v/>
      </c>
      <c r="AE197" s="14">
        <f>(IF(Time!AE$4&gt;=Inputs!$F$61,Inputs!$F$67,Inputs!$F$66+(Inputs!$F$67-Inputs!$F$66)*(Time!AE$4-Inputs!$F$23)/(Inputs!$F$61-Inputs!$F$23))+Operations!$F$49)/100</f>
        <v/>
      </c>
      <c r="AF197" s="14">
        <f>(IF(Time!AF$4&gt;=Inputs!$F$61,Inputs!$F$67,Inputs!$F$66+(Inputs!$F$67-Inputs!$F$66)*(Time!AF$4-Inputs!$F$23)/(Inputs!$F$61-Inputs!$F$23))+Operations!$F$49)/100</f>
        <v/>
      </c>
      <c r="AG197" s="14">
        <f>(IF(Time!AG$4&gt;=Inputs!$F$61,Inputs!$F$67,Inputs!$F$66+(Inputs!$F$67-Inputs!$F$66)*(Time!AG$4-Inputs!$F$23)/(Inputs!$F$61-Inputs!$F$23))+Operations!$F$49)/100</f>
        <v/>
      </c>
      <c r="AH197" s="14">
        <f>(IF(Time!AH$4&gt;=Inputs!$F$61,Inputs!$F$67,Inputs!$F$66+(Inputs!$F$67-Inputs!$F$66)*(Time!AH$4-Inputs!$F$23)/(Inputs!$F$61-Inputs!$F$23))+Operations!$F$49)/100</f>
        <v/>
      </c>
      <c r="AI197" s="14">
        <f>(IF(Time!AI$4&gt;=Inputs!$F$61,Inputs!$F$67,Inputs!$F$66+(Inputs!$F$67-Inputs!$F$66)*(Time!AI$4-Inputs!$F$23)/(Inputs!$F$61-Inputs!$F$23))+Operations!$F$49)/100</f>
        <v/>
      </c>
      <c r="AJ197" s="14">
        <f>(IF(Time!AJ$4&gt;=Inputs!$F$61,Inputs!$F$67,Inputs!$F$66+(Inputs!$F$67-Inputs!$F$66)*(Time!AJ$4-Inputs!$F$23)/(Inputs!$F$61-Inputs!$F$23))+Operations!$F$49)/100</f>
        <v/>
      </c>
      <c r="AK197" s="14">
        <f>(IF(Time!AK$4&gt;=Inputs!$F$61,Inputs!$F$67,Inputs!$F$66+(Inputs!$F$67-Inputs!$F$66)*(Time!AK$4-Inputs!$F$23)/(Inputs!$F$61-Inputs!$F$23))+Operations!$F$49)/100</f>
        <v/>
      </c>
      <c r="AL197" s="14">
        <f>(IF(Time!AL$4&gt;=Inputs!$F$61,Inputs!$F$67,Inputs!$F$66+(Inputs!$F$67-Inputs!$F$66)*(Time!AL$4-Inputs!$F$23)/(Inputs!$F$61-Inputs!$F$23))+Operations!$F$49)/100</f>
        <v/>
      </c>
      <c r="AM197" s="14">
        <f>(IF(Time!AM$4&gt;=Inputs!$F$61,Inputs!$F$67,Inputs!$F$66+(Inputs!$F$67-Inputs!$F$66)*(Time!AM$4-Inputs!$F$23)/(Inputs!$F$61-Inputs!$F$23))+Operations!$F$49)/100</f>
        <v/>
      </c>
      <c r="AN197" s="14">
        <f>(IF(Time!AN$4&gt;=Inputs!$F$61,Inputs!$F$67,Inputs!$F$66+(Inputs!$F$67-Inputs!$F$66)*(Time!AN$4-Inputs!$F$23)/(Inputs!$F$61-Inputs!$F$23))+Operations!$F$49)/100</f>
        <v/>
      </c>
      <c r="AO197" s="14">
        <f>(IF(Time!AO$4&gt;=Inputs!$F$61,Inputs!$F$67,Inputs!$F$66+(Inputs!$F$67-Inputs!$F$66)*(Time!AO$4-Inputs!$F$23)/(Inputs!$F$61-Inputs!$F$23))+Operations!$F$49)/100</f>
        <v/>
      </c>
      <c r="AP197" s="14">
        <f>(IF(Time!AP$4&gt;=Inputs!$F$61,Inputs!$F$67,Inputs!$F$66+(Inputs!$F$67-Inputs!$F$66)*(Time!AP$4-Inputs!$F$23)/(Inputs!$F$61-Inputs!$F$23))+Operations!$F$49)/100</f>
        <v/>
      </c>
      <c r="AQ197" s="14">
        <f>(IF(Time!AQ$4&gt;=Inputs!$F$61,Inputs!$F$67,Inputs!$F$66+(Inputs!$F$67-Inputs!$F$66)*(Time!AQ$4-Inputs!$F$23)/(Inputs!$F$61-Inputs!$F$23))+Operations!$F$49)/100</f>
        <v/>
      </c>
      <c r="AR197" s="14">
        <f>(IF(Time!AR$4&gt;=Inputs!$F$61,Inputs!$F$67,Inputs!$F$66+(Inputs!$F$67-Inputs!$F$66)*(Time!AR$4-Inputs!$F$23)/(Inputs!$F$61-Inputs!$F$23))+Operations!$F$49)/100</f>
        <v/>
      </c>
      <c r="AS197" s="14">
        <f>(IF(Time!AS$4&gt;=Inputs!$F$61,Inputs!$F$67,Inputs!$F$66+(Inputs!$F$67-Inputs!$F$66)*(Time!AS$4-Inputs!$F$23)/(Inputs!$F$61-Inputs!$F$23))+Operations!$F$49)/100</f>
        <v/>
      </c>
      <c r="AT197" s="14">
        <f>(IF(Time!AT$4&gt;=Inputs!$F$61,Inputs!$F$67,Inputs!$F$66+(Inputs!$F$67-Inputs!$F$66)*(Time!AT$4-Inputs!$F$23)/(Inputs!$F$61-Inputs!$F$23))+Operations!$F$49)/100</f>
        <v/>
      </c>
      <c r="AU197" s="14">
        <f>(IF(Time!AU$4&gt;=Inputs!$F$61,Inputs!$F$67,Inputs!$F$66+(Inputs!$F$67-Inputs!$F$66)*(Time!AU$4-Inputs!$F$23)/(Inputs!$F$61-Inputs!$F$23))+Operations!$F$49)/100</f>
        <v/>
      </c>
    </row>
    <row r="198">
      <c r="D198" t="inlineStr">
        <is>
          <t>R4 net generation, full year</t>
        </is>
      </c>
      <c r="E198" t="inlineStr">
        <is>
          <t>GWh</t>
        </is>
      </c>
      <c r="J198" s="20">
        <f>Inputs!$F$127*Operations!J195*Inputs!$F$185/100*Operations!J196*(1-Operations!J197)</f>
        <v/>
      </c>
      <c r="K198" s="20">
        <f>Inputs!$F$127*Operations!K195*Inputs!$F$185/100*Operations!K196*(1-Operations!K197)</f>
        <v/>
      </c>
      <c r="L198" s="20">
        <f>Inputs!$F$127*Operations!L195*Inputs!$F$185/100*Operations!L196*(1-Operations!L197)</f>
        <v/>
      </c>
      <c r="M198" s="20">
        <f>Inputs!$F$127*Operations!M195*Inputs!$F$185/100*Operations!M196*(1-Operations!M197)</f>
        <v/>
      </c>
      <c r="N198" s="20">
        <f>Inputs!$F$127*Operations!N195*Inputs!$F$185/100*Operations!N196*(1-Operations!N197)</f>
        <v/>
      </c>
      <c r="O198" s="20">
        <f>Inputs!$F$127*Operations!O195*Inputs!$F$185/100*Operations!O196*(1-Operations!O197)</f>
        <v/>
      </c>
      <c r="P198" s="20">
        <f>Inputs!$F$127*Operations!P195*Inputs!$F$185/100*Operations!P196*(1-Operations!P197)</f>
        <v/>
      </c>
      <c r="Q198" s="20">
        <f>Inputs!$F$127*Operations!Q195*Inputs!$F$185/100*Operations!Q196*(1-Operations!Q197)</f>
        <v/>
      </c>
      <c r="R198" s="20">
        <f>Inputs!$F$127*Operations!R195*Inputs!$F$185/100*Operations!R196*(1-Operations!R197)</f>
        <v/>
      </c>
      <c r="S198" s="20">
        <f>Inputs!$F$127*Operations!S195*Inputs!$F$185/100*Operations!S196*(1-Operations!S197)</f>
        <v/>
      </c>
      <c r="T198" s="20">
        <f>Inputs!$F$127*Operations!T195*Inputs!$F$185/100*Operations!T196*(1-Operations!T197)</f>
        <v/>
      </c>
      <c r="U198" s="20">
        <f>Inputs!$F$127*Operations!U195*Inputs!$F$185/100*Operations!U196*(1-Operations!U197)</f>
        <v/>
      </c>
      <c r="V198" s="20">
        <f>Inputs!$F$127*Operations!V195*Inputs!$F$185/100*Operations!V196*(1-Operations!V197)</f>
        <v/>
      </c>
      <c r="W198" s="20">
        <f>Inputs!$F$127*Operations!W195*Inputs!$F$185/100*Operations!W196*(1-Operations!W197)</f>
        <v/>
      </c>
      <c r="X198" s="20">
        <f>Inputs!$F$127*Operations!X195*Inputs!$F$185/100*Operations!X196*(1-Operations!X197)</f>
        <v/>
      </c>
      <c r="Y198" s="20">
        <f>Inputs!$F$127*Operations!Y195*Inputs!$F$185/100*Operations!Y196*(1-Operations!Y197)</f>
        <v/>
      </c>
      <c r="Z198" s="20">
        <f>Inputs!$F$127*Operations!Z195*Inputs!$F$185/100*Operations!Z196*(1-Operations!Z197)</f>
        <v/>
      </c>
      <c r="AA198" s="20">
        <f>Inputs!$F$127*Operations!AA195*Inputs!$F$185/100*Operations!AA196*(1-Operations!AA197)</f>
        <v/>
      </c>
      <c r="AB198" s="20">
        <f>Inputs!$F$127*Operations!AB195*Inputs!$F$185/100*Operations!AB196*(1-Operations!AB197)</f>
        <v/>
      </c>
      <c r="AC198" s="20">
        <f>Inputs!$F$127*Operations!AC195*Inputs!$F$185/100*Operations!AC196*(1-Operations!AC197)</f>
        <v/>
      </c>
      <c r="AD198" s="20">
        <f>Inputs!$F$127*Operations!AD195*Inputs!$F$185/100*Operations!AD196*(1-Operations!AD197)</f>
        <v/>
      </c>
      <c r="AE198" s="20">
        <f>Inputs!$F$127*Operations!AE195*Inputs!$F$185/100*Operations!AE196*(1-Operations!AE197)</f>
        <v/>
      </c>
      <c r="AF198" s="20">
        <f>Inputs!$F$127*Operations!AF195*Inputs!$F$185/100*Operations!AF196*(1-Operations!AF197)</f>
        <v/>
      </c>
      <c r="AG198" s="20">
        <f>Inputs!$F$127*Operations!AG195*Inputs!$F$185/100*Operations!AG196*(1-Operations!AG197)</f>
        <v/>
      </c>
      <c r="AH198" s="20">
        <f>Inputs!$F$127*Operations!AH195*Inputs!$F$185/100*Operations!AH196*(1-Operations!AH197)</f>
        <v/>
      </c>
      <c r="AI198" s="20">
        <f>Inputs!$F$127*Operations!AI195*Inputs!$F$185/100*Operations!AI196*(1-Operations!AI197)</f>
        <v/>
      </c>
      <c r="AJ198" s="20">
        <f>Inputs!$F$127*Operations!AJ195*Inputs!$F$185/100*Operations!AJ196*(1-Operations!AJ197)</f>
        <v/>
      </c>
      <c r="AK198" s="20">
        <f>Inputs!$F$127*Operations!AK195*Inputs!$F$185/100*Operations!AK196*(1-Operations!AK197)</f>
        <v/>
      </c>
      <c r="AL198" s="20">
        <f>Inputs!$F$127*Operations!AL195*Inputs!$F$185/100*Operations!AL196*(1-Operations!AL197)</f>
        <v/>
      </c>
      <c r="AM198" s="20">
        <f>Inputs!$F$127*Operations!AM195*Inputs!$F$185/100*Operations!AM196*(1-Operations!AM197)</f>
        <v/>
      </c>
      <c r="AN198" s="20">
        <f>Inputs!$F$127*Operations!AN195*Inputs!$F$185/100*Operations!AN196*(1-Operations!AN197)</f>
        <v/>
      </c>
      <c r="AO198" s="20">
        <f>Inputs!$F$127*Operations!AO195*Inputs!$F$185/100*Operations!AO196*(1-Operations!AO197)</f>
        <v/>
      </c>
      <c r="AP198" s="20">
        <f>Inputs!$F$127*Operations!AP195*Inputs!$F$185/100*Operations!AP196*(1-Operations!AP197)</f>
        <v/>
      </c>
      <c r="AQ198" s="20">
        <f>Inputs!$F$127*Operations!AQ195*Inputs!$F$185/100*Operations!AQ196*(1-Operations!AQ197)</f>
        <v/>
      </c>
      <c r="AR198" s="20">
        <f>Inputs!$F$127*Operations!AR195*Inputs!$F$185/100*Operations!AR196*(1-Operations!AR197)</f>
        <v/>
      </c>
      <c r="AS198" s="20">
        <f>Inputs!$F$127*Operations!AS195*Inputs!$F$185/100*Operations!AS196*(1-Operations!AS197)</f>
        <v/>
      </c>
      <c r="AT198" s="20">
        <f>Inputs!$F$127*Operations!AT195*Inputs!$F$185/100*Operations!AT196*(1-Operations!AT197)</f>
        <v/>
      </c>
      <c r="AU198" s="20">
        <f>Inputs!$F$127*Operations!AU195*Inputs!$F$185/100*Operations!AU196*(1-Operations!AU197)</f>
        <v/>
      </c>
    </row>
    <row r="199">
      <c r="D199" t="inlineStr">
        <is>
          <t>R4 net generation</t>
        </is>
      </c>
      <c r="E199" t="inlineStr">
        <is>
          <t>GWh</t>
        </is>
      </c>
      <c r="G199" s="20">
        <f>SUM(J199:AU199)</f>
        <v/>
      </c>
      <c r="J199" s="20">
        <f>Operations!J198*Operations!J191</f>
        <v/>
      </c>
      <c r="K199" s="20">
        <f>Operations!K198*Operations!K191</f>
        <v/>
      </c>
      <c r="L199" s="20">
        <f>Operations!L198*Operations!L191</f>
        <v/>
      </c>
      <c r="M199" s="20">
        <f>Operations!M198*Operations!M191</f>
        <v/>
      </c>
      <c r="N199" s="20">
        <f>Operations!N198*Operations!N191</f>
        <v/>
      </c>
      <c r="O199" s="20">
        <f>Operations!O198*Operations!O191</f>
        <v/>
      </c>
      <c r="P199" s="20">
        <f>Operations!P198*Operations!P191</f>
        <v/>
      </c>
      <c r="Q199" s="20">
        <f>Operations!Q198*Operations!Q191</f>
        <v/>
      </c>
      <c r="R199" s="20">
        <f>Operations!R198*Operations!R191</f>
        <v/>
      </c>
      <c r="S199" s="20">
        <f>Operations!S198*Operations!S191</f>
        <v/>
      </c>
      <c r="T199" s="20">
        <f>Operations!T198*Operations!T191</f>
        <v/>
      </c>
      <c r="U199" s="20">
        <f>Operations!U198*Operations!U191</f>
        <v/>
      </c>
      <c r="V199" s="20">
        <f>Operations!V198*Operations!V191</f>
        <v/>
      </c>
      <c r="W199" s="20">
        <f>Operations!W198*Operations!W191</f>
        <v/>
      </c>
      <c r="X199" s="20">
        <f>Operations!X198*Operations!X191</f>
        <v/>
      </c>
      <c r="Y199" s="20">
        <f>Operations!Y198*Operations!Y191</f>
        <v/>
      </c>
      <c r="Z199" s="20">
        <f>Operations!Z198*Operations!Z191</f>
        <v/>
      </c>
      <c r="AA199" s="20">
        <f>Operations!AA198*Operations!AA191</f>
        <v/>
      </c>
      <c r="AB199" s="20">
        <f>Operations!AB198*Operations!AB191</f>
        <v/>
      </c>
      <c r="AC199" s="20">
        <f>Operations!AC198*Operations!AC191</f>
        <v/>
      </c>
      <c r="AD199" s="20">
        <f>Operations!AD198*Operations!AD191</f>
        <v/>
      </c>
      <c r="AE199" s="20">
        <f>Operations!AE198*Operations!AE191</f>
        <v/>
      </c>
      <c r="AF199" s="20">
        <f>Operations!AF198*Operations!AF191</f>
        <v/>
      </c>
      <c r="AG199" s="20">
        <f>Operations!AG198*Operations!AG191</f>
        <v/>
      </c>
      <c r="AH199" s="20">
        <f>Operations!AH198*Operations!AH191</f>
        <v/>
      </c>
      <c r="AI199" s="20">
        <f>Operations!AI198*Operations!AI191</f>
        <v/>
      </c>
      <c r="AJ199" s="20">
        <f>Operations!AJ198*Operations!AJ191</f>
        <v/>
      </c>
      <c r="AK199" s="20">
        <f>Operations!AK198*Operations!AK191</f>
        <v/>
      </c>
      <c r="AL199" s="20">
        <f>Operations!AL198*Operations!AL191</f>
        <v/>
      </c>
      <c r="AM199" s="20">
        <f>Operations!AM198*Operations!AM191</f>
        <v/>
      </c>
      <c r="AN199" s="20">
        <f>Operations!AN198*Operations!AN191</f>
        <v/>
      </c>
      <c r="AO199" s="20">
        <f>Operations!AO198*Operations!AO191</f>
        <v/>
      </c>
      <c r="AP199" s="20">
        <f>Operations!AP198*Operations!AP191</f>
        <v/>
      </c>
      <c r="AQ199" s="20">
        <f>Operations!AQ198*Operations!AQ191</f>
        <v/>
      </c>
      <c r="AR199" s="20">
        <f>Operations!AR198*Operations!AR191</f>
        <v/>
      </c>
      <c r="AS199" s="20">
        <f>Operations!AS198*Operations!AS191</f>
        <v/>
      </c>
      <c r="AT199" s="20">
        <f>Operations!AT198*Operations!AT191</f>
        <v/>
      </c>
      <c r="AU199" s="20">
        <f>Operations!AU198*Operations!AU191</f>
        <v/>
      </c>
    </row>
    <row r="200">
      <c r="D200" t="inlineStr">
        <is>
          <t>R4 hub capture ratio</t>
        </is>
      </c>
      <c r="E200" t="inlineStr">
        <is>
          <t>ratio</t>
        </is>
      </c>
      <c r="J200" s="14">
        <f>Operations!J59</f>
        <v/>
      </c>
      <c r="K200" s="14">
        <f>Operations!K59</f>
        <v/>
      </c>
      <c r="L200" s="14">
        <f>Operations!L59</f>
        <v/>
      </c>
      <c r="M200" s="14">
        <f>Operations!M59</f>
        <v/>
      </c>
      <c r="N200" s="14">
        <f>Operations!N59</f>
        <v/>
      </c>
      <c r="O200" s="14">
        <f>Operations!O59</f>
        <v/>
      </c>
      <c r="P200" s="14">
        <f>Operations!P59</f>
        <v/>
      </c>
      <c r="Q200" s="14">
        <f>Operations!Q59</f>
        <v/>
      </c>
      <c r="R200" s="14">
        <f>Operations!R59</f>
        <v/>
      </c>
      <c r="S200" s="14">
        <f>Operations!S59</f>
        <v/>
      </c>
      <c r="T200" s="14">
        <f>Operations!T59</f>
        <v/>
      </c>
      <c r="U200" s="14">
        <f>Operations!U59</f>
        <v/>
      </c>
      <c r="V200" s="14">
        <f>Operations!V59</f>
        <v/>
      </c>
      <c r="W200" s="14">
        <f>Operations!W59</f>
        <v/>
      </c>
      <c r="X200" s="14">
        <f>Operations!X59</f>
        <v/>
      </c>
      <c r="Y200" s="14">
        <f>Operations!Y59</f>
        <v/>
      </c>
      <c r="Z200" s="14">
        <f>Operations!Z59</f>
        <v/>
      </c>
      <c r="AA200" s="14">
        <f>Operations!AA59</f>
        <v/>
      </c>
      <c r="AB200" s="14">
        <f>Operations!AB59</f>
        <v/>
      </c>
      <c r="AC200" s="14">
        <f>Operations!AC59</f>
        <v/>
      </c>
      <c r="AD200" s="14">
        <f>Operations!AD59</f>
        <v/>
      </c>
      <c r="AE200" s="14">
        <f>Operations!AE59</f>
        <v/>
      </c>
      <c r="AF200" s="14">
        <f>Operations!AF59</f>
        <v/>
      </c>
      <c r="AG200" s="14">
        <f>Operations!AG59</f>
        <v/>
      </c>
      <c r="AH200" s="14">
        <f>Operations!AH59</f>
        <v/>
      </c>
      <c r="AI200" s="14">
        <f>Operations!AI59</f>
        <v/>
      </c>
      <c r="AJ200" s="14">
        <f>Operations!AJ59</f>
        <v/>
      </c>
      <c r="AK200" s="14">
        <f>Operations!AK59</f>
        <v/>
      </c>
      <c r="AL200" s="14">
        <f>Operations!AL59</f>
        <v/>
      </c>
      <c r="AM200" s="14">
        <f>Operations!AM59</f>
        <v/>
      </c>
      <c r="AN200" s="14">
        <f>Operations!AN59</f>
        <v/>
      </c>
      <c r="AO200" s="14">
        <f>Operations!AO59</f>
        <v/>
      </c>
      <c r="AP200" s="14">
        <f>Operations!AP59</f>
        <v/>
      </c>
      <c r="AQ200" s="14">
        <f>Operations!AQ59</f>
        <v/>
      </c>
      <c r="AR200" s="14">
        <f>Operations!AR59</f>
        <v/>
      </c>
      <c r="AS200" s="14">
        <f>Operations!AS59</f>
        <v/>
      </c>
      <c r="AT200" s="14">
        <f>Operations!AT59</f>
        <v/>
      </c>
      <c r="AU200" s="14">
        <f>Operations!AU59</f>
        <v/>
      </c>
    </row>
    <row r="201">
      <c r="D201" t="inlineStr">
        <is>
          <t>R4 node capture ratio</t>
        </is>
      </c>
      <c r="E201" t="inlineStr">
        <is>
          <t>ratio</t>
        </is>
      </c>
      <c r="J201" s="14">
        <f>Operations!J200-Inputs!$F$52</f>
        <v/>
      </c>
      <c r="K201" s="14">
        <f>Operations!K200-Inputs!$F$52</f>
        <v/>
      </c>
      <c r="L201" s="14">
        <f>Operations!L200-Inputs!$F$52</f>
        <v/>
      </c>
      <c r="M201" s="14">
        <f>Operations!M200-Inputs!$F$52</f>
        <v/>
      </c>
      <c r="N201" s="14">
        <f>Operations!N200-Inputs!$F$52</f>
        <v/>
      </c>
      <c r="O201" s="14">
        <f>Operations!O200-Inputs!$F$52</f>
        <v/>
      </c>
      <c r="P201" s="14">
        <f>Operations!P200-Inputs!$F$52</f>
        <v/>
      </c>
      <c r="Q201" s="14">
        <f>Operations!Q200-Inputs!$F$52</f>
        <v/>
      </c>
      <c r="R201" s="14">
        <f>Operations!R200-Inputs!$F$52</f>
        <v/>
      </c>
      <c r="S201" s="14">
        <f>Operations!S200-Inputs!$F$52</f>
        <v/>
      </c>
      <c r="T201" s="14">
        <f>Operations!T200-Inputs!$F$52</f>
        <v/>
      </c>
      <c r="U201" s="14">
        <f>Operations!U200-Inputs!$F$52</f>
        <v/>
      </c>
      <c r="V201" s="14">
        <f>Operations!V200-Inputs!$F$52</f>
        <v/>
      </c>
      <c r="W201" s="14">
        <f>Operations!W200-Inputs!$F$52</f>
        <v/>
      </c>
      <c r="X201" s="14">
        <f>Operations!X200-Inputs!$F$52</f>
        <v/>
      </c>
      <c r="Y201" s="14">
        <f>Operations!Y200-Inputs!$F$52</f>
        <v/>
      </c>
      <c r="Z201" s="14">
        <f>Operations!Z200-Inputs!$F$52</f>
        <v/>
      </c>
      <c r="AA201" s="14">
        <f>Operations!AA200-Inputs!$F$52</f>
        <v/>
      </c>
      <c r="AB201" s="14">
        <f>Operations!AB200-Inputs!$F$52</f>
        <v/>
      </c>
      <c r="AC201" s="14">
        <f>Operations!AC200-Inputs!$F$52</f>
        <v/>
      </c>
      <c r="AD201" s="14">
        <f>Operations!AD200-Inputs!$F$52</f>
        <v/>
      </c>
      <c r="AE201" s="14">
        <f>Operations!AE200-Inputs!$F$52</f>
        <v/>
      </c>
      <c r="AF201" s="14">
        <f>Operations!AF200-Inputs!$F$52</f>
        <v/>
      </c>
      <c r="AG201" s="14">
        <f>Operations!AG200-Inputs!$F$52</f>
        <v/>
      </c>
      <c r="AH201" s="14">
        <f>Operations!AH200-Inputs!$F$52</f>
        <v/>
      </c>
      <c r="AI201" s="14">
        <f>Operations!AI200-Inputs!$F$52</f>
        <v/>
      </c>
      <c r="AJ201" s="14">
        <f>Operations!AJ200-Inputs!$F$52</f>
        <v/>
      </c>
      <c r="AK201" s="14">
        <f>Operations!AK200-Inputs!$F$52</f>
        <v/>
      </c>
      <c r="AL201" s="14">
        <f>Operations!AL200-Inputs!$F$52</f>
        <v/>
      </c>
      <c r="AM201" s="14">
        <f>Operations!AM200-Inputs!$F$52</f>
        <v/>
      </c>
      <c r="AN201" s="14">
        <f>Operations!AN200-Inputs!$F$52</f>
        <v/>
      </c>
      <c r="AO201" s="14">
        <f>Operations!AO200-Inputs!$F$52</f>
        <v/>
      </c>
      <c r="AP201" s="14">
        <f>Operations!AP200-Inputs!$F$52</f>
        <v/>
      </c>
      <c r="AQ201" s="14">
        <f>Operations!AQ200-Inputs!$F$52</f>
        <v/>
      </c>
      <c r="AR201" s="14">
        <f>Operations!AR200-Inputs!$F$52</f>
        <v/>
      </c>
      <c r="AS201" s="14">
        <f>Operations!AS200-Inputs!$F$52</f>
        <v/>
      </c>
      <c r="AT201" s="14">
        <f>Operations!AT200-Inputs!$F$52</f>
        <v/>
      </c>
      <c r="AU201" s="14">
        <f>Operations!AU200-Inputs!$F$52</f>
        <v/>
      </c>
    </row>
    <row r="202">
      <c r="D202" t="inlineStr">
        <is>
          <t>R4 realized node price</t>
        </is>
      </c>
      <c r="E202" t="inlineStr">
        <is>
          <t>USD/MWh</t>
        </is>
      </c>
      <c r="J202" s="18">
        <f>Operations!J194*Operations!J201</f>
        <v/>
      </c>
      <c r="K202" s="18">
        <f>Operations!K194*Operations!K201</f>
        <v/>
      </c>
      <c r="L202" s="18">
        <f>Operations!L194*Operations!L201</f>
        <v/>
      </c>
      <c r="M202" s="18">
        <f>Operations!M194*Operations!M201</f>
        <v/>
      </c>
      <c r="N202" s="18">
        <f>Operations!N194*Operations!N201</f>
        <v/>
      </c>
      <c r="O202" s="18">
        <f>Operations!O194*Operations!O201</f>
        <v/>
      </c>
      <c r="P202" s="18">
        <f>Operations!P194*Operations!P201</f>
        <v/>
      </c>
      <c r="Q202" s="18">
        <f>Operations!Q194*Operations!Q201</f>
        <v/>
      </c>
      <c r="R202" s="18">
        <f>Operations!R194*Operations!R201</f>
        <v/>
      </c>
      <c r="S202" s="18">
        <f>Operations!S194*Operations!S201</f>
        <v/>
      </c>
      <c r="T202" s="18">
        <f>Operations!T194*Operations!T201</f>
        <v/>
      </c>
      <c r="U202" s="18">
        <f>Operations!U194*Operations!U201</f>
        <v/>
      </c>
      <c r="V202" s="18">
        <f>Operations!V194*Operations!V201</f>
        <v/>
      </c>
      <c r="W202" s="18">
        <f>Operations!W194*Operations!W201</f>
        <v/>
      </c>
      <c r="X202" s="18">
        <f>Operations!X194*Operations!X201</f>
        <v/>
      </c>
      <c r="Y202" s="18">
        <f>Operations!Y194*Operations!Y201</f>
        <v/>
      </c>
      <c r="Z202" s="18">
        <f>Operations!Z194*Operations!Z201</f>
        <v/>
      </c>
      <c r="AA202" s="18">
        <f>Operations!AA194*Operations!AA201</f>
        <v/>
      </c>
      <c r="AB202" s="18">
        <f>Operations!AB194*Operations!AB201</f>
        <v/>
      </c>
      <c r="AC202" s="18">
        <f>Operations!AC194*Operations!AC201</f>
        <v/>
      </c>
      <c r="AD202" s="18">
        <f>Operations!AD194*Operations!AD201</f>
        <v/>
      </c>
      <c r="AE202" s="18">
        <f>Operations!AE194*Operations!AE201</f>
        <v/>
      </c>
      <c r="AF202" s="18">
        <f>Operations!AF194*Operations!AF201</f>
        <v/>
      </c>
      <c r="AG202" s="18">
        <f>Operations!AG194*Operations!AG201</f>
        <v/>
      </c>
      <c r="AH202" s="18">
        <f>Operations!AH194*Operations!AH201</f>
        <v/>
      </c>
      <c r="AI202" s="18">
        <f>Operations!AI194*Operations!AI201</f>
        <v/>
      </c>
      <c r="AJ202" s="18">
        <f>Operations!AJ194*Operations!AJ201</f>
        <v/>
      </c>
      <c r="AK202" s="18">
        <f>Operations!AK194*Operations!AK201</f>
        <v/>
      </c>
      <c r="AL202" s="18">
        <f>Operations!AL194*Operations!AL201</f>
        <v/>
      </c>
      <c r="AM202" s="18">
        <f>Operations!AM194*Operations!AM201</f>
        <v/>
      </c>
      <c r="AN202" s="18">
        <f>Operations!AN194*Operations!AN201</f>
        <v/>
      </c>
      <c r="AO202" s="18">
        <f>Operations!AO194*Operations!AO201</f>
        <v/>
      </c>
      <c r="AP202" s="18">
        <f>Operations!AP194*Operations!AP201</f>
        <v/>
      </c>
      <c r="AQ202" s="18">
        <f>Operations!AQ194*Operations!AQ201</f>
        <v/>
      </c>
      <c r="AR202" s="18">
        <f>Operations!AR194*Operations!AR201</f>
        <v/>
      </c>
      <c r="AS202" s="18">
        <f>Operations!AS194*Operations!AS201</f>
        <v/>
      </c>
      <c r="AT202" s="18">
        <f>Operations!AT194*Operations!AT201</f>
        <v/>
      </c>
      <c r="AU202" s="18">
        <f>Operations!AU194*Operations!AU201</f>
        <v/>
      </c>
    </row>
    <row r="203">
      <c r="D203" t="inlineStr">
        <is>
          <t>R4 shape hedge term fraction</t>
        </is>
      </c>
      <c r="E203" t="inlineStr">
        <is>
          <t>fraction</t>
        </is>
      </c>
      <c r="J203" s="14">
        <f>MAX(0,MIN(Inputs!$F$203,Time!J$6)-MAX(Inputs!$F$202-1,Time!J$5))/Time!J$7</f>
        <v/>
      </c>
      <c r="K203" s="14">
        <f>MAX(0,MIN(Inputs!$F$203,Time!K$6)-MAX(Inputs!$F$202-1,Time!K$5))/Time!K$7</f>
        <v/>
      </c>
      <c r="L203" s="14">
        <f>MAX(0,MIN(Inputs!$F$203,Time!L$6)-MAX(Inputs!$F$202-1,Time!L$5))/Time!L$7</f>
        <v/>
      </c>
      <c r="M203" s="14">
        <f>MAX(0,MIN(Inputs!$F$203,Time!M$6)-MAX(Inputs!$F$202-1,Time!M$5))/Time!M$7</f>
        <v/>
      </c>
      <c r="N203" s="14">
        <f>MAX(0,MIN(Inputs!$F$203,Time!N$6)-MAX(Inputs!$F$202-1,Time!N$5))/Time!N$7</f>
        <v/>
      </c>
      <c r="O203" s="14">
        <f>MAX(0,MIN(Inputs!$F$203,Time!O$6)-MAX(Inputs!$F$202-1,Time!O$5))/Time!O$7</f>
        <v/>
      </c>
      <c r="P203" s="14">
        <f>MAX(0,MIN(Inputs!$F$203,Time!P$6)-MAX(Inputs!$F$202-1,Time!P$5))/Time!P$7</f>
        <v/>
      </c>
      <c r="Q203" s="14">
        <f>MAX(0,MIN(Inputs!$F$203,Time!Q$6)-MAX(Inputs!$F$202-1,Time!Q$5))/Time!Q$7</f>
        <v/>
      </c>
      <c r="R203" s="14">
        <f>MAX(0,MIN(Inputs!$F$203,Time!R$6)-MAX(Inputs!$F$202-1,Time!R$5))/Time!R$7</f>
        <v/>
      </c>
      <c r="S203" s="14">
        <f>MAX(0,MIN(Inputs!$F$203,Time!S$6)-MAX(Inputs!$F$202-1,Time!S$5))/Time!S$7</f>
        <v/>
      </c>
      <c r="T203" s="14">
        <f>MAX(0,MIN(Inputs!$F$203,Time!T$6)-MAX(Inputs!$F$202-1,Time!T$5))/Time!T$7</f>
        <v/>
      </c>
      <c r="U203" s="14">
        <f>MAX(0,MIN(Inputs!$F$203,Time!U$6)-MAX(Inputs!$F$202-1,Time!U$5))/Time!U$7</f>
        <v/>
      </c>
      <c r="V203" s="14">
        <f>MAX(0,MIN(Inputs!$F$203,Time!V$6)-MAX(Inputs!$F$202-1,Time!V$5))/Time!V$7</f>
        <v/>
      </c>
      <c r="W203" s="14">
        <f>MAX(0,MIN(Inputs!$F$203,Time!W$6)-MAX(Inputs!$F$202-1,Time!W$5))/Time!W$7</f>
        <v/>
      </c>
      <c r="X203" s="14">
        <f>MAX(0,MIN(Inputs!$F$203,Time!X$6)-MAX(Inputs!$F$202-1,Time!X$5))/Time!X$7</f>
        <v/>
      </c>
      <c r="Y203" s="14">
        <f>MAX(0,MIN(Inputs!$F$203,Time!Y$6)-MAX(Inputs!$F$202-1,Time!Y$5))/Time!Y$7</f>
        <v/>
      </c>
      <c r="Z203" s="14">
        <f>MAX(0,MIN(Inputs!$F$203,Time!Z$6)-MAX(Inputs!$F$202-1,Time!Z$5))/Time!Z$7</f>
        <v/>
      </c>
      <c r="AA203" s="14">
        <f>MAX(0,MIN(Inputs!$F$203,Time!AA$6)-MAX(Inputs!$F$202-1,Time!AA$5))/Time!AA$7</f>
        <v/>
      </c>
      <c r="AB203" s="14">
        <f>MAX(0,MIN(Inputs!$F$203,Time!AB$6)-MAX(Inputs!$F$202-1,Time!AB$5))/Time!AB$7</f>
        <v/>
      </c>
      <c r="AC203" s="14">
        <f>MAX(0,MIN(Inputs!$F$203,Time!AC$6)-MAX(Inputs!$F$202-1,Time!AC$5))/Time!AC$7</f>
        <v/>
      </c>
      <c r="AD203" s="14">
        <f>MAX(0,MIN(Inputs!$F$203,Time!AD$6)-MAX(Inputs!$F$202-1,Time!AD$5))/Time!AD$7</f>
        <v/>
      </c>
      <c r="AE203" s="14">
        <f>MAX(0,MIN(Inputs!$F$203,Time!AE$6)-MAX(Inputs!$F$202-1,Time!AE$5))/Time!AE$7</f>
        <v/>
      </c>
      <c r="AF203" s="14">
        <f>MAX(0,MIN(Inputs!$F$203,Time!AF$6)-MAX(Inputs!$F$202-1,Time!AF$5))/Time!AF$7</f>
        <v/>
      </c>
      <c r="AG203" s="14">
        <f>MAX(0,MIN(Inputs!$F$203,Time!AG$6)-MAX(Inputs!$F$202-1,Time!AG$5))/Time!AG$7</f>
        <v/>
      </c>
      <c r="AH203" s="14">
        <f>MAX(0,MIN(Inputs!$F$203,Time!AH$6)-MAX(Inputs!$F$202-1,Time!AH$5))/Time!AH$7</f>
        <v/>
      </c>
      <c r="AI203" s="14">
        <f>MAX(0,MIN(Inputs!$F$203,Time!AI$6)-MAX(Inputs!$F$202-1,Time!AI$5))/Time!AI$7</f>
        <v/>
      </c>
      <c r="AJ203" s="14">
        <f>MAX(0,MIN(Inputs!$F$203,Time!AJ$6)-MAX(Inputs!$F$202-1,Time!AJ$5))/Time!AJ$7</f>
        <v/>
      </c>
      <c r="AK203" s="14">
        <f>MAX(0,MIN(Inputs!$F$203,Time!AK$6)-MAX(Inputs!$F$202-1,Time!AK$5))/Time!AK$7</f>
        <v/>
      </c>
      <c r="AL203" s="14">
        <f>MAX(0,MIN(Inputs!$F$203,Time!AL$6)-MAX(Inputs!$F$202-1,Time!AL$5))/Time!AL$7</f>
        <v/>
      </c>
      <c r="AM203" s="14">
        <f>MAX(0,MIN(Inputs!$F$203,Time!AM$6)-MAX(Inputs!$F$202-1,Time!AM$5))/Time!AM$7</f>
        <v/>
      </c>
      <c r="AN203" s="14">
        <f>MAX(0,MIN(Inputs!$F$203,Time!AN$6)-MAX(Inputs!$F$202-1,Time!AN$5))/Time!AN$7</f>
        <v/>
      </c>
      <c r="AO203" s="14">
        <f>MAX(0,MIN(Inputs!$F$203,Time!AO$6)-MAX(Inputs!$F$202-1,Time!AO$5))/Time!AO$7</f>
        <v/>
      </c>
      <c r="AP203" s="14">
        <f>MAX(0,MIN(Inputs!$F$203,Time!AP$6)-MAX(Inputs!$F$202-1,Time!AP$5))/Time!AP$7</f>
        <v/>
      </c>
      <c r="AQ203" s="14">
        <f>MAX(0,MIN(Inputs!$F$203,Time!AQ$6)-MAX(Inputs!$F$202-1,Time!AQ$5))/Time!AQ$7</f>
        <v/>
      </c>
      <c r="AR203" s="14">
        <f>MAX(0,MIN(Inputs!$F$203,Time!AR$6)-MAX(Inputs!$F$202-1,Time!AR$5))/Time!AR$7</f>
        <v/>
      </c>
      <c r="AS203" s="14">
        <f>MAX(0,MIN(Inputs!$F$203,Time!AS$6)-MAX(Inputs!$F$202-1,Time!AS$5))/Time!AS$7</f>
        <v/>
      </c>
      <c r="AT203" s="14">
        <f>MAX(0,MIN(Inputs!$F$203,Time!AT$6)-MAX(Inputs!$F$202-1,Time!AT$5))/Time!AT$7</f>
        <v/>
      </c>
      <c r="AU203" s="14">
        <f>MAX(0,MIN(Inputs!$F$203,Time!AU$6)-MAX(Inputs!$F$202-1,Time!AU$5))/Time!AU$7</f>
        <v/>
      </c>
    </row>
    <row r="204">
      <c r="D204" t="inlineStr">
        <is>
          <t>R4 shape hedge volume</t>
        </is>
      </c>
      <c r="E204" t="inlineStr">
        <is>
          <t>GWh</t>
        </is>
      </c>
      <c r="J204" s="20">
        <f>Inputs!$F$200*Operations!J203</f>
        <v/>
      </c>
      <c r="K204" s="20">
        <f>Inputs!$F$200*Operations!K203</f>
        <v/>
      </c>
      <c r="L204" s="20">
        <f>Inputs!$F$200*Operations!L203</f>
        <v/>
      </c>
      <c r="M204" s="20">
        <f>Inputs!$F$200*Operations!M203</f>
        <v/>
      </c>
      <c r="N204" s="20">
        <f>Inputs!$F$200*Operations!N203</f>
        <v/>
      </c>
      <c r="O204" s="20">
        <f>Inputs!$F$200*Operations!O203</f>
        <v/>
      </c>
      <c r="P204" s="20">
        <f>Inputs!$F$200*Operations!P203</f>
        <v/>
      </c>
      <c r="Q204" s="20">
        <f>Inputs!$F$200*Operations!Q203</f>
        <v/>
      </c>
      <c r="R204" s="20">
        <f>Inputs!$F$200*Operations!R203</f>
        <v/>
      </c>
      <c r="S204" s="20">
        <f>Inputs!$F$200*Operations!S203</f>
        <v/>
      </c>
      <c r="T204" s="20">
        <f>Inputs!$F$200*Operations!T203</f>
        <v/>
      </c>
      <c r="U204" s="20">
        <f>Inputs!$F$200*Operations!U203</f>
        <v/>
      </c>
      <c r="V204" s="20">
        <f>Inputs!$F$200*Operations!V203</f>
        <v/>
      </c>
      <c r="W204" s="20">
        <f>Inputs!$F$200*Operations!W203</f>
        <v/>
      </c>
      <c r="X204" s="20">
        <f>Inputs!$F$200*Operations!X203</f>
        <v/>
      </c>
      <c r="Y204" s="20">
        <f>Inputs!$F$200*Operations!Y203</f>
        <v/>
      </c>
      <c r="Z204" s="20">
        <f>Inputs!$F$200*Operations!Z203</f>
        <v/>
      </c>
      <c r="AA204" s="20">
        <f>Inputs!$F$200*Operations!AA203</f>
        <v/>
      </c>
      <c r="AB204" s="20">
        <f>Inputs!$F$200*Operations!AB203</f>
        <v/>
      </c>
      <c r="AC204" s="20">
        <f>Inputs!$F$200*Operations!AC203</f>
        <v/>
      </c>
      <c r="AD204" s="20">
        <f>Inputs!$F$200*Operations!AD203</f>
        <v/>
      </c>
      <c r="AE204" s="20">
        <f>Inputs!$F$200*Operations!AE203</f>
        <v/>
      </c>
      <c r="AF204" s="20">
        <f>Inputs!$F$200*Operations!AF203</f>
        <v/>
      </c>
      <c r="AG204" s="20">
        <f>Inputs!$F$200*Operations!AG203</f>
        <v/>
      </c>
      <c r="AH204" s="20">
        <f>Inputs!$F$200*Operations!AH203</f>
        <v/>
      </c>
      <c r="AI204" s="20">
        <f>Inputs!$F$200*Operations!AI203</f>
        <v/>
      </c>
      <c r="AJ204" s="20">
        <f>Inputs!$F$200*Operations!AJ203</f>
        <v/>
      </c>
      <c r="AK204" s="20">
        <f>Inputs!$F$200*Operations!AK203</f>
        <v/>
      </c>
      <c r="AL204" s="20">
        <f>Inputs!$F$200*Operations!AL203</f>
        <v/>
      </c>
      <c r="AM204" s="20">
        <f>Inputs!$F$200*Operations!AM203</f>
        <v/>
      </c>
      <c r="AN204" s="20">
        <f>Inputs!$F$200*Operations!AN203</f>
        <v/>
      </c>
      <c r="AO204" s="20">
        <f>Inputs!$F$200*Operations!AO203</f>
        <v/>
      </c>
      <c r="AP204" s="20">
        <f>Inputs!$F$200*Operations!AP203</f>
        <v/>
      </c>
      <c r="AQ204" s="20">
        <f>Inputs!$F$200*Operations!AQ203</f>
        <v/>
      </c>
      <c r="AR204" s="20">
        <f>Inputs!$F$200*Operations!AR203</f>
        <v/>
      </c>
      <c r="AS204" s="20">
        <f>Inputs!$F$200*Operations!AS203</f>
        <v/>
      </c>
      <c r="AT204" s="20">
        <f>Inputs!$F$200*Operations!AT203</f>
        <v/>
      </c>
      <c r="AU204" s="20">
        <f>Inputs!$F$200*Operations!AU203</f>
        <v/>
      </c>
    </row>
    <row r="205">
      <c r="D205" t="inlineStr">
        <is>
          <t>R4 shape hedge settlement (strike less hub x shape factor)</t>
        </is>
      </c>
      <c r="E205" t="inlineStr">
        <is>
          <t>USD m</t>
        </is>
      </c>
      <c r="G205" s="20">
        <f>SUM(J205:AU205)</f>
        <v/>
      </c>
      <c r="J205" s="20">
        <f>Operations!J204*(Inputs!$F$201-Operations!J194*Operations!J200)/1000</f>
        <v/>
      </c>
      <c r="K205" s="20">
        <f>Operations!K204*(Inputs!$F$201-Operations!K194*Operations!K200)/1000</f>
        <v/>
      </c>
      <c r="L205" s="20">
        <f>Operations!L204*(Inputs!$F$201-Operations!L194*Operations!L200)/1000</f>
        <v/>
      </c>
      <c r="M205" s="20">
        <f>Operations!M204*(Inputs!$F$201-Operations!M194*Operations!M200)/1000</f>
        <v/>
      </c>
      <c r="N205" s="20">
        <f>Operations!N204*(Inputs!$F$201-Operations!N194*Operations!N200)/1000</f>
        <v/>
      </c>
      <c r="O205" s="20">
        <f>Operations!O204*(Inputs!$F$201-Operations!O194*Operations!O200)/1000</f>
        <v/>
      </c>
      <c r="P205" s="20">
        <f>Operations!P204*(Inputs!$F$201-Operations!P194*Operations!P200)/1000</f>
        <v/>
      </c>
      <c r="Q205" s="20">
        <f>Operations!Q204*(Inputs!$F$201-Operations!Q194*Operations!Q200)/1000</f>
        <v/>
      </c>
      <c r="R205" s="20">
        <f>Operations!R204*(Inputs!$F$201-Operations!R194*Operations!R200)/1000</f>
        <v/>
      </c>
      <c r="S205" s="20">
        <f>Operations!S204*(Inputs!$F$201-Operations!S194*Operations!S200)/1000</f>
        <v/>
      </c>
      <c r="T205" s="20">
        <f>Operations!T204*(Inputs!$F$201-Operations!T194*Operations!T200)/1000</f>
        <v/>
      </c>
      <c r="U205" s="20">
        <f>Operations!U204*(Inputs!$F$201-Operations!U194*Operations!U200)/1000</f>
        <v/>
      </c>
      <c r="V205" s="20">
        <f>Operations!V204*(Inputs!$F$201-Operations!V194*Operations!V200)/1000</f>
        <v/>
      </c>
      <c r="W205" s="20">
        <f>Operations!W204*(Inputs!$F$201-Operations!W194*Operations!W200)/1000</f>
        <v/>
      </c>
      <c r="X205" s="20">
        <f>Operations!X204*(Inputs!$F$201-Operations!X194*Operations!X200)/1000</f>
        <v/>
      </c>
      <c r="Y205" s="20">
        <f>Operations!Y204*(Inputs!$F$201-Operations!Y194*Operations!Y200)/1000</f>
        <v/>
      </c>
      <c r="Z205" s="20">
        <f>Operations!Z204*(Inputs!$F$201-Operations!Z194*Operations!Z200)/1000</f>
        <v/>
      </c>
      <c r="AA205" s="20">
        <f>Operations!AA204*(Inputs!$F$201-Operations!AA194*Operations!AA200)/1000</f>
        <v/>
      </c>
      <c r="AB205" s="20">
        <f>Operations!AB204*(Inputs!$F$201-Operations!AB194*Operations!AB200)/1000</f>
        <v/>
      </c>
      <c r="AC205" s="20">
        <f>Operations!AC204*(Inputs!$F$201-Operations!AC194*Operations!AC200)/1000</f>
        <v/>
      </c>
      <c r="AD205" s="20">
        <f>Operations!AD204*(Inputs!$F$201-Operations!AD194*Operations!AD200)/1000</f>
        <v/>
      </c>
      <c r="AE205" s="20">
        <f>Operations!AE204*(Inputs!$F$201-Operations!AE194*Operations!AE200)/1000</f>
        <v/>
      </c>
      <c r="AF205" s="20">
        <f>Operations!AF204*(Inputs!$F$201-Operations!AF194*Operations!AF200)/1000</f>
        <v/>
      </c>
      <c r="AG205" s="20">
        <f>Operations!AG204*(Inputs!$F$201-Operations!AG194*Operations!AG200)/1000</f>
        <v/>
      </c>
      <c r="AH205" s="20">
        <f>Operations!AH204*(Inputs!$F$201-Operations!AH194*Operations!AH200)/1000</f>
        <v/>
      </c>
      <c r="AI205" s="20">
        <f>Operations!AI204*(Inputs!$F$201-Operations!AI194*Operations!AI200)/1000</f>
        <v/>
      </c>
      <c r="AJ205" s="20">
        <f>Operations!AJ204*(Inputs!$F$201-Operations!AJ194*Operations!AJ200)/1000</f>
        <v/>
      </c>
      <c r="AK205" s="20">
        <f>Operations!AK204*(Inputs!$F$201-Operations!AK194*Operations!AK200)/1000</f>
        <v/>
      </c>
      <c r="AL205" s="20">
        <f>Operations!AL204*(Inputs!$F$201-Operations!AL194*Operations!AL200)/1000</f>
        <v/>
      </c>
      <c r="AM205" s="20">
        <f>Operations!AM204*(Inputs!$F$201-Operations!AM194*Operations!AM200)/1000</f>
        <v/>
      </c>
      <c r="AN205" s="20">
        <f>Operations!AN204*(Inputs!$F$201-Operations!AN194*Operations!AN200)/1000</f>
        <v/>
      </c>
      <c r="AO205" s="20">
        <f>Operations!AO204*(Inputs!$F$201-Operations!AO194*Operations!AO200)/1000</f>
        <v/>
      </c>
      <c r="AP205" s="20">
        <f>Operations!AP204*(Inputs!$F$201-Operations!AP194*Operations!AP200)/1000</f>
        <v/>
      </c>
      <c r="AQ205" s="20">
        <f>Operations!AQ204*(Inputs!$F$201-Operations!AQ194*Operations!AQ200)/1000</f>
        <v/>
      </c>
      <c r="AR205" s="20">
        <f>Operations!AR204*(Inputs!$F$201-Operations!AR194*Operations!AR200)/1000</f>
        <v/>
      </c>
      <c r="AS205" s="20">
        <f>Operations!AS204*(Inputs!$F$201-Operations!AS194*Operations!AS200)/1000</f>
        <v/>
      </c>
      <c r="AT205" s="20">
        <f>Operations!AT204*(Inputs!$F$201-Operations!AT194*Operations!AT200)/1000</f>
        <v/>
      </c>
      <c r="AU205" s="20">
        <f>Operations!AU204*(Inputs!$F$201-Operations!AU194*Operations!AU200)/1000</f>
        <v/>
      </c>
    </row>
    <row r="206">
      <c r="D206" t="inlineStr">
        <is>
          <t>R4 generation sold at node</t>
        </is>
      </c>
      <c r="E206" t="inlineStr">
        <is>
          <t>GWh</t>
        </is>
      </c>
      <c r="J206" s="20">
        <f>Operations!J199</f>
        <v/>
      </c>
      <c r="K206" s="20">
        <f>Operations!K199</f>
        <v/>
      </c>
      <c r="L206" s="20">
        <f>Operations!L199</f>
        <v/>
      </c>
      <c r="M206" s="20">
        <f>Operations!M199</f>
        <v/>
      </c>
      <c r="N206" s="20">
        <f>Operations!N199</f>
        <v/>
      </c>
      <c r="O206" s="20">
        <f>Operations!O199</f>
        <v/>
      </c>
      <c r="P206" s="20">
        <f>Operations!P199</f>
        <v/>
      </c>
      <c r="Q206" s="20">
        <f>Operations!Q199</f>
        <v/>
      </c>
      <c r="R206" s="20">
        <f>Operations!R199</f>
        <v/>
      </c>
      <c r="S206" s="20">
        <f>Operations!S199</f>
        <v/>
      </c>
      <c r="T206" s="20">
        <f>Operations!T199</f>
        <v/>
      </c>
      <c r="U206" s="20">
        <f>Operations!U199</f>
        <v/>
      </c>
      <c r="V206" s="20">
        <f>Operations!V199</f>
        <v/>
      </c>
      <c r="W206" s="20">
        <f>Operations!W199</f>
        <v/>
      </c>
      <c r="X206" s="20">
        <f>Operations!X199</f>
        <v/>
      </c>
      <c r="Y206" s="20">
        <f>Operations!Y199</f>
        <v/>
      </c>
      <c r="Z206" s="20">
        <f>Operations!Z199</f>
        <v/>
      </c>
      <c r="AA206" s="20">
        <f>Operations!AA199</f>
        <v/>
      </c>
      <c r="AB206" s="20">
        <f>Operations!AB199</f>
        <v/>
      </c>
      <c r="AC206" s="20">
        <f>Operations!AC199</f>
        <v/>
      </c>
      <c r="AD206" s="20">
        <f>Operations!AD199</f>
        <v/>
      </c>
      <c r="AE206" s="20">
        <f>Operations!AE199</f>
        <v/>
      </c>
      <c r="AF206" s="20">
        <f>Operations!AF199</f>
        <v/>
      </c>
      <c r="AG206" s="20">
        <f>Operations!AG199</f>
        <v/>
      </c>
      <c r="AH206" s="20">
        <f>Operations!AH199</f>
        <v/>
      </c>
      <c r="AI206" s="20">
        <f>Operations!AI199</f>
        <v/>
      </c>
      <c r="AJ206" s="20">
        <f>Operations!AJ199</f>
        <v/>
      </c>
      <c r="AK206" s="20">
        <f>Operations!AK199</f>
        <v/>
      </c>
      <c r="AL206" s="20">
        <f>Operations!AL199</f>
        <v/>
      </c>
      <c r="AM206" s="20">
        <f>Operations!AM199</f>
        <v/>
      </c>
      <c r="AN206" s="20">
        <f>Operations!AN199</f>
        <v/>
      </c>
      <c r="AO206" s="20">
        <f>Operations!AO199</f>
        <v/>
      </c>
      <c r="AP206" s="20">
        <f>Operations!AP199</f>
        <v/>
      </c>
      <c r="AQ206" s="20">
        <f>Operations!AQ199</f>
        <v/>
      </c>
      <c r="AR206" s="20">
        <f>Operations!AR199</f>
        <v/>
      </c>
      <c r="AS206" s="20">
        <f>Operations!AS199</f>
        <v/>
      </c>
      <c r="AT206" s="20">
        <f>Operations!AT199</f>
        <v/>
      </c>
      <c r="AU206" s="20">
        <f>Operations!AU199</f>
        <v/>
      </c>
    </row>
    <row r="207">
      <c r="D207" t="inlineStr">
        <is>
          <t>R4 contracted revenue</t>
        </is>
      </c>
      <c r="E207" t="inlineStr">
        <is>
          <t>USD m</t>
        </is>
      </c>
      <c r="J207" s="20">
        <f>0</f>
        <v/>
      </c>
      <c r="K207" s="20">
        <f>0</f>
        <v/>
      </c>
      <c r="L207" s="20">
        <f>0</f>
        <v/>
      </c>
      <c r="M207" s="20">
        <f>0</f>
        <v/>
      </c>
      <c r="N207" s="20">
        <f>0</f>
        <v/>
      </c>
      <c r="O207" s="20">
        <f>0</f>
        <v/>
      </c>
      <c r="P207" s="20">
        <f>0</f>
        <v/>
      </c>
      <c r="Q207" s="20">
        <f>0</f>
        <v/>
      </c>
      <c r="R207" s="20">
        <f>0</f>
        <v/>
      </c>
      <c r="S207" s="20">
        <f>0</f>
        <v/>
      </c>
      <c r="T207" s="20">
        <f>0</f>
        <v/>
      </c>
      <c r="U207" s="20">
        <f>0</f>
        <v/>
      </c>
      <c r="V207" s="20">
        <f>0</f>
        <v/>
      </c>
      <c r="W207" s="20">
        <f>0</f>
        <v/>
      </c>
      <c r="X207" s="20">
        <f>0</f>
        <v/>
      </c>
      <c r="Y207" s="20">
        <f>0</f>
        <v/>
      </c>
      <c r="Z207" s="20">
        <f>0</f>
        <v/>
      </c>
      <c r="AA207" s="20">
        <f>0</f>
        <v/>
      </c>
      <c r="AB207" s="20">
        <f>0</f>
        <v/>
      </c>
      <c r="AC207" s="20">
        <f>0</f>
        <v/>
      </c>
      <c r="AD207" s="20">
        <f>0</f>
        <v/>
      </c>
      <c r="AE207" s="20">
        <f>0</f>
        <v/>
      </c>
      <c r="AF207" s="20">
        <f>0</f>
        <v/>
      </c>
      <c r="AG207" s="20">
        <f>0</f>
        <v/>
      </c>
      <c r="AH207" s="20">
        <f>0</f>
        <v/>
      </c>
      <c r="AI207" s="20">
        <f>0</f>
        <v/>
      </c>
      <c r="AJ207" s="20">
        <f>0</f>
        <v/>
      </c>
      <c r="AK207" s="20">
        <f>0</f>
        <v/>
      </c>
      <c r="AL207" s="20">
        <f>0</f>
        <v/>
      </c>
      <c r="AM207" s="20">
        <f>0</f>
        <v/>
      </c>
      <c r="AN207" s="20">
        <f>0</f>
        <v/>
      </c>
      <c r="AO207" s="20">
        <f>0</f>
        <v/>
      </c>
      <c r="AP207" s="20">
        <f>0</f>
        <v/>
      </c>
      <c r="AQ207" s="20">
        <f>0</f>
        <v/>
      </c>
      <c r="AR207" s="20">
        <f>0</f>
        <v/>
      </c>
      <c r="AS207" s="20">
        <f>0</f>
        <v/>
      </c>
      <c r="AT207" s="20">
        <f>0</f>
        <v/>
      </c>
      <c r="AU207" s="20">
        <f>0</f>
        <v/>
      </c>
    </row>
    <row r="208">
      <c r="D208" t="inlineStr">
        <is>
          <t>R4 hedged revenue (volume x strike)</t>
        </is>
      </c>
      <c r="E208" t="inlineStr">
        <is>
          <t>USD m</t>
        </is>
      </c>
      <c r="J208" s="20">
        <f>Operations!J204*Inputs!$F$201/1000</f>
        <v/>
      </c>
      <c r="K208" s="20">
        <f>Operations!K204*Inputs!$F$201/1000</f>
        <v/>
      </c>
      <c r="L208" s="20">
        <f>Operations!L204*Inputs!$F$201/1000</f>
        <v/>
      </c>
      <c r="M208" s="20">
        <f>Operations!M204*Inputs!$F$201/1000</f>
        <v/>
      </c>
      <c r="N208" s="20">
        <f>Operations!N204*Inputs!$F$201/1000</f>
        <v/>
      </c>
      <c r="O208" s="20">
        <f>Operations!O204*Inputs!$F$201/1000</f>
        <v/>
      </c>
      <c r="P208" s="20">
        <f>Operations!P204*Inputs!$F$201/1000</f>
        <v/>
      </c>
      <c r="Q208" s="20">
        <f>Operations!Q204*Inputs!$F$201/1000</f>
        <v/>
      </c>
      <c r="R208" s="20">
        <f>Operations!R204*Inputs!$F$201/1000</f>
        <v/>
      </c>
      <c r="S208" s="20">
        <f>Operations!S204*Inputs!$F$201/1000</f>
        <v/>
      </c>
      <c r="T208" s="20">
        <f>Operations!T204*Inputs!$F$201/1000</f>
        <v/>
      </c>
      <c r="U208" s="20">
        <f>Operations!U204*Inputs!$F$201/1000</f>
        <v/>
      </c>
      <c r="V208" s="20">
        <f>Operations!V204*Inputs!$F$201/1000</f>
        <v/>
      </c>
      <c r="W208" s="20">
        <f>Operations!W204*Inputs!$F$201/1000</f>
        <v/>
      </c>
      <c r="X208" s="20">
        <f>Operations!X204*Inputs!$F$201/1000</f>
        <v/>
      </c>
      <c r="Y208" s="20">
        <f>Operations!Y204*Inputs!$F$201/1000</f>
        <v/>
      </c>
      <c r="Z208" s="20">
        <f>Operations!Z204*Inputs!$F$201/1000</f>
        <v/>
      </c>
      <c r="AA208" s="20">
        <f>Operations!AA204*Inputs!$F$201/1000</f>
        <v/>
      </c>
      <c r="AB208" s="20">
        <f>Operations!AB204*Inputs!$F$201/1000</f>
        <v/>
      </c>
      <c r="AC208" s="20">
        <f>Operations!AC204*Inputs!$F$201/1000</f>
        <v/>
      </c>
      <c r="AD208" s="20">
        <f>Operations!AD204*Inputs!$F$201/1000</f>
        <v/>
      </c>
      <c r="AE208" s="20">
        <f>Operations!AE204*Inputs!$F$201/1000</f>
        <v/>
      </c>
      <c r="AF208" s="20">
        <f>Operations!AF204*Inputs!$F$201/1000</f>
        <v/>
      </c>
      <c r="AG208" s="20">
        <f>Operations!AG204*Inputs!$F$201/1000</f>
        <v/>
      </c>
      <c r="AH208" s="20">
        <f>Operations!AH204*Inputs!$F$201/1000</f>
        <v/>
      </c>
      <c r="AI208" s="20">
        <f>Operations!AI204*Inputs!$F$201/1000</f>
        <v/>
      </c>
      <c r="AJ208" s="20">
        <f>Operations!AJ204*Inputs!$F$201/1000</f>
        <v/>
      </c>
      <c r="AK208" s="20">
        <f>Operations!AK204*Inputs!$F$201/1000</f>
        <v/>
      </c>
      <c r="AL208" s="20">
        <f>Operations!AL204*Inputs!$F$201/1000</f>
        <v/>
      </c>
      <c r="AM208" s="20">
        <f>Operations!AM204*Inputs!$F$201/1000</f>
        <v/>
      </c>
      <c r="AN208" s="20">
        <f>Operations!AN204*Inputs!$F$201/1000</f>
        <v/>
      </c>
      <c r="AO208" s="20">
        <f>Operations!AO204*Inputs!$F$201/1000</f>
        <v/>
      </c>
      <c r="AP208" s="20">
        <f>Operations!AP204*Inputs!$F$201/1000</f>
        <v/>
      </c>
      <c r="AQ208" s="20">
        <f>Operations!AQ204*Inputs!$F$201/1000</f>
        <v/>
      </c>
      <c r="AR208" s="20">
        <f>Operations!AR204*Inputs!$F$201/1000</f>
        <v/>
      </c>
      <c r="AS208" s="20">
        <f>Operations!AS204*Inputs!$F$201/1000</f>
        <v/>
      </c>
      <c r="AT208" s="20">
        <f>Operations!AT204*Inputs!$F$201/1000</f>
        <v/>
      </c>
      <c r="AU208" s="20">
        <f>Operations!AU204*Inputs!$F$201/1000</f>
        <v/>
      </c>
    </row>
    <row r="209">
      <c r="D209" t="inlineStr">
        <is>
          <t>R4 market revenue at node</t>
        </is>
      </c>
      <c r="E209" t="inlineStr">
        <is>
          <t>USD m</t>
        </is>
      </c>
      <c r="G209" s="20">
        <f>SUM(J209:AU209)</f>
        <v/>
      </c>
      <c r="J209" s="20">
        <f>Operations!J206*Operations!J202/1000</f>
        <v/>
      </c>
      <c r="K209" s="20">
        <f>Operations!K206*Operations!K202/1000</f>
        <v/>
      </c>
      <c r="L209" s="20">
        <f>Operations!L206*Operations!L202/1000</f>
        <v/>
      </c>
      <c r="M209" s="20">
        <f>Operations!M206*Operations!M202/1000</f>
        <v/>
      </c>
      <c r="N209" s="20">
        <f>Operations!N206*Operations!N202/1000</f>
        <v/>
      </c>
      <c r="O209" s="20">
        <f>Operations!O206*Operations!O202/1000</f>
        <v/>
      </c>
      <c r="P209" s="20">
        <f>Operations!P206*Operations!P202/1000</f>
        <v/>
      </c>
      <c r="Q209" s="20">
        <f>Operations!Q206*Operations!Q202/1000</f>
        <v/>
      </c>
      <c r="R209" s="20">
        <f>Operations!R206*Operations!R202/1000</f>
        <v/>
      </c>
      <c r="S209" s="20">
        <f>Operations!S206*Operations!S202/1000</f>
        <v/>
      </c>
      <c r="T209" s="20">
        <f>Operations!T206*Operations!T202/1000</f>
        <v/>
      </c>
      <c r="U209" s="20">
        <f>Operations!U206*Operations!U202/1000</f>
        <v/>
      </c>
      <c r="V209" s="20">
        <f>Operations!V206*Operations!V202/1000</f>
        <v/>
      </c>
      <c r="W209" s="20">
        <f>Operations!W206*Operations!W202/1000</f>
        <v/>
      </c>
      <c r="X209" s="20">
        <f>Operations!X206*Operations!X202/1000</f>
        <v/>
      </c>
      <c r="Y209" s="20">
        <f>Operations!Y206*Operations!Y202/1000</f>
        <v/>
      </c>
      <c r="Z209" s="20">
        <f>Operations!Z206*Operations!Z202/1000</f>
        <v/>
      </c>
      <c r="AA209" s="20">
        <f>Operations!AA206*Operations!AA202/1000</f>
        <v/>
      </c>
      <c r="AB209" s="20">
        <f>Operations!AB206*Operations!AB202/1000</f>
        <v/>
      </c>
      <c r="AC209" s="20">
        <f>Operations!AC206*Operations!AC202/1000</f>
        <v/>
      </c>
      <c r="AD209" s="20">
        <f>Operations!AD206*Operations!AD202/1000</f>
        <v/>
      </c>
      <c r="AE209" s="20">
        <f>Operations!AE206*Operations!AE202/1000</f>
        <v/>
      </c>
      <c r="AF209" s="20">
        <f>Operations!AF206*Operations!AF202/1000</f>
        <v/>
      </c>
      <c r="AG209" s="20">
        <f>Operations!AG206*Operations!AG202/1000</f>
        <v/>
      </c>
      <c r="AH209" s="20">
        <f>Operations!AH206*Operations!AH202/1000</f>
        <v/>
      </c>
      <c r="AI209" s="20">
        <f>Operations!AI206*Operations!AI202/1000</f>
        <v/>
      </c>
      <c r="AJ209" s="20">
        <f>Operations!AJ206*Operations!AJ202/1000</f>
        <v/>
      </c>
      <c r="AK209" s="20">
        <f>Operations!AK206*Operations!AK202/1000</f>
        <v/>
      </c>
      <c r="AL209" s="20">
        <f>Operations!AL206*Operations!AL202/1000</f>
        <v/>
      </c>
      <c r="AM209" s="20">
        <f>Operations!AM206*Operations!AM202/1000</f>
        <v/>
      </c>
      <c r="AN209" s="20">
        <f>Operations!AN206*Operations!AN202/1000</f>
        <v/>
      </c>
      <c r="AO209" s="20">
        <f>Operations!AO206*Operations!AO202/1000</f>
        <v/>
      </c>
      <c r="AP209" s="20">
        <f>Operations!AP206*Operations!AP202/1000</f>
        <v/>
      </c>
      <c r="AQ209" s="20">
        <f>Operations!AQ206*Operations!AQ202/1000</f>
        <v/>
      </c>
      <c r="AR209" s="20">
        <f>Operations!AR206*Operations!AR202/1000</f>
        <v/>
      </c>
      <c r="AS209" s="20">
        <f>Operations!AS206*Operations!AS202/1000</f>
        <v/>
      </c>
      <c r="AT209" s="20">
        <f>Operations!AT206*Operations!AT202/1000</f>
        <v/>
      </c>
      <c r="AU209" s="20">
        <f>Operations!AU206*Operations!AU202/1000</f>
        <v/>
      </c>
    </row>
    <row r="210">
      <c r="D210" t="inlineStr">
        <is>
          <t>R4 total revenue</t>
        </is>
      </c>
      <c r="E210" t="inlineStr">
        <is>
          <t>USD m</t>
        </is>
      </c>
      <c r="G210" s="20">
        <f>SUM(J210:AU210)</f>
        <v/>
      </c>
      <c r="J210" s="20">
        <f>Operations!J209+Operations!J205</f>
        <v/>
      </c>
      <c r="K210" s="20">
        <f>Operations!K209+Operations!K205</f>
        <v/>
      </c>
      <c r="L210" s="20">
        <f>Operations!L209+Operations!L205</f>
        <v/>
      </c>
      <c r="M210" s="20">
        <f>Operations!M209+Operations!M205</f>
        <v/>
      </c>
      <c r="N210" s="20">
        <f>Operations!N209+Operations!N205</f>
        <v/>
      </c>
      <c r="O210" s="20">
        <f>Operations!O209+Operations!O205</f>
        <v/>
      </c>
      <c r="P210" s="20">
        <f>Operations!P209+Operations!P205</f>
        <v/>
      </c>
      <c r="Q210" s="20">
        <f>Operations!Q209+Operations!Q205</f>
        <v/>
      </c>
      <c r="R210" s="20">
        <f>Operations!R209+Operations!R205</f>
        <v/>
      </c>
      <c r="S210" s="20">
        <f>Operations!S209+Operations!S205</f>
        <v/>
      </c>
      <c r="T210" s="20">
        <f>Operations!T209+Operations!T205</f>
        <v/>
      </c>
      <c r="U210" s="20">
        <f>Operations!U209+Operations!U205</f>
        <v/>
      </c>
      <c r="V210" s="20">
        <f>Operations!V209+Operations!V205</f>
        <v/>
      </c>
      <c r="W210" s="20">
        <f>Operations!W209+Operations!W205</f>
        <v/>
      </c>
      <c r="X210" s="20">
        <f>Operations!X209+Operations!X205</f>
        <v/>
      </c>
      <c r="Y210" s="20">
        <f>Operations!Y209+Operations!Y205</f>
        <v/>
      </c>
      <c r="Z210" s="20">
        <f>Operations!Z209+Operations!Z205</f>
        <v/>
      </c>
      <c r="AA210" s="20">
        <f>Operations!AA209+Operations!AA205</f>
        <v/>
      </c>
      <c r="AB210" s="20">
        <f>Operations!AB209+Operations!AB205</f>
        <v/>
      </c>
      <c r="AC210" s="20">
        <f>Operations!AC209+Operations!AC205</f>
        <v/>
      </c>
      <c r="AD210" s="20">
        <f>Operations!AD209+Operations!AD205</f>
        <v/>
      </c>
      <c r="AE210" s="20">
        <f>Operations!AE209+Operations!AE205</f>
        <v/>
      </c>
      <c r="AF210" s="20">
        <f>Operations!AF209+Operations!AF205</f>
        <v/>
      </c>
      <c r="AG210" s="20">
        <f>Operations!AG209+Operations!AG205</f>
        <v/>
      </c>
      <c r="AH210" s="20">
        <f>Operations!AH209+Operations!AH205</f>
        <v/>
      </c>
      <c r="AI210" s="20">
        <f>Operations!AI209+Operations!AI205</f>
        <v/>
      </c>
      <c r="AJ210" s="20">
        <f>Operations!AJ209+Operations!AJ205</f>
        <v/>
      </c>
      <c r="AK210" s="20">
        <f>Operations!AK209+Operations!AK205</f>
        <v/>
      </c>
      <c r="AL210" s="20">
        <f>Operations!AL209+Operations!AL205</f>
        <v/>
      </c>
      <c r="AM210" s="20">
        <f>Operations!AM209+Operations!AM205</f>
        <v/>
      </c>
      <c r="AN210" s="20">
        <f>Operations!AN209+Operations!AN205</f>
        <v/>
      </c>
      <c r="AO210" s="20">
        <f>Operations!AO209+Operations!AO205</f>
        <v/>
      </c>
      <c r="AP210" s="20">
        <f>Operations!AP209+Operations!AP205</f>
        <v/>
      </c>
      <c r="AQ210" s="20">
        <f>Operations!AQ209+Operations!AQ205</f>
        <v/>
      </c>
      <c r="AR210" s="20">
        <f>Operations!AR209+Operations!AR205</f>
        <v/>
      </c>
      <c r="AS210" s="20">
        <f>Operations!AS209+Operations!AS205</f>
        <v/>
      </c>
      <c r="AT210" s="20">
        <f>Operations!AT209+Operations!AT205</f>
        <v/>
      </c>
      <c r="AU210" s="20">
        <f>Operations!AU209+Operations!AU205</f>
        <v/>
      </c>
    </row>
    <row r="211">
      <c r="D211" t="inlineStr">
        <is>
          <t>R4 merchant revenue (total less contracted and hedged)</t>
        </is>
      </c>
      <c r="E211" t="inlineStr">
        <is>
          <t>USD m</t>
        </is>
      </c>
      <c r="J211" s="20">
        <f>Operations!J210-Operations!J207-Operations!J208</f>
        <v/>
      </c>
      <c r="K211" s="20">
        <f>Operations!K210-Operations!K207-Operations!K208</f>
        <v/>
      </c>
      <c r="L211" s="20">
        <f>Operations!L210-Operations!L207-Operations!L208</f>
        <v/>
      </c>
      <c r="M211" s="20">
        <f>Operations!M210-Operations!M207-Operations!M208</f>
        <v/>
      </c>
      <c r="N211" s="20">
        <f>Operations!N210-Operations!N207-Operations!N208</f>
        <v/>
      </c>
      <c r="O211" s="20">
        <f>Operations!O210-Operations!O207-Operations!O208</f>
        <v/>
      </c>
      <c r="P211" s="20">
        <f>Operations!P210-Operations!P207-Operations!P208</f>
        <v/>
      </c>
      <c r="Q211" s="20">
        <f>Operations!Q210-Operations!Q207-Operations!Q208</f>
        <v/>
      </c>
      <c r="R211" s="20">
        <f>Operations!R210-Operations!R207-Operations!R208</f>
        <v/>
      </c>
      <c r="S211" s="20">
        <f>Operations!S210-Operations!S207-Operations!S208</f>
        <v/>
      </c>
      <c r="T211" s="20">
        <f>Operations!T210-Operations!T207-Operations!T208</f>
        <v/>
      </c>
      <c r="U211" s="20">
        <f>Operations!U210-Operations!U207-Operations!U208</f>
        <v/>
      </c>
      <c r="V211" s="20">
        <f>Operations!V210-Operations!V207-Operations!V208</f>
        <v/>
      </c>
      <c r="W211" s="20">
        <f>Operations!W210-Operations!W207-Operations!W208</f>
        <v/>
      </c>
      <c r="X211" s="20">
        <f>Operations!X210-Operations!X207-Operations!X208</f>
        <v/>
      </c>
      <c r="Y211" s="20">
        <f>Operations!Y210-Operations!Y207-Operations!Y208</f>
        <v/>
      </c>
      <c r="Z211" s="20">
        <f>Operations!Z210-Operations!Z207-Operations!Z208</f>
        <v/>
      </c>
      <c r="AA211" s="20">
        <f>Operations!AA210-Operations!AA207-Operations!AA208</f>
        <v/>
      </c>
      <c r="AB211" s="20">
        <f>Operations!AB210-Operations!AB207-Operations!AB208</f>
        <v/>
      </c>
      <c r="AC211" s="20">
        <f>Operations!AC210-Operations!AC207-Operations!AC208</f>
        <v/>
      </c>
      <c r="AD211" s="20">
        <f>Operations!AD210-Operations!AD207-Operations!AD208</f>
        <v/>
      </c>
      <c r="AE211" s="20">
        <f>Operations!AE210-Operations!AE207-Operations!AE208</f>
        <v/>
      </c>
      <c r="AF211" s="20">
        <f>Operations!AF210-Operations!AF207-Operations!AF208</f>
        <v/>
      </c>
      <c r="AG211" s="20">
        <f>Operations!AG210-Operations!AG207-Operations!AG208</f>
        <v/>
      </c>
      <c r="AH211" s="20">
        <f>Operations!AH210-Operations!AH207-Operations!AH208</f>
        <v/>
      </c>
      <c r="AI211" s="20">
        <f>Operations!AI210-Operations!AI207-Operations!AI208</f>
        <v/>
      </c>
      <c r="AJ211" s="20">
        <f>Operations!AJ210-Operations!AJ207-Operations!AJ208</f>
        <v/>
      </c>
      <c r="AK211" s="20">
        <f>Operations!AK210-Operations!AK207-Operations!AK208</f>
        <v/>
      </c>
      <c r="AL211" s="20">
        <f>Operations!AL210-Operations!AL207-Operations!AL208</f>
        <v/>
      </c>
      <c r="AM211" s="20">
        <f>Operations!AM210-Operations!AM207-Operations!AM208</f>
        <v/>
      </c>
      <c r="AN211" s="20">
        <f>Operations!AN210-Operations!AN207-Operations!AN208</f>
        <v/>
      </c>
      <c r="AO211" s="20">
        <f>Operations!AO210-Operations!AO207-Operations!AO208</f>
        <v/>
      </c>
      <c r="AP211" s="20">
        <f>Operations!AP210-Operations!AP207-Operations!AP208</f>
        <v/>
      </c>
      <c r="AQ211" s="20">
        <f>Operations!AQ210-Operations!AQ207-Operations!AQ208</f>
        <v/>
      </c>
      <c r="AR211" s="20">
        <f>Operations!AR210-Operations!AR207-Operations!AR208</f>
        <v/>
      </c>
      <c r="AS211" s="20">
        <f>Operations!AS210-Operations!AS207-Operations!AS208</f>
        <v/>
      </c>
      <c r="AT211" s="20">
        <f>Operations!AT210-Operations!AT207-Operations!AT208</f>
        <v/>
      </c>
      <c r="AU211" s="20">
        <f>Operations!AU210-Operations!AU207-Operations!AU208</f>
        <v/>
      </c>
    </row>
    <row r="212">
      <c r="D212" t="inlineStr">
        <is>
          <t>R4 opex (O&amp;M, land, insurance, property tax, site)</t>
        </is>
      </c>
      <c r="E212" t="inlineStr">
        <is>
          <t>USD m</t>
        </is>
      </c>
      <c r="J212" s="20">
        <f>Inputs!$F$125*Inputs!$F$121/1000*Time!J$9*Time!J$10*Operations!J191*Operations!$F$50</f>
        <v/>
      </c>
      <c r="K212" s="20">
        <f>Inputs!$F$125*Inputs!$F$121/1000*Time!K$9*Time!K$10*Operations!K191*Operations!$F$50</f>
        <v/>
      </c>
      <c r="L212" s="20">
        <f>Inputs!$F$125*Inputs!$F$121/1000*Time!L$9*Time!L$10*Operations!L191*Operations!$F$50</f>
        <v/>
      </c>
      <c r="M212" s="20">
        <f>Inputs!$F$125*Inputs!$F$121/1000*Time!M$9*Time!M$10*Operations!M191*Operations!$F$50</f>
        <v/>
      </c>
      <c r="N212" s="20">
        <f>Inputs!$F$125*Inputs!$F$121/1000*Time!N$9*Time!N$10*Operations!N191*Operations!$F$50</f>
        <v/>
      </c>
      <c r="O212" s="20">
        <f>Inputs!$F$125*Inputs!$F$121/1000*Time!O$9*Time!O$10*Operations!O191*Operations!$F$50</f>
        <v/>
      </c>
      <c r="P212" s="20">
        <f>Inputs!$F$125*Inputs!$F$121/1000*Time!P$9*Time!P$10*Operations!P191*Operations!$F$50</f>
        <v/>
      </c>
      <c r="Q212" s="20">
        <f>Inputs!$F$125*Inputs!$F$121/1000*Time!Q$9*Time!Q$10*Operations!Q191*Operations!$F$50</f>
        <v/>
      </c>
      <c r="R212" s="20">
        <f>Inputs!$F$125*Inputs!$F$121/1000*Time!R$9*Time!R$10*Operations!R191*Operations!$F$50</f>
        <v/>
      </c>
      <c r="S212" s="20">
        <f>Inputs!$F$125*Inputs!$F$121/1000*Time!S$9*Time!S$10*Operations!S191*Operations!$F$50</f>
        <v/>
      </c>
      <c r="T212" s="20">
        <f>Inputs!$F$125*Inputs!$F$121/1000*Time!T$9*Time!T$10*Operations!T191*Operations!$F$50</f>
        <v/>
      </c>
      <c r="U212" s="20">
        <f>Inputs!$F$125*Inputs!$F$121/1000*Time!U$9*Time!U$10*Operations!U191*Operations!$F$50</f>
        <v/>
      </c>
      <c r="V212" s="20">
        <f>Inputs!$F$125*Inputs!$F$121/1000*Time!V$9*Time!V$10*Operations!V191*Operations!$F$50</f>
        <v/>
      </c>
      <c r="W212" s="20">
        <f>Inputs!$F$125*Inputs!$F$121/1000*Time!W$9*Time!W$10*Operations!W191*Operations!$F$50</f>
        <v/>
      </c>
      <c r="X212" s="20">
        <f>Inputs!$F$125*Inputs!$F$121/1000*Time!X$9*Time!X$10*Operations!X191*Operations!$F$50</f>
        <v/>
      </c>
      <c r="Y212" s="20">
        <f>Inputs!$F$125*Inputs!$F$121/1000*Time!Y$9*Time!Y$10*Operations!Y191*Operations!$F$50</f>
        <v/>
      </c>
      <c r="Z212" s="20">
        <f>Inputs!$F$125*Inputs!$F$121/1000*Time!Z$9*Time!Z$10*Operations!Z191*Operations!$F$50</f>
        <v/>
      </c>
      <c r="AA212" s="20">
        <f>Inputs!$F$125*Inputs!$F$121/1000*Time!AA$9*Time!AA$10*Operations!AA191*Operations!$F$50</f>
        <v/>
      </c>
      <c r="AB212" s="20">
        <f>Inputs!$F$125*Inputs!$F$121/1000*Time!AB$9*Time!AB$10*Operations!AB191*Operations!$F$50</f>
        <v/>
      </c>
      <c r="AC212" s="20">
        <f>Inputs!$F$125*Inputs!$F$121/1000*Time!AC$9*Time!AC$10*Operations!AC191*Operations!$F$50</f>
        <v/>
      </c>
      <c r="AD212" s="20">
        <f>Inputs!$F$125*Inputs!$F$121/1000*Time!AD$9*Time!AD$10*Operations!AD191*Operations!$F$50</f>
        <v/>
      </c>
      <c r="AE212" s="20">
        <f>Inputs!$F$125*Inputs!$F$121/1000*Time!AE$9*Time!AE$10*Operations!AE191*Operations!$F$50</f>
        <v/>
      </c>
      <c r="AF212" s="20">
        <f>Inputs!$F$125*Inputs!$F$121/1000*Time!AF$9*Time!AF$10*Operations!AF191*Operations!$F$50</f>
        <v/>
      </c>
      <c r="AG212" s="20">
        <f>Inputs!$F$125*Inputs!$F$121/1000*Time!AG$9*Time!AG$10*Operations!AG191*Operations!$F$50</f>
        <v/>
      </c>
      <c r="AH212" s="20">
        <f>Inputs!$F$125*Inputs!$F$121/1000*Time!AH$9*Time!AH$10*Operations!AH191*Operations!$F$50</f>
        <v/>
      </c>
      <c r="AI212" s="20">
        <f>Inputs!$F$125*Inputs!$F$121/1000*Time!AI$9*Time!AI$10*Operations!AI191*Operations!$F$50</f>
        <v/>
      </c>
      <c r="AJ212" s="20">
        <f>Inputs!$F$125*Inputs!$F$121/1000*Time!AJ$9*Time!AJ$10*Operations!AJ191*Operations!$F$50</f>
        <v/>
      </c>
      <c r="AK212" s="20">
        <f>Inputs!$F$125*Inputs!$F$121/1000*Time!AK$9*Time!AK$10*Operations!AK191*Operations!$F$50</f>
        <v/>
      </c>
      <c r="AL212" s="20">
        <f>Inputs!$F$125*Inputs!$F$121/1000*Time!AL$9*Time!AL$10*Operations!AL191*Operations!$F$50</f>
        <v/>
      </c>
      <c r="AM212" s="20">
        <f>Inputs!$F$125*Inputs!$F$121/1000*Time!AM$9*Time!AM$10*Operations!AM191*Operations!$F$50</f>
        <v/>
      </c>
      <c r="AN212" s="20">
        <f>Inputs!$F$125*Inputs!$F$121/1000*Time!AN$9*Time!AN$10*Operations!AN191*Operations!$F$50</f>
        <v/>
      </c>
      <c r="AO212" s="20">
        <f>Inputs!$F$125*Inputs!$F$121/1000*Time!AO$9*Time!AO$10*Operations!AO191*Operations!$F$50</f>
        <v/>
      </c>
      <c r="AP212" s="20">
        <f>Inputs!$F$125*Inputs!$F$121/1000*Time!AP$9*Time!AP$10*Operations!AP191*Operations!$F$50</f>
        <v/>
      </c>
      <c r="AQ212" s="20">
        <f>Inputs!$F$125*Inputs!$F$121/1000*Time!AQ$9*Time!AQ$10*Operations!AQ191*Operations!$F$50</f>
        <v/>
      </c>
      <c r="AR212" s="20">
        <f>Inputs!$F$125*Inputs!$F$121/1000*Time!AR$9*Time!AR$10*Operations!AR191*Operations!$F$50</f>
        <v/>
      </c>
      <c r="AS212" s="20">
        <f>Inputs!$F$125*Inputs!$F$121/1000*Time!AS$9*Time!AS$10*Operations!AS191*Operations!$F$50</f>
        <v/>
      </c>
      <c r="AT212" s="20">
        <f>Inputs!$F$125*Inputs!$F$121/1000*Time!AT$9*Time!AT$10*Operations!AT191*Operations!$F$50</f>
        <v/>
      </c>
      <c r="AU212" s="20">
        <f>Inputs!$F$125*Inputs!$F$121/1000*Time!AU$9*Time!AU$10*Operations!AU191*Operations!$F$50</f>
        <v/>
      </c>
    </row>
    <row r="213">
      <c r="D213" t="inlineStr">
        <is>
          <t>R4 land lease (in opex)</t>
        </is>
      </c>
      <c r="E213" t="inlineStr">
        <is>
          <t>USD m</t>
        </is>
      </c>
      <c r="J213" s="20">
        <f>0</f>
        <v/>
      </c>
      <c r="K213" s="20">
        <f>0</f>
        <v/>
      </c>
      <c r="L213" s="20">
        <f>0</f>
        <v/>
      </c>
      <c r="M213" s="20">
        <f>0</f>
        <v/>
      </c>
      <c r="N213" s="20">
        <f>0</f>
        <v/>
      </c>
      <c r="O213" s="20">
        <f>0</f>
        <v/>
      </c>
      <c r="P213" s="20">
        <f>0</f>
        <v/>
      </c>
      <c r="Q213" s="20">
        <f>0</f>
        <v/>
      </c>
      <c r="R213" s="20">
        <f>0</f>
        <v/>
      </c>
      <c r="S213" s="20">
        <f>0</f>
        <v/>
      </c>
      <c r="T213" s="20">
        <f>0</f>
        <v/>
      </c>
      <c r="U213" s="20">
        <f>0</f>
        <v/>
      </c>
      <c r="V213" s="20">
        <f>0</f>
        <v/>
      </c>
      <c r="W213" s="20">
        <f>0</f>
        <v/>
      </c>
      <c r="X213" s="20">
        <f>0</f>
        <v/>
      </c>
      <c r="Y213" s="20">
        <f>0</f>
        <v/>
      </c>
      <c r="Z213" s="20">
        <f>0</f>
        <v/>
      </c>
      <c r="AA213" s="20">
        <f>0</f>
        <v/>
      </c>
      <c r="AB213" s="20">
        <f>0</f>
        <v/>
      </c>
      <c r="AC213" s="20">
        <f>0</f>
        <v/>
      </c>
      <c r="AD213" s="20">
        <f>0</f>
        <v/>
      </c>
      <c r="AE213" s="20">
        <f>0</f>
        <v/>
      </c>
      <c r="AF213" s="20">
        <f>0</f>
        <v/>
      </c>
      <c r="AG213" s="20">
        <f>0</f>
        <v/>
      </c>
      <c r="AH213" s="20">
        <f>0</f>
        <v/>
      </c>
      <c r="AI213" s="20">
        <f>0</f>
        <v/>
      </c>
      <c r="AJ213" s="20">
        <f>0</f>
        <v/>
      </c>
      <c r="AK213" s="20">
        <f>0</f>
        <v/>
      </c>
      <c r="AL213" s="20">
        <f>0</f>
        <v/>
      </c>
      <c r="AM213" s="20">
        <f>0</f>
        <v/>
      </c>
      <c r="AN213" s="20">
        <f>0</f>
        <v/>
      </c>
      <c r="AO213" s="20">
        <f>0</f>
        <v/>
      </c>
      <c r="AP213" s="20">
        <f>0</f>
        <v/>
      </c>
      <c r="AQ213" s="20">
        <f>0</f>
        <v/>
      </c>
      <c r="AR213" s="20">
        <f>0</f>
        <v/>
      </c>
      <c r="AS213" s="20">
        <f>0</f>
        <v/>
      </c>
      <c r="AT213" s="20">
        <f>0</f>
        <v/>
      </c>
      <c r="AU213" s="20">
        <f>0</f>
        <v/>
      </c>
    </row>
    <row r="214">
      <c r="D214" t="inlineStr">
        <is>
          <t>R4 decommissioning surety cost</t>
        </is>
      </c>
      <c r="E214" t="inlineStr">
        <is>
          <t>USD m</t>
        </is>
      </c>
      <c r="J214" s="20">
        <f>Inputs!$F$236/100*Inputs!$F$126*Inputs!$F$121/1000*Time!J$9*Operations!J191</f>
        <v/>
      </c>
      <c r="K214" s="20">
        <f>Inputs!$F$236/100*Inputs!$F$126*Inputs!$F$121/1000*Time!K$9*Operations!K191</f>
        <v/>
      </c>
      <c r="L214" s="20">
        <f>Inputs!$F$236/100*Inputs!$F$126*Inputs!$F$121/1000*Time!L$9*Operations!L191</f>
        <v/>
      </c>
      <c r="M214" s="20">
        <f>Inputs!$F$236/100*Inputs!$F$126*Inputs!$F$121/1000*Time!M$9*Operations!M191</f>
        <v/>
      </c>
      <c r="N214" s="20">
        <f>Inputs!$F$236/100*Inputs!$F$126*Inputs!$F$121/1000*Time!N$9*Operations!N191</f>
        <v/>
      </c>
      <c r="O214" s="20">
        <f>Inputs!$F$236/100*Inputs!$F$126*Inputs!$F$121/1000*Time!O$9*Operations!O191</f>
        <v/>
      </c>
      <c r="P214" s="20">
        <f>Inputs!$F$236/100*Inputs!$F$126*Inputs!$F$121/1000*Time!P$9*Operations!P191</f>
        <v/>
      </c>
      <c r="Q214" s="20">
        <f>Inputs!$F$236/100*Inputs!$F$126*Inputs!$F$121/1000*Time!Q$9*Operations!Q191</f>
        <v/>
      </c>
      <c r="R214" s="20">
        <f>Inputs!$F$236/100*Inputs!$F$126*Inputs!$F$121/1000*Time!R$9*Operations!R191</f>
        <v/>
      </c>
      <c r="S214" s="20">
        <f>Inputs!$F$236/100*Inputs!$F$126*Inputs!$F$121/1000*Time!S$9*Operations!S191</f>
        <v/>
      </c>
      <c r="T214" s="20">
        <f>Inputs!$F$236/100*Inputs!$F$126*Inputs!$F$121/1000*Time!T$9*Operations!T191</f>
        <v/>
      </c>
      <c r="U214" s="20">
        <f>Inputs!$F$236/100*Inputs!$F$126*Inputs!$F$121/1000*Time!U$9*Operations!U191</f>
        <v/>
      </c>
      <c r="V214" s="20">
        <f>Inputs!$F$236/100*Inputs!$F$126*Inputs!$F$121/1000*Time!V$9*Operations!V191</f>
        <v/>
      </c>
      <c r="W214" s="20">
        <f>Inputs!$F$236/100*Inputs!$F$126*Inputs!$F$121/1000*Time!W$9*Operations!W191</f>
        <v/>
      </c>
      <c r="X214" s="20">
        <f>Inputs!$F$236/100*Inputs!$F$126*Inputs!$F$121/1000*Time!X$9*Operations!X191</f>
        <v/>
      </c>
      <c r="Y214" s="20">
        <f>Inputs!$F$236/100*Inputs!$F$126*Inputs!$F$121/1000*Time!Y$9*Operations!Y191</f>
        <v/>
      </c>
      <c r="Z214" s="20">
        <f>Inputs!$F$236/100*Inputs!$F$126*Inputs!$F$121/1000*Time!Z$9*Operations!Z191</f>
        <v/>
      </c>
      <c r="AA214" s="20">
        <f>Inputs!$F$236/100*Inputs!$F$126*Inputs!$F$121/1000*Time!AA$9*Operations!AA191</f>
        <v/>
      </c>
      <c r="AB214" s="20">
        <f>Inputs!$F$236/100*Inputs!$F$126*Inputs!$F$121/1000*Time!AB$9*Operations!AB191</f>
        <v/>
      </c>
      <c r="AC214" s="20">
        <f>Inputs!$F$236/100*Inputs!$F$126*Inputs!$F$121/1000*Time!AC$9*Operations!AC191</f>
        <v/>
      </c>
      <c r="AD214" s="20">
        <f>Inputs!$F$236/100*Inputs!$F$126*Inputs!$F$121/1000*Time!AD$9*Operations!AD191</f>
        <v/>
      </c>
      <c r="AE214" s="20">
        <f>Inputs!$F$236/100*Inputs!$F$126*Inputs!$F$121/1000*Time!AE$9*Operations!AE191</f>
        <v/>
      </c>
      <c r="AF214" s="20">
        <f>Inputs!$F$236/100*Inputs!$F$126*Inputs!$F$121/1000*Time!AF$9*Operations!AF191</f>
        <v/>
      </c>
      <c r="AG214" s="20">
        <f>Inputs!$F$236/100*Inputs!$F$126*Inputs!$F$121/1000*Time!AG$9*Operations!AG191</f>
        <v/>
      </c>
      <c r="AH214" s="20">
        <f>Inputs!$F$236/100*Inputs!$F$126*Inputs!$F$121/1000*Time!AH$9*Operations!AH191</f>
        <v/>
      </c>
      <c r="AI214" s="20">
        <f>Inputs!$F$236/100*Inputs!$F$126*Inputs!$F$121/1000*Time!AI$9*Operations!AI191</f>
        <v/>
      </c>
      <c r="AJ214" s="20">
        <f>Inputs!$F$236/100*Inputs!$F$126*Inputs!$F$121/1000*Time!AJ$9*Operations!AJ191</f>
        <v/>
      </c>
      <c r="AK214" s="20">
        <f>Inputs!$F$236/100*Inputs!$F$126*Inputs!$F$121/1000*Time!AK$9*Operations!AK191</f>
        <v/>
      </c>
      <c r="AL214" s="20">
        <f>Inputs!$F$236/100*Inputs!$F$126*Inputs!$F$121/1000*Time!AL$9*Operations!AL191</f>
        <v/>
      </c>
      <c r="AM214" s="20">
        <f>Inputs!$F$236/100*Inputs!$F$126*Inputs!$F$121/1000*Time!AM$9*Operations!AM191</f>
        <v/>
      </c>
      <c r="AN214" s="20">
        <f>Inputs!$F$236/100*Inputs!$F$126*Inputs!$F$121/1000*Time!AN$9*Operations!AN191</f>
        <v/>
      </c>
      <c r="AO214" s="20">
        <f>Inputs!$F$236/100*Inputs!$F$126*Inputs!$F$121/1000*Time!AO$9*Operations!AO191</f>
        <v/>
      </c>
      <c r="AP214" s="20">
        <f>Inputs!$F$236/100*Inputs!$F$126*Inputs!$F$121/1000*Time!AP$9*Operations!AP191</f>
        <v/>
      </c>
      <c r="AQ214" s="20">
        <f>Inputs!$F$236/100*Inputs!$F$126*Inputs!$F$121/1000*Time!AQ$9*Operations!AQ191</f>
        <v/>
      </c>
      <c r="AR214" s="20">
        <f>Inputs!$F$236/100*Inputs!$F$126*Inputs!$F$121/1000*Time!AR$9*Operations!AR191</f>
        <v/>
      </c>
      <c r="AS214" s="20">
        <f>Inputs!$F$236/100*Inputs!$F$126*Inputs!$F$121/1000*Time!AS$9*Operations!AS191</f>
        <v/>
      </c>
      <c r="AT214" s="20">
        <f>Inputs!$F$236/100*Inputs!$F$126*Inputs!$F$121/1000*Time!AT$9*Operations!AT191</f>
        <v/>
      </c>
      <c r="AU214" s="20">
        <f>Inputs!$F$236/100*Inputs!$F$126*Inputs!$F$121/1000*Time!AU$9*Operations!AU191</f>
        <v/>
      </c>
    </row>
    <row r="215">
      <c r="D215" t="inlineStr">
        <is>
          <t>R4 Texas margin tax</t>
        </is>
      </c>
      <c r="E215" t="inlineStr">
        <is>
          <t>USD m</t>
        </is>
      </c>
      <c r="J215" s="20">
        <f>Inputs!$F$237/100*Inputs!$F$238/100*Operations!J210</f>
        <v/>
      </c>
      <c r="K215" s="20">
        <f>Inputs!$F$237/100*Inputs!$F$238/100*Operations!K210</f>
        <v/>
      </c>
      <c r="L215" s="20">
        <f>Inputs!$F$237/100*Inputs!$F$238/100*Operations!L210</f>
        <v/>
      </c>
      <c r="M215" s="20">
        <f>Inputs!$F$237/100*Inputs!$F$238/100*Operations!M210</f>
        <v/>
      </c>
      <c r="N215" s="20">
        <f>Inputs!$F$237/100*Inputs!$F$238/100*Operations!N210</f>
        <v/>
      </c>
      <c r="O215" s="20">
        <f>Inputs!$F$237/100*Inputs!$F$238/100*Operations!O210</f>
        <v/>
      </c>
      <c r="P215" s="20">
        <f>Inputs!$F$237/100*Inputs!$F$238/100*Operations!P210</f>
        <v/>
      </c>
      <c r="Q215" s="20">
        <f>Inputs!$F$237/100*Inputs!$F$238/100*Operations!Q210</f>
        <v/>
      </c>
      <c r="R215" s="20">
        <f>Inputs!$F$237/100*Inputs!$F$238/100*Operations!R210</f>
        <v/>
      </c>
      <c r="S215" s="20">
        <f>Inputs!$F$237/100*Inputs!$F$238/100*Operations!S210</f>
        <v/>
      </c>
      <c r="T215" s="20">
        <f>Inputs!$F$237/100*Inputs!$F$238/100*Operations!T210</f>
        <v/>
      </c>
      <c r="U215" s="20">
        <f>Inputs!$F$237/100*Inputs!$F$238/100*Operations!U210</f>
        <v/>
      </c>
      <c r="V215" s="20">
        <f>Inputs!$F$237/100*Inputs!$F$238/100*Operations!V210</f>
        <v/>
      </c>
      <c r="W215" s="20">
        <f>Inputs!$F$237/100*Inputs!$F$238/100*Operations!W210</f>
        <v/>
      </c>
      <c r="X215" s="20">
        <f>Inputs!$F$237/100*Inputs!$F$238/100*Operations!X210</f>
        <v/>
      </c>
      <c r="Y215" s="20">
        <f>Inputs!$F$237/100*Inputs!$F$238/100*Operations!Y210</f>
        <v/>
      </c>
      <c r="Z215" s="20">
        <f>Inputs!$F$237/100*Inputs!$F$238/100*Operations!Z210</f>
        <v/>
      </c>
      <c r="AA215" s="20">
        <f>Inputs!$F$237/100*Inputs!$F$238/100*Operations!AA210</f>
        <v/>
      </c>
      <c r="AB215" s="20">
        <f>Inputs!$F$237/100*Inputs!$F$238/100*Operations!AB210</f>
        <v/>
      </c>
      <c r="AC215" s="20">
        <f>Inputs!$F$237/100*Inputs!$F$238/100*Operations!AC210</f>
        <v/>
      </c>
      <c r="AD215" s="20">
        <f>Inputs!$F$237/100*Inputs!$F$238/100*Operations!AD210</f>
        <v/>
      </c>
      <c r="AE215" s="20">
        <f>Inputs!$F$237/100*Inputs!$F$238/100*Operations!AE210</f>
        <v/>
      </c>
      <c r="AF215" s="20">
        <f>Inputs!$F$237/100*Inputs!$F$238/100*Operations!AF210</f>
        <v/>
      </c>
      <c r="AG215" s="20">
        <f>Inputs!$F$237/100*Inputs!$F$238/100*Operations!AG210</f>
        <v/>
      </c>
      <c r="AH215" s="20">
        <f>Inputs!$F$237/100*Inputs!$F$238/100*Operations!AH210</f>
        <v/>
      </c>
      <c r="AI215" s="20">
        <f>Inputs!$F$237/100*Inputs!$F$238/100*Operations!AI210</f>
        <v/>
      </c>
      <c r="AJ215" s="20">
        <f>Inputs!$F$237/100*Inputs!$F$238/100*Operations!AJ210</f>
        <v/>
      </c>
      <c r="AK215" s="20">
        <f>Inputs!$F$237/100*Inputs!$F$238/100*Operations!AK210</f>
        <v/>
      </c>
      <c r="AL215" s="20">
        <f>Inputs!$F$237/100*Inputs!$F$238/100*Operations!AL210</f>
        <v/>
      </c>
      <c r="AM215" s="20">
        <f>Inputs!$F$237/100*Inputs!$F$238/100*Operations!AM210</f>
        <v/>
      </c>
      <c r="AN215" s="20">
        <f>Inputs!$F$237/100*Inputs!$F$238/100*Operations!AN210</f>
        <v/>
      </c>
      <c r="AO215" s="20">
        <f>Inputs!$F$237/100*Inputs!$F$238/100*Operations!AO210</f>
        <v/>
      </c>
      <c r="AP215" s="20">
        <f>Inputs!$F$237/100*Inputs!$F$238/100*Operations!AP210</f>
        <v/>
      </c>
      <c r="AQ215" s="20">
        <f>Inputs!$F$237/100*Inputs!$F$238/100*Operations!AQ210</f>
        <v/>
      </c>
      <c r="AR215" s="20">
        <f>Inputs!$F$237/100*Inputs!$F$238/100*Operations!AR210</f>
        <v/>
      </c>
      <c r="AS215" s="20">
        <f>Inputs!$F$237/100*Inputs!$F$238/100*Operations!AS210</f>
        <v/>
      </c>
      <c r="AT215" s="20">
        <f>Inputs!$F$237/100*Inputs!$F$238/100*Operations!AT210</f>
        <v/>
      </c>
      <c r="AU215" s="20">
        <f>Inputs!$F$237/100*Inputs!$F$238/100*Operations!AU210</f>
        <v/>
      </c>
    </row>
    <row r="216">
      <c r="D216" t="inlineStr">
        <is>
          <t>R4 EBITDA</t>
        </is>
      </c>
      <c r="E216" t="inlineStr">
        <is>
          <t>USD m</t>
        </is>
      </c>
      <c r="G216" s="20">
        <f>SUM(J216:AU216)</f>
        <v/>
      </c>
      <c r="J216" s="20">
        <f>Operations!J210-Operations!J212-Operations!J213-Operations!J214-Operations!J215</f>
        <v/>
      </c>
      <c r="K216" s="20">
        <f>Operations!K210-Operations!K212-Operations!K213-Operations!K214-Operations!K215</f>
        <v/>
      </c>
      <c r="L216" s="20">
        <f>Operations!L210-Operations!L212-Operations!L213-Operations!L214-Operations!L215</f>
        <v/>
      </c>
      <c r="M216" s="20">
        <f>Operations!M210-Operations!M212-Operations!M213-Operations!M214-Operations!M215</f>
        <v/>
      </c>
      <c r="N216" s="20">
        <f>Operations!N210-Operations!N212-Operations!N213-Operations!N214-Operations!N215</f>
        <v/>
      </c>
      <c r="O216" s="20">
        <f>Operations!O210-Operations!O212-Operations!O213-Operations!O214-Operations!O215</f>
        <v/>
      </c>
      <c r="P216" s="20">
        <f>Operations!P210-Operations!P212-Operations!P213-Operations!P214-Operations!P215</f>
        <v/>
      </c>
      <c r="Q216" s="20">
        <f>Operations!Q210-Operations!Q212-Operations!Q213-Operations!Q214-Operations!Q215</f>
        <v/>
      </c>
      <c r="R216" s="20">
        <f>Operations!R210-Operations!R212-Operations!R213-Operations!R214-Operations!R215</f>
        <v/>
      </c>
      <c r="S216" s="20">
        <f>Operations!S210-Operations!S212-Operations!S213-Operations!S214-Operations!S215</f>
        <v/>
      </c>
      <c r="T216" s="20">
        <f>Operations!T210-Operations!T212-Operations!T213-Operations!T214-Operations!T215</f>
        <v/>
      </c>
      <c r="U216" s="20">
        <f>Operations!U210-Operations!U212-Operations!U213-Operations!U214-Operations!U215</f>
        <v/>
      </c>
      <c r="V216" s="20">
        <f>Operations!V210-Operations!V212-Operations!V213-Operations!V214-Operations!V215</f>
        <v/>
      </c>
      <c r="W216" s="20">
        <f>Operations!W210-Operations!W212-Operations!W213-Operations!W214-Operations!W215</f>
        <v/>
      </c>
      <c r="X216" s="20">
        <f>Operations!X210-Operations!X212-Operations!X213-Operations!X214-Operations!X215</f>
        <v/>
      </c>
      <c r="Y216" s="20">
        <f>Operations!Y210-Operations!Y212-Operations!Y213-Operations!Y214-Operations!Y215</f>
        <v/>
      </c>
      <c r="Z216" s="20">
        <f>Operations!Z210-Operations!Z212-Operations!Z213-Operations!Z214-Operations!Z215</f>
        <v/>
      </c>
      <c r="AA216" s="20">
        <f>Operations!AA210-Operations!AA212-Operations!AA213-Operations!AA214-Operations!AA215</f>
        <v/>
      </c>
      <c r="AB216" s="20">
        <f>Operations!AB210-Operations!AB212-Operations!AB213-Operations!AB214-Operations!AB215</f>
        <v/>
      </c>
      <c r="AC216" s="20">
        <f>Operations!AC210-Operations!AC212-Operations!AC213-Operations!AC214-Operations!AC215</f>
        <v/>
      </c>
      <c r="AD216" s="20">
        <f>Operations!AD210-Operations!AD212-Operations!AD213-Operations!AD214-Operations!AD215</f>
        <v/>
      </c>
      <c r="AE216" s="20">
        <f>Operations!AE210-Operations!AE212-Operations!AE213-Operations!AE214-Operations!AE215</f>
        <v/>
      </c>
      <c r="AF216" s="20">
        <f>Operations!AF210-Operations!AF212-Operations!AF213-Operations!AF214-Operations!AF215</f>
        <v/>
      </c>
      <c r="AG216" s="20">
        <f>Operations!AG210-Operations!AG212-Operations!AG213-Operations!AG214-Operations!AG215</f>
        <v/>
      </c>
      <c r="AH216" s="20">
        <f>Operations!AH210-Operations!AH212-Operations!AH213-Operations!AH214-Operations!AH215</f>
        <v/>
      </c>
      <c r="AI216" s="20">
        <f>Operations!AI210-Operations!AI212-Operations!AI213-Operations!AI214-Operations!AI215</f>
        <v/>
      </c>
      <c r="AJ216" s="20">
        <f>Operations!AJ210-Operations!AJ212-Operations!AJ213-Operations!AJ214-Operations!AJ215</f>
        <v/>
      </c>
      <c r="AK216" s="20">
        <f>Operations!AK210-Operations!AK212-Operations!AK213-Operations!AK214-Operations!AK215</f>
        <v/>
      </c>
      <c r="AL216" s="20">
        <f>Operations!AL210-Operations!AL212-Operations!AL213-Operations!AL214-Operations!AL215</f>
        <v/>
      </c>
      <c r="AM216" s="20">
        <f>Operations!AM210-Operations!AM212-Operations!AM213-Operations!AM214-Operations!AM215</f>
        <v/>
      </c>
      <c r="AN216" s="20">
        <f>Operations!AN210-Operations!AN212-Operations!AN213-Operations!AN214-Operations!AN215</f>
        <v/>
      </c>
      <c r="AO216" s="20">
        <f>Operations!AO210-Operations!AO212-Operations!AO213-Operations!AO214-Operations!AO215</f>
        <v/>
      </c>
      <c r="AP216" s="20">
        <f>Operations!AP210-Operations!AP212-Operations!AP213-Operations!AP214-Operations!AP215</f>
        <v/>
      </c>
      <c r="AQ216" s="20">
        <f>Operations!AQ210-Operations!AQ212-Operations!AQ213-Operations!AQ214-Operations!AQ215</f>
        <v/>
      </c>
      <c r="AR216" s="20">
        <f>Operations!AR210-Operations!AR212-Operations!AR213-Operations!AR214-Operations!AR215</f>
        <v/>
      </c>
      <c r="AS216" s="20">
        <f>Operations!AS210-Operations!AS212-Operations!AS213-Operations!AS214-Operations!AS215</f>
        <v/>
      </c>
      <c r="AT216" s="20">
        <f>Operations!AT210-Operations!AT212-Operations!AT213-Operations!AT214-Operations!AT215</f>
        <v/>
      </c>
      <c r="AU216" s="20">
        <f>Operations!AU210-Operations!AU212-Operations!AU213-Operations!AU214-Operations!AU215</f>
        <v/>
      </c>
    </row>
    <row r="217">
      <c r="D217" t="inlineStr">
        <is>
          <t>R4 capex</t>
        </is>
      </c>
      <c r="E217" t="inlineStr">
        <is>
          <t>USD m</t>
        </is>
      </c>
      <c r="J217" s="20">
        <f>0</f>
        <v/>
      </c>
      <c r="K217" s="20">
        <f>0</f>
        <v/>
      </c>
      <c r="L217" s="20">
        <f>0</f>
        <v/>
      </c>
      <c r="M217" s="20">
        <f>0</f>
        <v/>
      </c>
      <c r="N217" s="20">
        <f>0</f>
        <v/>
      </c>
      <c r="O217" s="20">
        <f>0</f>
        <v/>
      </c>
      <c r="P217" s="20">
        <f>0</f>
        <v/>
      </c>
      <c r="Q217" s="20">
        <f>0</f>
        <v/>
      </c>
      <c r="R217" s="20">
        <f>0</f>
        <v/>
      </c>
      <c r="S217" s="20">
        <f>0</f>
        <v/>
      </c>
      <c r="T217" s="20">
        <f>0</f>
        <v/>
      </c>
      <c r="U217" s="20">
        <f>0</f>
        <v/>
      </c>
      <c r="V217" s="20">
        <f>0</f>
        <v/>
      </c>
      <c r="W217" s="20">
        <f>0</f>
        <v/>
      </c>
      <c r="X217" s="20">
        <f>0</f>
        <v/>
      </c>
      <c r="Y217" s="20">
        <f>0</f>
        <v/>
      </c>
      <c r="Z217" s="20">
        <f>0</f>
        <v/>
      </c>
      <c r="AA217" s="20">
        <f>0</f>
        <v/>
      </c>
      <c r="AB217" s="20">
        <f>0</f>
        <v/>
      </c>
      <c r="AC217" s="20">
        <f>0</f>
        <v/>
      </c>
      <c r="AD217" s="20">
        <f>0</f>
        <v/>
      </c>
      <c r="AE217" s="20">
        <f>0</f>
        <v/>
      </c>
      <c r="AF217" s="20">
        <f>0</f>
        <v/>
      </c>
      <c r="AG217" s="20">
        <f>0</f>
        <v/>
      </c>
      <c r="AH217" s="20">
        <f>0</f>
        <v/>
      </c>
      <c r="AI217" s="20">
        <f>0</f>
        <v/>
      </c>
      <c r="AJ217" s="20">
        <f>0</f>
        <v/>
      </c>
      <c r="AK217" s="20">
        <f>0</f>
        <v/>
      </c>
      <c r="AL217" s="20">
        <f>0</f>
        <v/>
      </c>
      <c r="AM217" s="20">
        <f>0</f>
        <v/>
      </c>
      <c r="AN217" s="20">
        <f>0</f>
        <v/>
      </c>
      <c r="AO217" s="20">
        <f>0</f>
        <v/>
      </c>
      <c r="AP217" s="20">
        <f>0</f>
        <v/>
      </c>
      <c r="AQ217" s="20">
        <f>0</f>
        <v/>
      </c>
      <c r="AR217" s="20">
        <f>0</f>
        <v/>
      </c>
      <c r="AS217" s="20">
        <f>0</f>
        <v/>
      </c>
      <c r="AT217" s="20">
        <f>0</f>
        <v/>
      </c>
      <c r="AU217" s="20">
        <f>0</f>
        <v/>
      </c>
    </row>
    <row r="218">
      <c r="D218" t="inlineStr">
        <is>
          <t>R4 decommissioning at end of life</t>
        </is>
      </c>
      <c r="E218" t="inlineStr">
        <is>
          <t>USD m</t>
        </is>
      </c>
      <c r="J218" s="20">
        <f>IF(Time!J$4=YEAR(Inputs!$F$123),Inputs!$F$126*Inputs!$F$121/1000*Time!J$9,0)</f>
        <v/>
      </c>
      <c r="K218" s="20">
        <f>IF(Time!K$4=YEAR(Inputs!$F$123),Inputs!$F$126*Inputs!$F$121/1000*Time!K$9,0)</f>
        <v/>
      </c>
      <c r="L218" s="20">
        <f>IF(Time!L$4=YEAR(Inputs!$F$123),Inputs!$F$126*Inputs!$F$121/1000*Time!L$9,0)</f>
        <v/>
      </c>
      <c r="M218" s="20">
        <f>IF(Time!M$4=YEAR(Inputs!$F$123),Inputs!$F$126*Inputs!$F$121/1000*Time!M$9,0)</f>
        <v/>
      </c>
      <c r="N218" s="20">
        <f>IF(Time!N$4=YEAR(Inputs!$F$123),Inputs!$F$126*Inputs!$F$121/1000*Time!N$9,0)</f>
        <v/>
      </c>
      <c r="O218" s="20">
        <f>IF(Time!O$4=YEAR(Inputs!$F$123),Inputs!$F$126*Inputs!$F$121/1000*Time!O$9,0)</f>
        <v/>
      </c>
      <c r="P218" s="20">
        <f>IF(Time!P$4=YEAR(Inputs!$F$123),Inputs!$F$126*Inputs!$F$121/1000*Time!P$9,0)</f>
        <v/>
      </c>
      <c r="Q218" s="20">
        <f>IF(Time!Q$4=YEAR(Inputs!$F$123),Inputs!$F$126*Inputs!$F$121/1000*Time!Q$9,0)</f>
        <v/>
      </c>
      <c r="R218" s="20">
        <f>IF(Time!R$4=YEAR(Inputs!$F$123),Inputs!$F$126*Inputs!$F$121/1000*Time!R$9,0)</f>
        <v/>
      </c>
      <c r="S218" s="20">
        <f>IF(Time!S$4=YEAR(Inputs!$F$123),Inputs!$F$126*Inputs!$F$121/1000*Time!S$9,0)</f>
        <v/>
      </c>
      <c r="T218" s="20">
        <f>IF(Time!T$4=YEAR(Inputs!$F$123),Inputs!$F$126*Inputs!$F$121/1000*Time!T$9,0)</f>
        <v/>
      </c>
      <c r="U218" s="20">
        <f>IF(Time!U$4=YEAR(Inputs!$F$123),Inputs!$F$126*Inputs!$F$121/1000*Time!U$9,0)</f>
        <v/>
      </c>
      <c r="V218" s="20">
        <f>IF(Time!V$4=YEAR(Inputs!$F$123),Inputs!$F$126*Inputs!$F$121/1000*Time!V$9,0)</f>
        <v/>
      </c>
      <c r="W218" s="20">
        <f>IF(Time!W$4=YEAR(Inputs!$F$123),Inputs!$F$126*Inputs!$F$121/1000*Time!W$9,0)</f>
        <v/>
      </c>
      <c r="X218" s="20">
        <f>IF(Time!X$4=YEAR(Inputs!$F$123),Inputs!$F$126*Inputs!$F$121/1000*Time!X$9,0)</f>
        <v/>
      </c>
      <c r="Y218" s="20">
        <f>IF(Time!Y$4=YEAR(Inputs!$F$123),Inputs!$F$126*Inputs!$F$121/1000*Time!Y$9,0)</f>
        <v/>
      </c>
      <c r="Z218" s="20">
        <f>IF(Time!Z$4=YEAR(Inputs!$F$123),Inputs!$F$126*Inputs!$F$121/1000*Time!Z$9,0)</f>
        <v/>
      </c>
      <c r="AA218" s="20">
        <f>IF(Time!AA$4=YEAR(Inputs!$F$123),Inputs!$F$126*Inputs!$F$121/1000*Time!AA$9,0)</f>
        <v/>
      </c>
      <c r="AB218" s="20">
        <f>IF(Time!AB$4=YEAR(Inputs!$F$123),Inputs!$F$126*Inputs!$F$121/1000*Time!AB$9,0)</f>
        <v/>
      </c>
      <c r="AC218" s="20">
        <f>IF(Time!AC$4=YEAR(Inputs!$F$123),Inputs!$F$126*Inputs!$F$121/1000*Time!AC$9,0)</f>
        <v/>
      </c>
      <c r="AD218" s="20">
        <f>IF(Time!AD$4=YEAR(Inputs!$F$123),Inputs!$F$126*Inputs!$F$121/1000*Time!AD$9,0)</f>
        <v/>
      </c>
      <c r="AE218" s="20">
        <f>IF(Time!AE$4=YEAR(Inputs!$F$123),Inputs!$F$126*Inputs!$F$121/1000*Time!AE$9,0)</f>
        <v/>
      </c>
      <c r="AF218" s="20">
        <f>IF(Time!AF$4=YEAR(Inputs!$F$123),Inputs!$F$126*Inputs!$F$121/1000*Time!AF$9,0)</f>
        <v/>
      </c>
      <c r="AG218" s="20">
        <f>IF(Time!AG$4=YEAR(Inputs!$F$123),Inputs!$F$126*Inputs!$F$121/1000*Time!AG$9,0)</f>
        <v/>
      </c>
      <c r="AH218" s="20">
        <f>IF(Time!AH$4=YEAR(Inputs!$F$123),Inputs!$F$126*Inputs!$F$121/1000*Time!AH$9,0)</f>
        <v/>
      </c>
      <c r="AI218" s="20">
        <f>IF(Time!AI$4=YEAR(Inputs!$F$123),Inputs!$F$126*Inputs!$F$121/1000*Time!AI$9,0)</f>
        <v/>
      </c>
      <c r="AJ218" s="20">
        <f>IF(Time!AJ$4=YEAR(Inputs!$F$123),Inputs!$F$126*Inputs!$F$121/1000*Time!AJ$9,0)</f>
        <v/>
      </c>
      <c r="AK218" s="20">
        <f>IF(Time!AK$4=YEAR(Inputs!$F$123),Inputs!$F$126*Inputs!$F$121/1000*Time!AK$9,0)</f>
        <v/>
      </c>
      <c r="AL218" s="20">
        <f>IF(Time!AL$4=YEAR(Inputs!$F$123),Inputs!$F$126*Inputs!$F$121/1000*Time!AL$9,0)</f>
        <v/>
      </c>
      <c r="AM218" s="20">
        <f>IF(Time!AM$4=YEAR(Inputs!$F$123),Inputs!$F$126*Inputs!$F$121/1000*Time!AM$9,0)</f>
        <v/>
      </c>
      <c r="AN218" s="20">
        <f>IF(Time!AN$4=YEAR(Inputs!$F$123),Inputs!$F$126*Inputs!$F$121/1000*Time!AN$9,0)</f>
        <v/>
      </c>
      <c r="AO218" s="20">
        <f>IF(Time!AO$4=YEAR(Inputs!$F$123),Inputs!$F$126*Inputs!$F$121/1000*Time!AO$9,0)</f>
        <v/>
      </c>
      <c r="AP218" s="20">
        <f>IF(Time!AP$4=YEAR(Inputs!$F$123),Inputs!$F$126*Inputs!$F$121/1000*Time!AP$9,0)</f>
        <v/>
      </c>
      <c r="AQ218" s="20">
        <f>IF(Time!AQ$4=YEAR(Inputs!$F$123),Inputs!$F$126*Inputs!$F$121/1000*Time!AQ$9,0)</f>
        <v/>
      </c>
      <c r="AR218" s="20">
        <f>IF(Time!AR$4=YEAR(Inputs!$F$123),Inputs!$F$126*Inputs!$F$121/1000*Time!AR$9,0)</f>
        <v/>
      </c>
      <c r="AS218" s="20">
        <f>IF(Time!AS$4=YEAR(Inputs!$F$123),Inputs!$F$126*Inputs!$F$121/1000*Time!AS$9,0)</f>
        <v/>
      </c>
      <c r="AT218" s="20">
        <f>IF(Time!AT$4=YEAR(Inputs!$F$123),Inputs!$F$126*Inputs!$F$121/1000*Time!AT$9,0)</f>
        <v/>
      </c>
      <c r="AU218" s="20">
        <f>IF(Time!AU$4=YEAR(Inputs!$F$123),Inputs!$F$126*Inputs!$F$121/1000*Time!AU$9,0)</f>
        <v/>
      </c>
    </row>
    <row r="219">
      <c r="D219" t="inlineStr">
        <is>
          <t>R4 pre-tax cash flow, 100% of asset</t>
        </is>
      </c>
      <c r="E219" t="inlineStr">
        <is>
          <t>USD m</t>
        </is>
      </c>
      <c r="G219" s="20">
        <f>SUM(J219:AU219)</f>
        <v/>
      </c>
      <c r="J219" s="20">
        <f>Operations!J216-Operations!J217-Operations!J218</f>
        <v/>
      </c>
      <c r="K219" s="20">
        <f>Operations!K216-Operations!K217-Operations!K218</f>
        <v/>
      </c>
      <c r="L219" s="20">
        <f>Operations!L216-Operations!L217-Operations!L218</f>
        <v/>
      </c>
      <c r="M219" s="20">
        <f>Operations!M216-Operations!M217-Operations!M218</f>
        <v/>
      </c>
      <c r="N219" s="20">
        <f>Operations!N216-Operations!N217-Operations!N218</f>
        <v/>
      </c>
      <c r="O219" s="20">
        <f>Operations!O216-Operations!O217-Operations!O218</f>
        <v/>
      </c>
      <c r="P219" s="20">
        <f>Operations!P216-Operations!P217-Operations!P218</f>
        <v/>
      </c>
      <c r="Q219" s="20">
        <f>Operations!Q216-Operations!Q217-Operations!Q218</f>
        <v/>
      </c>
      <c r="R219" s="20">
        <f>Operations!R216-Operations!R217-Operations!R218</f>
        <v/>
      </c>
      <c r="S219" s="20">
        <f>Operations!S216-Operations!S217-Operations!S218</f>
        <v/>
      </c>
      <c r="T219" s="20">
        <f>Operations!T216-Operations!T217-Operations!T218</f>
        <v/>
      </c>
      <c r="U219" s="20">
        <f>Operations!U216-Operations!U217-Operations!U218</f>
        <v/>
      </c>
      <c r="V219" s="20">
        <f>Operations!V216-Operations!V217-Operations!V218</f>
        <v/>
      </c>
      <c r="W219" s="20">
        <f>Operations!W216-Operations!W217-Operations!W218</f>
        <v/>
      </c>
      <c r="X219" s="20">
        <f>Operations!X216-Operations!X217-Operations!X218</f>
        <v/>
      </c>
      <c r="Y219" s="20">
        <f>Operations!Y216-Operations!Y217-Operations!Y218</f>
        <v/>
      </c>
      <c r="Z219" s="20">
        <f>Operations!Z216-Operations!Z217-Operations!Z218</f>
        <v/>
      </c>
      <c r="AA219" s="20">
        <f>Operations!AA216-Operations!AA217-Operations!AA218</f>
        <v/>
      </c>
      <c r="AB219" s="20">
        <f>Operations!AB216-Operations!AB217-Operations!AB218</f>
        <v/>
      </c>
      <c r="AC219" s="20">
        <f>Operations!AC216-Operations!AC217-Operations!AC218</f>
        <v/>
      </c>
      <c r="AD219" s="20">
        <f>Operations!AD216-Operations!AD217-Operations!AD218</f>
        <v/>
      </c>
      <c r="AE219" s="20">
        <f>Operations!AE216-Operations!AE217-Operations!AE218</f>
        <v/>
      </c>
      <c r="AF219" s="20">
        <f>Operations!AF216-Operations!AF217-Operations!AF218</f>
        <v/>
      </c>
      <c r="AG219" s="20">
        <f>Operations!AG216-Operations!AG217-Operations!AG218</f>
        <v/>
      </c>
      <c r="AH219" s="20">
        <f>Operations!AH216-Operations!AH217-Operations!AH218</f>
        <v/>
      </c>
      <c r="AI219" s="20">
        <f>Operations!AI216-Operations!AI217-Operations!AI218</f>
        <v/>
      </c>
      <c r="AJ219" s="20">
        <f>Operations!AJ216-Operations!AJ217-Operations!AJ218</f>
        <v/>
      </c>
      <c r="AK219" s="20">
        <f>Operations!AK216-Operations!AK217-Operations!AK218</f>
        <v/>
      </c>
      <c r="AL219" s="20">
        <f>Operations!AL216-Operations!AL217-Operations!AL218</f>
        <v/>
      </c>
      <c r="AM219" s="20">
        <f>Operations!AM216-Operations!AM217-Operations!AM218</f>
        <v/>
      </c>
      <c r="AN219" s="20">
        <f>Operations!AN216-Operations!AN217-Operations!AN218</f>
        <v/>
      </c>
      <c r="AO219" s="20">
        <f>Operations!AO216-Operations!AO217-Operations!AO218</f>
        <v/>
      </c>
      <c r="AP219" s="20">
        <f>Operations!AP216-Operations!AP217-Operations!AP218</f>
        <v/>
      </c>
      <c r="AQ219" s="20">
        <f>Operations!AQ216-Operations!AQ217-Operations!AQ218</f>
        <v/>
      </c>
      <c r="AR219" s="20">
        <f>Operations!AR216-Operations!AR217-Operations!AR218</f>
        <v/>
      </c>
      <c r="AS219" s="20">
        <f>Operations!AS216-Operations!AS217-Operations!AS218</f>
        <v/>
      </c>
      <c r="AT219" s="20">
        <f>Operations!AT216-Operations!AT217-Operations!AT218</f>
        <v/>
      </c>
      <c r="AU219" s="20">
        <f>Operations!AU216-Operations!AU217-Operations!AU218</f>
        <v/>
      </c>
    </row>
    <row r="220">
      <c r="D220" t="inlineStr">
        <is>
          <t>R4 tax equity cash share</t>
        </is>
      </c>
      <c r="E220" t="inlineStr">
        <is>
          <t>fraction</t>
        </is>
      </c>
      <c r="J220" s="14">
        <f>0</f>
        <v/>
      </c>
      <c r="K220" s="14">
        <f>0</f>
        <v/>
      </c>
      <c r="L220" s="14">
        <f>0</f>
        <v/>
      </c>
      <c r="M220" s="14">
        <f>0</f>
        <v/>
      </c>
      <c r="N220" s="14">
        <f>0</f>
        <v/>
      </c>
      <c r="O220" s="14">
        <f>0</f>
        <v/>
      </c>
      <c r="P220" s="14">
        <f>0</f>
        <v/>
      </c>
      <c r="Q220" s="14">
        <f>0</f>
        <v/>
      </c>
      <c r="R220" s="14">
        <f>0</f>
        <v/>
      </c>
      <c r="S220" s="14">
        <f>0</f>
        <v/>
      </c>
      <c r="T220" s="14">
        <f>0</f>
        <v/>
      </c>
      <c r="U220" s="14">
        <f>0</f>
        <v/>
      </c>
      <c r="V220" s="14">
        <f>0</f>
        <v/>
      </c>
      <c r="W220" s="14">
        <f>0</f>
        <v/>
      </c>
      <c r="X220" s="14">
        <f>0</f>
        <v/>
      </c>
      <c r="Y220" s="14">
        <f>0</f>
        <v/>
      </c>
      <c r="Z220" s="14">
        <f>0</f>
        <v/>
      </c>
      <c r="AA220" s="14">
        <f>0</f>
        <v/>
      </c>
      <c r="AB220" s="14">
        <f>0</f>
        <v/>
      </c>
      <c r="AC220" s="14">
        <f>0</f>
        <v/>
      </c>
      <c r="AD220" s="14">
        <f>0</f>
        <v/>
      </c>
      <c r="AE220" s="14">
        <f>0</f>
        <v/>
      </c>
      <c r="AF220" s="14">
        <f>0</f>
        <v/>
      </c>
      <c r="AG220" s="14">
        <f>0</f>
        <v/>
      </c>
      <c r="AH220" s="14">
        <f>0</f>
        <v/>
      </c>
      <c r="AI220" s="14">
        <f>0</f>
        <v/>
      </c>
      <c r="AJ220" s="14">
        <f>0</f>
        <v/>
      </c>
      <c r="AK220" s="14">
        <f>0</f>
        <v/>
      </c>
      <c r="AL220" s="14">
        <f>0</f>
        <v/>
      </c>
      <c r="AM220" s="14">
        <f>0</f>
        <v/>
      </c>
      <c r="AN220" s="14">
        <f>0</f>
        <v/>
      </c>
      <c r="AO220" s="14">
        <f>0</f>
        <v/>
      </c>
      <c r="AP220" s="14">
        <f>0</f>
        <v/>
      </c>
      <c r="AQ220" s="14">
        <f>0</f>
        <v/>
      </c>
      <c r="AR220" s="14">
        <f>0</f>
        <v/>
      </c>
      <c r="AS220" s="14">
        <f>0</f>
        <v/>
      </c>
      <c r="AT220" s="14">
        <f>0</f>
        <v/>
      </c>
      <c r="AU220" s="14">
        <f>0</f>
        <v/>
      </c>
    </row>
    <row r="221">
      <c r="D221" t="inlineStr">
        <is>
          <t>R4 Mesa share of taxable income</t>
        </is>
      </c>
      <c r="E221" t="inlineStr">
        <is>
          <t>fraction</t>
        </is>
      </c>
      <c r="J221" s="14">
        <f>1</f>
        <v/>
      </c>
      <c r="K221" s="14">
        <f>1</f>
        <v/>
      </c>
      <c r="L221" s="14">
        <f>1</f>
        <v/>
      </c>
      <c r="M221" s="14">
        <f>1</f>
        <v/>
      </c>
      <c r="N221" s="14">
        <f>1</f>
        <v/>
      </c>
      <c r="O221" s="14">
        <f>1</f>
        <v/>
      </c>
      <c r="P221" s="14">
        <f>1</f>
        <v/>
      </c>
      <c r="Q221" s="14">
        <f>1</f>
        <v/>
      </c>
      <c r="R221" s="14">
        <f>1</f>
        <v/>
      </c>
      <c r="S221" s="14">
        <f>1</f>
        <v/>
      </c>
      <c r="T221" s="14">
        <f>1</f>
        <v/>
      </c>
      <c r="U221" s="14">
        <f>1</f>
        <v/>
      </c>
      <c r="V221" s="14">
        <f>1</f>
        <v/>
      </c>
      <c r="W221" s="14">
        <f>1</f>
        <v/>
      </c>
      <c r="X221" s="14">
        <f>1</f>
        <v/>
      </c>
      <c r="Y221" s="14">
        <f>1</f>
        <v/>
      </c>
      <c r="Z221" s="14">
        <f>1</f>
        <v/>
      </c>
      <c r="AA221" s="14">
        <f>1</f>
        <v/>
      </c>
      <c r="AB221" s="14">
        <f>1</f>
        <v/>
      </c>
      <c r="AC221" s="14">
        <f>1</f>
        <v/>
      </c>
      <c r="AD221" s="14">
        <f>1</f>
        <v/>
      </c>
      <c r="AE221" s="14">
        <f>1</f>
        <v/>
      </c>
      <c r="AF221" s="14">
        <f>1</f>
        <v/>
      </c>
      <c r="AG221" s="14">
        <f>1</f>
        <v/>
      </c>
      <c r="AH221" s="14">
        <f>1</f>
        <v/>
      </c>
      <c r="AI221" s="14">
        <f>1</f>
        <v/>
      </c>
      <c r="AJ221" s="14">
        <f>1</f>
        <v/>
      </c>
      <c r="AK221" s="14">
        <f>1</f>
        <v/>
      </c>
      <c r="AL221" s="14">
        <f>1</f>
        <v/>
      </c>
      <c r="AM221" s="14">
        <f>1</f>
        <v/>
      </c>
      <c r="AN221" s="14">
        <f>1</f>
        <v/>
      </c>
      <c r="AO221" s="14">
        <f>1</f>
        <v/>
      </c>
      <c r="AP221" s="14">
        <f>1</f>
        <v/>
      </c>
      <c r="AQ221" s="14">
        <f>1</f>
        <v/>
      </c>
      <c r="AR221" s="14">
        <f>1</f>
        <v/>
      </c>
      <c r="AS221" s="14">
        <f>1</f>
        <v/>
      </c>
      <c r="AT221" s="14">
        <f>1</f>
        <v/>
      </c>
      <c r="AU221" s="14">
        <f>1</f>
        <v/>
      </c>
    </row>
    <row r="222">
      <c r="D222" t="inlineStr">
        <is>
          <t>R4 Mesa share of cash flow</t>
        </is>
      </c>
      <c r="E222" t="inlineStr">
        <is>
          <t>USD m</t>
        </is>
      </c>
      <c r="G222" s="20">
        <f>SUM(J222:AU222)</f>
        <v/>
      </c>
      <c r="J222" s="20">
        <f>Operations!J219*(1-Operations!J220)*Operations!J193</f>
        <v/>
      </c>
      <c r="K222" s="20">
        <f>Operations!K219*(1-Operations!K220)*Operations!K193</f>
        <v/>
      </c>
      <c r="L222" s="20">
        <f>Operations!L219*(1-Operations!L220)*Operations!L193</f>
        <v/>
      </c>
      <c r="M222" s="20">
        <f>Operations!M219*(1-Operations!M220)*Operations!M193</f>
        <v/>
      </c>
      <c r="N222" s="20">
        <f>Operations!N219*(1-Operations!N220)*Operations!N193</f>
        <v/>
      </c>
      <c r="O222" s="20">
        <f>Operations!O219*(1-Operations!O220)*Operations!O193</f>
        <v/>
      </c>
      <c r="P222" s="20">
        <f>Operations!P219*(1-Operations!P220)*Operations!P193</f>
        <v/>
      </c>
      <c r="Q222" s="20">
        <f>Operations!Q219*(1-Operations!Q220)*Operations!Q193</f>
        <v/>
      </c>
      <c r="R222" s="20">
        <f>Operations!R219*(1-Operations!R220)*Operations!R193</f>
        <v/>
      </c>
      <c r="S222" s="20">
        <f>Operations!S219*(1-Operations!S220)*Operations!S193</f>
        <v/>
      </c>
      <c r="T222" s="20">
        <f>Operations!T219*(1-Operations!T220)*Operations!T193</f>
        <v/>
      </c>
      <c r="U222" s="20">
        <f>Operations!U219*(1-Operations!U220)*Operations!U193</f>
        <v/>
      </c>
      <c r="V222" s="20">
        <f>Operations!V219*(1-Operations!V220)*Operations!V193</f>
        <v/>
      </c>
      <c r="W222" s="20">
        <f>Operations!W219*(1-Operations!W220)*Operations!W193</f>
        <v/>
      </c>
      <c r="X222" s="20">
        <f>Operations!X219*(1-Operations!X220)*Operations!X193</f>
        <v/>
      </c>
      <c r="Y222" s="20">
        <f>Operations!Y219*(1-Operations!Y220)*Operations!Y193</f>
        <v/>
      </c>
      <c r="Z222" s="20">
        <f>Operations!Z219*(1-Operations!Z220)*Operations!Z193</f>
        <v/>
      </c>
      <c r="AA222" s="20">
        <f>Operations!AA219*(1-Operations!AA220)*Operations!AA193</f>
        <v/>
      </c>
      <c r="AB222" s="20">
        <f>Operations!AB219*(1-Operations!AB220)*Operations!AB193</f>
        <v/>
      </c>
      <c r="AC222" s="20">
        <f>Operations!AC219*(1-Operations!AC220)*Operations!AC193</f>
        <v/>
      </c>
      <c r="AD222" s="20">
        <f>Operations!AD219*(1-Operations!AD220)*Operations!AD193</f>
        <v/>
      </c>
      <c r="AE222" s="20">
        <f>Operations!AE219*(1-Operations!AE220)*Operations!AE193</f>
        <v/>
      </c>
      <c r="AF222" s="20">
        <f>Operations!AF219*(1-Operations!AF220)*Operations!AF193</f>
        <v/>
      </c>
      <c r="AG222" s="20">
        <f>Operations!AG219*(1-Operations!AG220)*Operations!AG193</f>
        <v/>
      </c>
      <c r="AH222" s="20">
        <f>Operations!AH219*(1-Operations!AH220)*Operations!AH193</f>
        <v/>
      </c>
      <c r="AI222" s="20">
        <f>Operations!AI219*(1-Operations!AI220)*Operations!AI193</f>
        <v/>
      </c>
      <c r="AJ222" s="20">
        <f>Operations!AJ219*(1-Operations!AJ220)*Operations!AJ193</f>
        <v/>
      </c>
      <c r="AK222" s="20">
        <f>Operations!AK219*(1-Operations!AK220)*Operations!AK193</f>
        <v/>
      </c>
      <c r="AL222" s="20">
        <f>Operations!AL219*(1-Operations!AL220)*Operations!AL193</f>
        <v/>
      </c>
      <c r="AM222" s="20">
        <f>Operations!AM219*(1-Operations!AM220)*Operations!AM193</f>
        <v/>
      </c>
      <c r="AN222" s="20">
        <f>Operations!AN219*(1-Operations!AN220)*Operations!AN193</f>
        <v/>
      </c>
      <c r="AO222" s="20">
        <f>Operations!AO219*(1-Operations!AO220)*Operations!AO193</f>
        <v/>
      </c>
      <c r="AP222" s="20">
        <f>Operations!AP219*(1-Operations!AP220)*Operations!AP193</f>
        <v/>
      </c>
      <c r="AQ222" s="20">
        <f>Operations!AQ219*(1-Operations!AQ220)*Operations!AQ193</f>
        <v/>
      </c>
      <c r="AR222" s="20">
        <f>Operations!AR219*(1-Operations!AR220)*Operations!AR193</f>
        <v/>
      </c>
      <c r="AS222" s="20">
        <f>Operations!AS219*(1-Operations!AS220)*Operations!AS193</f>
        <v/>
      </c>
      <c r="AT222" s="20">
        <f>Operations!AT219*(1-Operations!AT220)*Operations!AT193</f>
        <v/>
      </c>
      <c r="AU222" s="20">
        <f>Operations!AU219*(1-Operations!AU220)*Operations!AU193</f>
        <v/>
      </c>
    </row>
    <row r="223">
      <c r="D223" t="inlineStr">
        <is>
          <t>R4 Mesa taxable operating income</t>
        </is>
      </c>
      <c r="E223" t="inlineStr">
        <is>
          <t>USD m</t>
        </is>
      </c>
      <c r="J223" s="20">
        <f>Operations!J219*Operations!J221*Operations!J193</f>
        <v/>
      </c>
      <c r="K223" s="20">
        <f>Operations!K219*Operations!K221*Operations!K193</f>
        <v/>
      </c>
      <c r="L223" s="20">
        <f>Operations!L219*Operations!L221*Operations!L193</f>
        <v/>
      </c>
      <c r="M223" s="20">
        <f>Operations!M219*Operations!M221*Operations!M193</f>
        <v/>
      </c>
      <c r="N223" s="20">
        <f>Operations!N219*Operations!N221*Operations!N193</f>
        <v/>
      </c>
      <c r="O223" s="20">
        <f>Operations!O219*Operations!O221*Operations!O193</f>
        <v/>
      </c>
      <c r="P223" s="20">
        <f>Operations!P219*Operations!P221*Operations!P193</f>
        <v/>
      </c>
      <c r="Q223" s="20">
        <f>Operations!Q219*Operations!Q221*Operations!Q193</f>
        <v/>
      </c>
      <c r="R223" s="20">
        <f>Operations!R219*Operations!R221*Operations!R193</f>
        <v/>
      </c>
      <c r="S223" s="20">
        <f>Operations!S219*Operations!S221*Operations!S193</f>
        <v/>
      </c>
      <c r="T223" s="20">
        <f>Operations!T219*Operations!T221*Operations!T193</f>
        <v/>
      </c>
      <c r="U223" s="20">
        <f>Operations!U219*Operations!U221*Operations!U193</f>
        <v/>
      </c>
      <c r="V223" s="20">
        <f>Operations!V219*Operations!V221*Operations!V193</f>
        <v/>
      </c>
      <c r="W223" s="20">
        <f>Operations!W219*Operations!W221*Operations!W193</f>
        <v/>
      </c>
      <c r="X223" s="20">
        <f>Operations!X219*Operations!X221*Operations!X193</f>
        <v/>
      </c>
      <c r="Y223" s="20">
        <f>Operations!Y219*Operations!Y221*Operations!Y193</f>
        <v/>
      </c>
      <c r="Z223" s="20">
        <f>Operations!Z219*Operations!Z221*Operations!Z193</f>
        <v/>
      </c>
      <c r="AA223" s="20">
        <f>Operations!AA219*Operations!AA221*Operations!AA193</f>
        <v/>
      </c>
      <c r="AB223" s="20">
        <f>Operations!AB219*Operations!AB221*Operations!AB193</f>
        <v/>
      </c>
      <c r="AC223" s="20">
        <f>Operations!AC219*Operations!AC221*Operations!AC193</f>
        <v/>
      </c>
      <c r="AD223" s="20">
        <f>Operations!AD219*Operations!AD221*Operations!AD193</f>
        <v/>
      </c>
      <c r="AE223" s="20">
        <f>Operations!AE219*Operations!AE221*Operations!AE193</f>
        <v/>
      </c>
      <c r="AF223" s="20">
        <f>Operations!AF219*Operations!AF221*Operations!AF193</f>
        <v/>
      </c>
      <c r="AG223" s="20">
        <f>Operations!AG219*Operations!AG221*Operations!AG193</f>
        <v/>
      </c>
      <c r="AH223" s="20">
        <f>Operations!AH219*Operations!AH221*Operations!AH193</f>
        <v/>
      </c>
      <c r="AI223" s="20">
        <f>Operations!AI219*Operations!AI221*Operations!AI193</f>
        <v/>
      </c>
      <c r="AJ223" s="20">
        <f>Operations!AJ219*Operations!AJ221*Operations!AJ193</f>
        <v/>
      </c>
      <c r="AK223" s="20">
        <f>Operations!AK219*Operations!AK221*Operations!AK193</f>
        <v/>
      </c>
      <c r="AL223" s="20">
        <f>Operations!AL219*Operations!AL221*Operations!AL193</f>
        <v/>
      </c>
      <c r="AM223" s="20">
        <f>Operations!AM219*Operations!AM221*Operations!AM193</f>
        <v/>
      </c>
      <c r="AN223" s="20">
        <f>Operations!AN219*Operations!AN221*Operations!AN193</f>
        <v/>
      </c>
      <c r="AO223" s="20">
        <f>Operations!AO219*Operations!AO221*Operations!AO193</f>
        <v/>
      </c>
      <c r="AP223" s="20">
        <f>Operations!AP219*Operations!AP221*Operations!AP193</f>
        <v/>
      </c>
      <c r="AQ223" s="20">
        <f>Operations!AQ219*Operations!AQ221*Operations!AQ193</f>
        <v/>
      </c>
      <c r="AR223" s="20">
        <f>Operations!AR219*Operations!AR221*Operations!AR193</f>
        <v/>
      </c>
      <c r="AS223" s="20">
        <f>Operations!AS219*Operations!AS221*Operations!AS193</f>
        <v/>
      </c>
      <c r="AT223" s="20">
        <f>Operations!AT219*Operations!AT221*Operations!AT193</f>
        <v/>
      </c>
      <c r="AU223" s="20">
        <f>Operations!AU219*Operations!AU221*Operations!AU193</f>
        <v/>
      </c>
    </row>
    <row r="224">
      <c r="D224" t="inlineStr">
        <is>
          <t>R4 Mesa unlevered post-tax cash flow (before price shield)</t>
        </is>
      </c>
      <c r="E224" t="inlineStr">
        <is>
          <t>USD m</t>
        </is>
      </c>
      <c r="J224" s="20">
        <f>Operations!J222-Inputs!$F$241/100*Operations!J223</f>
        <v/>
      </c>
      <c r="K224" s="20">
        <f>Operations!K222-Inputs!$F$241/100*Operations!K223</f>
        <v/>
      </c>
      <c r="L224" s="20">
        <f>Operations!L222-Inputs!$F$241/100*Operations!L223</f>
        <v/>
      </c>
      <c r="M224" s="20">
        <f>Operations!M222-Inputs!$F$241/100*Operations!M223</f>
        <v/>
      </c>
      <c r="N224" s="20">
        <f>Operations!N222-Inputs!$F$241/100*Operations!N223</f>
        <v/>
      </c>
      <c r="O224" s="20">
        <f>Operations!O222-Inputs!$F$241/100*Operations!O223</f>
        <v/>
      </c>
      <c r="P224" s="20">
        <f>Operations!P222-Inputs!$F$241/100*Operations!P223</f>
        <v/>
      </c>
      <c r="Q224" s="20">
        <f>Operations!Q222-Inputs!$F$241/100*Operations!Q223</f>
        <v/>
      </c>
      <c r="R224" s="20">
        <f>Operations!R222-Inputs!$F$241/100*Operations!R223</f>
        <v/>
      </c>
      <c r="S224" s="20">
        <f>Operations!S222-Inputs!$F$241/100*Operations!S223</f>
        <v/>
      </c>
      <c r="T224" s="20">
        <f>Operations!T222-Inputs!$F$241/100*Operations!T223</f>
        <v/>
      </c>
      <c r="U224" s="20">
        <f>Operations!U222-Inputs!$F$241/100*Operations!U223</f>
        <v/>
      </c>
      <c r="V224" s="20">
        <f>Operations!V222-Inputs!$F$241/100*Operations!V223</f>
        <v/>
      </c>
      <c r="W224" s="20">
        <f>Operations!W222-Inputs!$F$241/100*Operations!W223</f>
        <v/>
      </c>
      <c r="X224" s="20">
        <f>Operations!X222-Inputs!$F$241/100*Operations!X223</f>
        <v/>
      </c>
      <c r="Y224" s="20">
        <f>Operations!Y222-Inputs!$F$241/100*Operations!Y223</f>
        <v/>
      </c>
      <c r="Z224" s="20">
        <f>Operations!Z222-Inputs!$F$241/100*Operations!Z223</f>
        <v/>
      </c>
      <c r="AA224" s="20">
        <f>Operations!AA222-Inputs!$F$241/100*Operations!AA223</f>
        <v/>
      </c>
      <c r="AB224" s="20">
        <f>Operations!AB222-Inputs!$F$241/100*Operations!AB223</f>
        <v/>
      </c>
      <c r="AC224" s="20">
        <f>Operations!AC222-Inputs!$F$241/100*Operations!AC223</f>
        <v/>
      </c>
      <c r="AD224" s="20">
        <f>Operations!AD222-Inputs!$F$241/100*Operations!AD223</f>
        <v/>
      </c>
      <c r="AE224" s="20">
        <f>Operations!AE222-Inputs!$F$241/100*Operations!AE223</f>
        <v/>
      </c>
      <c r="AF224" s="20">
        <f>Operations!AF222-Inputs!$F$241/100*Operations!AF223</f>
        <v/>
      </c>
      <c r="AG224" s="20">
        <f>Operations!AG222-Inputs!$F$241/100*Operations!AG223</f>
        <v/>
      </c>
      <c r="AH224" s="20">
        <f>Operations!AH222-Inputs!$F$241/100*Operations!AH223</f>
        <v/>
      </c>
      <c r="AI224" s="20">
        <f>Operations!AI222-Inputs!$F$241/100*Operations!AI223</f>
        <v/>
      </c>
      <c r="AJ224" s="20">
        <f>Operations!AJ222-Inputs!$F$241/100*Operations!AJ223</f>
        <v/>
      </c>
      <c r="AK224" s="20">
        <f>Operations!AK222-Inputs!$F$241/100*Operations!AK223</f>
        <v/>
      </c>
      <c r="AL224" s="20">
        <f>Operations!AL222-Inputs!$F$241/100*Operations!AL223</f>
        <v/>
      </c>
      <c r="AM224" s="20">
        <f>Operations!AM222-Inputs!$F$241/100*Operations!AM223</f>
        <v/>
      </c>
      <c r="AN224" s="20">
        <f>Operations!AN222-Inputs!$F$241/100*Operations!AN223</f>
        <v/>
      </c>
      <c r="AO224" s="20">
        <f>Operations!AO222-Inputs!$F$241/100*Operations!AO223</f>
        <v/>
      </c>
      <c r="AP224" s="20">
        <f>Operations!AP222-Inputs!$F$241/100*Operations!AP223</f>
        <v/>
      </c>
      <c r="AQ224" s="20">
        <f>Operations!AQ222-Inputs!$F$241/100*Operations!AQ223</f>
        <v/>
      </c>
      <c r="AR224" s="20">
        <f>Operations!AR222-Inputs!$F$241/100*Operations!AR223</f>
        <v/>
      </c>
      <c r="AS224" s="20">
        <f>Operations!AS222-Inputs!$F$241/100*Operations!AS223</f>
        <v/>
      </c>
      <c r="AT224" s="20">
        <f>Operations!AT222-Inputs!$F$241/100*Operations!AT223</f>
        <v/>
      </c>
      <c r="AU224" s="20">
        <f>Operations!AU222-Inputs!$F$241/100*Operations!AU223</f>
        <v/>
      </c>
    </row>
    <row r="225">
      <c r="D225" t="inlineStr">
        <is>
          <t>R4 contracted share of revenue</t>
        </is>
      </c>
      <c r="E225" t="inlineStr">
        <is>
          <t>fraction</t>
        </is>
      </c>
      <c r="J225" s="14">
        <f>IF(Operations!J210=0,0,Operations!J207/Operations!J210)</f>
        <v/>
      </c>
      <c r="K225" s="14">
        <f>IF(Operations!K210=0,0,Operations!K207/Operations!K210)</f>
        <v/>
      </c>
      <c r="L225" s="14">
        <f>IF(Operations!L210=0,0,Operations!L207/Operations!L210)</f>
        <v/>
      </c>
      <c r="M225" s="14">
        <f>IF(Operations!M210=0,0,Operations!M207/Operations!M210)</f>
        <v/>
      </c>
      <c r="N225" s="14">
        <f>IF(Operations!N210=0,0,Operations!N207/Operations!N210)</f>
        <v/>
      </c>
      <c r="O225" s="14">
        <f>IF(Operations!O210=0,0,Operations!O207/Operations!O210)</f>
        <v/>
      </c>
      <c r="P225" s="14">
        <f>IF(Operations!P210=0,0,Operations!P207/Operations!P210)</f>
        <v/>
      </c>
      <c r="Q225" s="14">
        <f>IF(Operations!Q210=0,0,Operations!Q207/Operations!Q210)</f>
        <v/>
      </c>
      <c r="R225" s="14">
        <f>IF(Operations!R210=0,0,Operations!R207/Operations!R210)</f>
        <v/>
      </c>
      <c r="S225" s="14">
        <f>IF(Operations!S210=0,0,Operations!S207/Operations!S210)</f>
        <v/>
      </c>
      <c r="T225" s="14">
        <f>IF(Operations!T210=0,0,Operations!T207/Operations!T210)</f>
        <v/>
      </c>
      <c r="U225" s="14">
        <f>IF(Operations!U210=0,0,Operations!U207/Operations!U210)</f>
        <v/>
      </c>
      <c r="V225" s="14">
        <f>IF(Operations!V210=0,0,Operations!V207/Operations!V210)</f>
        <v/>
      </c>
      <c r="W225" s="14">
        <f>IF(Operations!W210=0,0,Operations!W207/Operations!W210)</f>
        <v/>
      </c>
      <c r="X225" s="14">
        <f>IF(Operations!X210=0,0,Operations!X207/Operations!X210)</f>
        <v/>
      </c>
      <c r="Y225" s="14">
        <f>IF(Operations!Y210=0,0,Operations!Y207/Operations!Y210)</f>
        <v/>
      </c>
      <c r="Z225" s="14">
        <f>IF(Operations!Z210=0,0,Operations!Z207/Operations!Z210)</f>
        <v/>
      </c>
      <c r="AA225" s="14">
        <f>IF(Operations!AA210=0,0,Operations!AA207/Operations!AA210)</f>
        <v/>
      </c>
      <c r="AB225" s="14">
        <f>IF(Operations!AB210=0,0,Operations!AB207/Operations!AB210)</f>
        <v/>
      </c>
      <c r="AC225" s="14">
        <f>IF(Operations!AC210=0,0,Operations!AC207/Operations!AC210)</f>
        <v/>
      </c>
      <c r="AD225" s="14">
        <f>IF(Operations!AD210=0,0,Operations!AD207/Operations!AD210)</f>
        <v/>
      </c>
      <c r="AE225" s="14">
        <f>IF(Operations!AE210=0,0,Operations!AE207/Operations!AE210)</f>
        <v/>
      </c>
      <c r="AF225" s="14">
        <f>IF(Operations!AF210=0,0,Operations!AF207/Operations!AF210)</f>
        <v/>
      </c>
      <c r="AG225" s="14">
        <f>IF(Operations!AG210=0,0,Operations!AG207/Operations!AG210)</f>
        <v/>
      </c>
      <c r="AH225" s="14">
        <f>IF(Operations!AH210=0,0,Operations!AH207/Operations!AH210)</f>
        <v/>
      </c>
      <c r="AI225" s="14">
        <f>IF(Operations!AI210=0,0,Operations!AI207/Operations!AI210)</f>
        <v/>
      </c>
      <c r="AJ225" s="14">
        <f>IF(Operations!AJ210=0,0,Operations!AJ207/Operations!AJ210)</f>
        <v/>
      </c>
      <c r="AK225" s="14">
        <f>IF(Operations!AK210=0,0,Operations!AK207/Operations!AK210)</f>
        <v/>
      </c>
      <c r="AL225" s="14">
        <f>IF(Operations!AL210=0,0,Operations!AL207/Operations!AL210)</f>
        <v/>
      </c>
      <c r="AM225" s="14">
        <f>IF(Operations!AM210=0,0,Operations!AM207/Operations!AM210)</f>
        <v/>
      </c>
      <c r="AN225" s="14">
        <f>IF(Operations!AN210=0,0,Operations!AN207/Operations!AN210)</f>
        <v/>
      </c>
      <c r="AO225" s="14">
        <f>IF(Operations!AO210=0,0,Operations!AO207/Operations!AO210)</f>
        <v/>
      </c>
      <c r="AP225" s="14">
        <f>IF(Operations!AP210=0,0,Operations!AP207/Operations!AP210)</f>
        <v/>
      </c>
      <c r="AQ225" s="14">
        <f>IF(Operations!AQ210=0,0,Operations!AQ207/Operations!AQ210)</f>
        <v/>
      </c>
      <c r="AR225" s="14">
        <f>IF(Operations!AR210=0,0,Operations!AR207/Operations!AR210)</f>
        <v/>
      </c>
      <c r="AS225" s="14">
        <f>IF(Operations!AS210=0,0,Operations!AS207/Operations!AS210)</f>
        <v/>
      </c>
      <c r="AT225" s="14">
        <f>IF(Operations!AT210=0,0,Operations!AT207/Operations!AT210)</f>
        <v/>
      </c>
      <c r="AU225" s="14">
        <f>IF(Operations!AU210=0,0,Operations!AU207/Operations!AU210)</f>
        <v/>
      </c>
    </row>
    <row r="226">
      <c r="D226" t="inlineStr">
        <is>
          <t>R4 hedged share of revenue</t>
        </is>
      </c>
      <c r="E226" t="inlineStr">
        <is>
          <t>fraction</t>
        </is>
      </c>
      <c r="J226" s="14">
        <f>IF(Operations!J210=0,0,Operations!J208/Operations!J210)</f>
        <v/>
      </c>
      <c r="K226" s="14">
        <f>IF(Operations!K210=0,0,Operations!K208/Operations!K210)</f>
        <v/>
      </c>
      <c r="L226" s="14">
        <f>IF(Operations!L210=0,0,Operations!L208/Operations!L210)</f>
        <v/>
      </c>
      <c r="M226" s="14">
        <f>IF(Operations!M210=0,0,Operations!M208/Operations!M210)</f>
        <v/>
      </c>
      <c r="N226" s="14">
        <f>IF(Operations!N210=0,0,Operations!N208/Operations!N210)</f>
        <v/>
      </c>
      <c r="O226" s="14">
        <f>IF(Operations!O210=0,0,Operations!O208/Operations!O210)</f>
        <v/>
      </c>
      <c r="P226" s="14">
        <f>IF(Operations!P210=0,0,Operations!P208/Operations!P210)</f>
        <v/>
      </c>
      <c r="Q226" s="14">
        <f>IF(Operations!Q210=0,0,Operations!Q208/Operations!Q210)</f>
        <v/>
      </c>
      <c r="R226" s="14">
        <f>IF(Operations!R210=0,0,Operations!R208/Operations!R210)</f>
        <v/>
      </c>
      <c r="S226" s="14">
        <f>IF(Operations!S210=0,0,Operations!S208/Operations!S210)</f>
        <v/>
      </c>
      <c r="T226" s="14">
        <f>IF(Operations!T210=0,0,Operations!T208/Operations!T210)</f>
        <v/>
      </c>
      <c r="U226" s="14">
        <f>IF(Operations!U210=0,0,Operations!U208/Operations!U210)</f>
        <v/>
      </c>
      <c r="V226" s="14">
        <f>IF(Operations!V210=0,0,Operations!V208/Operations!V210)</f>
        <v/>
      </c>
      <c r="W226" s="14">
        <f>IF(Operations!W210=0,0,Operations!W208/Operations!W210)</f>
        <v/>
      </c>
      <c r="X226" s="14">
        <f>IF(Operations!X210=0,0,Operations!X208/Operations!X210)</f>
        <v/>
      </c>
      <c r="Y226" s="14">
        <f>IF(Operations!Y210=0,0,Operations!Y208/Operations!Y210)</f>
        <v/>
      </c>
      <c r="Z226" s="14">
        <f>IF(Operations!Z210=0,0,Operations!Z208/Operations!Z210)</f>
        <v/>
      </c>
      <c r="AA226" s="14">
        <f>IF(Operations!AA210=0,0,Operations!AA208/Operations!AA210)</f>
        <v/>
      </c>
      <c r="AB226" s="14">
        <f>IF(Operations!AB210=0,0,Operations!AB208/Operations!AB210)</f>
        <v/>
      </c>
      <c r="AC226" s="14">
        <f>IF(Operations!AC210=0,0,Operations!AC208/Operations!AC210)</f>
        <v/>
      </c>
      <c r="AD226" s="14">
        <f>IF(Operations!AD210=0,0,Operations!AD208/Operations!AD210)</f>
        <v/>
      </c>
      <c r="AE226" s="14">
        <f>IF(Operations!AE210=0,0,Operations!AE208/Operations!AE210)</f>
        <v/>
      </c>
      <c r="AF226" s="14">
        <f>IF(Operations!AF210=0,0,Operations!AF208/Operations!AF210)</f>
        <v/>
      </c>
      <c r="AG226" s="14">
        <f>IF(Operations!AG210=0,0,Operations!AG208/Operations!AG210)</f>
        <v/>
      </c>
      <c r="AH226" s="14">
        <f>IF(Operations!AH210=0,0,Operations!AH208/Operations!AH210)</f>
        <v/>
      </c>
      <c r="AI226" s="14">
        <f>IF(Operations!AI210=0,0,Operations!AI208/Operations!AI210)</f>
        <v/>
      </c>
      <c r="AJ226" s="14">
        <f>IF(Operations!AJ210=0,0,Operations!AJ208/Operations!AJ210)</f>
        <v/>
      </c>
      <c r="AK226" s="14">
        <f>IF(Operations!AK210=0,0,Operations!AK208/Operations!AK210)</f>
        <v/>
      </c>
      <c r="AL226" s="14">
        <f>IF(Operations!AL210=0,0,Operations!AL208/Operations!AL210)</f>
        <v/>
      </c>
      <c r="AM226" s="14">
        <f>IF(Operations!AM210=0,0,Operations!AM208/Operations!AM210)</f>
        <v/>
      </c>
      <c r="AN226" s="14">
        <f>IF(Operations!AN210=0,0,Operations!AN208/Operations!AN210)</f>
        <v/>
      </c>
      <c r="AO226" s="14">
        <f>IF(Operations!AO210=0,0,Operations!AO208/Operations!AO210)</f>
        <v/>
      </c>
      <c r="AP226" s="14">
        <f>IF(Operations!AP210=0,0,Operations!AP208/Operations!AP210)</f>
        <v/>
      </c>
      <c r="AQ226" s="14">
        <f>IF(Operations!AQ210=0,0,Operations!AQ208/Operations!AQ210)</f>
        <v/>
      </c>
      <c r="AR226" s="14">
        <f>IF(Operations!AR210=0,0,Operations!AR208/Operations!AR210)</f>
        <v/>
      </c>
      <c r="AS226" s="14">
        <f>IF(Operations!AS210=0,0,Operations!AS208/Operations!AS210)</f>
        <v/>
      </c>
      <c r="AT226" s="14">
        <f>IF(Operations!AT210=0,0,Operations!AT208/Operations!AT210)</f>
        <v/>
      </c>
      <c r="AU226" s="14">
        <f>IF(Operations!AU210=0,0,Operations!AU208/Operations!AU210)</f>
        <v/>
      </c>
    </row>
    <row r="227">
      <c r="D227" t="inlineStr">
        <is>
          <t>R4 merchant share of revenue</t>
        </is>
      </c>
      <c r="E227" t="inlineStr">
        <is>
          <t>fraction</t>
        </is>
      </c>
      <c r="J227" s="14">
        <f>1-Operations!J225-Operations!J226</f>
        <v/>
      </c>
      <c r="K227" s="14">
        <f>1-Operations!K225-Operations!K226</f>
        <v/>
      </c>
      <c r="L227" s="14">
        <f>1-Operations!L225-Operations!L226</f>
        <v/>
      </c>
      <c r="M227" s="14">
        <f>1-Operations!M225-Operations!M226</f>
        <v/>
      </c>
      <c r="N227" s="14">
        <f>1-Operations!N225-Operations!N226</f>
        <v/>
      </c>
      <c r="O227" s="14">
        <f>1-Operations!O225-Operations!O226</f>
        <v/>
      </c>
      <c r="P227" s="14">
        <f>1-Operations!P225-Operations!P226</f>
        <v/>
      </c>
      <c r="Q227" s="14">
        <f>1-Operations!Q225-Operations!Q226</f>
        <v/>
      </c>
      <c r="R227" s="14">
        <f>1-Operations!R225-Operations!R226</f>
        <v/>
      </c>
      <c r="S227" s="14">
        <f>1-Operations!S225-Operations!S226</f>
        <v/>
      </c>
      <c r="T227" s="14">
        <f>1-Operations!T225-Operations!T226</f>
        <v/>
      </c>
      <c r="U227" s="14">
        <f>1-Operations!U225-Operations!U226</f>
        <v/>
      </c>
      <c r="V227" s="14">
        <f>1-Operations!V225-Operations!V226</f>
        <v/>
      </c>
      <c r="W227" s="14">
        <f>1-Operations!W225-Operations!W226</f>
        <v/>
      </c>
      <c r="X227" s="14">
        <f>1-Operations!X225-Operations!X226</f>
        <v/>
      </c>
      <c r="Y227" s="14">
        <f>1-Operations!Y225-Operations!Y226</f>
        <v/>
      </c>
      <c r="Z227" s="14">
        <f>1-Operations!Z225-Operations!Z226</f>
        <v/>
      </c>
      <c r="AA227" s="14">
        <f>1-Operations!AA225-Operations!AA226</f>
        <v/>
      </c>
      <c r="AB227" s="14">
        <f>1-Operations!AB225-Operations!AB226</f>
        <v/>
      </c>
      <c r="AC227" s="14">
        <f>1-Operations!AC225-Operations!AC226</f>
        <v/>
      </c>
      <c r="AD227" s="14">
        <f>1-Operations!AD225-Operations!AD226</f>
        <v/>
      </c>
      <c r="AE227" s="14">
        <f>1-Operations!AE225-Operations!AE226</f>
        <v/>
      </c>
      <c r="AF227" s="14">
        <f>1-Operations!AF225-Operations!AF226</f>
        <v/>
      </c>
      <c r="AG227" s="14">
        <f>1-Operations!AG225-Operations!AG226</f>
        <v/>
      </c>
      <c r="AH227" s="14">
        <f>1-Operations!AH225-Operations!AH226</f>
        <v/>
      </c>
      <c r="AI227" s="14">
        <f>1-Operations!AI225-Operations!AI226</f>
        <v/>
      </c>
      <c r="AJ227" s="14">
        <f>1-Operations!AJ225-Operations!AJ226</f>
        <v/>
      </c>
      <c r="AK227" s="14">
        <f>1-Operations!AK225-Operations!AK226</f>
        <v/>
      </c>
      <c r="AL227" s="14">
        <f>1-Operations!AL225-Operations!AL226</f>
        <v/>
      </c>
      <c r="AM227" s="14">
        <f>1-Operations!AM225-Operations!AM226</f>
        <v/>
      </c>
      <c r="AN227" s="14">
        <f>1-Operations!AN225-Operations!AN226</f>
        <v/>
      </c>
      <c r="AO227" s="14">
        <f>1-Operations!AO225-Operations!AO226</f>
        <v/>
      </c>
      <c r="AP227" s="14">
        <f>1-Operations!AP225-Operations!AP226</f>
        <v/>
      </c>
      <c r="AQ227" s="14">
        <f>1-Operations!AQ225-Operations!AQ226</f>
        <v/>
      </c>
      <c r="AR227" s="14">
        <f>1-Operations!AR225-Operations!AR226</f>
        <v/>
      </c>
      <c r="AS227" s="14">
        <f>1-Operations!AS225-Operations!AS226</f>
        <v/>
      </c>
      <c r="AT227" s="14">
        <f>1-Operations!AT225-Operations!AT226</f>
        <v/>
      </c>
      <c r="AU227" s="14">
        <f>1-Operations!AU225-Operations!AU226</f>
        <v/>
      </c>
    </row>
    <row r="228">
      <c r="D228" t="inlineStr">
        <is>
          <t>R4 Mesa-share contracted revenue</t>
        </is>
      </c>
      <c r="E228" t="inlineStr">
        <is>
          <t>USD m</t>
        </is>
      </c>
      <c r="J228" s="20">
        <f>Operations!J207*Operations!J193*(1-Operations!J220)</f>
        <v/>
      </c>
      <c r="K228" s="20">
        <f>Operations!K207*Operations!K193*(1-Operations!K220)</f>
        <v/>
      </c>
      <c r="L228" s="20">
        <f>Operations!L207*Operations!L193*(1-Operations!L220)</f>
        <v/>
      </c>
      <c r="M228" s="20">
        <f>Operations!M207*Operations!M193*(1-Operations!M220)</f>
        <v/>
      </c>
      <c r="N228" s="20">
        <f>Operations!N207*Operations!N193*(1-Operations!N220)</f>
        <v/>
      </c>
      <c r="O228" s="20">
        <f>Operations!O207*Operations!O193*(1-Operations!O220)</f>
        <v/>
      </c>
      <c r="P228" s="20">
        <f>Operations!P207*Operations!P193*(1-Operations!P220)</f>
        <v/>
      </c>
      <c r="Q228" s="20">
        <f>Operations!Q207*Operations!Q193*(1-Operations!Q220)</f>
        <v/>
      </c>
      <c r="R228" s="20">
        <f>Operations!R207*Operations!R193*(1-Operations!R220)</f>
        <v/>
      </c>
      <c r="S228" s="20">
        <f>Operations!S207*Operations!S193*(1-Operations!S220)</f>
        <v/>
      </c>
      <c r="T228" s="20">
        <f>Operations!T207*Operations!T193*(1-Operations!T220)</f>
        <v/>
      </c>
      <c r="U228" s="20">
        <f>Operations!U207*Operations!U193*(1-Operations!U220)</f>
        <v/>
      </c>
      <c r="V228" s="20">
        <f>Operations!V207*Operations!V193*(1-Operations!V220)</f>
        <v/>
      </c>
      <c r="W228" s="20">
        <f>Operations!W207*Operations!W193*(1-Operations!W220)</f>
        <v/>
      </c>
      <c r="X228" s="20">
        <f>Operations!X207*Operations!X193*(1-Operations!X220)</f>
        <v/>
      </c>
      <c r="Y228" s="20">
        <f>Operations!Y207*Operations!Y193*(1-Operations!Y220)</f>
        <v/>
      </c>
      <c r="Z228" s="20">
        <f>Operations!Z207*Operations!Z193*(1-Operations!Z220)</f>
        <v/>
      </c>
      <c r="AA228" s="20">
        <f>Operations!AA207*Operations!AA193*(1-Operations!AA220)</f>
        <v/>
      </c>
      <c r="AB228" s="20">
        <f>Operations!AB207*Operations!AB193*(1-Operations!AB220)</f>
        <v/>
      </c>
      <c r="AC228" s="20">
        <f>Operations!AC207*Operations!AC193*(1-Operations!AC220)</f>
        <v/>
      </c>
      <c r="AD228" s="20">
        <f>Operations!AD207*Operations!AD193*(1-Operations!AD220)</f>
        <v/>
      </c>
      <c r="AE228" s="20">
        <f>Operations!AE207*Operations!AE193*(1-Operations!AE220)</f>
        <v/>
      </c>
      <c r="AF228" s="20">
        <f>Operations!AF207*Operations!AF193*(1-Operations!AF220)</f>
        <v/>
      </c>
      <c r="AG228" s="20">
        <f>Operations!AG207*Operations!AG193*(1-Operations!AG220)</f>
        <v/>
      </c>
      <c r="AH228" s="20">
        <f>Operations!AH207*Operations!AH193*(1-Operations!AH220)</f>
        <v/>
      </c>
      <c r="AI228" s="20">
        <f>Operations!AI207*Operations!AI193*(1-Operations!AI220)</f>
        <v/>
      </c>
      <c r="AJ228" s="20">
        <f>Operations!AJ207*Operations!AJ193*(1-Operations!AJ220)</f>
        <v/>
      </c>
      <c r="AK228" s="20">
        <f>Operations!AK207*Operations!AK193*(1-Operations!AK220)</f>
        <v/>
      </c>
      <c r="AL228" s="20">
        <f>Operations!AL207*Operations!AL193*(1-Operations!AL220)</f>
        <v/>
      </c>
      <c r="AM228" s="20">
        <f>Operations!AM207*Operations!AM193*(1-Operations!AM220)</f>
        <v/>
      </c>
      <c r="AN228" s="20">
        <f>Operations!AN207*Operations!AN193*(1-Operations!AN220)</f>
        <v/>
      </c>
      <c r="AO228" s="20">
        <f>Operations!AO207*Operations!AO193*(1-Operations!AO220)</f>
        <v/>
      </c>
      <c r="AP228" s="20">
        <f>Operations!AP207*Operations!AP193*(1-Operations!AP220)</f>
        <v/>
      </c>
      <c r="AQ228" s="20">
        <f>Operations!AQ207*Operations!AQ193*(1-Operations!AQ220)</f>
        <v/>
      </c>
      <c r="AR228" s="20">
        <f>Operations!AR207*Operations!AR193*(1-Operations!AR220)</f>
        <v/>
      </c>
      <c r="AS228" s="20">
        <f>Operations!AS207*Operations!AS193*(1-Operations!AS220)</f>
        <v/>
      </c>
      <c r="AT228" s="20">
        <f>Operations!AT207*Operations!AT193*(1-Operations!AT220)</f>
        <v/>
      </c>
      <c r="AU228" s="20">
        <f>Operations!AU207*Operations!AU193*(1-Operations!AU220)</f>
        <v/>
      </c>
    </row>
    <row r="229">
      <c r="D229" t="inlineStr">
        <is>
          <t>R4 Mesa-share hedged revenue</t>
        </is>
      </c>
      <c r="E229" t="inlineStr">
        <is>
          <t>USD m</t>
        </is>
      </c>
      <c r="J229" s="20">
        <f>Operations!J208*Operations!J193*(1-Operations!J220)</f>
        <v/>
      </c>
      <c r="K229" s="20">
        <f>Operations!K208*Operations!K193*(1-Operations!K220)</f>
        <v/>
      </c>
      <c r="L229" s="20">
        <f>Operations!L208*Operations!L193*(1-Operations!L220)</f>
        <v/>
      </c>
      <c r="M229" s="20">
        <f>Operations!M208*Operations!M193*(1-Operations!M220)</f>
        <v/>
      </c>
      <c r="N229" s="20">
        <f>Operations!N208*Operations!N193*(1-Operations!N220)</f>
        <v/>
      </c>
      <c r="O229" s="20">
        <f>Operations!O208*Operations!O193*(1-Operations!O220)</f>
        <v/>
      </c>
      <c r="P229" s="20">
        <f>Operations!P208*Operations!P193*(1-Operations!P220)</f>
        <v/>
      </c>
      <c r="Q229" s="20">
        <f>Operations!Q208*Operations!Q193*(1-Operations!Q220)</f>
        <v/>
      </c>
      <c r="R229" s="20">
        <f>Operations!R208*Operations!R193*(1-Operations!R220)</f>
        <v/>
      </c>
      <c r="S229" s="20">
        <f>Operations!S208*Operations!S193*(1-Operations!S220)</f>
        <v/>
      </c>
      <c r="T229" s="20">
        <f>Operations!T208*Operations!T193*(1-Operations!T220)</f>
        <v/>
      </c>
      <c r="U229" s="20">
        <f>Operations!U208*Operations!U193*(1-Operations!U220)</f>
        <v/>
      </c>
      <c r="V229" s="20">
        <f>Operations!V208*Operations!V193*(1-Operations!V220)</f>
        <v/>
      </c>
      <c r="W229" s="20">
        <f>Operations!W208*Operations!W193*(1-Operations!W220)</f>
        <v/>
      </c>
      <c r="X229" s="20">
        <f>Operations!X208*Operations!X193*(1-Operations!X220)</f>
        <v/>
      </c>
      <c r="Y229" s="20">
        <f>Operations!Y208*Operations!Y193*(1-Operations!Y220)</f>
        <v/>
      </c>
      <c r="Z229" s="20">
        <f>Operations!Z208*Operations!Z193*(1-Operations!Z220)</f>
        <v/>
      </c>
      <c r="AA229" s="20">
        <f>Operations!AA208*Operations!AA193*(1-Operations!AA220)</f>
        <v/>
      </c>
      <c r="AB229" s="20">
        <f>Operations!AB208*Operations!AB193*(1-Operations!AB220)</f>
        <v/>
      </c>
      <c r="AC229" s="20">
        <f>Operations!AC208*Operations!AC193*(1-Operations!AC220)</f>
        <v/>
      </c>
      <c r="AD229" s="20">
        <f>Operations!AD208*Operations!AD193*(1-Operations!AD220)</f>
        <v/>
      </c>
      <c r="AE229" s="20">
        <f>Operations!AE208*Operations!AE193*(1-Operations!AE220)</f>
        <v/>
      </c>
      <c r="AF229" s="20">
        <f>Operations!AF208*Operations!AF193*(1-Operations!AF220)</f>
        <v/>
      </c>
      <c r="AG229" s="20">
        <f>Operations!AG208*Operations!AG193*(1-Operations!AG220)</f>
        <v/>
      </c>
      <c r="AH229" s="20">
        <f>Operations!AH208*Operations!AH193*(1-Operations!AH220)</f>
        <v/>
      </c>
      <c r="AI229" s="20">
        <f>Operations!AI208*Operations!AI193*(1-Operations!AI220)</f>
        <v/>
      </c>
      <c r="AJ229" s="20">
        <f>Operations!AJ208*Operations!AJ193*(1-Operations!AJ220)</f>
        <v/>
      </c>
      <c r="AK229" s="20">
        <f>Operations!AK208*Operations!AK193*(1-Operations!AK220)</f>
        <v/>
      </c>
      <c r="AL229" s="20">
        <f>Operations!AL208*Operations!AL193*(1-Operations!AL220)</f>
        <v/>
      </c>
      <c r="AM229" s="20">
        <f>Operations!AM208*Operations!AM193*(1-Operations!AM220)</f>
        <v/>
      </c>
      <c r="AN229" s="20">
        <f>Operations!AN208*Operations!AN193*(1-Operations!AN220)</f>
        <v/>
      </c>
      <c r="AO229" s="20">
        <f>Operations!AO208*Operations!AO193*(1-Operations!AO220)</f>
        <v/>
      </c>
      <c r="AP229" s="20">
        <f>Operations!AP208*Operations!AP193*(1-Operations!AP220)</f>
        <v/>
      </c>
      <c r="AQ229" s="20">
        <f>Operations!AQ208*Operations!AQ193*(1-Operations!AQ220)</f>
        <v/>
      </c>
      <c r="AR229" s="20">
        <f>Operations!AR208*Operations!AR193*(1-Operations!AR220)</f>
        <v/>
      </c>
      <c r="AS229" s="20">
        <f>Operations!AS208*Operations!AS193*(1-Operations!AS220)</f>
        <v/>
      </c>
      <c r="AT229" s="20">
        <f>Operations!AT208*Operations!AT193*(1-Operations!AT220)</f>
        <v/>
      </c>
      <c r="AU229" s="20">
        <f>Operations!AU208*Operations!AU193*(1-Operations!AU220)</f>
        <v/>
      </c>
    </row>
    <row r="230">
      <c r="D230" t="inlineStr">
        <is>
          <t>R4 Mesa-share merchant revenue</t>
        </is>
      </c>
      <c r="E230" t="inlineStr">
        <is>
          <t>USD m</t>
        </is>
      </c>
      <c r="J230" s="20">
        <f>Operations!J211*Operations!J193*(1-Operations!J220)</f>
        <v/>
      </c>
      <c r="K230" s="20">
        <f>Operations!K211*Operations!K193*(1-Operations!K220)</f>
        <v/>
      </c>
      <c r="L230" s="20">
        <f>Operations!L211*Operations!L193*(1-Operations!L220)</f>
        <v/>
      </c>
      <c r="M230" s="20">
        <f>Operations!M211*Operations!M193*(1-Operations!M220)</f>
        <v/>
      </c>
      <c r="N230" s="20">
        <f>Operations!N211*Operations!N193*(1-Operations!N220)</f>
        <v/>
      </c>
      <c r="O230" s="20">
        <f>Operations!O211*Operations!O193*(1-Operations!O220)</f>
        <v/>
      </c>
      <c r="P230" s="20">
        <f>Operations!P211*Operations!P193*(1-Operations!P220)</f>
        <v/>
      </c>
      <c r="Q230" s="20">
        <f>Operations!Q211*Operations!Q193*(1-Operations!Q220)</f>
        <v/>
      </c>
      <c r="R230" s="20">
        <f>Operations!R211*Operations!R193*(1-Operations!R220)</f>
        <v/>
      </c>
      <c r="S230" s="20">
        <f>Operations!S211*Operations!S193*(1-Operations!S220)</f>
        <v/>
      </c>
      <c r="T230" s="20">
        <f>Operations!T211*Operations!T193*(1-Operations!T220)</f>
        <v/>
      </c>
      <c r="U230" s="20">
        <f>Operations!U211*Operations!U193*(1-Operations!U220)</f>
        <v/>
      </c>
      <c r="V230" s="20">
        <f>Operations!V211*Operations!V193*(1-Operations!V220)</f>
        <v/>
      </c>
      <c r="W230" s="20">
        <f>Operations!W211*Operations!W193*(1-Operations!W220)</f>
        <v/>
      </c>
      <c r="X230" s="20">
        <f>Operations!X211*Operations!X193*(1-Operations!X220)</f>
        <v/>
      </c>
      <c r="Y230" s="20">
        <f>Operations!Y211*Operations!Y193*(1-Operations!Y220)</f>
        <v/>
      </c>
      <c r="Z230" s="20">
        <f>Operations!Z211*Operations!Z193*(1-Operations!Z220)</f>
        <v/>
      </c>
      <c r="AA230" s="20">
        <f>Operations!AA211*Operations!AA193*(1-Operations!AA220)</f>
        <v/>
      </c>
      <c r="AB230" s="20">
        <f>Operations!AB211*Operations!AB193*(1-Operations!AB220)</f>
        <v/>
      </c>
      <c r="AC230" s="20">
        <f>Operations!AC211*Operations!AC193*(1-Operations!AC220)</f>
        <v/>
      </c>
      <c r="AD230" s="20">
        <f>Operations!AD211*Operations!AD193*(1-Operations!AD220)</f>
        <v/>
      </c>
      <c r="AE230" s="20">
        <f>Operations!AE211*Operations!AE193*(1-Operations!AE220)</f>
        <v/>
      </c>
      <c r="AF230" s="20">
        <f>Operations!AF211*Operations!AF193*(1-Operations!AF220)</f>
        <v/>
      </c>
      <c r="AG230" s="20">
        <f>Operations!AG211*Operations!AG193*(1-Operations!AG220)</f>
        <v/>
      </c>
      <c r="AH230" s="20">
        <f>Operations!AH211*Operations!AH193*(1-Operations!AH220)</f>
        <v/>
      </c>
      <c r="AI230" s="20">
        <f>Operations!AI211*Operations!AI193*(1-Operations!AI220)</f>
        <v/>
      </c>
      <c r="AJ230" s="20">
        <f>Operations!AJ211*Operations!AJ193*(1-Operations!AJ220)</f>
        <v/>
      </c>
      <c r="AK230" s="20">
        <f>Operations!AK211*Operations!AK193*(1-Operations!AK220)</f>
        <v/>
      </c>
      <c r="AL230" s="20">
        <f>Operations!AL211*Operations!AL193*(1-Operations!AL220)</f>
        <v/>
      </c>
      <c r="AM230" s="20">
        <f>Operations!AM211*Operations!AM193*(1-Operations!AM220)</f>
        <v/>
      </c>
      <c r="AN230" s="20">
        <f>Operations!AN211*Operations!AN193*(1-Operations!AN220)</f>
        <v/>
      </c>
      <c r="AO230" s="20">
        <f>Operations!AO211*Operations!AO193*(1-Operations!AO220)</f>
        <v/>
      </c>
      <c r="AP230" s="20">
        <f>Operations!AP211*Operations!AP193*(1-Operations!AP220)</f>
        <v/>
      </c>
      <c r="AQ230" s="20">
        <f>Operations!AQ211*Operations!AQ193*(1-Operations!AQ220)</f>
        <v/>
      </c>
      <c r="AR230" s="20">
        <f>Operations!AR211*Operations!AR193*(1-Operations!AR220)</f>
        <v/>
      </c>
      <c r="AS230" s="20">
        <f>Operations!AS211*Operations!AS193*(1-Operations!AS220)</f>
        <v/>
      </c>
      <c r="AT230" s="20">
        <f>Operations!AT211*Operations!AT193*(1-Operations!AT220)</f>
        <v/>
      </c>
      <c r="AU230" s="20">
        <f>Operations!AU211*Operations!AU193*(1-Operations!AU220)</f>
        <v/>
      </c>
    </row>
    <row r="231">
      <c r="D231" t="inlineStr">
        <is>
          <t>R4 Mesa-share revenue</t>
        </is>
      </c>
      <c r="E231" t="inlineStr">
        <is>
          <t>USD m</t>
        </is>
      </c>
      <c r="J231" s="20">
        <f>Operations!J210*Operations!J193*(1-Operations!J220)</f>
        <v/>
      </c>
      <c r="K231" s="20">
        <f>Operations!K210*Operations!K193*(1-Operations!K220)</f>
        <v/>
      </c>
      <c r="L231" s="20">
        <f>Operations!L210*Operations!L193*(1-Operations!L220)</f>
        <v/>
      </c>
      <c r="M231" s="20">
        <f>Operations!M210*Operations!M193*(1-Operations!M220)</f>
        <v/>
      </c>
      <c r="N231" s="20">
        <f>Operations!N210*Operations!N193*(1-Operations!N220)</f>
        <v/>
      </c>
      <c r="O231" s="20">
        <f>Operations!O210*Operations!O193*(1-Operations!O220)</f>
        <v/>
      </c>
      <c r="P231" s="20">
        <f>Operations!P210*Operations!P193*(1-Operations!P220)</f>
        <v/>
      </c>
      <c r="Q231" s="20">
        <f>Operations!Q210*Operations!Q193*(1-Operations!Q220)</f>
        <v/>
      </c>
      <c r="R231" s="20">
        <f>Operations!R210*Operations!R193*(1-Operations!R220)</f>
        <v/>
      </c>
      <c r="S231" s="20">
        <f>Operations!S210*Operations!S193*(1-Operations!S220)</f>
        <v/>
      </c>
      <c r="T231" s="20">
        <f>Operations!T210*Operations!T193*(1-Operations!T220)</f>
        <v/>
      </c>
      <c r="U231" s="20">
        <f>Operations!U210*Operations!U193*(1-Operations!U220)</f>
        <v/>
      </c>
      <c r="V231" s="20">
        <f>Operations!V210*Operations!V193*(1-Operations!V220)</f>
        <v/>
      </c>
      <c r="W231" s="20">
        <f>Operations!W210*Operations!W193*(1-Operations!W220)</f>
        <v/>
      </c>
      <c r="X231" s="20">
        <f>Operations!X210*Operations!X193*(1-Operations!X220)</f>
        <v/>
      </c>
      <c r="Y231" s="20">
        <f>Operations!Y210*Operations!Y193*(1-Operations!Y220)</f>
        <v/>
      </c>
      <c r="Z231" s="20">
        <f>Operations!Z210*Operations!Z193*(1-Operations!Z220)</f>
        <v/>
      </c>
      <c r="AA231" s="20">
        <f>Operations!AA210*Operations!AA193*(1-Operations!AA220)</f>
        <v/>
      </c>
      <c r="AB231" s="20">
        <f>Operations!AB210*Operations!AB193*(1-Operations!AB220)</f>
        <v/>
      </c>
      <c r="AC231" s="20">
        <f>Operations!AC210*Operations!AC193*(1-Operations!AC220)</f>
        <v/>
      </c>
      <c r="AD231" s="20">
        <f>Operations!AD210*Operations!AD193*(1-Operations!AD220)</f>
        <v/>
      </c>
      <c r="AE231" s="20">
        <f>Operations!AE210*Operations!AE193*(1-Operations!AE220)</f>
        <v/>
      </c>
      <c r="AF231" s="20">
        <f>Operations!AF210*Operations!AF193*(1-Operations!AF220)</f>
        <v/>
      </c>
      <c r="AG231" s="20">
        <f>Operations!AG210*Operations!AG193*(1-Operations!AG220)</f>
        <v/>
      </c>
      <c r="AH231" s="20">
        <f>Operations!AH210*Operations!AH193*(1-Operations!AH220)</f>
        <v/>
      </c>
      <c r="AI231" s="20">
        <f>Operations!AI210*Operations!AI193*(1-Operations!AI220)</f>
        <v/>
      </c>
      <c r="AJ231" s="20">
        <f>Operations!AJ210*Operations!AJ193*(1-Operations!AJ220)</f>
        <v/>
      </c>
      <c r="AK231" s="20">
        <f>Operations!AK210*Operations!AK193*(1-Operations!AK220)</f>
        <v/>
      </c>
      <c r="AL231" s="20">
        <f>Operations!AL210*Operations!AL193*(1-Operations!AL220)</f>
        <v/>
      </c>
      <c r="AM231" s="20">
        <f>Operations!AM210*Operations!AM193*(1-Operations!AM220)</f>
        <v/>
      </c>
      <c r="AN231" s="20">
        <f>Operations!AN210*Operations!AN193*(1-Operations!AN220)</f>
        <v/>
      </c>
      <c r="AO231" s="20">
        <f>Operations!AO210*Operations!AO193*(1-Operations!AO220)</f>
        <v/>
      </c>
      <c r="AP231" s="20">
        <f>Operations!AP210*Operations!AP193*(1-Operations!AP220)</f>
        <v/>
      </c>
      <c r="AQ231" s="20">
        <f>Operations!AQ210*Operations!AQ193*(1-Operations!AQ220)</f>
        <v/>
      </c>
      <c r="AR231" s="20">
        <f>Operations!AR210*Operations!AR193*(1-Operations!AR220)</f>
        <v/>
      </c>
      <c r="AS231" s="20">
        <f>Operations!AS210*Operations!AS193*(1-Operations!AS220)</f>
        <v/>
      </c>
      <c r="AT231" s="20">
        <f>Operations!AT210*Operations!AT193*(1-Operations!AT220)</f>
        <v/>
      </c>
      <c r="AU231" s="20">
        <f>Operations!AU210*Operations!AU193*(1-Operations!AU220)</f>
        <v/>
      </c>
    </row>
    <row r="232">
      <c r="D232" s="19" t="inlineStr">
        <is>
          <t>R5 Calloway Mesa Solar (single-axis tracking PV)</t>
        </is>
      </c>
    </row>
    <row r="233">
      <c r="D233" t="inlineStr">
        <is>
          <t>R5 operating fraction</t>
        </is>
      </c>
      <c r="E233" t="inlineStr">
        <is>
          <t>fraction</t>
        </is>
      </c>
      <c r="J233" s="14">
        <f>MAX(0,MIN(Inputs!$F$134,Time!J$6)-MAX(Inputs!$F$133,Time!J$5))/Time!J$7</f>
        <v/>
      </c>
      <c r="K233" s="14">
        <f>MAX(0,MIN(Inputs!$F$134,Time!K$6)-MAX(Inputs!$F$133,Time!K$5))/Time!K$7</f>
        <v/>
      </c>
      <c r="L233" s="14">
        <f>MAX(0,MIN(Inputs!$F$134,Time!L$6)-MAX(Inputs!$F$133,Time!L$5))/Time!L$7</f>
        <v/>
      </c>
      <c r="M233" s="14">
        <f>MAX(0,MIN(Inputs!$F$134,Time!M$6)-MAX(Inputs!$F$133,Time!M$5))/Time!M$7</f>
        <v/>
      </c>
      <c r="N233" s="14">
        <f>MAX(0,MIN(Inputs!$F$134,Time!N$6)-MAX(Inputs!$F$133,Time!N$5))/Time!N$7</f>
        <v/>
      </c>
      <c r="O233" s="14">
        <f>MAX(0,MIN(Inputs!$F$134,Time!O$6)-MAX(Inputs!$F$133,Time!O$5))/Time!O$7</f>
        <v/>
      </c>
      <c r="P233" s="14">
        <f>MAX(0,MIN(Inputs!$F$134,Time!P$6)-MAX(Inputs!$F$133,Time!P$5))/Time!P$7</f>
        <v/>
      </c>
      <c r="Q233" s="14">
        <f>MAX(0,MIN(Inputs!$F$134,Time!Q$6)-MAX(Inputs!$F$133,Time!Q$5))/Time!Q$7</f>
        <v/>
      </c>
      <c r="R233" s="14">
        <f>MAX(0,MIN(Inputs!$F$134,Time!R$6)-MAX(Inputs!$F$133,Time!R$5))/Time!R$7</f>
        <v/>
      </c>
      <c r="S233" s="14">
        <f>MAX(0,MIN(Inputs!$F$134,Time!S$6)-MAX(Inputs!$F$133,Time!S$5))/Time!S$7</f>
        <v/>
      </c>
      <c r="T233" s="14">
        <f>MAX(0,MIN(Inputs!$F$134,Time!T$6)-MAX(Inputs!$F$133,Time!T$5))/Time!T$7</f>
        <v/>
      </c>
      <c r="U233" s="14">
        <f>MAX(0,MIN(Inputs!$F$134,Time!U$6)-MAX(Inputs!$F$133,Time!U$5))/Time!U$7</f>
        <v/>
      </c>
      <c r="V233" s="14">
        <f>MAX(0,MIN(Inputs!$F$134,Time!V$6)-MAX(Inputs!$F$133,Time!V$5))/Time!V$7</f>
        <v/>
      </c>
      <c r="W233" s="14">
        <f>MAX(0,MIN(Inputs!$F$134,Time!W$6)-MAX(Inputs!$F$133,Time!W$5))/Time!W$7</f>
        <v/>
      </c>
      <c r="X233" s="14">
        <f>MAX(0,MIN(Inputs!$F$134,Time!X$6)-MAX(Inputs!$F$133,Time!X$5))/Time!X$7</f>
        <v/>
      </c>
      <c r="Y233" s="14">
        <f>MAX(0,MIN(Inputs!$F$134,Time!Y$6)-MAX(Inputs!$F$133,Time!Y$5))/Time!Y$7</f>
        <v/>
      </c>
      <c r="Z233" s="14">
        <f>MAX(0,MIN(Inputs!$F$134,Time!Z$6)-MAX(Inputs!$F$133,Time!Z$5))/Time!Z$7</f>
        <v/>
      </c>
      <c r="AA233" s="14">
        <f>MAX(0,MIN(Inputs!$F$134,Time!AA$6)-MAX(Inputs!$F$133,Time!AA$5))/Time!AA$7</f>
        <v/>
      </c>
      <c r="AB233" s="14">
        <f>MAX(0,MIN(Inputs!$F$134,Time!AB$6)-MAX(Inputs!$F$133,Time!AB$5))/Time!AB$7</f>
        <v/>
      </c>
      <c r="AC233" s="14">
        <f>MAX(0,MIN(Inputs!$F$134,Time!AC$6)-MAX(Inputs!$F$133,Time!AC$5))/Time!AC$7</f>
        <v/>
      </c>
      <c r="AD233" s="14">
        <f>MAX(0,MIN(Inputs!$F$134,Time!AD$6)-MAX(Inputs!$F$133,Time!AD$5))/Time!AD$7</f>
        <v/>
      </c>
      <c r="AE233" s="14">
        <f>MAX(0,MIN(Inputs!$F$134,Time!AE$6)-MAX(Inputs!$F$133,Time!AE$5))/Time!AE$7</f>
        <v/>
      </c>
      <c r="AF233" s="14">
        <f>MAX(0,MIN(Inputs!$F$134,Time!AF$6)-MAX(Inputs!$F$133,Time!AF$5))/Time!AF$7</f>
        <v/>
      </c>
      <c r="AG233" s="14">
        <f>MAX(0,MIN(Inputs!$F$134,Time!AG$6)-MAX(Inputs!$F$133,Time!AG$5))/Time!AG$7</f>
        <v/>
      </c>
      <c r="AH233" s="14">
        <f>MAX(0,MIN(Inputs!$F$134,Time!AH$6)-MAX(Inputs!$F$133,Time!AH$5))/Time!AH$7</f>
        <v/>
      </c>
      <c r="AI233" s="14">
        <f>MAX(0,MIN(Inputs!$F$134,Time!AI$6)-MAX(Inputs!$F$133,Time!AI$5))/Time!AI$7</f>
        <v/>
      </c>
      <c r="AJ233" s="14">
        <f>MAX(0,MIN(Inputs!$F$134,Time!AJ$6)-MAX(Inputs!$F$133,Time!AJ$5))/Time!AJ$7</f>
        <v/>
      </c>
      <c r="AK233" s="14">
        <f>MAX(0,MIN(Inputs!$F$134,Time!AK$6)-MAX(Inputs!$F$133,Time!AK$5))/Time!AK$7</f>
        <v/>
      </c>
      <c r="AL233" s="14">
        <f>MAX(0,MIN(Inputs!$F$134,Time!AL$6)-MAX(Inputs!$F$133,Time!AL$5))/Time!AL$7</f>
        <v/>
      </c>
      <c r="AM233" s="14">
        <f>MAX(0,MIN(Inputs!$F$134,Time!AM$6)-MAX(Inputs!$F$133,Time!AM$5))/Time!AM$7</f>
        <v/>
      </c>
      <c r="AN233" s="14">
        <f>MAX(0,MIN(Inputs!$F$134,Time!AN$6)-MAX(Inputs!$F$133,Time!AN$5))/Time!AN$7</f>
        <v/>
      </c>
      <c r="AO233" s="14">
        <f>MAX(0,MIN(Inputs!$F$134,Time!AO$6)-MAX(Inputs!$F$133,Time!AO$5))/Time!AO$7</f>
        <v/>
      </c>
      <c r="AP233" s="14">
        <f>MAX(0,MIN(Inputs!$F$134,Time!AP$6)-MAX(Inputs!$F$133,Time!AP$5))/Time!AP$7</f>
        <v/>
      </c>
      <c r="AQ233" s="14">
        <f>MAX(0,MIN(Inputs!$F$134,Time!AQ$6)-MAX(Inputs!$F$133,Time!AQ$5))/Time!AQ$7</f>
        <v/>
      </c>
      <c r="AR233" s="14">
        <f>MAX(0,MIN(Inputs!$F$134,Time!AR$6)-MAX(Inputs!$F$133,Time!AR$5))/Time!AR$7</f>
        <v/>
      </c>
      <c r="AS233" s="14">
        <f>MAX(0,MIN(Inputs!$F$134,Time!AS$6)-MAX(Inputs!$F$133,Time!AS$5))/Time!AS$7</f>
        <v/>
      </c>
      <c r="AT233" s="14">
        <f>MAX(0,MIN(Inputs!$F$134,Time!AT$6)-MAX(Inputs!$F$133,Time!AT$5))/Time!AT$7</f>
        <v/>
      </c>
      <c r="AU233" s="14">
        <f>MAX(0,MIN(Inputs!$F$134,Time!AU$6)-MAX(Inputs!$F$133,Time!AU$5))/Time!AU$7</f>
        <v/>
      </c>
    </row>
    <row r="234">
      <c r="D234" t="inlineStr">
        <is>
          <t>R5 owned fraction</t>
        </is>
      </c>
      <c r="E234" t="inlineStr">
        <is>
          <t>fraction</t>
        </is>
      </c>
      <c r="J234" s="14">
        <f>MAX(0,MIN(Inputs!$F$134,Time!J$6)-MAX(MAX(Inputs!$F$135,Inputs!$F$133),Time!J$5))/Time!J$7</f>
        <v/>
      </c>
      <c r="K234" s="14">
        <f>MAX(0,MIN(Inputs!$F$134,Time!K$6)-MAX(MAX(Inputs!$F$135,Inputs!$F$133),Time!K$5))/Time!K$7</f>
        <v/>
      </c>
      <c r="L234" s="14">
        <f>MAX(0,MIN(Inputs!$F$134,Time!L$6)-MAX(MAX(Inputs!$F$135,Inputs!$F$133),Time!L$5))/Time!L$7</f>
        <v/>
      </c>
      <c r="M234" s="14">
        <f>MAX(0,MIN(Inputs!$F$134,Time!M$6)-MAX(MAX(Inputs!$F$135,Inputs!$F$133),Time!M$5))/Time!M$7</f>
        <v/>
      </c>
      <c r="N234" s="14">
        <f>MAX(0,MIN(Inputs!$F$134,Time!N$6)-MAX(MAX(Inputs!$F$135,Inputs!$F$133),Time!N$5))/Time!N$7</f>
        <v/>
      </c>
      <c r="O234" s="14">
        <f>MAX(0,MIN(Inputs!$F$134,Time!O$6)-MAX(MAX(Inputs!$F$135,Inputs!$F$133),Time!O$5))/Time!O$7</f>
        <v/>
      </c>
      <c r="P234" s="14">
        <f>MAX(0,MIN(Inputs!$F$134,Time!P$6)-MAX(MAX(Inputs!$F$135,Inputs!$F$133),Time!P$5))/Time!P$7</f>
        <v/>
      </c>
      <c r="Q234" s="14">
        <f>MAX(0,MIN(Inputs!$F$134,Time!Q$6)-MAX(MAX(Inputs!$F$135,Inputs!$F$133),Time!Q$5))/Time!Q$7</f>
        <v/>
      </c>
      <c r="R234" s="14">
        <f>MAX(0,MIN(Inputs!$F$134,Time!R$6)-MAX(MAX(Inputs!$F$135,Inputs!$F$133),Time!R$5))/Time!R$7</f>
        <v/>
      </c>
      <c r="S234" s="14">
        <f>MAX(0,MIN(Inputs!$F$134,Time!S$6)-MAX(MAX(Inputs!$F$135,Inputs!$F$133),Time!S$5))/Time!S$7</f>
        <v/>
      </c>
      <c r="T234" s="14">
        <f>MAX(0,MIN(Inputs!$F$134,Time!T$6)-MAX(MAX(Inputs!$F$135,Inputs!$F$133),Time!T$5))/Time!T$7</f>
        <v/>
      </c>
      <c r="U234" s="14">
        <f>MAX(0,MIN(Inputs!$F$134,Time!U$6)-MAX(MAX(Inputs!$F$135,Inputs!$F$133),Time!U$5))/Time!U$7</f>
        <v/>
      </c>
      <c r="V234" s="14">
        <f>MAX(0,MIN(Inputs!$F$134,Time!V$6)-MAX(MAX(Inputs!$F$135,Inputs!$F$133),Time!V$5))/Time!V$7</f>
        <v/>
      </c>
      <c r="W234" s="14">
        <f>MAX(0,MIN(Inputs!$F$134,Time!W$6)-MAX(MAX(Inputs!$F$135,Inputs!$F$133),Time!W$5))/Time!W$7</f>
        <v/>
      </c>
      <c r="X234" s="14">
        <f>MAX(0,MIN(Inputs!$F$134,Time!X$6)-MAX(MAX(Inputs!$F$135,Inputs!$F$133),Time!X$5))/Time!X$7</f>
        <v/>
      </c>
      <c r="Y234" s="14">
        <f>MAX(0,MIN(Inputs!$F$134,Time!Y$6)-MAX(MAX(Inputs!$F$135,Inputs!$F$133),Time!Y$5))/Time!Y$7</f>
        <v/>
      </c>
      <c r="Z234" s="14">
        <f>MAX(0,MIN(Inputs!$F$134,Time!Z$6)-MAX(MAX(Inputs!$F$135,Inputs!$F$133),Time!Z$5))/Time!Z$7</f>
        <v/>
      </c>
      <c r="AA234" s="14">
        <f>MAX(0,MIN(Inputs!$F$134,Time!AA$6)-MAX(MAX(Inputs!$F$135,Inputs!$F$133),Time!AA$5))/Time!AA$7</f>
        <v/>
      </c>
      <c r="AB234" s="14">
        <f>MAX(0,MIN(Inputs!$F$134,Time!AB$6)-MAX(MAX(Inputs!$F$135,Inputs!$F$133),Time!AB$5))/Time!AB$7</f>
        <v/>
      </c>
      <c r="AC234" s="14">
        <f>MAX(0,MIN(Inputs!$F$134,Time!AC$6)-MAX(MAX(Inputs!$F$135,Inputs!$F$133),Time!AC$5))/Time!AC$7</f>
        <v/>
      </c>
      <c r="AD234" s="14">
        <f>MAX(0,MIN(Inputs!$F$134,Time!AD$6)-MAX(MAX(Inputs!$F$135,Inputs!$F$133),Time!AD$5))/Time!AD$7</f>
        <v/>
      </c>
      <c r="AE234" s="14">
        <f>MAX(0,MIN(Inputs!$F$134,Time!AE$6)-MAX(MAX(Inputs!$F$135,Inputs!$F$133),Time!AE$5))/Time!AE$7</f>
        <v/>
      </c>
      <c r="AF234" s="14">
        <f>MAX(0,MIN(Inputs!$F$134,Time!AF$6)-MAX(MAX(Inputs!$F$135,Inputs!$F$133),Time!AF$5))/Time!AF$7</f>
        <v/>
      </c>
      <c r="AG234" s="14">
        <f>MAX(0,MIN(Inputs!$F$134,Time!AG$6)-MAX(MAX(Inputs!$F$135,Inputs!$F$133),Time!AG$5))/Time!AG$7</f>
        <v/>
      </c>
      <c r="AH234" s="14">
        <f>MAX(0,MIN(Inputs!$F$134,Time!AH$6)-MAX(MAX(Inputs!$F$135,Inputs!$F$133),Time!AH$5))/Time!AH$7</f>
        <v/>
      </c>
      <c r="AI234" s="14">
        <f>MAX(0,MIN(Inputs!$F$134,Time!AI$6)-MAX(MAX(Inputs!$F$135,Inputs!$F$133),Time!AI$5))/Time!AI$7</f>
        <v/>
      </c>
      <c r="AJ234" s="14">
        <f>MAX(0,MIN(Inputs!$F$134,Time!AJ$6)-MAX(MAX(Inputs!$F$135,Inputs!$F$133),Time!AJ$5))/Time!AJ$7</f>
        <v/>
      </c>
      <c r="AK234" s="14">
        <f>MAX(0,MIN(Inputs!$F$134,Time!AK$6)-MAX(MAX(Inputs!$F$135,Inputs!$F$133),Time!AK$5))/Time!AK$7</f>
        <v/>
      </c>
      <c r="AL234" s="14">
        <f>MAX(0,MIN(Inputs!$F$134,Time!AL$6)-MAX(MAX(Inputs!$F$135,Inputs!$F$133),Time!AL$5))/Time!AL$7</f>
        <v/>
      </c>
      <c r="AM234" s="14">
        <f>MAX(0,MIN(Inputs!$F$134,Time!AM$6)-MAX(MAX(Inputs!$F$135,Inputs!$F$133),Time!AM$5))/Time!AM$7</f>
        <v/>
      </c>
      <c r="AN234" s="14">
        <f>MAX(0,MIN(Inputs!$F$134,Time!AN$6)-MAX(MAX(Inputs!$F$135,Inputs!$F$133),Time!AN$5))/Time!AN$7</f>
        <v/>
      </c>
      <c r="AO234" s="14">
        <f>MAX(0,MIN(Inputs!$F$134,Time!AO$6)-MAX(MAX(Inputs!$F$135,Inputs!$F$133),Time!AO$5))/Time!AO$7</f>
        <v/>
      </c>
      <c r="AP234" s="14">
        <f>MAX(0,MIN(Inputs!$F$134,Time!AP$6)-MAX(MAX(Inputs!$F$135,Inputs!$F$133),Time!AP$5))/Time!AP$7</f>
        <v/>
      </c>
      <c r="AQ234" s="14">
        <f>MAX(0,MIN(Inputs!$F$134,Time!AQ$6)-MAX(MAX(Inputs!$F$135,Inputs!$F$133),Time!AQ$5))/Time!AQ$7</f>
        <v/>
      </c>
      <c r="AR234" s="14">
        <f>MAX(0,MIN(Inputs!$F$134,Time!AR$6)-MAX(MAX(Inputs!$F$135,Inputs!$F$133),Time!AR$5))/Time!AR$7</f>
        <v/>
      </c>
      <c r="AS234" s="14">
        <f>MAX(0,MIN(Inputs!$F$134,Time!AS$6)-MAX(MAX(Inputs!$F$135,Inputs!$F$133),Time!AS$5))/Time!AS$7</f>
        <v/>
      </c>
      <c r="AT234" s="14">
        <f>MAX(0,MIN(Inputs!$F$134,Time!AT$6)-MAX(MAX(Inputs!$F$135,Inputs!$F$133),Time!AT$5))/Time!AT$7</f>
        <v/>
      </c>
      <c r="AU234" s="14">
        <f>MAX(0,MIN(Inputs!$F$134,Time!AU$6)-MAX(MAX(Inputs!$F$135,Inputs!$F$133),Time!AU$5))/Time!AU$7</f>
        <v/>
      </c>
    </row>
    <row r="235">
      <c r="D235" t="inlineStr">
        <is>
          <t>R5 owned share of operating period</t>
        </is>
      </c>
      <c r="E235" t="inlineStr">
        <is>
          <t>fraction</t>
        </is>
      </c>
      <c r="J235" s="14">
        <f>IF(Operations!J233&gt;0,Operations!J234/Operations!J233,0)</f>
        <v/>
      </c>
      <c r="K235" s="14">
        <f>IF(Operations!K233&gt;0,Operations!K234/Operations!K233,0)</f>
        <v/>
      </c>
      <c r="L235" s="14">
        <f>IF(Operations!L233&gt;0,Operations!L234/Operations!L233,0)</f>
        <v/>
      </c>
      <c r="M235" s="14">
        <f>IF(Operations!M233&gt;0,Operations!M234/Operations!M233,0)</f>
        <v/>
      </c>
      <c r="N235" s="14">
        <f>IF(Operations!N233&gt;0,Operations!N234/Operations!N233,0)</f>
        <v/>
      </c>
      <c r="O235" s="14">
        <f>IF(Operations!O233&gt;0,Operations!O234/Operations!O233,0)</f>
        <v/>
      </c>
      <c r="P235" s="14">
        <f>IF(Operations!P233&gt;0,Operations!P234/Operations!P233,0)</f>
        <v/>
      </c>
      <c r="Q235" s="14">
        <f>IF(Operations!Q233&gt;0,Operations!Q234/Operations!Q233,0)</f>
        <v/>
      </c>
      <c r="R235" s="14">
        <f>IF(Operations!R233&gt;0,Operations!R234/Operations!R233,0)</f>
        <v/>
      </c>
      <c r="S235" s="14">
        <f>IF(Operations!S233&gt;0,Operations!S234/Operations!S233,0)</f>
        <v/>
      </c>
      <c r="T235" s="14">
        <f>IF(Operations!T233&gt;0,Operations!T234/Operations!T233,0)</f>
        <v/>
      </c>
      <c r="U235" s="14">
        <f>IF(Operations!U233&gt;0,Operations!U234/Operations!U233,0)</f>
        <v/>
      </c>
      <c r="V235" s="14">
        <f>IF(Operations!V233&gt;0,Operations!V234/Operations!V233,0)</f>
        <v/>
      </c>
      <c r="W235" s="14">
        <f>IF(Operations!W233&gt;0,Operations!W234/Operations!W233,0)</f>
        <v/>
      </c>
      <c r="X235" s="14">
        <f>IF(Operations!X233&gt;0,Operations!X234/Operations!X233,0)</f>
        <v/>
      </c>
      <c r="Y235" s="14">
        <f>IF(Operations!Y233&gt;0,Operations!Y234/Operations!Y233,0)</f>
        <v/>
      </c>
      <c r="Z235" s="14">
        <f>IF(Operations!Z233&gt;0,Operations!Z234/Operations!Z233,0)</f>
        <v/>
      </c>
      <c r="AA235" s="14">
        <f>IF(Operations!AA233&gt;0,Operations!AA234/Operations!AA233,0)</f>
        <v/>
      </c>
      <c r="AB235" s="14">
        <f>IF(Operations!AB233&gt;0,Operations!AB234/Operations!AB233,0)</f>
        <v/>
      </c>
      <c r="AC235" s="14">
        <f>IF(Operations!AC233&gt;0,Operations!AC234/Operations!AC233,0)</f>
        <v/>
      </c>
      <c r="AD235" s="14">
        <f>IF(Operations!AD233&gt;0,Operations!AD234/Operations!AD233,0)</f>
        <v/>
      </c>
      <c r="AE235" s="14">
        <f>IF(Operations!AE233&gt;0,Operations!AE234/Operations!AE233,0)</f>
        <v/>
      </c>
      <c r="AF235" s="14">
        <f>IF(Operations!AF233&gt;0,Operations!AF234/Operations!AF233,0)</f>
        <v/>
      </c>
      <c r="AG235" s="14">
        <f>IF(Operations!AG233&gt;0,Operations!AG234/Operations!AG233,0)</f>
        <v/>
      </c>
      <c r="AH235" s="14">
        <f>IF(Operations!AH233&gt;0,Operations!AH234/Operations!AH233,0)</f>
        <v/>
      </c>
      <c r="AI235" s="14">
        <f>IF(Operations!AI233&gt;0,Operations!AI234/Operations!AI233,0)</f>
        <v/>
      </c>
      <c r="AJ235" s="14">
        <f>IF(Operations!AJ233&gt;0,Operations!AJ234/Operations!AJ233,0)</f>
        <v/>
      </c>
      <c r="AK235" s="14">
        <f>IF(Operations!AK233&gt;0,Operations!AK234/Operations!AK233,0)</f>
        <v/>
      </c>
      <c r="AL235" s="14">
        <f>IF(Operations!AL233&gt;0,Operations!AL234/Operations!AL233,0)</f>
        <v/>
      </c>
      <c r="AM235" s="14">
        <f>IF(Operations!AM233&gt;0,Operations!AM234/Operations!AM233,0)</f>
        <v/>
      </c>
      <c r="AN235" s="14">
        <f>IF(Operations!AN233&gt;0,Operations!AN234/Operations!AN233,0)</f>
        <v/>
      </c>
      <c r="AO235" s="14">
        <f>IF(Operations!AO233&gt;0,Operations!AO234/Operations!AO233,0)</f>
        <v/>
      </c>
      <c r="AP235" s="14">
        <f>IF(Operations!AP233&gt;0,Operations!AP234/Operations!AP233,0)</f>
        <v/>
      </c>
      <c r="AQ235" s="14">
        <f>IF(Operations!AQ233&gt;0,Operations!AQ234/Operations!AQ233,0)</f>
        <v/>
      </c>
      <c r="AR235" s="14">
        <f>IF(Operations!AR233&gt;0,Operations!AR234/Operations!AR233,0)</f>
        <v/>
      </c>
      <c r="AS235" s="14">
        <f>IF(Operations!AS233&gt;0,Operations!AS234/Operations!AS233,0)</f>
        <v/>
      </c>
      <c r="AT235" s="14">
        <f>IF(Operations!AT233&gt;0,Operations!AT234/Operations!AT233,0)</f>
        <v/>
      </c>
      <c r="AU235" s="14">
        <f>IF(Operations!AU233&gt;0,Operations!AU234/Operations!AU233,0)</f>
        <v/>
      </c>
    </row>
    <row r="236">
      <c r="D236" t="inlineStr">
        <is>
          <t>R5 own hub ATC</t>
        </is>
      </c>
      <c r="E236" t="inlineStr">
        <is>
          <t>USD/MWh</t>
        </is>
      </c>
      <c r="J236" s="18">
        <f>Operations!J53</f>
        <v/>
      </c>
      <c r="K236" s="18">
        <f>Operations!K53</f>
        <v/>
      </c>
      <c r="L236" s="18">
        <f>Operations!L53</f>
        <v/>
      </c>
      <c r="M236" s="18">
        <f>Operations!M53</f>
        <v/>
      </c>
      <c r="N236" s="18">
        <f>Operations!N53</f>
        <v/>
      </c>
      <c r="O236" s="18">
        <f>Operations!O53</f>
        <v/>
      </c>
      <c r="P236" s="18">
        <f>Operations!P53</f>
        <v/>
      </c>
      <c r="Q236" s="18">
        <f>Operations!Q53</f>
        <v/>
      </c>
      <c r="R236" s="18">
        <f>Operations!R53</f>
        <v/>
      </c>
      <c r="S236" s="18">
        <f>Operations!S53</f>
        <v/>
      </c>
      <c r="T236" s="18">
        <f>Operations!T53</f>
        <v/>
      </c>
      <c r="U236" s="18">
        <f>Operations!U53</f>
        <v/>
      </c>
      <c r="V236" s="18">
        <f>Operations!V53</f>
        <v/>
      </c>
      <c r="W236" s="18">
        <f>Operations!W53</f>
        <v/>
      </c>
      <c r="X236" s="18">
        <f>Operations!X53</f>
        <v/>
      </c>
      <c r="Y236" s="18">
        <f>Operations!Y53</f>
        <v/>
      </c>
      <c r="Z236" s="18">
        <f>Operations!Z53</f>
        <v/>
      </c>
      <c r="AA236" s="18">
        <f>Operations!AA53</f>
        <v/>
      </c>
      <c r="AB236" s="18">
        <f>Operations!AB53</f>
        <v/>
      </c>
      <c r="AC236" s="18">
        <f>Operations!AC53</f>
        <v/>
      </c>
      <c r="AD236" s="18">
        <f>Operations!AD53</f>
        <v/>
      </c>
      <c r="AE236" s="18">
        <f>Operations!AE53</f>
        <v/>
      </c>
      <c r="AF236" s="18">
        <f>Operations!AF53</f>
        <v/>
      </c>
      <c r="AG236" s="18">
        <f>Operations!AG53</f>
        <v/>
      </c>
      <c r="AH236" s="18">
        <f>Operations!AH53</f>
        <v/>
      </c>
      <c r="AI236" s="18">
        <f>Operations!AI53</f>
        <v/>
      </c>
      <c r="AJ236" s="18">
        <f>Operations!AJ53</f>
        <v/>
      </c>
      <c r="AK236" s="18">
        <f>Operations!AK53</f>
        <v/>
      </c>
      <c r="AL236" s="18">
        <f>Operations!AL53</f>
        <v/>
      </c>
      <c r="AM236" s="18">
        <f>Operations!AM53</f>
        <v/>
      </c>
      <c r="AN236" s="18">
        <f>Operations!AN53</f>
        <v/>
      </c>
      <c r="AO236" s="18">
        <f>Operations!AO53</f>
        <v/>
      </c>
      <c r="AP236" s="18">
        <f>Operations!AP53</f>
        <v/>
      </c>
      <c r="AQ236" s="18">
        <f>Operations!AQ53</f>
        <v/>
      </c>
      <c r="AR236" s="18">
        <f>Operations!AR53</f>
        <v/>
      </c>
      <c r="AS236" s="18">
        <f>Operations!AS53</f>
        <v/>
      </c>
      <c r="AT236" s="18">
        <f>Operations!AT53</f>
        <v/>
      </c>
      <c r="AU236" s="18">
        <f>Operations!AU53</f>
        <v/>
      </c>
    </row>
    <row r="237">
      <c r="D237" t="inlineStr">
        <is>
          <t>R5 volume factor</t>
        </is>
      </c>
      <c r="E237" t="inlineStr">
        <is>
          <t>factor</t>
        </is>
      </c>
      <c r="J237" s="14">
        <f>CHOOSE(Operations!$F$47,1,Inputs!$F$139/100,Inputs!$F$140/100,Operations!$F$36/100)</f>
        <v/>
      </c>
      <c r="K237" s="14">
        <f>CHOOSE(Operations!$F$47,1,Inputs!$F$139/100,Inputs!$F$140/100,Operations!$F$36/100)</f>
        <v/>
      </c>
      <c r="L237" s="14">
        <f>CHOOSE(Operations!$F$47,1,Inputs!$F$139/100,Inputs!$F$140/100,Operations!$F$36/100)</f>
        <v/>
      </c>
      <c r="M237" s="14">
        <f>CHOOSE(Operations!$F$47,1,Inputs!$F$139/100,Inputs!$F$140/100,Operations!$F$36/100)</f>
        <v/>
      </c>
      <c r="N237" s="14">
        <f>CHOOSE(Operations!$F$47,1,Inputs!$F$139/100,Inputs!$F$140/100,Operations!$F$36/100)</f>
        <v/>
      </c>
      <c r="O237" s="14">
        <f>CHOOSE(Operations!$F$47,1,Inputs!$F$139/100,Inputs!$F$140/100,Operations!$F$36/100)</f>
        <v/>
      </c>
      <c r="P237" s="14">
        <f>CHOOSE(Operations!$F$47,1,Inputs!$F$139/100,Inputs!$F$140/100,Operations!$F$36/100)</f>
        <v/>
      </c>
      <c r="Q237" s="14">
        <f>CHOOSE(Operations!$F$47,1,Inputs!$F$139/100,Inputs!$F$140/100,Operations!$F$36/100)</f>
        <v/>
      </c>
      <c r="R237" s="14">
        <f>CHOOSE(Operations!$F$47,1,Inputs!$F$139/100,Inputs!$F$140/100,Operations!$F$36/100)</f>
        <v/>
      </c>
      <c r="S237" s="14">
        <f>CHOOSE(Operations!$F$47,1,Inputs!$F$139/100,Inputs!$F$140/100,Operations!$F$36/100)</f>
        <v/>
      </c>
      <c r="T237" s="14">
        <f>CHOOSE(Operations!$F$47,1,Inputs!$F$139/100,Inputs!$F$140/100,Operations!$F$36/100)</f>
        <v/>
      </c>
      <c r="U237" s="14">
        <f>CHOOSE(Operations!$F$47,1,Inputs!$F$139/100,Inputs!$F$140/100,Operations!$F$36/100)</f>
        <v/>
      </c>
      <c r="V237" s="14">
        <f>CHOOSE(Operations!$F$47,1,Inputs!$F$139/100,Inputs!$F$140/100,Operations!$F$36/100)</f>
        <v/>
      </c>
      <c r="W237" s="14">
        <f>CHOOSE(Operations!$F$47,1,Inputs!$F$139/100,Inputs!$F$140/100,Operations!$F$36/100)</f>
        <v/>
      </c>
      <c r="X237" s="14">
        <f>CHOOSE(Operations!$F$47,1,Inputs!$F$139/100,Inputs!$F$140/100,Operations!$F$36/100)</f>
        <v/>
      </c>
      <c r="Y237" s="14">
        <f>CHOOSE(Operations!$F$47,1,Inputs!$F$139/100,Inputs!$F$140/100,Operations!$F$36/100)</f>
        <v/>
      </c>
      <c r="Z237" s="14">
        <f>CHOOSE(Operations!$F$47,1,Inputs!$F$139/100,Inputs!$F$140/100,Operations!$F$36/100)</f>
        <v/>
      </c>
      <c r="AA237" s="14">
        <f>CHOOSE(Operations!$F$47,1,Inputs!$F$139/100,Inputs!$F$140/100,Operations!$F$36/100)</f>
        <v/>
      </c>
      <c r="AB237" s="14">
        <f>CHOOSE(Operations!$F$47,1,Inputs!$F$139/100,Inputs!$F$140/100,Operations!$F$36/100)</f>
        <v/>
      </c>
      <c r="AC237" s="14">
        <f>CHOOSE(Operations!$F$47,1,Inputs!$F$139/100,Inputs!$F$140/100,Operations!$F$36/100)</f>
        <v/>
      </c>
      <c r="AD237" s="14">
        <f>CHOOSE(Operations!$F$47,1,Inputs!$F$139/100,Inputs!$F$140/100,Operations!$F$36/100)</f>
        <v/>
      </c>
      <c r="AE237" s="14">
        <f>CHOOSE(Operations!$F$47,1,Inputs!$F$139/100,Inputs!$F$140/100,Operations!$F$36/100)</f>
        <v/>
      </c>
      <c r="AF237" s="14">
        <f>CHOOSE(Operations!$F$47,1,Inputs!$F$139/100,Inputs!$F$140/100,Operations!$F$36/100)</f>
        <v/>
      </c>
      <c r="AG237" s="14">
        <f>CHOOSE(Operations!$F$47,1,Inputs!$F$139/100,Inputs!$F$140/100,Operations!$F$36/100)</f>
        <v/>
      </c>
      <c r="AH237" s="14">
        <f>CHOOSE(Operations!$F$47,1,Inputs!$F$139/100,Inputs!$F$140/100,Operations!$F$36/100)</f>
        <v/>
      </c>
      <c r="AI237" s="14">
        <f>CHOOSE(Operations!$F$47,1,Inputs!$F$139/100,Inputs!$F$140/100,Operations!$F$36/100)</f>
        <v/>
      </c>
      <c r="AJ237" s="14">
        <f>CHOOSE(Operations!$F$47,1,Inputs!$F$139/100,Inputs!$F$140/100,Operations!$F$36/100)</f>
        <v/>
      </c>
      <c r="AK237" s="14">
        <f>CHOOSE(Operations!$F$47,1,Inputs!$F$139/100,Inputs!$F$140/100,Operations!$F$36/100)</f>
        <v/>
      </c>
      <c r="AL237" s="14">
        <f>CHOOSE(Operations!$F$47,1,Inputs!$F$139/100,Inputs!$F$140/100,Operations!$F$36/100)</f>
        <v/>
      </c>
      <c r="AM237" s="14">
        <f>CHOOSE(Operations!$F$47,1,Inputs!$F$139/100,Inputs!$F$140/100,Operations!$F$36/100)</f>
        <v/>
      </c>
      <c r="AN237" s="14">
        <f>CHOOSE(Operations!$F$47,1,Inputs!$F$139/100,Inputs!$F$140/100,Operations!$F$36/100)</f>
        <v/>
      </c>
      <c r="AO237" s="14">
        <f>CHOOSE(Operations!$F$47,1,Inputs!$F$139/100,Inputs!$F$140/100,Operations!$F$36/100)</f>
        <v/>
      </c>
      <c r="AP237" s="14">
        <f>CHOOSE(Operations!$F$47,1,Inputs!$F$139/100,Inputs!$F$140/100,Operations!$F$36/100)</f>
        <v/>
      </c>
      <c r="AQ237" s="14">
        <f>CHOOSE(Operations!$F$47,1,Inputs!$F$139/100,Inputs!$F$140/100,Operations!$F$36/100)</f>
        <v/>
      </c>
      <c r="AR237" s="14">
        <f>CHOOSE(Operations!$F$47,1,Inputs!$F$139/100,Inputs!$F$140/100,Operations!$F$36/100)</f>
        <v/>
      </c>
      <c r="AS237" s="14">
        <f>CHOOSE(Operations!$F$47,1,Inputs!$F$139/100,Inputs!$F$140/100,Operations!$F$36/100)</f>
        <v/>
      </c>
      <c r="AT237" s="14">
        <f>CHOOSE(Operations!$F$47,1,Inputs!$F$139/100,Inputs!$F$140/100,Operations!$F$36/100)</f>
        <v/>
      </c>
      <c r="AU237" s="14">
        <f>CHOOSE(Operations!$F$47,1,Inputs!$F$139/100,Inputs!$F$140/100,Operations!$F$36/100)</f>
        <v/>
      </c>
    </row>
    <row r="238">
      <c r="D238" t="inlineStr">
        <is>
          <t>R5 degradation factor</t>
        </is>
      </c>
      <c r="E238" t="inlineStr">
        <is>
          <t>factor</t>
        </is>
      </c>
      <c r="J238" s="14">
        <f>(1-Inputs!$F$141/100)^MAX(0,Time!J$4-Inputs!$F$142)</f>
        <v/>
      </c>
      <c r="K238" s="14">
        <f>(1-Inputs!$F$141/100)^MAX(0,Time!K$4-Inputs!$F$142)</f>
        <v/>
      </c>
      <c r="L238" s="14">
        <f>(1-Inputs!$F$141/100)^MAX(0,Time!L$4-Inputs!$F$142)</f>
        <v/>
      </c>
      <c r="M238" s="14">
        <f>(1-Inputs!$F$141/100)^MAX(0,Time!M$4-Inputs!$F$142)</f>
        <v/>
      </c>
      <c r="N238" s="14">
        <f>(1-Inputs!$F$141/100)^MAX(0,Time!N$4-Inputs!$F$142)</f>
        <v/>
      </c>
      <c r="O238" s="14">
        <f>(1-Inputs!$F$141/100)^MAX(0,Time!O$4-Inputs!$F$142)</f>
        <v/>
      </c>
      <c r="P238" s="14">
        <f>(1-Inputs!$F$141/100)^MAX(0,Time!P$4-Inputs!$F$142)</f>
        <v/>
      </c>
      <c r="Q238" s="14">
        <f>(1-Inputs!$F$141/100)^MAX(0,Time!Q$4-Inputs!$F$142)</f>
        <v/>
      </c>
      <c r="R238" s="14">
        <f>(1-Inputs!$F$141/100)^MAX(0,Time!R$4-Inputs!$F$142)</f>
        <v/>
      </c>
      <c r="S238" s="14">
        <f>(1-Inputs!$F$141/100)^MAX(0,Time!S$4-Inputs!$F$142)</f>
        <v/>
      </c>
      <c r="T238" s="14">
        <f>(1-Inputs!$F$141/100)^MAX(0,Time!T$4-Inputs!$F$142)</f>
        <v/>
      </c>
      <c r="U238" s="14">
        <f>(1-Inputs!$F$141/100)^MAX(0,Time!U$4-Inputs!$F$142)</f>
        <v/>
      </c>
      <c r="V238" s="14">
        <f>(1-Inputs!$F$141/100)^MAX(0,Time!V$4-Inputs!$F$142)</f>
        <v/>
      </c>
      <c r="W238" s="14">
        <f>(1-Inputs!$F$141/100)^MAX(0,Time!W$4-Inputs!$F$142)</f>
        <v/>
      </c>
      <c r="X238" s="14">
        <f>(1-Inputs!$F$141/100)^MAX(0,Time!X$4-Inputs!$F$142)</f>
        <v/>
      </c>
      <c r="Y238" s="14">
        <f>(1-Inputs!$F$141/100)^MAX(0,Time!Y$4-Inputs!$F$142)</f>
        <v/>
      </c>
      <c r="Z238" s="14">
        <f>(1-Inputs!$F$141/100)^MAX(0,Time!Z$4-Inputs!$F$142)</f>
        <v/>
      </c>
      <c r="AA238" s="14">
        <f>(1-Inputs!$F$141/100)^MAX(0,Time!AA$4-Inputs!$F$142)</f>
        <v/>
      </c>
      <c r="AB238" s="14">
        <f>(1-Inputs!$F$141/100)^MAX(0,Time!AB$4-Inputs!$F$142)</f>
        <v/>
      </c>
      <c r="AC238" s="14">
        <f>(1-Inputs!$F$141/100)^MAX(0,Time!AC$4-Inputs!$F$142)</f>
        <v/>
      </c>
      <c r="AD238" s="14">
        <f>(1-Inputs!$F$141/100)^MAX(0,Time!AD$4-Inputs!$F$142)</f>
        <v/>
      </c>
      <c r="AE238" s="14">
        <f>(1-Inputs!$F$141/100)^MAX(0,Time!AE$4-Inputs!$F$142)</f>
        <v/>
      </c>
      <c r="AF238" s="14">
        <f>(1-Inputs!$F$141/100)^MAX(0,Time!AF$4-Inputs!$F$142)</f>
        <v/>
      </c>
      <c r="AG238" s="14">
        <f>(1-Inputs!$F$141/100)^MAX(0,Time!AG$4-Inputs!$F$142)</f>
        <v/>
      </c>
      <c r="AH238" s="14">
        <f>(1-Inputs!$F$141/100)^MAX(0,Time!AH$4-Inputs!$F$142)</f>
        <v/>
      </c>
      <c r="AI238" s="14">
        <f>(1-Inputs!$F$141/100)^MAX(0,Time!AI$4-Inputs!$F$142)</f>
        <v/>
      </c>
      <c r="AJ238" s="14">
        <f>(1-Inputs!$F$141/100)^MAX(0,Time!AJ$4-Inputs!$F$142)</f>
        <v/>
      </c>
      <c r="AK238" s="14">
        <f>(1-Inputs!$F$141/100)^MAX(0,Time!AK$4-Inputs!$F$142)</f>
        <v/>
      </c>
      <c r="AL238" s="14">
        <f>(1-Inputs!$F$141/100)^MAX(0,Time!AL$4-Inputs!$F$142)</f>
        <v/>
      </c>
      <c r="AM238" s="14">
        <f>(1-Inputs!$F$141/100)^MAX(0,Time!AM$4-Inputs!$F$142)</f>
        <v/>
      </c>
      <c r="AN238" s="14">
        <f>(1-Inputs!$F$141/100)^MAX(0,Time!AN$4-Inputs!$F$142)</f>
        <v/>
      </c>
      <c r="AO238" s="14">
        <f>(1-Inputs!$F$141/100)^MAX(0,Time!AO$4-Inputs!$F$142)</f>
        <v/>
      </c>
      <c r="AP238" s="14">
        <f>(1-Inputs!$F$141/100)^MAX(0,Time!AP$4-Inputs!$F$142)</f>
        <v/>
      </c>
      <c r="AQ238" s="14">
        <f>(1-Inputs!$F$141/100)^MAX(0,Time!AQ$4-Inputs!$F$142)</f>
        <v/>
      </c>
      <c r="AR238" s="14">
        <f>(1-Inputs!$F$141/100)^MAX(0,Time!AR$4-Inputs!$F$142)</f>
        <v/>
      </c>
      <c r="AS238" s="14">
        <f>(1-Inputs!$F$141/100)^MAX(0,Time!AS$4-Inputs!$F$142)</f>
        <v/>
      </c>
      <c r="AT238" s="14">
        <f>(1-Inputs!$F$141/100)^MAX(0,Time!AT$4-Inputs!$F$142)</f>
        <v/>
      </c>
      <c r="AU238" s="14">
        <f>(1-Inputs!$F$141/100)^MAX(0,Time!AU$4-Inputs!$F$142)</f>
        <v/>
      </c>
    </row>
    <row r="239">
      <c r="D239" t="inlineStr">
        <is>
          <t>R5 curtailment</t>
        </is>
      </c>
      <c r="E239" t="inlineStr">
        <is>
          <t>fraction</t>
        </is>
      </c>
      <c r="J239" s="14">
        <f>(IF(Time!J$4&gt;=Inputs!$F$61,Inputs!$F$67,Inputs!$F$66+(Inputs!$F$67-Inputs!$F$66)*(Time!J$4-Inputs!$F$23)/(Inputs!$F$61-Inputs!$F$23))+Operations!$F$49)/100</f>
        <v/>
      </c>
      <c r="K239" s="14">
        <f>(IF(Time!K$4&gt;=Inputs!$F$61,Inputs!$F$67,Inputs!$F$66+(Inputs!$F$67-Inputs!$F$66)*(Time!K$4-Inputs!$F$23)/(Inputs!$F$61-Inputs!$F$23))+Operations!$F$49)/100</f>
        <v/>
      </c>
      <c r="L239" s="14">
        <f>(IF(Time!L$4&gt;=Inputs!$F$61,Inputs!$F$67,Inputs!$F$66+(Inputs!$F$67-Inputs!$F$66)*(Time!L$4-Inputs!$F$23)/(Inputs!$F$61-Inputs!$F$23))+Operations!$F$49)/100</f>
        <v/>
      </c>
      <c r="M239" s="14">
        <f>(IF(Time!M$4&gt;=Inputs!$F$61,Inputs!$F$67,Inputs!$F$66+(Inputs!$F$67-Inputs!$F$66)*(Time!M$4-Inputs!$F$23)/(Inputs!$F$61-Inputs!$F$23))+Operations!$F$49)/100</f>
        <v/>
      </c>
      <c r="N239" s="14">
        <f>(IF(Time!N$4&gt;=Inputs!$F$61,Inputs!$F$67,Inputs!$F$66+(Inputs!$F$67-Inputs!$F$66)*(Time!N$4-Inputs!$F$23)/(Inputs!$F$61-Inputs!$F$23))+Operations!$F$49)/100</f>
        <v/>
      </c>
      <c r="O239" s="14">
        <f>(IF(Time!O$4&gt;=Inputs!$F$61,Inputs!$F$67,Inputs!$F$66+(Inputs!$F$67-Inputs!$F$66)*(Time!O$4-Inputs!$F$23)/(Inputs!$F$61-Inputs!$F$23))+Operations!$F$49)/100</f>
        <v/>
      </c>
      <c r="P239" s="14">
        <f>(IF(Time!P$4&gt;=Inputs!$F$61,Inputs!$F$67,Inputs!$F$66+(Inputs!$F$67-Inputs!$F$66)*(Time!P$4-Inputs!$F$23)/(Inputs!$F$61-Inputs!$F$23))+Operations!$F$49)/100</f>
        <v/>
      </c>
      <c r="Q239" s="14">
        <f>(IF(Time!Q$4&gt;=Inputs!$F$61,Inputs!$F$67,Inputs!$F$66+(Inputs!$F$67-Inputs!$F$66)*(Time!Q$4-Inputs!$F$23)/(Inputs!$F$61-Inputs!$F$23))+Operations!$F$49)/100</f>
        <v/>
      </c>
      <c r="R239" s="14">
        <f>(IF(Time!R$4&gt;=Inputs!$F$61,Inputs!$F$67,Inputs!$F$66+(Inputs!$F$67-Inputs!$F$66)*(Time!R$4-Inputs!$F$23)/(Inputs!$F$61-Inputs!$F$23))+Operations!$F$49)/100</f>
        <v/>
      </c>
      <c r="S239" s="14">
        <f>(IF(Time!S$4&gt;=Inputs!$F$61,Inputs!$F$67,Inputs!$F$66+(Inputs!$F$67-Inputs!$F$66)*(Time!S$4-Inputs!$F$23)/(Inputs!$F$61-Inputs!$F$23))+Operations!$F$49)/100</f>
        <v/>
      </c>
      <c r="T239" s="14">
        <f>(IF(Time!T$4&gt;=Inputs!$F$61,Inputs!$F$67,Inputs!$F$66+(Inputs!$F$67-Inputs!$F$66)*(Time!T$4-Inputs!$F$23)/(Inputs!$F$61-Inputs!$F$23))+Operations!$F$49)/100</f>
        <v/>
      </c>
      <c r="U239" s="14">
        <f>(IF(Time!U$4&gt;=Inputs!$F$61,Inputs!$F$67,Inputs!$F$66+(Inputs!$F$67-Inputs!$F$66)*(Time!U$4-Inputs!$F$23)/(Inputs!$F$61-Inputs!$F$23))+Operations!$F$49)/100</f>
        <v/>
      </c>
      <c r="V239" s="14">
        <f>(IF(Time!V$4&gt;=Inputs!$F$61,Inputs!$F$67,Inputs!$F$66+(Inputs!$F$67-Inputs!$F$66)*(Time!V$4-Inputs!$F$23)/(Inputs!$F$61-Inputs!$F$23))+Operations!$F$49)/100</f>
        <v/>
      </c>
      <c r="W239" s="14">
        <f>(IF(Time!W$4&gt;=Inputs!$F$61,Inputs!$F$67,Inputs!$F$66+(Inputs!$F$67-Inputs!$F$66)*(Time!W$4-Inputs!$F$23)/(Inputs!$F$61-Inputs!$F$23))+Operations!$F$49)/100</f>
        <v/>
      </c>
      <c r="X239" s="14">
        <f>(IF(Time!X$4&gt;=Inputs!$F$61,Inputs!$F$67,Inputs!$F$66+(Inputs!$F$67-Inputs!$F$66)*(Time!X$4-Inputs!$F$23)/(Inputs!$F$61-Inputs!$F$23))+Operations!$F$49)/100</f>
        <v/>
      </c>
      <c r="Y239" s="14">
        <f>(IF(Time!Y$4&gt;=Inputs!$F$61,Inputs!$F$67,Inputs!$F$66+(Inputs!$F$67-Inputs!$F$66)*(Time!Y$4-Inputs!$F$23)/(Inputs!$F$61-Inputs!$F$23))+Operations!$F$49)/100</f>
        <v/>
      </c>
      <c r="Z239" s="14">
        <f>(IF(Time!Z$4&gt;=Inputs!$F$61,Inputs!$F$67,Inputs!$F$66+(Inputs!$F$67-Inputs!$F$66)*(Time!Z$4-Inputs!$F$23)/(Inputs!$F$61-Inputs!$F$23))+Operations!$F$49)/100</f>
        <v/>
      </c>
      <c r="AA239" s="14">
        <f>(IF(Time!AA$4&gt;=Inputs!$F$61,Inputs!$F$67,Inputs!$F$66+(Inputs!$F$67-Inputs!$F$66)*(Time!AA$4-Inputs!$F$23)/(Inputs!$F$61-Inputs!$F$23))+Operations!$F$49)/100</f>
        <v/>
      </c>
      <c r="AB239" s="14">
        <f>(IF(Time!AB$4&gt;=Inputs!$F$61,Inputs!$F$67,Inputs!$F$66+(Inputs!$F$67-Inputs!$F$66)*(Time!AB$4-Inputs!$F$23)/(Inputs!$F$61-Inputs!$F$23))+Operations!$F$49)/100</f>
        <v/>
      </c>
      <c r="AC239" s="14">
        <f>(IF(Time!AC$4&gt;=Inputs!$F$61,Inputs!$F$67,Inputs!$F$66+(Inputs!$F$67-Inputs!$F$66)*(Time!AC$4-Inputs!$F$23)/(Inputs!$F$61-Inputs!$F$23))+Operations!$F$49)/100</f>
        <v/>
      </c>
      <c r="AD239" s="14">
        <f>(IF(Time!AD$4&gt;=Inputs!$F$61,Inputs!$F$67,Inputs!$F$66+(Inputs!$F$67-Inputs!$F$66)*(Time!AD$4-Inputs!$F$23)/(Inputs!$F$61-Inputs!$F$23))+Operations!$F$49)/100</f>
        <v/>
      </c>
      <c r="AE239" s="14">
        <f>(IF(Time!AE$4&gt;=Inputs!$F$61,Inputs!$F$67,Inputs!$F$66+(Inputs!$F$67-Inputs!$F$66)*(Time!AE$4-Inputs!$F$23)/(Inputs!$F$61-Inputs!$F$23))+Operations!$F$49)/100</f>
        <v/>
      </c>
      <c r="AF239" s="14">
        <f>(IF(Time!AF$4&gt;=Inputs!$F$61,Inputs!$F$67,Inputs!$F$66+(Inputs!$F$67-Inputs!$F$66)*(Time!AF$4-Inputs!$F$23)/(Inputs!$F$61-Inputs!$F$23))+Operations!$F$49)/100</f>
        <v/>
      </c>
      <c r="AG239" s="14">
        <f>(IF(Time!AG$4&gt;=Inputs!$F$61,Inputs!$F$67,Inputs!$F$66+(Inputs!$F$67-Inputs!$F$66)*(Time!AG$4-Inputs!$F$23)/(Inputs!$F$61-Inputs!$F$23))+Operations!$F$49)/100</f>
        <v/>
      </c>
      <c r="AH239" s="14">
        <f>(IF(Time!AH$4&gt;=Inputs!$F$61,Inputs!$F$67,Inputs!$F$66+(Inputs!$F$67-Inputs!$F$66)*(Time!AH$4-Inputs!$F$23)/(Inputs!$F$61-Inputs!$F$23))+Operations!$F$49)/100</f>
        <v/>
      </c>
      <c r="AI239" s="14">
        <f>(IF(Time!AI$4&gt;=Inputs!$F$61,Inputs!$F$67,Inputs!$F$66+(Inputs!$F$67-Inputs!$F$66)*(Time!AI$4-Inputs!$F$23)/(Inputs!$F$61-Inputs!$F$23))+Operations!$F$49)/100</f>
        <v/>
      </c>
      <c r="AJ239" s="14">
        <f>(IF(Time!AJ$4&gt;=Inputs!$F$61,Inputs!$F$67,Inputs!$F$66+(Inputs!$F$67-Inputs!$F$66)*(Time!AJ$4-Inputs!$F$23)/(Inputs!$F$61-Inputs!$F$23))+Operations!$F$49)/100</f>
        <v/>
      </c>
      <c r="AK239" s="14">
        <f>(IF(Time!AK$4&gt;=Inputs!$F$61,Inputs!$F$67,Inputs!$F$66+(Inputs!$F$67-Inputs!$F$66)*(Time!AK$4-Inputs!$F$23)/(Inputs!$F$61-Inputs!$F$23))+Operations!$F$49)/100</f>
        <v/>
      </c>
      <c r="AL239" s="14">
        <f>(IF(Time!AL$4&gt;=Inputs!$F$61,Inputs!$F$67,Inputs!$F$66+(Inputs!$F$67-Inputs!$F$66)*(Time!AL$4-Inputs!$F$23)/(Inputs!$F$61-Inputs!$F$23))+Operations!$F$49)/100</f>
        <v/>
      </c>
      <c r="AM239" s="14">
        <f>(IF(Time!AM$4&gt;=Inputs!$F$61,Inputs!$F$67,Inputs!$F$66+(Inputs!$F$67-Inputs!$F$66)*(Time!AM$4-Inputs!$F$23)/(Inputs!$F$61-Inputs!$F$23))+Operations!$F$49)/100</f>
        <v/>
      </c>
      <c r="AN239" s="14">
        <f>(IF(Time!AN$4&gt;=Inputs!$F$61,Inputs!$F$67,Inputs!$F$66+(Inputs!$F$67-Inputs!$F$66)*(Time!AN$4-Inputs!$F$23)/(Inputs!$F$61-Inputs!$F$23))+Operations!$F$49)/100</f>
        <v/>
      </c>
      <c r="AO239" s="14">
        <f>(IF(Time!AO$4&gt;=Inputs!$F$61,Inputs!$F$67,Inputs!$F$66+(Inputs!$F$67-Inputs!$F$66)*(Time!AO$4-Inputs!$F$23)/(Inputs!$F$61-Inputs!$F$23))+Operations!$F$49)/100</f>
        <v/>
      </c>
      <c r="AP239" s="14">
        <f>(IF(Time!AP$4&gt;=Inputs!$F$61,Inputs!$F$67,Inputs!$F$66+(Inputs!$F$67-Inputs!$F$66)*(Time!AP$4-Inputs!$F$23)/(Inputs!$F$61-Inputs!$F$23))+Operations!$F$49)/100</f>
        <v/>
      </c>
      <c r="AQ239" s="14">
        <f>(IF(Time!AQ$4&gt;=Inputs!$F$61,Inputs!$F$67,Inputs!$F$66+(Inputs!$F$67-Inputs!$F$66)*(Time!AQ$4-Inputs!$F$23)/(Inputs!$F$61-Inputs!$F$23))+Operations!$F$49)/100</f>
        <v/>
      </c>
      <c r="AR239" s="14">
        <f>(IF(Time!AR$4&gt;=Inputs!$F$61,Inputs!$F$67,Inputs!$F$66+(Inputs!$F$67-Inputs!$F$66)*(Time!AR$4-Inputs!$F$23)/(Inputs!$F$61-Inputs!$F$23))+Operations!$F$49)/100</f>
        <v/>
      </c>
      <c r="AS239" s="14">
        <f>(IF(Time!AS$4&gt;=Inputs!$F$61,Inputs!$F$67,Inputs!$F$66+(Inputs!$F$67-Inputs!$F$66)*(Time!AS$4-Inputs!$F$23)/(Inputs!$F$61-Inputs!$F$23))+Operations!$F$49)/100</f>
        <v/>
      </c>
      <c r="AT239" s="14">
        <f>(IF(Time!AT$4&gt;=Inputs!$F$61,Inputs!$F$67,Inputs!$F$66+(Inputs!$F$67-Inputs!$F$66)*(Time!AT$4-Inputs!$F$23)/(Inputs!$F$61-Inputs!$F$23))+Operations!$F$49)/100</f>
        <v/>
      </c>
      <c r="AU239" s="14">
        <f>(IF(Time!AU$4&gt;=Inputs!$F$61,Inputs!$F$67,Inputs!$F$66+(Inputs!$F$67-Inputs!$F$66)*(Time!AU$4-Inputs!$F$23)/(Inputs!$F$61-Inputs!$F$23))+Operations!$F$49)/100</f>
        <v/>
      </c>
    </row>
    <row r="240">
      <c r="D240" t="inlineStr">
        <is>
          <t>R5 net generation, full year</t>
        </is>
      </c>
      <c r="E240" t="inlineStr">
        <is>
          <t>GWh</t>
        </is>
      </c>
      <c r="J240" s="20">
        <f>Inputs!$F$138*Operations!J237*Inputs!$F$185/100*Operations!J238*(1-Operations!J239)</f>
        <v/>
      </c>
      <c r="K240" s="20">
        <f>Inputs!$F$138*Operations!K237*Inputs!$F$185/100*Operations!K238*(1-Operations!K239)</f>
        <v/>
      </c>
      <c r="L240" s="20">
        <f>Inputs!$F$138*Operations!L237*Inputs!$F$185/100*Operations!L238*(1-Operations!L239)</f>
        <v/>
      </c>
      <c r="M240" s="20">
        <f>Inputs!$F$138*Operations!M237*Inputs!$F$185/100*Operations!M238*(1-Operations!M239)</f>
        <v/>
      </c>
      <c r="N240" s="20">
        <f>Inputs!$F$138*Operations!N237*Inputs!$F$185/100*Operations!N238*(1-Operations!N239)</f>
        <v/>
      </c>
      <c r="O240" s="20">
        <f>Inputs!$F$138*Operations!O237*Inputs!$F$185/100*Operations!O238*(1-Operations!O239)</f>
        <v/>
      </c>
      <c r="P240" s="20">
        <f>Inputs!$F$138*Operations!P237*Inputs!$F$185/100*Operations!P238*(1-Operations!P239)</f>
        <v/>
      </c>
      <c r="Q240" s="20">
        <f>Inputs!$F$138*Operations!Q237*Inputs!$F$185/100*Operations!Q238*(1-Operations!Q239)</f>
        <v/>
      </c>
      <c r="R240" s="20">
        <f>Inputs!$F$138*Operations!R237*Inputs!$F$185/100*Operations!R238*(1-Operations!R239)</f>
        <v/>
      </c>
      <c r="S240" s="20">
        <f>Inputs!$F$138*Operations!S237*Inputs!$F$185/100*Operations!S238*(1-Operations!S239)</f>
        <v/>
      </c>
      <c r="T240" s="20">
        <f>Inputs!$F$138*Operations!T237*Inputs!$F$185/100*Operations!T238*(1-Operations!T239)</f>
        <v/>
      </c>
      <c r="U240" s="20">
        <f>Inputs!$F$138*Operations!U237*Inputs!$F$185/100*Operations!U238*(1-Operations!U239)</f>
        <v/>
      </c>
      <c r="V240" s="20">
        <f>Inputs!$F$138*Operations!V237*Inputs!$F$185/100*Operations!V238*(1-Operations!V239)</f>
        <v/>
      </c>
      <c r="W240" s="20">
        <f>Inputs!$F$138*Operations!W237*Inputs!$F$185/100*Operations!W238*(1-Operations!W239)</f>
        <v/>
      </c>
      <c r="X240" s="20">
        <f>Inputs!$F$138*Operations!X237*Inputs!$F$185/100*Operations!X238*(1-Operations!X239)</f>
        <v/>
      </c>
      <c r="Y240" s="20">
        <f>Inputs!$F$138*Operations!Y237*Inputs!$F$185/100*Operations!Y238*(1-Operations!Y239)</f>
        <v/>
      </c>
      <c r="Z240" s="20">
        <f>Inputs!$F$138*Operations!Z237*Inputs!$F$185/100*Operations!Z238*(1-Operations!Z239)</f>
        <v/>
      </c>
      <c r="AA240" s="20">
        <f>Inputs!$F$138*Operations!AA237*Inputs!$F$185/100*Operations!AA238*(1-Operations!AA239)</f>
        <v/>
      </c>
      <c r="AB240" s="20">
        <f>Inputs!$F$138*Operations!AB237*Inputs!$F$185/100*Operations!AB238*(1-Operations!AB239)</f>
        <v/>
      </c>
      <c r="AC240" s="20">
        <f>Inputs!$F$138*Operations!AC237*Inputs!$F$185/100*Operations!AC238*(1-Operations!AC239)</f>
        <v/>
      </c>
      <c r="AD240" s="20">
        <f>Inputs!$F$138*Operations!AD237*Inputs!$F$185/100*Operations!AD238*(1-Operations!AD239)</f>
        <v/>
      </c>
      <c r="AE240" s="20">
        <f>Inputs!$F$138*Operations!AE237*Inputs!$F$185/100*Operations!AE238*(1-Operations!AE239)</f>
        <v/>
      </c>
      <c r="AF240" s="20">
        <f>Inputs!$F$138*Operations!AF237*Inputs!$F$185/100*Operations!AF238*(1-Operations!AF239)</f>
        <v/>
      </c>
      <c r="AG240" s="20">
        <f>Inputs!$F$138*Operations!AG237*Inputs!$F$185/100*Operations!AG238*(1-Operations!AG239)</f>
        <v/>
      </c>
      <c r="AH240" s="20">
        <f>Inputs!$F$138*Operations!AH237*Inputs!$F$185/100*Operations!AH238*(1-Operations!AH239)</f>
        <v/>
      </c>
      <c r="AI240" s="20">
        <f>Inputs!$F$138*Operations!AI237*Inputs!$F$185/100*Operations!AI238*(1-Operations!AI239)</f>
        <v/>
      </c>
      <c r="AJ240" s="20">
        <f>Inputs!$F$138*Operations!AJ237*Inputs!$F$185/100*Operations!AJ238*(1-Operations!AJ239)</f>
        <v/>
      </c>
      <c r="AK240" s="20">
        <f>Inputs!$F$138*Operations!AK237*Inputs!$F$185/100*Operations!AK238*(1-Operations!AK239)</f>
        <v/>
      </c>
      <c r="AL240" s="20">
        <f>Inputs!$F$138*Operations!AL237*Inputs!$F$185/100*Operations!AL238*(1-Operations!AL239)</f>
        <v/>
      </c>
      <c r="AM240" s="20">
        <f>Inputs!$F$138*Operations!AM237*Inputs!$F$185/100*Operations!AM238*(1-Operations!AM239)</f>
        <v/>
      </c>
      <c r="AN240" s="20">
        <f>Inputs!$F$138*Operations!AN237*Inputs!$F$185/100*Operations!AN238*(1-Operations!AN239)</f>
        <v/>
      </c>
      <c r="AO240" s="20">
        <f>Inputs!$F$138*Operations!AO237*Inputs!$F$185/100*Operations!AO238*(1-Operations!AO239)</f>
        <v/>
      </c>
      <c r="AP240" s="20">
        <f>Inputs!$F$138*Operations!AP237*Inputs!$F$185/100*Operations!AP238*(1-Operations!AP239)</f>
        <v/>
      </c>
      <c r="AQ240" s="20">
        <f>Inputs!$F$138*Operations!AQ237*Inputs!$F$185/100*Operations!AQ238*(1-Operations!AQ239)</f>
        <v/>
      </c>
      <c r="AR240" s="20">
        <f>Inputs!$F$138*Operations!AR237*Inputs!$F$185/100*Operations!AR238*(1-Operations!AR239)</f>
        <v/>
      </c>
      <c r="AS240" s="20">
        <f>Inputs!$F$138*Operations!AS237*Inputs!$F$185/100*Operations!AS238*(1-Operations!AS239)</f>
        <v/>
      </c>
      <c r="AT240" s="20">
        <f>Inputs!$F$138*Operations!AT237*Inputs!$F$185/100*Operations!AT238*(1-Operations!AT239)</f>
        <v/>
      </c>
      <c r="AU240" s="20">
        <f>Inputs!$F$138*Operations!AU237*Inputs!$F$185/100*Operations!AU238*(1-Operations!AU239)</f>
        <v/>
      </c>
    </row>
    <row r="241">
      <c r="D241" t="inlineStr">
        <is>
          <t>R5 net generation</t>
        </is>
      </c>
      <c r="E241" t="inlineStr">
        <is>
          <t>GWh</t>
        </is>
      </c>
      <c r="G241" s="20">
        <f>SUM(J241:AU241)</f>
        <v/>
      </c>
      <c r="J241" s="20">
        <f>Operations!J240*Operations!J233</f>
        <v/>
      </c>
      <c r="K241" s="20">
        <f>Operations!K240*Operations!K233</f>
        <v/>
      </c>
      <c r="L241" s="20">
        <f>Operations!L240*Operations!L233</f>
        <v/>
      </c>
      <c r="M241" s="20">
        <f>Operations!M240*Operations!M233</f>
        <v/>
      </c>
      <c r="N241" s="20">
        <f>Operations!N240*Operations!N233</f>
        <v/>
      </c>
      <c r="O241" s="20">
        <f>Operations!O240*Operations!O233</f>
        <v/>
      </c>
      <c r="P241" s="20">
        <f>Operations!P240*Operations!P233</f>
        <v/>
      </c>
      <c r="Q241" s="20">
        <f>Operations!Q240*Operations!Q233</f>
        <v/>
      </c>
      <c r="R241" s="20">
        <f>Operations!R240*Operations!R233</f>
        <v/>
      </c>
      <c r="S241" s="20">
        <f>Operations!S240*Operations!S233</f>
        <v/>
      </c>
      <c r="T241" s="20">
        <f>Operations!T240*Operations!T233</f>
        <v/>
      </c>
      <c r="U241" s="20">
        <f>Operations!U240*Operations!U233</f>
        <v/>
      </c>
      <c r="V241" s="20">
        <f>Operations!V240*Operations!V233</f>
        <v/>
      </c>
      <c r="W241" s="20">
        <f>Operations!W240*Operations!W233</f>
        <v/>
      </c>
      <c r="X241" s="20">
        <f>Operations!X240*Operations!X233</f>
        <v/>
      </c>
      <c r="Y241" s="20">
        <f>Operations!Y240*Operations!Y233</f>
        <v/>
      </c>
      <c r="Z241" s="20">
        <f>Operations!Z240*Operations!Z233</f>
        <v/>
      </c>
      <c r="AA241" s="20">
        <f>Operations!AA240*Operations!AA233</f>
        <v/>
      </c>
      <c r="AB241" s="20">
        <f>Operations!AB240*Operations!AB233</f>
        <v/>
      </c>
      <c r="AC241" s="20">
        <f>Operations!AC240*Operations!AC233</f>
        <v/>
      </c>
      <c r="AD241" s="20">
        <f>Operations!AD240*Operations!AD233</f>
        <v/>
      </c>
      <c r="AE241" s="20">
        <f>Operations!AE240*Operations!AE233</f>
        <v/>
      </c>
      <c r="AF241" s="20">
        <f>Operations!AF240*Operations!AF233</f>
        <v/>
      </c>
      <c r="AG241" s="20">
        <f>Operations!AG240*Operations!AG233</f>
        <v/>
      </c>
      <c r="AH241" s="20">
        <f>Operations!AH240*Operations!AH233</f>
        <v/>
      </c>
      <c r="AI241" s="20">
        <f>Operations!AI240*Operations!AI233</f>
        <v/>
      </c>
      <c r="AJ241" s="20">
        <f>Operations!AJ240*Operations!AJ233</f>
        <v/>
      </c>
      <c r="AK241" s="20">
        <f>Operations!AK240*Operations!AK233</f>
        <v/>
      </c>
      <c r="AL241" s="20">
        <f>Operations!AL240*Operations!AL233</f>
        <v/>
      </c>
      <c r="AM241" s="20">
        <f>Operations!AM240*Operations!AM233</f>
        <v/>
      </c>
      <c r="AN241" s="20">
        <f>Operations!AN240*Operations!AN233</f>
        <v/>
      </c>
      <c r="AO241" s="20">
        <f>Operations!AO240*Operations!AO233</f>
        <v/>
      </c>
      <c r="AP241" s="20">
        <f>Operations!AP240*Operations!AP233</f>
        <v/>
      </c>
      <c r="AQ241" s="20">
        <f>Operations!AQ240*Operations!AQ233</f>
        <v/>
      </c>
      <c r="AR241" s="20">
        <f>Operations!AR240*Operations!AR233</f>
        <v/>
      </c>
      <c r="AS241" s="20">
        <f>Operations!AS240*Operations!AS233</f>
        <v/>
      </c>
      <c r="AT241" s="20">
        <f>Operations!AT240*Operations!AT233</f>
        <v/>
      </c>
      <c r="AU241" s="20">
        <f>Operations!AU240*Operations!AU233</f>
        <v/>
      </c>
    </row>
    <row r="242">
      <c r="D242" t="inlineStr">
        <is>
          <t>R5 hub capture ratio</t>
        </is>
      </c>
      <c r="E242" t="inlineStr">
        <is>
          <t>ratio</t>
        </is>
      </c>
      <c r="J242" s="14">
        <f>Operations!J59</f>
        <v/>
      </c>
      <c r="K242" s="14">
        <f>Operations!K59</f>
        <v/>
      </c>
      <c r="L242" s="14">
        <f>Operations!L59</f>
        <v/>
      </c>
      <c r="M242" s="14">
        <f>Operations!M59</f>
        <v/>
      </c>
      <c r="N242" s="14">
        <f>Operations!N59</f>
        <v/>
      </c>
      <c r="O242" s="14">
        <f>Operations!O59</f>
        <v/>
      </c>
      <c r="P242" s="14">
        <f>Operations!P59</f>
        <v/>
      </c>
      <c r="Q242" s="14">
        <f>Operations!Q59</f>
        <v/>
      </c>
      <c r="R242" s="14">
        <f>Operations!R59</f>
        <v/>
      </c>
      <c r="S242" s="14">
        <f>Operations!S59</f>
        <v/>
      </c>
      <c r="T242" s="14">
        <f>Operations!T59</f>
        <v/>
      </c>
      <c r="U242" s="14">
        <f>Operations!U59</f>
        <v/>
      </c>
      <c r="V242" s="14">
        <f>Operations!V59</f>
        <v/>
      </c>
      <c r="W242" s="14">
        <f>Operations!W59</f>
        <v/>
      </c>
      <c r="X242" s="14">
        <f>Operations!X59</f>
        <v/>
      </c>
      <c r="Y242" s="14">
        <f>Operations!Y59</f>
        <v/>
      </c>
      <c r="Z242" s="14">
        <f>Operations!Z59</f>
        <v/>
      </c>
      <c r="AA242" s="14">
        <f>Operations!AA59</f>
        <v/>
      </c>
      <c r="AB242" s="14">
        <f>Operations!AB59</f>
        <v/>
      </c>
      <c r="AC242" s="14">
        <f>Operations!AC59</f>
        <v/>
      </c>
      <c r="AD242" s="14">
        <f>Operations!AD59</f>
        <v/>
      </c>
      <c r="AE242" s="14">
        <f>Operations!AE59</f>
        <v/>
      </c>
      <c r="AF242" s="14">
        <f>Operations!AF59</f>
        <v/>
      </c>
      <c r="AG242" s="14">
        <f>Operations!AG59</f>
        <v/>
      </c>
      <c r="AH242" s="14">
        <f>Operations!AH59</f>
        <v/>
      </c>
      <c r="AI242" s="14">
        <f>Operations!AI59</f>
        <v/>
      </c>
      <c r="AJ242" s="14">
        <f>Operations!AJ59</f>
        <v/>
      </c>
      <c r="AK242" s="14">
        <f>Operations!AK59</f>
        <v/>
      </c>
      <c r="AL242" s="14">
        <f>Operations!AL59</f>
        <v/>
      </c>
      <c r="AM242" s="14">
        <f>Operations!AM59</f>
        <v/>
      </c>
      <c r="AN242" s="14">
        <f>Operations!AN59</f>
        <v/>
      </c>
      <c r="AO242" s="14">
        <f>Operations!AO59</f>
        <v/>
      </c>
      <c r="AP242" s="14">
        <f>Operations!AP59</f>
        <v/>
      </c>
      <c r="AQ242" s="14">
        <f>Operations!AQ59</f>
        <v/>
      </c>
      <c r="AR242" s="14">
        <f>Operations!AR59</f>
        <v/>
      </c>
      <c r="AS242" s="14">
        <f>Operations!AS59</f>
        <v/>
      </c>
      <c r="AT242" s="14">
        <f>Operations!AT59</f>
        <v/>
      </c>
      <c r="AU242" s="14">
        <f>Operations!AU59</f>
        <v/>
      </c>
    </row>
    <row r="243">
      <c r="D243" t="inlineStr">
        <is>
          <t>R5 node capture ratio</t>
        </is>
      </c>
      <c r="E243" t="inlineStr">
        <is>
          <t>ratio</t>
        </is>
      </c>
      <c r="J243" s="14">
        <f>Operations!J242-Inputs!$F$52</f>
        <v/>
      </c>
      <c r="K243" s="14">
        <f>Operations!K242-Inputs!$F$52</f>
        <v/>
      </c>
      <c r="L243" s="14">
        <f>Operations!L242-Inputs!$F$52</f>
        <v/>
      </c>
      <c r="M243" s="14">
        <f>Operations!M242-Inputs!$F$52</f>
        <v/>
      </c>
      <c r="N243" s="14">
        <f>Operations!N242-Inputs!$F$52</f>
        <v/>
      </c>
      <c r="O243" s="14">
        <f>Operations!O242-Inputs!$F$52</f>
        <v/>
      </c>
      <c r="P243" s="14">
        <f>Operations!P242-Inputs!$F$52</f>
        <v/>
      </c>
      <c r="Q243" s="14">
        <f>Operations!Q242-Inputs!$F$52</f>
        <v/>
      </c>
      <c r="R243" s="14">
        <f>Operations!R242-Inputs!$F$52</f>
        <v/>
      </c>
      <c r="S243" s="14">
        <f>Operations!S242-Inputs!$F$52</f>
        <v/>
      </c>
      <c r="T243" s="14">
        <f>Operations!T242-Inputs!$F$52</f>
        <v/>
      </c>
      <c r="U243" s="14">
        <f>Operations!U242-Inputs!$F$52</f>
        <v/>
      </c>
      <c r="V243" s="14">
        <f>Operations!V242-Inputs!$F$52</f>
        <v/>
      </c>
      <c r="W243" s="14">
        <f>Operations!W242-Inputs!$F$52</f>
        <v/>
      </c>
      <c r="X243" s="14">
        <f>Operations!X242-Inputs!$F$52</f>
        <v/>
      </c>
      <c r="Y243" s="14">
        <f>Operations!Y242-Inputs!$F$52</f>
        <v/>
      </c>
      <c r="Z243" s="14">
        <f>Operations!Z242-Inputs!$F$52</f>
        <v/>
      </c>
      <c r="AA243" s="14">
        <f>Operations!AA242-Inputs!$F$52</f>
        <v/>
      </c>
      <c r="AB243" s="14">
        <f>Operations!AB242-Inputs!$F$52</f>
        <v/>
      </c>
      <c r="AC243" s="14">
        <f>Operations!AC242-Inputs!$F$52</f>
        <v/>
      </c>
      <c r="AD243" s="14">
        <f>Operations!AD242-Inputs!$F$52</f>
        <v/>
      </c>
      <c r="AE243" s="14">
        <f>Operations!AE242-Inputs!$F$52</f>
        <v/>
      </c>
      <c r="AF243" s="14">
        <f>Operations!AF242-Inputs!$F$52</f>
        <v/>
      </c>
      <c r="AG243" s="14">
        <f>Operations!AG242-Inputs!$F$52</f>
        <v/>
      </c>
      <c r="AH243" s="14">
        <f>Operations!AH242-Inputs!$F$52</f>
        <v/>
      </c>
      <c r="AI243" s="14">
        <f>Operations!AI242-Inputs!$F$52</f>
        <v/>
      </c>
      <c r="AJ243" s="14">
        <f>Operations!AJ242-Inputs!$F$52</f>
        <v/>
      </c>
      <c r="AK243" s="14">
        <f>Operations!AK242-Inputs!$F$52</f>
        <v/>
      </c>
      <c r="AL243" s="14">
        <f>Operations!AL242-Inputs!$F$52</f>
        <v/>
      </c>
      <c r="AM243" s="14">
        <f>Operations!AM242-Inputs!$F$52</f>
        <v/>
      </c>
      <c r="AN243" s="14">
        <f>Operations!AN242-Inputs!$F$52</f>
        <v/>
      </c>
      <c r="AO243" s="14">
        <f>Operations!AO242-Inputs!$F$52</f>
        <v/>
      </c>
      <c r="AP243" s="14">
        <f>Operations!AP242-Inputs!$F$52</f>
        <v/>
      </c>
      <c r="AQ243" s="14">
        <f>Operations!AQ242-Inputs!$F$52</f>
        <v/>
      </c>
      <c r="AR243" s="14">
        <f>Operations!AR242-Inputs!$F$52</f>
        <v/>
      </c>
      <c r="AS243" s="14">
        <f>Operations!AS242-Inputs!$F$52</f>
        <v/>
      </c>
      <c r="AT243" s="14">
        <f>Operations!AT242-Inputs!$F$52</f>
        <v/>
      </c>
      <c r="AU243" s="14">
        <f>Operations!AU242-Inputs!$F$52</f>
        <v/>
      </c>
    </row>
    <row r="244">
      <c r="D244" t="inlineStr">
        <is>
          <t>R5 realized node price</t>
        </is>
      </c>
      <c r="E244" t="inlineStr">
        <is>
          <t>USD/MWh</t>
        </is>
      </c>
      <c r="J244" s="18">
        <f>Operations!J236*Operations!J243</f>
        <v/>
      </c>
      <c r="K244" s="18">
        <f>Operations!K236*Operations!K243</f>
        <v/>
      </c>
      <c r="L244" s="18">
        <f>Operations!L236*Operations!L243</f>
        <v/>
      </c>
      <c r="M244" s="18">
        <f>Operations!M236*Operations!M243</f>
        <v/>
      </c>
      <c r="N244" s="18">
        <f>Operations!N236*Operations!N243</f>
        <v/>
      </c>
      <c r="O244" s="18">
        <f>Operations!O236*Operations!O243</f>
        <v/>
      </c>
      <c r="P244" s="18">
        <f>Operations!P236*Operations!P243</f>
        <v/>
      </c>
      <c r="Q244" s="18">
        <f>Operations!Q236*Operations!Q243</f>
        <v/>
      </c>
      <c r="R244" s="18">
        <f>Operations!R236*Operations!R243</f>
        <v/>
      </c>
      <c r="S244" s="18">
        <f>Operations!S236*Operations!S243</f>
        <v/>
      </c>
      <c r="T244" s="18">
        <f>Operations!T236*Operations!T243</f>
        <v/>
      </c>
      <c r="U244" s="18">
        <f>Operations!U236*Operations!U243</f>
        <v/>
      </c>
      <c r="V244" s="18">
        <f>Operations!V236*Operations!V243</f>
        <v/>
      </c>
      <c r="W244" s="18">
        <f>Operations!W236*Operations!W243</f>
        <v/>
      </c>
      <c r="X244" s="18">
        <f>Operations!X236*Operations!X243</f>
        <v/>
      </c>
      <c r="Y244" s="18">
        <f>Operations!Y236*Operations!Y243</f>
        <v/>
      </c>
      <c r="Z244" s="18">
        <f>Operations!Z236*Operations!Z243</f>
        <v/>
      </c>
      <c r="AA244" s="18">
        <f>Operations!AA236*Operations!AA243</f>
        <v/>
      </c>
      <c r="AB244" s="18">
        <f>Operations!AB236*Operations!AB243</f>
        <v/>
      </c>
      <c r="AC244" s="18">
        <f>Operations!AC236*Operations!AC243</f>
        <v/>
      </c>
      <c r="AD244" s="18">
        <f>Operations!AD236*Operations!AD243</f>
        <v/>
      </c>
      <c r="AE244" s="18">
        <f>Operations!AE236*Operations!AE243</f>
        <v/>
      </c>
      <c r="AF244" s="18">
        <f>Operations!AF236*Operations!AF243</f>
        <v/>
      </c>
      <c r="AG244" s="18">
        <f>Operations!AG236*Operations!AG243</f>
        <v/>
      </c>
      <c r="AH244" s="18">
        <f>Operations!AH236*Operations!AH243</f>
        <v/>
      </c>
      <c r="AI244" s="18">
        <f>Operations!AI236*Operations!AI243</f>
        <v/>
      </c>
      <c r="AJ244" s="18">
        <f>Operations!AJ236*Operations!AJ243</f>
        <v/>
      </c>
      <c r="AK244" s="18">
        <f>Operations!AK236*Operations!AK243</f>
        <v/>
      </c>
      <c r="AL244" s="18">
        <f>Operations!AL236*Operations!AL243</f>
        <v/>
      </c>
      <c r="AM244" s="18">
        <f>Operations!AM236*Operations!AM243</f>
        <v/>
      </c>
      <c r="AN244" s="18">
        <f>Operations!AN236*Operations!AN243</f>
        <v/>
      </c>
      <c r="AO244" s="18">
        <f>Operations!AO236*Operations!AO243</f>
        <v/>
      </c>
      <c r="AP244" s="18">
        <f>Operations!AP236*Operations!AP243</f>
        <v/>
      </c>
      <c r="AQ244" s="18">
        <f>Operations!AQ236*Operations!AQ243</f>
        <v/>
      </c>
      <c r="AR244" s="18">
        <f>Operations!AR236*Operations!AR243</f>
        <v/>
      </c>
      <c r="AS244" s="18">
        <f>Operations!AS236*Operations!AS243</f>
        <v/>
      </c>
      <c r="AT244" s="18">
        <f>Operations!AT236*Operations!AT243</f>
        <v/>
      </c>
      <c r="AU244" s="18">
        <f>Operations!AU236*Operations!AU243</f>
        <v/>
      </c>
    </row>
    <row r="245">
      <c r="D245" t="inlineStr">
        <is>
          <t>R5 vPPA term fraction</t>
        </is>
      </c>
      <c r="E245" t="inlineStr">
        <is>
          <t>fraction</t>
        </is>
      </c>
      <c r="J245" s="14">
        <f>MAX(0,MIN(Inputs!$F$205,Time!J$6)-MAX(Inputs!$F$133,Time!J$5))/Time!J$7</f>
        <v/>
      </c>
      <c r="K245" s="14">
        <f>MAX(0,MIN(Inputs!$F$205,Time!K$6)-MAX(Inputs!$F$133,Time!K$5))/Time!K$7</f>
        <v/>
      </c>
      <c r="L245" s="14">
        <f>MAX(0,MIN(Inputs!$F$205,Time!L$6)-MAX(Inputs!$F$133,Time!L$5))/Time!L$7</f>
        <v/>
      </c>
      <c r="M245" s="14">
        <f>MAX(0,MIN(Inputs!$F$205,Time!M$6)-MAX(Inputs!$F$133,Time!M$5))/Time!M$7</f>
        <v/>
      </c>
      <c r="N245" s="14">
        <f>MAX(0,MIN(Inputs!$F$205,Time!N$6)-MAX(Inputs!$F$133,Time!N$5))/Time!N$7</f>
        <v/>
      </c>
      <c r="O245" s="14">
        <f>MAX(0,MIN(Inputs!$F$205,Time!O$6)-MAX(Inputs!$F$133,Time!O$5))/Time!O$7</f>
        <v/>
      </c>
      <c r="P245" s="14">
        <f>MAX(0,MIN(Inputs!$F$205,Time!P$6)-MAX(Inputs!$F$133,Time!P$5))/Time!P$7</f>
        <v/>
      </c>
      <c r="Q245" s="14">
        <f>MAX(0,MIN(Inputs!$F$205,Time!Q$6)-MAX(Inputs!$F$133,Time!Q$5))/Time!Q$7</f>
        <v/>
      </c>
      <c r="R245" s="14">
        <f>MAX(0,MIN(Inputs!$F$205,Time!R$6)-MAX(Inputs!$F$133,Time!R$5))/Time!R$7</f>
        <v/>
      </c>
      <c r="S245" s="14">
        <f>MAX(0,MIN(Inputs!$F$205,Time!S$6)-MAX(Inputs!$F$133,Time!S$5))/Time!S$7</f>
        <v/>
      </c>
      <c r="T245" s="14">
        <f>MAX(0,MIN(Inputs!$F$205,Time!T$6)-MAX(Inputs!$F$133,Time!T$5))/Time!T$7</f>
        <v/>
      </c>
      <c r="U245" s="14">
        <f>MAX(0,MIN(Inputs!$F$205,Time!U$6)-MAX(Inputs!$F$133,Time!U$5))/Time!U$7</f>
        <v/>
      </c>
      <c r="V245" s="14">
        <f>MAX(0,MIN(Inputs!$F$205,Time!V$6)-MAX(Inputs!$F$133,Time!V$5))/Time!V$7</f>
        <v/>
      </c>
      <c r="W245" s="14">
        <f>MAX(0,MIN(Inputs!$F$205,Time!W$6)-MAX(Inputs!$F$133,Time!W$5))/Time!W$7</f>
        <v/>
      </c>
      <c r="X245" s="14">
        <f>MAX(0,MIN(Inputs!$F$205,Time!X$6)-MAX(Inputs!$F$133,Time!X$5))/Time!X$7</f>
        <v/>
      </c>
      <c r="Y245" s="14">
        <f>MAX(0,MIN(Inputs!$F$205,Time!Y$6)-MAX(Inputs!$F$133,Time!Y$5))/Time!Y$7</f>
        <v/>
      </c>
      <c r="Z245" s="14">
        <f>MAX(0,MIN(Inputs!$F$205,Time!Z$6)-MAX(Inputs!$F$133,Time!Z$5))/Time!Z$7</f>
        <v/>
      </c>
      <c r="AA245" s="14">
        <f>MAX(0,MIN(Inputs!$F$205,Time!AA$6)-MAX(Inputs!$F$133,Time!AA$5))/Time!AA$7</f>
        <v/>
      </c>
      <c r="AB245" s="14">
        <f>MAX(0,MIN(Inputs!$F$205,Time!AB$6)-MAX(Inputs!$F$133,Time!AB$5))/Time!AB$7</f>
        <v/>
      </c>
      <c r="AC245" s="14">
        <f>MAX(0,MIN(Inputs!$F$205,Time!AC$6)-MAX(Inputs!$F$133,Time!AC$5))/Time!AC$7</f>
        <v/>
      </c>
      <c r="AD245" s="14">
        <f>MAX(0,MIN(Inputs!$F$205,Time!AD$6)-MAX(Inputs!$F$133,Time!AD$5))/Time!AD$7</f>
        <v/>
      </c>
      <c r="AE245" s="14">
        <f>MAX(0,MIN(Inputs!$F$205,Time!AE$6)-MAX(Inputs!$F$133,Time!AE$5))/Time!AE$7</f>
        <v/>
      </c>
      <c r="AF245" s="14">
        <f>MAX(0,MIN(Inputs!$F$205,Time!AF$6)-MAX(Inputs!$F$133,Time!AF$5))/Time!AF$7</f>
        <v/>
      </c>
      <c r="AG245" s="14">
        <f>MAX(0,MIN(Inputs!$F$205,Time!AG$6)-MAX(Inputs!$F$133,Time!AG$5))/Time!AG$7</f>
        <v/>
      </c>
      <c r="AH245" s="14">
        <f>MAX(0,MIN(Inputs!$F$205,Time!AH$6)-MAX(Inputs!$F$133,Time!AH$5))/Time!AH$7</f>
        <v/>
      </c>
      <c r="AI245" s="14">
        <f>MAX(0,MIN(Inputs!$F$205,Time!AI$6)-MAX(Inputs!$F$133,Time!AI$5))/Time!AI$7</f>
        <v/>
      </c>
      <c r="AJ245" s="14">
        <f>MAX(0,MIN(Inputs!$F$205,Time!AJ$6)-MAX(Inputs!$F$133,Time!AJ$5))/Time!AJ$7</f>
        <v/>
      </c>
      <c r="AK245" s="14">
        <f>MAX(0,MIN(Inputs!$F$205,Time!AK$6)-MAX(Inputs!$F$133,Time!AK$5))/Time!AK$7</f>
        <v/>
      </c>
      <c r="AL245" s="14">
        <f>MAX(0,MIN(Inputs!$F$205,Time!AL$6)-MAX(Inputs!$F$133,Time!AL$5))/Time!AL$7</f>
        <v/>
      </c>
      <c r="AM245" s="14">
        <f>MAX(0,MIN(Inputs!$F$205,Time!AM$6)-MAX(Inputs!$F$133,Time!AM$5))/Time!AM$7</f>
        <v/>
      </c>
      <c r="AN245" s="14">
        <f>MAX(0,MIN(Inputs!$F$205,Time!AN$6)-MAX(Inputs!$F$133,Time!AN$5))/Time!AN$7</f>
        <v/>
      </c>
      <c r="AO245" s="14">
        <f>MAX(0,MIN(Inputs!$F$205,Time!AO$6)-MAX(Inputs!$F$133,Time!AO$5))/Time!AO$7</f>
        <v/>
      </c>
      <c r="AP245" s="14">
        <f>MAX(0,MIN(Inputs!$F$205,Time!AP$6)-MAX(Inputs!$F$133,Time!AP$5))/Time!AP$7</f>
        <v/>
      </c>
      <c r="AQ245" s="14">
        <f>MAX(0,MIN(Inputs!$F$205,Time!AQ$6)-MAX(Inputs!$F$133,Time!AQ$5))/Time!AQ$7</f>
        <v/>
      </c>
      <c r="AR245" s="14">
        <f>MAX(0,MIN(Inputs!$F$205,Time!AR$6)-MAX(Inputs!$F$133,Time!AR$5))/Time!AR$7</f>
        <v/>
      </c>
      <c r="AS245" s="14">
        <f>MAX(0,MIN(Inputs!$F$205,Time!AS$6)-MAX(Inputs!$F$133,Time!AS$5))/Time!AS$7</f>
        <v/>
      </c>
      <c r="AT245" s="14">
        <f>MAX(0,MIN(Inputs!$F$205,Time!AT$6)-MAX(Inputs!$F$133,Time!AT$5))/Time!AT$7</f>
        <v/>
      </c>
      <c r="AU245" s="14">
        <f>MAX(0,MIN(Inputs!$F$205,Time!AU$6)-MAX(Inputs!$F$133,Time!AU$5))/Time!AU$7</f>
        <v/>
      </c>
    </row>
    <row r="246">
      <c r="D246" t="inlineStr">
        <is>
          <t>R5 vPPA volume (as generated)</t>
        </is>
      </c>
      <c r="E246" t="inlineStr">
        <is>
          <t>GWh</t>
        </is>
      </c>
      <c r="J246" s="20">
        <f>Operations!J240*Operations!J245</f>
        <v/>
      </c>
      <c r="K246" s="20">
        <f>Operations!K240*Operations!K245</f>
        <v/>
      </c>
      <c r="L246" s="20">
        <f>Operations!L240*Operations!L245</f>
        <v/>
      </c>
      <c r="M246" s="20">
        <f>Operations!M240*Operations!M245</f>
        <v/>
      </c>
      <c r="N246" s="20">
        <f>Operations!N240*Operations!N245</f>
        <v/>
      </c>
      <c r="O246" s="20">
        <f>Operations!O240*Operations!O245</f>
        <v/>
      </c>
      <c r="P246" s="20">
        <f>Operations!P240*Operations!P245</f>
        <v/>
      </c>
      <c r="Q246" s="20">
        <f>Operations!Q240*Operations!Q245</f>
        <v/>
      </c>
      <c r="R246" s="20">
        <f>Operations!R240*Operations!R245</f>
        <v/>
      </c>
      <c r="S246" s="20">
        <f>Operations!S240*Operations!S245</f>
        <v/>
      </c>
      <c r="T246" s="20">
        <f>Operations!T240*Operations!T245</f>
        <v/>
      </c>
      <c r="U246" s="20">
        <f>Operations!U240*Operations!U245</f>
        <v/>
      </c>
      <c r="V246" s="20">
        <f>Operations!V240*Operations!V245</f>
        <v/>
      </c>
      <c r="W246" s="20">
        <f>Operations!W240*Operations!W245</f>
        <v/>
      </c>
      <c r="X246" s="20">
        <f>Operations!X240*Operations!X245</f>
        <v/>
      </c>
      <c r="Y246" s="20">
        <f>Operations!Y240*Operations!Y245</f>
        <v/>
      </c>
      <c r="Z246" s="20">
        <f>Operations!Z240*Operations!Z245</f>
        <v/>
      </c>
      <c r="AA246" s="20">
        <f>Operations!AA240*Operations!AA245</f>
        <v/>
      </c>
      <c r="AB246" s="20">
        <f>Operations!AB240*Operations!AB245</f>
        <v/>
      </c>
      <c r="AC246" s="20">
        <f>Operations!AC240*Operations!AC245</f>
        <v/>
      </c>
      <c r="AD246" s="20">
        <f>Operations!AD240*Operations!AD245</f>
        <v/>
      </c>
      <c r="AE246" s="20">
        <f>Operations!AE240*Operations!AE245</f>
        <v/>
      </c>
      <c r="AF246" s="20">
        <f>Operations!AF240*Operations!AF245</f>
        <v/>
      </c>
      <c r="AG246" s="20">
        <f>Operations!AG240*Operations!AG245</f>
        <v/>
      </c>
      <c r="AH246" s="20">
        <f>Operations!AH240*Operations!AH245</f>
        <v/>
      </c>
      <c r="AI246" s="20">
        <f>Operations!AI240*Operations!AI245</f>
        <v/>
      </c>
      <c r="AJ246" s="20">
        <f>Operations!AJ240*Operations!AJ245</f>
        <v/>
      </c>
      <c r="AK246" s="20">
        <f>Operations!AK240*Operations!AK245</f>
        <v/>
      </c>
      <c r="AL246" s="20">
        <f>Operations!AL240*Operations!AL245</f>
        <v/>
      </c>
      <c r="AM246" s="20">
        <f>Operations!AM240*Operations!AM245</f>
        <v/>
      </c>
      <c r="AN246" s="20">
        <f>Operations!AN240*Operations!AN245</f>
        <v/>
      </c>
      <c r="AO246" s="20">
        <f>Operations!AO240*Operations!AO245</f>
        <v/>
      </c>
      <c r="AP246" s="20">
        <f>Operations!AP240*Operations!AP245</f>
        <v/>
      </c>
      <c r="AQ246" s="20">
        <f>Operations!AQ240*Operations!AQ245</f>
        <v/>
      </c>
      <c r="AR246" s="20">
        <f>Operations!AR240*Operations!AR245</f>
        <v/>
      </c>
      <c r="AS246" s="20">
        <f>Operations!AS240*Operations!AS245</f>
        <v/>
      </c>
      <c r="AT246" s="20">
        <f>Operations!AT240*Operations!AT245</f>
        <v/>
      </c>
      <c r="AU246" s="20">
        <f>Operations!AU240*Operations!AU245</f>
        <v/>
      </c>
    </row>
    <row r="247">
      <c r="D247" t="inlineStr">
        <is>
          <t>R5 vPPA settlement (strike less hub capture price)</t>
        </is>
      </c>
      <c r="E247" t="inlineStr">
        <is>
          <t>USD m</t>
        </is>
      </c>
      <c r="G247" s="20">
        <f>SUM(J247:AU247)</f>
        <v/>
      </c>
      <c r="J247" s="20">
        <f>Operations!J246*(Inputs!$F$204-Operations!J236*Operations!J242)/1000</f>
        <v/>
      </c>
      <c r="K247" s="20">
        <f>Operations!K246*(Inputs!$F$204-Operations!K236*Operations!K242)/1000</f>
        <v/>
      </c>
      <c r="L247" s="20">
        <f>Operations!L246*(Inputs!$F$204-Operations!L236*Operations!L242)/1000</f>
        <v/>
      </c>
      <c r="M247" s="20">
        <f>Operations!M246*(Inputs!$F$204-Operations!M236*Operations!M242)/1000</f>
        <v/>
      </c>
      <c r="N247" s="20">
        <f>Operations!N246*(Inputs!$F$204-Operations!N236*Operations!N242)/1000</f>
        <v/>
      </c>
      <c r="O247" s="20">
        <f>Operations!O246*(Inputs!$F$204-Operations!O236*Operations!O242)/1000</f>
        <v/>
      </c>
      <c r="P247" s="20">
        <f>Operations!P246*(Inputs!$F$204-Operations!P236*Operations!P242)/1000</f>
        <v/>
      </c>
      <c r="Q247" s="20">
        <f>Operations!Q246*(Inputs!$F$204-Operations!Q236*Operations!Q242)/1000</f>
        <v/>
      </c>
      <c r="R247" s="20">
        <f>Operations!R246*(Inputs!$F$204-Operations!R236*Operations!R242)/1000</f>
        <v/>
      </c>
      <c r="S247" s="20">
        <f>Operations!S246*(Inputs!$F$204-Operations!S236*Operations!S242)/1000</f>
        <v/>
      </c>
      <c r="T247" s="20">
        <f>Operations!T246*(Inputs!$F$204-Operations!T236*Operations!T242)/1000</f>
        <v/>
      </c>
      <c r="U247" s="20">
        <f>Operations!U246*(Inputs!$F$204-Operations!U236*Operations!U242)/1000</f>
        <v/>
      </c>
      <c r="V247" s="20">
        <f>Operations!V246*(Inputs!$F$204-Operations!V236*Operations!V242)/1000</f>
        <v/>
      </c>
      <c r="W247" s="20">
        <f>Operations!W246*(Inputs!$F$204-Operations!W236*Operations!W242)/1000</f>
        <v/>
      </c>
      <c r="X247" s="20">
        <f>Operations!X246*(Inputs!$F$204-Operations!X236*Operations!X242)/1000</f>
        <v/>
      </c>
      <c r="Y247" s="20">
        <f>Operations!Y246*(Inputs!$F$204-Operations!Y236*Operations!Y242)/1000</f>
        <v/>
      </c>
      <c r="Z247" s="20">
        <f>Operations!Z246*(Inputs!$F$204-Operations!Z236*Operations!Z242)/1000</f>
        <v/>
      </c>
      <c r="AA247" s="20">
        <f>Operations!AA246*(Inputs!$F$204-Operations!AA236*Operations!AA242)/1000</f>
        <v/>
      </c>
      <c r="AB247" s="20">
        <f>Operations!AB246*(Inputs!$F$204-Operations!AB236*Operations!AB242)/1000</f>
        <v/>
      </c>
      <c r="AC247" s="20">
        <f>Operations!AC246*(Inputs!$F$204-Operations!AC236*Operations!AC242)/1000</f>
        <v/>
      </c>
      <c r="AD247" s="20">
        <f>Operations!AD246*(Inputs!$F$204-Operations!AD236*Operations!AD242)/1000</f>
        <v/>
      </c>
      <c r="AE247" s="20">
        <f>Operations!AE246*(Inputs!$F$204-Operations!AE236*Operations!AE242)/1000</f>
        <v/>
      </c>
      <c r="AF247" s="20">
        <f>Operations!AF246*(Inputs!$F$204-Operations!AF236*Operations!AF242)/1000</f>
        <v/>
      </c>
      <c r="AG247" s="20">
        <f>Operations!AG246*(Inputs!$F$204-Operations!AG236*Operations!AG242)/1000</f>
        <v/>
      </c>
      <c r="AH247" s="20">
        <f>Operations!AH246*(Inputs!$F$204-Operations!AH236*Operations!AH242)/1000</f>
        <v/>
      </c>
      <c r="AI247" s="20">
        <f>Operations!AI246*(Inputs!$F$204-Operations!AI236*Operations!AI242)/1000</f>
        <v/>
      </c>
      <c r="AJ247" s="20">
        <f>Operations!AJ246*(Inputs!$F$204-Operations!AJ236*Operations!AJ242)/1000</f>
        <v/>
      </c>
      <c r="AK247" s="20">
        <f>Operations!AK246*(Inputs!$F$204-Operations!AK236*Operations!AK242)/1000</f>
        <v/>
      </c>
      <c r="AL247" s="20">
        <f>Operations!AL246*(Inputs!$F$204-Operations!AL236*Operations!AL242)/1000</f>
        <v/>
      </c>
      <c r="AM247" s="20">
        <f>Operations!AM246*(Inputs!$F$204-Operations!AM236*Operations!AM242)/1000</f>
        <v/>
      </c>
      <c r="AN247" s="20">
        <f>Operations!AN246*(Inputs!$F$204-Operations!AN236*Operations!AN242)/1000</f>
        <v/>
      </c>
      <c r="AO247" s="20">
        <f>Operations!AO246*(Inputs!$F$204-Operations!AO236*Operations!AO242)/1000</f>
        <v/>
      </c>
      <c r="AP247" s="20">
        <f>Operations!AP246*(Inputs!$F$204-Operations!AP236*Operations!AP242)/1000</f>
        <v/>
      </c>
      <c r="AQ247" s="20">
        <f>Operations!AQ246*(Inputs!$F$204-Operations!AQ236*Operations!AQ242)/1000</f>
        <v/>
      </c>
      <c r="AR247" s="20">
        <f>Operations!AR246*(Inputs!$F$204-Operations!AR236*Operations!AR242)/1000</f>
        <v/>
      </c>
      <c r="AS247" s="20">
        <f>Operations!AS246*(Inputs!$F$204-Operations!AS236*Operations!AS242)/1000</f>
        <v/>
      </c>
      <c r="AT247" s="20">
        <f>Operations!AT246*(Inputs!$F$204-Operations!AT236*Operations!AT242)/1000</f>
        <v/>
      </c>
      <c r="AU247" s="20">
        <f>Operations!AU246*(Inputs!$F$204-Operations!AU236*Operations!AU242)/1000</f>
        <v/>
      </c>
    </row>
    <row r="248">
      <c r="D248" t="inlineStr">
        <is>
          <t>R5 generation sold at node</t>
        </is>
      </c>
      <c r="E248" t="inlineStr">
        <is>
          <t>GWh</t>
        </is>
      </c>
      <c r="J248" s="20">
        <f>Operations!J241</f>
        <v/>
      </c>
      <c r="K248" s="20">
        <f>Operations!K241</f>
        <v/>
      </c>
      <c r="L248" s="20">
        <f>Operations!L241</f>
        <v/>
      </c>
      <c r="M248" s="20">
        <f>Operations!M241</f>
        <v/>
      </c>
      <c r="N248" s="20">
        <f>Operations!N241</f>
        <v/>
      </c>
      <c r="O248" s="20">
        <f>Operations!O241</f>
        <v/>
      </c>
      <c r="P248" s="20">
        <f>Operations!P241</f>
        <v/>
      </c>
      <c r="Q248" s="20">
        <f>Operations!Q241</f>
        <v/>
      </c>
      <c r="R248" s="20">
        <f>Operations!R241</f>
        <v/>
      </c>
      <c r="S248" s="20">
        <f>Operations!S241</f>
        <v/>
      </c>
      <c r="T248" s="20">
        <f>Operations!T241</f>
        <v/>
      </c>
      <c r="U248" s="20">
        <f>Operations!U241</f>
        <v/>
      </c>
      <c r="V248" s="20">
        <f>Operations!V241</f>
        <v/>
      </c>
      <c r="W248" s="20">
        <f>Operations!W241</f>
        <v/>
      </c>
      <c r="X248" s="20">
        <f>Operations!X241</f>
        <v/>
      </c>
      <c r="Y248" s="20">
        <f>Operations!Y241</f>
        <v/>
      </c>
      <c r="Z248" s="20">
        <f>Operations!Z241</f>
        <v/>
      </c>
      <c r="AA248" s="20">
        <f>Operations!AA241</f>
        <v/>
      </c>
      <c r="AB248" s="20">
        <f>Operations!AB241</f>
        <v/>
      </c>
      <c r="AC248" s="20">
        <f>Operations!AC241</f>
        <v/>
      </c>
      <c r="AD248" s="20">
        <f>Operations!AD241</f>
        <v/>
      </c>
      <c r="AE248" s="20">
        <f>Operations!AE241</f>
        <v/>
      </c>
      <c r="AF248" s="20">
        <f>Operations!AF241</f>
        <v/>
      </c>
      <c r="AG248" s="20">
        <f>Operations!AG241</f>
        <v/>
      </c>
      <c r="AH248" s="20">
        <f>Operations!AH241</f>
        <v/>
      </c>
      <c r="AI248" s="20">
        <f>Operations!AI241</f>
        <v/>
      </c>
      <c r="AJ248" s="20">
        <f>Operations!AJ241</f>
        <v/>
      </c>
      <c r="AK248" s="20">
        <f>Operations!AK241</f>
        <v/>
      </c>
      <c r="AL248" s="20">
        <f>Operations!AL241</f>
        <v/>
      </c>
      <c r="AM248" s="20">
        <f>Operations!AM241</f>
        <v/>
      </c>
      <c r="AN248" s="20">
        <f>Operations!AN241</f>
        <v/>
      </c>
      <c r="AO248" s="20">
        <f>Operations!AO241</f>
        <v/>
      </c>
      <c r="AP248" s="20">
        <f>Operations!AP241</f>
        <v/>
      </c>
      <c r="AQ248" s="20">
        <f>Operations!AQ241</f>
        <v/>
      </c>
      <c r="AR248" s="20">
        <f>Operations!AR241</f>
        <v/>
      </c>
      <c r="AS248" s="20">
        <f>Operations!AS241</f>
        <v/>
      </c>
      <c r="AT248" s="20">
        <f>Operations!AT241</f>
        <v/>
      </c>
      <c r="AU248" s="20">
        <f>Operations!AU241</f>
        <v/>
      </c>
    </row>
    <row r="249">
      <c r="D249" t="inlineStr">
        <is>
          <t>R5 contracted revenue (strike x volume)</t>
        </is>
      </c>
      <c r="E249" t="inlineStr">
        <is>
          <t>USD m</t>
        </is>
      </c>
      <c r="J249" s="20">
        <f>Operations!J246*Inputs!$F$204/1000</f>
        <v/>
      </c>
      <c r="K249" s="20">
        <f>Operations!K246*Inputs!$F$204/1000</f>
        <v/>
      </c>
      <c r="L249" s="20">
        <f>Operations!L246*Inputs!$F$204/1000</f>
        <v/>
      </c>
      <c r="M249" s="20">
        <f>Operations!M246*Inputs!$F$204/1000</f>
        <v/>
      </c>
      <c r="N249" s="20">
        <f>Operations!N246*Inputs!$F$204/1000</f>
        <v/>
      </c>
      <c r="O249" s="20">
        <f>Operations!O246*Inputs!$F$204/1000</f>
        <v/>
      </c>
      <c r="P249" s="20">
        <f>Operations!P246*Inputs!$F$204/1000</f>
        <v/>
      </c>
      <c r="Q249" s="20">
        <f>Operations!Q246*Inputs!$F$204/1000</f>
        <v/>
      </c>
      <c r="R249" s="20">
        <f>Operations!R246*Inputs!$F$204/1000</f>
        <v/>
      </c>
      <c r="S249" s="20">
        <f>Operations!S246*Inputs!$F$204/1000</f>
        <v/>
      </c>
      <c r="T249" s="20">
        <f>Operations!T246*Inputs!$F$204/1000</f>
        <v/>
      </c>
      <c r="U249" s="20">
        <f>Operations!U246*Inputs!$F$204/1000</f>
        <v/>
      </c>
      <c r="V249" s="20">
        <f>Operations!V246*Inputs!$F$204/1000</f>
        <v/>
      </c>
      <c r="W249" s="20">
        <f>Operations!W246*Inputs!$F$204/1000</f>
        <v/>
      </c>
      <c r="X249" s="20">
        <f>Operations!X246*Inputs!$F$204/1000</f>
        <v/>
      </c>
      <c r="Y249" s="20">
        <f>Operations!Y246*Inputs!$F$204/1000</f>
        <v/>
      </c>
      <c r="Z249" s="20">
        <f>Operations!Z246*Inputs!$F$204/1000</f>
        <v/>
      </c>
      <c r="AA249" s="20">
        <f>Operations!AA246*Inputs!$F$204/1000</f>
        <v/>
      </c>
      <c r="AB249" s="20">
        <f>Operations!AB246*Inputs!$F$204/1000</f>
        <v/>
      </c>
      <c r="AC249" s="20">
        <f>Operations!AC246*Inputs!$F$204/1000</f>
        <v/>
      </c>
      <c r="AD249" s="20">
        <f>Operations!AD246*Inputs!$F$204/1000</f>
        <v/>
      </c>
      <c r="AE249" s="20">
        <f>Operations!AE246*Inputs!$F$204/1000</f>
        <v/>
      </c>
      <c r="AF249" s="20">
        <f>Operations!AF246*Inputs!$F$204/1000</f>
        <v/>
      </c>
      <c r="AG249" s="20">
        <f>Operations!AG246*Inputs!$F$204/1000</f>
        <v/>
      </c>
      <c r="AH249" s="20">
        <f>Operations!AH246*Inputs!$F$204/1000</f>
        <v/>
      </c>
      <c r="AI249" s="20">
        <f>Operations!AI246*Inputs!$F$204/1000</f>
        <v/>
      </c>
      <c r="AJ249" s="20">
        <f>Operations!AJ246*Inputs!$F$204/1000</f>
        <v/>
      </c>
      <c r="AK249" s="20">
        <f>Operations!AK246*Inputs!$F$204/1000</f>
        <v/>
      </c>
      <c r="AL249" s="20">
        <f>Operations!AL246*Inputs!$F$204/1000</f>
        <v/>
      </c>
      <c r="AM249" s="20">
        <f>Operations!AM246*Inputs!$F$204/1000</f>
        <v/>
      </c>
      <c r="AN249" s="20">
        <f>Operations!AN246*Inputs!$F$204/1000</f>
        <v/>
      </c>
      <c r="AO249" s="20">
        <f>Operations!AO246*Inputs!$F$204/1000</f>
        <v/>
      </c>
      <c r="AP249" s="20">
        <f>Operations!AP246*Inputs!$F$204/1000</f>
        <v/>
      </c>
      <c r="AQ249" s="20">
        <f>Operations!AQ246*Inputs!$F$204/1000</f>
        <v/>
      </c>
      <c r="AR249" s="20">
        <f>Operations!AR246*Inputs!$F$204/1000</f>
        <v/>
      </c>
      <c r="AS249" s="20">
        <f>Operations!AS246*Inputs!$F$204/1000</f>
        <v/>
      </c>
      <c r="AT249" s="20">
        <f>Operations!AT246*Inputs!$F$204/1000</f>
        <v/>
      </c>
      <c r="AU249" s="20">
        <f>Operations!AU246*Inputs!$F$204/1000</f>
        <v/>
      </c>
    </row>
    <row r="250">
      <c r="D250" t="inlineStr">
        <is>
          <t>R5 hedged revenue</t>
        </is>
      </c>
      <c r="E250" t="inlineStr">
        <is>
          <t>USD m</t>
        </is>
      </c>
      <c r="J250" s="20">
        <f>0</f>
        <v/>
      </c>
      <c r="K250" s="20">
        <f>0</f>
        <v/>
      </c>
      <c r="L250" s="20">
        <f>0</f>
        <v/>
      </c>
      <c r="M250" s="20">
        <f>0</f>
        <v/>
      </c>
      <c r="N250" s="20">
        <f>0</f>
        <v/>
      </c>
      <c r="O250" s="20">
        <f>0</f>
        <v/>
      </c>
      <c r="P250" s="20">
        <f>0</f>
        <v/>
      </c>
      <c r="Q250" s="20">
        <f>0</f>
        <v/>
      </c>
      <c r="R250" s="20">
        <f>0</f>
        <v/>
      </c>
      <c r="S250" s="20">
        <f>0</f>
        <v/>
      </c>
      <c r="T250" s="20">
        <f>0</f>
        <v/>
      </c>
      <c r="U250" s="20">
        <f>0</f>
        <v/>
      </c>
      <c r="V250" s="20">
        <f>0</f>
        <v/>
      </c>
      <c r="W250" s="20">
        <f>0</f>
        <v/>
      </c>
      <c r="X250" s="20">
        <f>0</f>
        <v/>
      </c>
      <c r="Y250" s="20">
        <f>0</f>
        <v/>
      </c>
      <c r="Z250" s="20">
        <f>0</f>
        <v/>
      </c>
      <c r="AA250" s="20">
        <f>0</f>
        <v/>
      </c>
      <c r="AB250" s="20">
        <f>0</f>
        <v/>
      </c>
      <c r="AC250" s="20">
        <f>0</f>
        <v/>
      </c>
      <c r="AD250" s="20">
        <f>0</f>
        <v/>
      </c>
      <c r="AE250" s="20">
        <f>0</f>
        <v/>
      </c>
      <c r="AF250" s="20">
        <f>0</f>
        <v/>
      </c>
      <c r="AG250" s="20">
        <f>0</f>
        <v/>
      </c>
      <c r="AH250" s="20">
        <f>0</f>
        <v/>
      </c>
      <c r="AI250" s="20">
        <f>0</f>
        <v/>
      </c>
      <c r="AJ250" s="20">
        <f>0</f>
        <v/>
      </c>
      <c r="AK250" s="20">
        <f>0</f>
        <v/>
      </c>
      <c r="AL250" s="20">
        <f>0</f>
        <v/>
      </c>
      <c r="AM250" s="20">
        <f>0</f>
        <v/>
      </c>
      <c r="AN250" s="20">
        <f>0</f>
        <v/>
      </c>
      <c r="AO250" s="20">
        <f>0</f>
        <v/>
      </c>
      <c r="AP250" s="20">
        <f>0</f>
        <v/>
      </c>
      <c r="AQ250" s="20">
        <f>0</f>
        <v/>
      </c>
      <c r="AR250" s="20">
        <f>0</f>
        <v/>
      </c>
      <c r="AS250" s="20">
        <f>0</f>
        <v/>
      </c>
      <c r="AT250" s="20">
        <f>0</f>
        <v/>
      </c>
      <c r="AU250" s="20">
        <f>0</f>
        <v/>
      </c>
    </row>
    <row r="251">
      <c r="D251" t="inlineStr">
        <is>
          <t>R5 market revenue at node</t>
        </is>
      </c>
      <c r="E251" t="inlineStr">
        <is>
          <t>USD m</t>
        </is>
      </c>
      <c r="G251" s="20">
        <f>SUM(J251:AU251)</f>
        <v/>
      </c>
      <c r="J251" s="20">
        <f>Operations!J248*Operations!J244/1000</f>
        <v/>
      </c>
      <c r="K251" s="20">
        <f>Operations!K248*Operations!K244/1000</f>
        <v/>
      </c>
      <c r="L251" s="20">
        <f>Operations!L248*Operations!L244/1000</f>
        <v/>
      </c>
      <c r="M251" s="20">
        <f>Operations!M248*Operations!M244/1000</f>
        <v/>
      </c>
      <c r="N251" s="20">
        <f>Operations!N248*Operations!N244/1000</f>
        <v/>
      </c>
      <c r="O251" s="20">
        <f>Operations!O248*Operations!O244/1000</f>
        <v/>
      </c>
      <c r="P251" s="20">
        <f>Operations!P248*Operations!P244/1000</f>
        <v/>
      </c>
      <c r="Q251" s="20">
        <f>Operations!Q248*Operations!Q244/1000</f>
        <v/>
      </c>
      <c r="R251" s="20">
        <f>Operations!R248*Operations!R244/1000</f>
        <v/>
      </c>
      <c r="S251" s="20">
        <f>Operations!S248*Operations!S244/1000</f>
        <v/>
      </c>
      <c r="T251" s="20">
        <f>Operations!T248*Operations!T244/1000</f>
        <v/>
      </c>
      <c r="U251" s="20">
        <f>Operations!U248*Operations!U244/1000</f>
        <v/>
      </c>
      <c r="V251" s="20">
        <f>Operations!V248*Operations!V244/1000</f>
        <v/>
      </c>
      <c r="W251" s="20">
        <f>Operations!W248*Operations!W244/1000</f>
        <v/>
      </c>
      <c r="X251" s="20">
        <f>Operations!X248*Operations!X244/1000</f>
        <v/>
      </c>
      <c r="Y251" s="20">
        <f>Operations!Y248*Operations!Y244/1000</f>
        <v/>
      </c>
      <c r="Z251" s="20">
        <f>Operations!Z248*Operations!Z244/1000</f>
        <v/>
      </c>
      <c r="AA251" s="20">
        <f>Operations!AA248*Operations!AA244/1000</f>
        <v/>
      </c>
      <c r="AB251" s="20">
        <f>Operations!AB248*Operations!AB244/1000</f>
        <v/>
      </c>
      <c r="AC251" s="20">
        <f>Operations!AC248*Operations!AC244/1000</f>
        <v/>
      </c>
      <c r="AD251" s="20">
        <f>Operations!AD248*Operations!AD244/1000</f>
        <v/>
      </c>
      <c r="AE251" s="20">
        <f>Operations!AE248*Operations!AE244/1000</f>
        <v/>
      </c>
      <c r="AF251" s="20">
        <f>Operations!AF248*Operations!AF244/1000</f>
        <v/>
      </c>
      <c r="AG251" s="20">
        <f>Operations!AG248*Operations!AG244/1000</f>
        <v/>
      </c>
      <c r="AH251" s="20">
        <f>Operations!AH248*Operations!AH244/1000</f>
        <v/>
      </c>
      <c r="AI251" s="20">
        <f>Operations!AI248*Operations!AI244/1000</f>
        <v/>
      </c>
      <c r="AJ251" s="20">
        <f>Operations!AJ248*Operations!AJ244/1000</f>
        <v/>
      </c>
      <c r="AK251" s="20">
        <f>Operations!AK248*Operations!AK244/1000</f>
        <v/>
      </c>
      <c r="AL251" s="20">
        <f>Operations!AL248*Operations!AL244/1000</f>
        <v/>
      </c>
      <c r="AM251" s="20">
        <f>Operations!AM248*Operations!AM244/1000</f>
        <v/>
      </c>
      <c r="AN251" s="20">
        <f>Operations!AN248*Operations!AN244/1000</f>
        <v/>
      </c>
      <c r="AO251" s="20">
        <f>Operations!AO248*Operations!AO244/1000</f>
        <v/>
      </c>
      <c r="AP251" s="20">
        <f>Operations!AP248*Operations!AP244/1000</f>
        <v/>
      </c>
      <c r="AQ251" s="20">
        <f>Operations!AQ248*Operations!AQ244/1000</f>
        <v/>
      </c>
      <c r="AR251" s="20">
        <f>Operations!AR248*Operations!AR244/1000</f>
        <v/>
      </c>
      <c r="AS251" s="20">
        <f>Operations!AS248*Operations!AS244/1000</f>
        <v/>
      </c>
      <c r="AT251" s="20">
        <f>Operations!AT248*Operations!AT244/1000</f>
        <v/>
      </c>
      <c r="AU251" s="20">
        <f>Operations!AU248*Operations!AU244/1000</f>
        <v/>
      </c>
    </row>
    <row r="252">
      <c r="D252" t="inlineStr">
        <is>
          <t>R5 total revenue</t>
        </is>
      </c>
      <c r="E252" t="inlineStr">
        <is>
          <t>USD m</t>
        </is>
      </c>
      <c r="G252" s="20">
        <f>SUM(J252:AU252)</f>
        <v/>
      </c>
      <c r="J252" s="20">
        <f>Operations!J251+Operations!J247</f>
        <v/>
      </c>
      <c r="K252" s="20">
        <f>Operations!K251+Operations!K247</f>
        <v/>
      </c>
      <c r="L252" s="20">
        <f>Operations!L251+Operations!L247</f>
        <v/>
      </c>
      <c r="M252" s="20">
        <f>Operations!M251+Operations!M247</f>
        <v/>
      </c>
      <c r="N252" s="20">
        <f>Operations!N251+Operations!N247</f>
        <v/>
      </c>
      <c r="O252" s="20">
        <f>Operations!O251+Operations!O247</f>
        <v/>
      </c>
      <c r="P252" s="20">
        <f>Operations!P251+Operations!P247</f>
        <v/>
      </c>
      <c r="Q252" s="20">
        <f>Operations!Q251+Operations!Q247</f>
        <v/>
      </c>
      <c r="R252" s="20">
        <f>Operations!R251+Operations!R247</f>
        <v/>
      </c>
      <c r="S252" s="20">
        <f>Operations!S251+Operations!S247</f>
        <v/>
      </c>
      <c r="T252" s="20">
        <f>Operations!T251+Operations!T247</f>
        <v/>
      </c>
      <c r="U252" s="20">
        <f>Operations!U251+Operations!U247</f>
        <v/>
      </c>
      <c r="V252" s="20">
        <f>Operations!V251+Operations!V247</f>
        <v/>
      </c>
      <c r="W252" s="20">
        <f>Operations!W251+Operations!W247</f>
        <v/>
      </c>
      <c r="X252" s="20">
        <f>Operations!X251+Operations!X247</f>
        <v/>
      </c>
      <c r="Y252" s="20">
        <f>Operations!Y251+Operations!Y247</f>
        <v/>
      </c>
      <c r="Z252" s="20">
        <f>Operations!Z251+Operations!Z247</f>
        <v/>
      </c>
      <c r="AA252" s="20">
        <f>Operations!AA251+Operations!AA247</f>
        <v/>
      </c>
      <c r="AB252" s="20">
        <f>Operations!AB251+Operations!AB247</f>
        <v/>
      </c>
      <c r="AC252" s="20">
        <f>Operations!AC251+Operations!AC247</f>
        <v/>
      </c>
      <c r="AD252" s="20">
        <f>Operations!AD251+Operations!AD247</f>
        <v/>
      </c>
      <c r="AE252" s="20">
        <f>Operations!AE251+Operations!AE247</f>
        <v/>
      </c>
      <c r="AF252" s="20">
        <f>Operations!AF251+Operations!AF247</f>
        <v/>
      </c>
      <c r="AG252" s="20">
        <f>Operations!AG251+Operations!AG247</f>
        <v/>
      </c>
      <c r="AH252" s="20">
        <f>Operations!AH251+Operations!AH247</f>
        <v/>
      </c>
      <c r="AI252" s="20">
        <f>Operations!AI251+Operations!AI247</f>
        <v/>
      </c>
      <c r="AJ252" s="20">
        <f>Operations!AJ251+Operations!AJ247</f>
        <v/>
      </c>
      <c r="AK252" s="20">
        <f>Operations!AK251+Operations!AK247</f>
        <v/>
      </c>
      <c r="AL252" s="20">
        <f>Operations!AL251+Operations!AL247</f>
        <v/>
      </c>
      <c r="AM252" s="20">
        <f>Operations!AM251+Operations!AM247</f>
        <v/>
      </c>
      <c r="AN252" s="20">
        <f>Operations!AN251+Operations!AN247</f>
        <v/>
      </c>
      <c r="AO252" s="20">
        <f>Operations!AO251+Operations!AO247</f>
        <v/>
      </c>
      <c r="AP252" s="20">
        <f>Operations!AP251+Operations!AP247</f>
        <v/>
      </c>
      <c r="AQ252" s="20">
        <f>Operations!AQ251+Operations!AQ247</f>
        <v/>
      </c>
      <c r="AR252" s="20">
        <f>Operations!AR251+Operations!AR247</f>
        <v/>
      </c>
      <c r="AS252" s="20">
        <f>Operations!AS251+Operations!AS247</f>
        <v/>
      </c>
      <c r="AT252" s="20">
        <f>Operations!AT251+Operations!AT247</f>
        <v/>
      </c>
      <c r="AU252" s="20">
        <f>Operations!AU251+Operations!AU247</f>
        <v/>
      </c>
    </row>
    <row r="253">
      <c r="D253" t="inlineStr">
        <is>
          <t>R5 merchant revenue (total less contracted and hedged)</t>
        </is>
      </c>
      <c r="E253" t="inlineStr">
        <is>
          <t>USD m</t>
        </is>
      </c>
      <c r="J253" s="20">
        <f>Operations!J252-Operations!J249-Operations!J250</f>
        <v/>
      </c>
      <c r="K253" s="20">
        <f>Operations!K252-Operations!K249-Operations!K250</f>
        <v/>
      </c>
      <c r="L253" s="20">
        <f>Operations!L252-Operations!L249-Operations!L250</f>
        <v/>
      </c>
      <c r="M253" s="20">
        <f>Operations!M252-Operations!M249-Operations!M250</f>
        <v/>
      </c>
      <c r="N253" s="20">
        <f>Operations!N252-Operations!N249-Operations!N250</f>
        <v/>
      </c>
      <c r="O253" s="20">
        <f>Operations!O252-Operations!O249-Operations!O250</f>
        <v/>
      </c>
      <c r="P253" s="20">
        <f>Operations!P252-Operations!P249-Operations!P250</f>
        <v/>
      </c>
      <c r="Q253" s="20">
        <f>Operations!Q252-Operations!Q249-Operations!Q250</f>
        <v/>
      </c>
      <c r="R253" s="20">
        <f>Operations!R252-Operations!R249-Operations!R250</f>
        <v/>
      </c>
      <c r="S253" s="20">
        <f>Operations!S252-Operations!S249-Operations!S250</f>
        <v/>
      </c>
      <c r="T253" s="20">
        <f>Operations!T252-Operations!T249-Operations!T250</f>
        <v/>
      </c>
      <c r="U253" s="20">
        <f>Operations!U252-Operations!U249-Operations!U250</f>
        <v/>
      </c>
      <c r="V253" s="20">
        <f>Operations!V252-Operations!V249-Operations!V250</f>
        <v/>
      </c>
      <c r="W253" s="20">
        <f>Operations!W252-Operations!W249-Operations!W250</f>
        <v/>
      </c>
      <c r="X253" s="20">
        <f>Operations!X252-Operations!X249-Operations!X250</f>
        <v/>
      </c>
      <c r="Y253" s="20">
        <f>Operations!Y252-Operations!Y249-Operations!Y250</f>
        <v/>
      </c>
      <c r="Z253" s="20">
        <f>Operations!Z252-Operations!Z249-Operations!Z250</f>
        <v/>
      </c>
      <c r="AA253" s="20">
        <f>Operations!AA252-Operations!AA249-Operations!AA250</f>
        <v/>
      </c>
      <c r="AB253" s="20">
        <f>Operations!AB252-Operations!AB249-Operations!AB250</f>
        <v/>
      </c>
      <c r="AC253" s="20">
        <f>Operations!AC252-Operations!AC249-Operations!AC250</f>
        <v/>
      </c>
      <c r="AD253" s="20">
        <f>Operations!AD252-Operations!AD249-Operations!AD250</f>
        <v/>
      </c>
      <c r="AE253" s="20">
        <f>Operations!AE252-Operations!AE249-Operations!AE250</f>
        <v/>
      </c>
      <c r="AF253" s="20">
        <f>Operations!AF252-Operations!AF249-Operations!AF250</f>
        <v/>
      </c>
      <c r="AG253" s="20">
        <f>Operations!AG252-Operations!AG249-Operations!AG250</f>
        <v/>
      </c>
      <c r="AH253" s="20">
        <f>Operations!AH252-Operations!AH249-Operations!AH250</f>
        <v/>
      </c>
      <c r="AI253" s="20">
        <f>Operations!AI252-Operations!AI249-Operations!AI250</f>
        <v/>
      </c>
      <c r="AJ253" s="20">
        <f>Operations!AJ252-Operations!AJ249-Operations!AJ250</f>
        <v/>
      </c>
      <c r="AK253" s="20">
        <f>Operations!AK252-Operations!AK249-Operations!AK250</f>
        <v/>
      </c>
      <c r="AL253" s="20">
        <f>Operations!AL252-Operations!AL249-Operations!AL250</f>
        <v/>
      </c>
      <c r="AM253" s="20">
        <f>Operations!AM252-Operations!AM249-Operations!AM250</f>
        <v/>
      </c>
      <c r="AN253" s="20">
        <f>Operations!AN252-Operations!AN249-Operations!AN250</f>
        <v/>
      </c>
      <c r="AO253" s="20">
        <f>Operations!AO252-Operations!AO249-Operations!AO250</f>
        <v/>
      </c>
      <c r="AP253" s="20">
        <f>Operations!AP252-Operations!AP249-Operations!AP250</f>
        <v/>
      </c>
      <c r="AQ253" s="20">
        <f>Operations!AQ252-Operations!AQ249-Operations!AQ250</f>
        <v/>
      </c>
      <c r="AR253" s="20">
        <f>Operations!AR252-Operations!AR249-Operations!AR250</f>
        <v/>
      </c>
      <c r="AS253" s="20">
        <f>Operations!AS252-Operations!AS249-Operations!AS250</f>
        <v/>
      </c>
      <c r="AT253" s="20">
        <f>Operations!AT252-Operations!AT249-Operations!AT250</f>
        <v/>
      </c>
      <c r="AU253" s="20">
        <f>Operations!AU252-Operations!AU249-Operations!AU250</f>
        <v/>
      </c>
    </row>
    <row r="254">
      <c r="D254" t="inlineStr">
        <is>
          <t>R5 opex (O&amp;M, land, insurance, property tax, site)</t>
        </is>
      </c>
      <c r="E254" t="inlineStr">
        <is>
          <t>USD m</t>
        </is>
      </c>
      <c r="J254" s="20">
        <f>Inputs!$F$136*Inputs!$F$132/1000*Time!J$9*Time!J$10*Operations!J233*Operations!$F$50</f>
        <v/>
      </c>
      <c r="K254" s="20">
        <f>Inputs!$F$136*Inputs!$F$132/1000*Time!K$9*Time!K$10*Operations!K233*Operations!$F$50</f>
        <v/>
      </c>
      <c r="L254" s="20">
        <f>Inputs!$F$136*Inputs!$F$132/1000*Time!L$9*Time!L$10*Operations!L233*Operations!$F$50</f>
        <v/>
      </c>
      <c r="M254" s="20">
        <f>Inputs!$F$136*Inputs!$F$132/1000*Time!M$9*Time!M$10*Operations!M233*Operations!$F$50</f>
        <v/>
      </c>
      <c r="N254" s="20">
        <f>Inputs!$F$136*Inputs!$F$132/1000*Time!N$9*Time!N$10*Operations!N233*Operations!$F$50</f>
        <v/>
      </c>
      <c r="O254" s="20">
        <f>Inputs!$F$136*Inputs!$F$132/1000*Time!O$9*Time!O$10*Operations!O233*Operations!$F$50</f>
        <v/>
      </c>
      <c r="P254" s="20">
        <f>Inputs!$F$136*Inputs!$F$132/1000*Time!P$9*Time!P$10*Operations!P233*Operations!$F$50</f>
        <v/>
      </c>
      <c r="Q254" s="20">
        <f>Inputs!$F$136*Inputs!$F$132/1000*Time!Q$9*Time!Q$10*Operations!Q233*Operations!$F$50</f>
        <v/>
      </c>
      <c r="R254" s="20">
        <f>Inputs!$F$136*Inputs!$F$132/1000*Time!R$9*Time!R$10*Operations!R233*Operations!$F$50</f>
        <v/>
      </c>
      <c r="S254" s="20">
        <f>Inputs!$F$136*Inputs!$F$132/1000*Time!S$9*Time!S$10*Operations!S233*Operations!$F$50</f>
        <v/>
      </c>
      <c r="T254" s="20">
        <f>Inputs!$F$136*Inputs!$F$132/1000*Time!T$9*Time!T$10*Operations!T233*Operations!$F$50</f>
        <v/>
      </c>
      <c r="U254" s="20">
        <f>Inputs!$F$136*Inputs!$F$132/1000*Time!U$9*Time!U$10*Operations!U233*Operations!$F$50</f>
        <v/>
      </c>
      <c r="V254" s="20">
        <f>Inputs!$F$136*Inputs!$F$132/1000*Time!V$9*Time!V$10*Operations!V233*Operations!$F$50</f>
        <v/>
      </c>
      <c r="W254" s="20">
        <f>Inputs!$F$136*Inputs!$F$132/1000*Time!W$9*Time!W$10*Operations!W233*Operations!$F$50</f>
        <v/>
      </c>
      <c r="X254" s="20">
        <f>Inputs!$F$136*Inputs!$F$132/1000*Time!X$9*Time!X$10*Operations!X233*Operations!$F$50</f>
        <v/>
      </c>
      <c r="Y254" s="20">
        <f>Inputs!$F$136*Inputs!$F$132/1000*Time!Y$9*Time!Y$10*Operations!Y233*Operations!$F$50</f>
        <v/>
      </c>
      <c r="Z254" s="20">
        <f>Inputs!$F$136*Inputs!$F$132/1000*Time!Z$9*Time!Z$10*Operations!Z233*Operations!$F$50</f>
        <v/>
      </c>
      <c r="AA254" s="20">
        <f>Inputs!$F$136*Inputs!$F$132/1000*Time!AA$9*Time!AA$10*Operations!AA233*Operations!$F$50</f>
        <v/>
      </c>
      <c r="AB254" s="20">
        <f>Inputs!$F$136*Inputs!$F$132/1000*Time!AB$9*Time!AB$10*Operations!AB233*Operations!$F$50</f>
        <v/>
      </c>
      <c r="AC254" s="20">
        <f>Inputs!$F$136*Inputs!$F$132/1000*Time!AC$9*Time!AC$10*Operations!AC233*Operations!$F$50</f>
        <v/>
      </c>
      <c r="AD254" s="20">
        <f>Inputs!$F$136*Inputs!$F$132/1000*Time!AD$9*Time!AD$10*Operations!AD233*Operations!$F$50</f>
        <v/>
      </c>
      <c r="AE254" s="20">
        <f>Inputs!$F$136*Inputs!$F$132/1000*Time!AE$9*Time!AE$10*Operations!AE233*Operations!$F$50</f>
        <v/>
      </c>
      <c r="AF254" s="20">
        <f>Inputs!$F$136*Inputs!$F$132/1000*Time!AF$9*Time!AF$10*Operations!AF233*Operations!$F$50</f>
        <v/>
      </c>
      <c r="AG254" s="20">
        <f>Inputs!$F$136*Inputs!$F$132/1000*Time!AG$9*Time!AG$10*Operations!AG233*Operations!$F$50</f>
        <v/>
      </c>
      <c r="AH254" s="20">
        <f>Inputs!$F$136*Inputs!$F$132/1000*Time!AH$9*Time!AH$10*Operations!AH233*Operations!$F$50</f>
        <v/>
      </c>
      <c r="AI254" s="20">
        <f>Inputs!$F$136*Inputs!$F$132/1000*Time!AI$9*Time!AI$10*Operations!AI233*Operations!$F$50</f>
        <v/>
      </c>
      <c r="AJ254" s="20">
        <f>Inputs!$F$136*Inputs!$F$132/1000*Time!AJ$9*Time!AJ$10*Operations!AJ233*Operations!$F$50</f>
        <v/>
      </c>
      <c r="AK254" s="20">
        <f>Inputs!$F$136*Inputs!$F$132/1000*Time!AK$9*Time!AK$10*Operations!AK233*Operations!$F$50</f>
        <v/>
      </c>
      <c r="AL254" s="20">
        <f>Inputs!$F$136*Inputs!$F$132/1000*Time!AL$9*Time!AL$10*Operations!AL233*Operations!$F$50</f>
        <v/>
      </c>
      <c r="AM254" s="20">
        <f>Inputs!$F$136*Inputs!$F$132/1000*Time!AM$9*Time!AM$10*Operations!AM233*Operations!$F$50</f>
        <v/>
      </c>
      <c r="AN254" s="20">
        <f>Inputs!$F$136*Inputs!$F$132/1000*Time!AN$9*Time!AN$10*Operations!AN233*Operations!$F$50</f>
        <v/>
      </c>
      <c r="AO254" s="20">
        <f>Inputs!$F$136*Inputs!$F$132/1000*Time!AO$9*Time!AO$10*Operations!AO233*Operations!$F$50</f>
        <v/>
      </c>
      <c r="AP254" s="20">
        <f>Inputs!$F$136*Inputs!$F$132/1000*Time!AP$9*Time!AP$10*Operations!AP233*Operations!$F$50</f>
        <v/>
      </c>
      <c r="AQ254" s="20">
        <f>Inputs!$F$136*Inputs!$F$132/1000*Time!AQ$9*Time!AQ$10*Operations!AQ233*Operations!$F$50</f>
        <v/>
      </c>
      <c r="AR254" s="20">
        <f>Inputs!$F$136*Inputs!$F$132/1000*Time!AR$9*Time!AR$10*Operations!AR233*Operations!$F$50</f>
        <v/>
      </c>
      <c r="AS254" s="20">
        <f>Inputs!$F$136*Inputs!$F$132/1000*Time!AS$9*Time!AS$10*Operations!AS233*Operations!$F$50</f>
        <v/>
      </c>
      <c r="AT254" s="20">
        <f>Inputs!$F$136*Inputs!$F$132/1000*Time!AT$9*Time!AT$10*Operations!AT233*Operations!$F$50</f>
        <v/>
      </c>
      <c r="AU254" s="20">
        <f>Inputs!$F$136*Inputs!$F$132/1000*Time!AU$9*Time!AU$10*Operations!AU233*Operations!$F$50</f>
        <v/>
      </c>
    </row>
    <row r="255">
      <c r="D255" t="inlineStr">
        <is>
          <t>R5 land lease (in opex)</t>
        </is>
      </c>
      <c r="E255" t="inlineStr">
        <is>
          <t>USD m</t>
        </is>
      </c>
      <c r="J255" s="20">
        <f>0</f>
        <v/>
      </c>
      <c r="K255" s="20">
        <f>0</f>
        <v/>
      </c>
      <c r="L255" s="20">
        <f>0</f>
        <v/>
      </c>
      <c r="M255" s="20">
        <f>0</f>
        <v/>
      </c>
      <c r="N255" s="20">
        <f>0</f>
        <v/>
      </c>
      <c r="O255" s="20">
        <f>0</f>
        <v/>
      </c>
      <c r="P255" s="20">
        <f>0</f>
        <v/>
      </c>
      <c r="Q255" s="20">
        <f>0</f>
        <v/>
      </c>
      <c r="R255" s="20">
        <f>0</f>
        <v/>
      </c>
      <c r="S255" s="20">
        <f>0</f>
        <v/>
      </c>
      <c r="T255" s="20">
        <f>0</f>
        <v/>
      </c>
      <c r="U255" s="20">
        <f>0</f>
        <v/>
      </c>
      <c r="V255" s="20">
        <f>0</f>
        <v/>
      </c>
      <c r="W255" s="20">
        <f>0</f>
        <v/>
      </c>
      <c r="X255" s="20">
        <f>0</f>
        <v/>
      </c>
      <c r="Y255" s="20">
        <f>0</f>
        <v/>
      </c>
      <c r="Z255" s="20">
        <f>0</f>
        <v/>
      </c>
      <c r="AA255" s="20">
        <f>0</f>
        <v/>
      </c>
      <c r="AB255" s="20">
        <f>0</f>
        <v/>
      </c>
      <c r="AC255" s="20">
        <f>0</f>
        <v/>
      </c>
      <c r="AD255" s="20">
        <f>0</f>
        <v/>
      </c>
      <c r="AE255" s="20">
        <f>0</f>
        <v/>
      </c>
      <c r="AF255" s="20">
        <f>0</f>
        <v/>
      </c>
      <c r="AG255" s="20">
        <f>0</f>
        <v/>
      </c>
      <c r="AH255" s="20">
        <f>0</f>
        <v/>
      </c>
      <c r="AI255" s="20">
        <f>0</f>
        <v/>
      </c>
      <c r="AJ255" s="20">
        <f>0</f>
        <v/>
      </c>
      <c r="AK255" s="20">
        <f>0</f>
        <v/>
      </c>
      <c r="AL255" s="20">
        <f>0</f>
        <v/>
      </c>
      <c r="AM255" s="20">
        <f>0</f>
        <v/>
      </c>
      <c r="AN255" s="20">
        <f>0</f>
        <v/>
      </c>
      <c r="AO255" s="20">
        <f>0</f>
        <v/>
      </c>
      <c r="AP255" s="20">
        <f>0</f>
        <v/>
      </c>
      <c r="AQ255" s="20">
        <f>0</f>
        <v/>
      </c>
      <c r="AR255" s="20">
        <f>0</f>
        <v/>
      </c>
      <c r="AS255" s="20">
        <f>0</f>
        <v/>
      </c>
      <c r="AT255" s="20">
        <f>0</f>
        <v/>
      </c>
      <c r="AU255" s="20">
        <f>0</f>
        <v/>
      </c>
    </row>
    <row r="256">
      <c r="D256" t="inlineStr">
        <is>
          <t>R5 decommissioning surety cost</t>
        </is>
      </c>
      <c r="E256" t="inlineStr">
        <is>
          <t>USD m</t>
        </is>
      </c>
      <c r="J256" s="20">
        <f>Inputs!$F$236/100*Inputs!$F$137*Inputs!$F$132/1000*Time!J$9*Operations!J233</f>
        <v/>
      </c>
      <c r="K256" s="20">
        <f>Inputs!$F$236/100*Inputs!$F$137*Inputs!$F$132/1000*Time!K$9*Operations!K233</f>
        <v/>
      </c>
      <c r="L256" s="20">
        <f>Inputs!$F$236/100*Inputs!$F$137*Inputs!$F$132/1000*Time!L$9*Operations!L233</f>
        <v/>
      </c>
      <c r="M256" s="20">
        <f>Inputs!$F$236/100*Inputs!$F$137*Inputs!$F$132/1000*Time!M$9*Operations!M233</f>
        <v/>
      </c>
      <c r="N256" s="20">
        <f>Inputs!$F$236/100*Inputs!$F$137*Inputs!$F$132/1000*Time!N$9*Operations!N233</f>
        <v/>
      </c>
      <c r="O256" s="20">
        <f>Inputs!$F$236/100*Inputs!$F$137*Inputs!$F$132/1000*Time!O$9*Operations!O233</f>
        <v/>
      </c>
      <c r="P256" s="20">
        <f>Inputs!$F$236/100*Inputs!$F$137*Inputs!$F$132/1000*Time!P$9*Operations!P233</f>
        <v/>
      </c>
      <c r="Q256" s="20">
        <f>Inputs!$F$236/100*Inputs!$F$137*Inputs!$F$132/1000*Time!Q$9*Operations!Q233</f>
        <v/>
      </c>
      <c r="R256" s="20">
        <f>Inputs!$F$236/100*Inputs!$F$137*Inputs!$F$132/1000*Time!R$9*Operations!R233</f>
        <v/>
      </c>
      <c r="S256" s="20">
        <f>Inputs!$F$236/100*Inputs!$F$137*Inputs!$F$132/1000*Time!S$9*Operations!S233</f>
        <v/>
      </c>
      <c r="T256" s="20">
        <f>Inputs!$F$236/100*Inputs!$F$137*Inputs!$F$132/1000*Time!T$9*Operations!T233</f>
        <v/>
      </c>
      <c r="U256" s="20">
        <f>Inputs!$F$236/100*Inputs!$F$137*Inputs!$F$132/1000*Time!U$9*Operations!U233</f>
        <v/>
      </c>
      <c r="V256" s="20">
        <f>Inputs!$F$236/100*Inputs!$F$137*Inputs!$F$132/1000*Time!V$9*Operations!V233</f>
        <v/>
      </c>
      <c r="W256" s="20">
        <f>Inputs!$F$236/100*Inputs!$F$137*Inputs!$F$132/1000*Time!W$9*Operations!W233</f>
        <v/>
      </c>
      <c r="X256" s="20">
        <f>Inputs!$F$236/100*Inputs!$F$137*Inputs!$F$132/1000*Time!X$9*Operations!X233</f>
        <v/>
      </c>
      <c r="Y256" s="20">
        <f>Inputs!$F$236/100*Inputs!$F$137*Inputs!$F$132/1000*Time!Y$9*Operations!Y233</f>
        <v/>
      </c>
      <c r="Z256" s="20">
        <f>Inputs!$F$236/100*Inputs!$F$137*Inputs!$F$132/1000*Time!Z$9*Operations!Z233</f>
        <v/>
      </c>
      <c r="AA256" s="20">
        <f>Inputs!$F$236/100*Inputs!$F$137*Inputs!$F$132/1000*Time!AA$9*Operations!AA233</f>
        <v/>
      </c>
      <c r="AB256" s="20">
        <f>Inputs!$F$236/100*Inputs!$F$137*Inputs!$F$132/1000*Time!AB$9*Operations!AB233</f>
        <v/>
      </c>
      <c r="AC256" s="20">
        <f>Inputs!$F$236/100*Inputs!$F$137*Inputs!$F$132/1000*Time!AC$9*Operations!AC233</f>
        <v/>
      </c>
      <c r="AD256" s="20">
        <f>Inputs!$F$236/100*Inputs!$F$137*Inputs!$F$132/1000*Time!AD$9*Operations!AD233</f>
        <v/>
      </c>
      <c r="AE256" s="20">
        <f>Inputs!$F$236/100*Inputs!$F$137*Inputs!$F$132/1000*Time!AE$9*Operations!AE233</f>
        <v/>
      </c>
      <c r="AF256" s="20">
        <f>Inputs!$F$236/100*Inputs!$F$137*Inputs!$F$132/1000*Time!AF$9*Operations!AF233</f>
        <v/>
      </c>
      <c r="AG256" s="20">
        <f>Inputs!$F$236/100*Inputs!$F$137*Inputs!$F$132/1000*Time!AG$9*Operations!AG233</f>
        <v/>
      </c>
      <c r="AH256" s="20">
        <f>Inputs!$F$236/100*Inputs!$F$137*Inputs!$F$132/1000*Time!AH$9*Operations!AH233</f>
        <v/>
      </c>
      <c r="AI256" s="20">
        <f>Inputs!$F$236/100*Inputs!$F$137*Inputs!$F$132/1000*Time!AI$9*Operations!AI233</f>
        <v/>
      </c>
      <c r="AJ256" s="20">
        <f>Inputs!$F$236/100*Inputs!$F$137*Inputs!$F$132/1000*Time!AJ$9*Operations!AJ233</f>
        <v/>
      </c>
      <c r="AK256" s="20">
        <f>Inputs!$F$236/100*Inputs!$F$137*Inputs!$F$132/1000*Time!AK$9*Operations!AK233</f>
        <v/>
      </c>
      <c r="AL256" s="20">
        <f>Inputs!$F$236/100*Inputs!$F$137*Inputs!$F$132/1000*Time!AL$9*Operations!AL233</f>
        <v/>
      </c>
      <c r="AM256" s="20">
        <f>Inputs!$F$236/100*Inputs!$F$137*Inputs!$F$132/1000*Time!AM$9*Operations!AM233</f>
        <v/>
      </c>
      <c r="AN256" s="20">
        <f>Inputs!$F$236/100*Inputs!$F$137*Inputs!$F$132/1000*Time!AN$9*Operations!AN233</f>
        <v/>
      </c>
      <c r="AO256" s="20">
        <f>Inputs!$F$236/100*Inputs!$F$137*Inputs!$F$132/1000*Time!AO$9*Operations!AO233</f>
        <v/>
      </c>
      <c r="AP256" s="20">
        <f>Inputs!$F$236/100*Inputs!$F$137*Inputs!$F$132/1000*Time!AP$9*Operations!AP233</f>
        <v/>
      </c>
      <c r="AQ256" s="20">
        <f>Inputs!$F$236/100*Inputs!$F$137*Inputs!$F$132/1000*Time!AQ$9*Operations!AQ233</f>
        <v/>
      </c>
      <c r="AR256" s="20">
        <f>Inputs!$F$236/100*Inputs!$F$137*Inputs!$F$132/1000*Time!AR$9*Operations!AR233</f>
        <v/>
      </c>
      <c r="AS256" s="20">
        <f>Inputs!$F$236/100*Inputs!$F$137*Inputs!$F$132/1000*Time!AS$9*Operations!AS233</f>
        <v/>
      </c>
      <c r="AT256" s="20">
        <f>Inputs!$F$236/100*Inputs!$F$137*Inputs!$F$132/1000*Time!AT$9*Operations!AT233</f>
        <v/>
      </c>
      <c r="AU256" s="20">
        <f>Inputs!$F$236/100*Inputs!$F$137*Inputs!$F$132/1000*Time!AU$9*Operations!AU233</f>
        <v/>
      </c>
    </row>
    <row r="257">
      <c r="D257" t="inlineStr">
        <is>
          <t>R5 Texas margin tax</t>
        </is>
      </c>
      <c r="E257" t="inlineStr">
        <is>
          <t>USD m</t>
        </is>
      </c>
      <c r="J257" s="20">
        <f>Inputs!$F$237/100*Inputs!$F$238/100*Operations!J252</f>
        <v/>
      </c>
      <c r="K257" s="20">
        <f>Inputs!$F$237/100*Inputs!$F$238/100*Operations!K252</f>
        <v/>
      </c>
      <c r="L257" s="20">
        <f>Inputs!$F$237/100*Inputs!$F$238/100*Operations!L252</f>
        <v/>
      </c>
      <c r="M257" s="20">
        <f>Inputs!$F$237/100*Inputs!$F$238/100*Operations!M252</f>
        <v/>
      </c>
      <c r="N257" s="20">
        <f>Inputs!$F$237/100*Inputs!$F$238/100*Operations!N252</f>
        <v/>
      </c>
      <c r="O257" s="20">
        <f>Inputs!$F$237/100*Inputs!$F$238/100*Operations!O252</f>
        <v/>
      </c>
      <c r="P257" s="20">
        <f>Inputs!$F$237/100*Inputs!$F$238/100*Operations!P252</f>
        <v/>
      </c>
      <c r="Q257" s="20">
        <f>Inputs!$F$237/100*Inputs!$F$238/100*Operations!Q252</f>
        <v/>
      </c>
      <c r="R257" s="20">
        <f>Inputs!$F$237/100*Inputs!$F$238/100*Operations!R252</f>
        <v/>
      </c>
      <c r="S257" s="20">
        <f>Inputs!$F$237/100*Inputs!$F$238/100*Operations!S252</f>
        <v/>
      </c>
      <c r="T257" s="20">
        <f>Inputs!$F$237/100*Inputs!$F$238/100*Operations!T252</f>
        <v/>
      </c>
      <c r="U257" s="20">
        <f>Inputs!$F$237/100*Inputs!$F$238/100*Operations!U252</f>
        <v/>
      </c>
      <c r="V257" s="20">
        <f>Inputs!$F$237/100*Inputs!$F$238/100*Operations!V252</f>
        <v/>
      </c>
      <c r="W257" s="20">
        <f>Inputs!$F$237/100*Inputs!$F$238/100*Operations!W252</f>
        <v/>
      </c>
      <c r="X257" s="20">
        <f>Inputs!$F$237/100*Inputs!$F$238/100*Operations!X252</f>
        <v/>
      </c>
      <c r="Y257" s="20">
        <f>Inputs!$F$237/100*Inputs!$F$238/100*Operations!Y252</f>
        <v/>
      </c>
      <c r="Z257" s="20">
        <f>Inputs!$F$237/100*Inputs!$F$238/100*Operations!Z252</f>
        <v/>
      </c>
      <c r="AA257" s="20">
        <f>Inputs!$F$237/100*Inputs!$F$238/100*Operations!AA252</f>
        <v/>
      </c>
      <c r="AB257" s="20">
        <f>Inputs!$F$237/100*Inputs!$F$238/100*Operations!AB252</f>
        <v/>
      </c>
      <c r="AC257" s="20">
        <f>Inputs!$F$237/100*Inputs!$F$238/100*Operations!AC252</f>
        <v/>
      </c>
      <c r="AD257" s="20">
        <f>Inputs!$F$237/100*Inputs!$F$238/100*Operations!AD252</f>
        <v/>
      </c>
      <c r="AE257" s="20">
        <f>Inputs!$F$237/100*Inputs!$F$238/100*Operations!AE252</f>
        <v/>
      </c>
      <c r="AF257" s="20">
        <f>Inputs!$F$237/100*Inputs!$F$238/100*Operations!AF252</f>
        <v/>
      </c>
      <c r="AG257" s="20">
        <f>Inputs!$F$237/100*Inputs!$F$238/100*Operations!AG252</f>
        <v/>
      </c>
      <c r="AH257" s="20">
        <f>Inputs!$F$237/100*Inputs!$F$238/100*Operations!AH252</f>
        <v/>
      </c>
      <c r="AI257" s="20">
        <f>Inputs!$F$237/100*Inputs!$F$238/100*Operations!AI252</f>
        <v/>
      </c>
      <c r="AJ257" s="20">
        <f>Inputs!$F$237/100*Inputs!$F$238/100*Operations!AJ252</f>
        <v/>
      </c>
      <c r="AK257" s="20">
        <f>Inputs!$F$237/100*Inputs!$F$238/100*Operations!AK252</f>
        <v/>
      </c>
      <c r="AL257" s="20">
        <f>Inputs!$F$237/100*Inputs!$F$238/100*Operations!AL252</f>
        <v/>
      </c>
      <c r="AM257" s="20">
        <f>Inputs!$F$237/100*Inputs!$F$238/100*Operations!AM252</f>
        <v/>
      </c>
      <c r="AN257" s="20">
        <f>Inputs!$F$237/100*Inputs!$F$238/100*Operations!AN252</f>
        <v/>
      </c>
      <c r="AO257" s="20">
        <f>Inputs!$F$237/100*Inputs!$F$238/100*Operations!AO252</f>
        <v/>
      </c>
      <c r="AP257" s="20">
        <f>Inputs!$F$237/100*Inputs!$F$238/100*Operations!AP252</f>
        <v/>
      </c>
      <c r="AQ257" s="20">
        <f>Inputs!$F$237/100*Inputs!$F$238/100*Operations!AQ252</f>
        <v/>
      </c>
      <c r="AR257" s="20">
        <f>Inputs!$F$237/100*Inputs!$F$238/100*Operations!AR252</f>
        <v/>
      </c>
      <c r="AS257" s="20">
        <f>Inputs!$F$237/100*Inputs!$F$238/100*Operations!AS252</f>
        <v/>
      </c>
      <c r="AT257" s="20">
        <f>Inputs!$F$237/100*Inputs!$F$238/100*Operations!AT252</f>
        <v/>
      </c>
      <c r="AU257" s="20">
        <f>Inputs!$F$237/100*Inputs!$F$238/100*Operations!AU252</f>
        <v/>
      </c>
    </row>
    <row r="258">
      <c r="D258" t="inlineStr">
        <is>
          <t>R5 EBITDA</t>
        </is>
      </c>
      <c r="E258" t="inlineStr">
        <is>
          <t>USD m</t>
        </is>
      </c>
      <c r="G258" s="20">
        <f>SUM(J258:AU258)</f>
        <v/>
      </c>
      <c r="J258" s="20">
        <f>Operations!J252-Operations!J254-Operations!J255-Operations!J256-Operations!J257</f>
        <v/>
      </c>
      <c r="K258" s="20">
        <f>Operations!K252-Operations!K254-Operations!K255-Operations!K256-Operations!K257</f>
        <v/>
      </c>
      <c r="L258" s="20">
        <f>Operations!L252-Operations!L254-Operations!L255-Operations!L256-Operations!L257</f>
        <v/>
      </c>
      <c r="M258" s="20">
        <f>Operations!M252-Operations!M254-Operations!M255-Operations!M256-Operations!M257</f>
        <v/>
      </c>
      <c r="N258" s="20">
        <f>Operations!N252-Operations!N254-Operations!N255-Operations!N256-Operations!N257</f>
        <v/>
      </c>
      <c r="O258" s="20">
        <f>Operations!O252-Operations!O254-Operations!O255-Operations!O256-Operations!O257</f>
        <v/>
      </c>
      <c r="P258" s="20">
        <f>Operations!P252-Operations!P254-Operations!P255-Operations!P256-Operations!P257</f>
        <v/>
      </c>
      <c r="Q258" s="20">
        <f>Operations!Q252-Operations!Q254-Operations!Q255-Operations!Q256-Operations!Q257</f>
        <v/>
      </c>
      <c r="R258" s="20">
        <f>Operations!R252-Operations!R254-Operations!R255-Operations!R256-Operations!R257</f>
        <v/>
      </c>
      <c r="S258" s="20">
        <f>Operations!S252-Operations!S254-Operations!S255-Operations!S256-Operations!S257</f>
        <v/>
      </c>
      <c r="T258" s="20">
        <f>Operations!T252-Operations!T254-Operations!T255-Operations!T256-Operations!T257</f>
        <v/>
      </c>
      <c r="U258" s="20">
        <f>Operations!U252-Operations!U254-Operations!U255-Operations!U256-Operations!U257</f>
        <v/>
      </c>
      <c r="V258" s="20">
        <f>Operations!V252-Operations!V254-Operations!V255-Operations!V256-Operations!V257</f>
        <v/>
      </c>
      <c r="W258" s="20">
        <f>Operations!W252-Operations!W254-Operations!W255-Operations!W256-Operations!W257</f>
        <v/>
      </c>
      <c r="X258" s="20">
        <f>Operations!X252-Operations!X254-Operations!X255-Operations!X256-Operations!X257</f>
        <v/>
      </c>
      <c r="Y258" s="20">
        <f>Operations!Y252-Operations!Y254-Operations!Y255-Operations!Y256-Operations!Y257</f>
        <v/>
      </c>
      <c r="Z258" s="20">
        <f>Operations!Z252-Operations!Z254-Operations!Z255-Operations!Z256-Operations!Z257</f>
        <v/>
      </c>
      <c r="AA258" s="20">
        <f>Operations!AA252-Operations!AA254-Operations!AA255-Operations!AA256-Operations!AA257</f>
        <v/>
      </c>
      <c r="AB258" s="20">
        <f>Operations!AB252-Operations!AB254-Operations!AB255-Operations!AB256-Operations!AB257</f>
        <v/>
      </c>
      <c r="AC258" s="20">
        <f>Operations!AC252-Operations!AC254-Operations!AC255-Operations!AC256-Operations!AC257</f>
        <v/>
      </c>
      <c r="AD258" s="20">
        <f>Operations!AD252-Operations!AD254-Operations!AD255-Operations!AD256-Operations!AD257</f>
        <v/>
      </c>
      <c r="AE258" s="20">
        <f>Operations!AE252-Operations!AE254-Operations!AE255-Operations!AE256-Operations!AE257</f>
        <v/>
      </c>
      <c r="AF258" s="20">
        <f>Operations!AF252-Operations!AF254-Operations!AF255-Operations!AF256-Operations!AF257</f>
        <v/>
      </c>
      <c r="AG258" s="20">
        <f>Operations!AG252-Operations!AG254-Operations!AG255-Operations!AG256-Operations!AG257</f>
        <v/>
      </c>
      <c r="AH258" s="20">
        <f>Operations!AH252-Operations!AH254-Operations!AH255-Operations!AH256-Operations!AH257</f>
        <v/>
      </c>
      <c r="AI258" s="20">
        <f>Operations!AI252-Operations!AI254-Operations!AI255-Operations!AI256-Operations!AI257</f>
        <v/>
      </c>
      <c r="AJ258" s="20">
        <f>Operations!AJ252-Operations!AJ254-Operations!AJ255-Operations!AJ256-Operations!AJ257</f>
        <v/>
      </c>
      <c r="AK258" s="20">
        <f>Operations!AK252-Operations!AK254-Operations!AK255-Operations!AK256-Operations!AK257</f>
        <v/>
      </c>
      <c r="AL258" s="20">
        <f>Operations!AL252-Operations!AL254-Operations!AL255-Operations!AL256-Operations!AL257</f>
        <v/>
      </c>
      <c r="AM258" s="20">
        <f>Operations!AM252-Operations!AM254-Operations!AM255-Operations!AM256-Operations!AM257</f>
        <v/>
      </c>
      <c r="AN258" s="20">
        <f>Operations!AN252-Operations!AN254-Operations!AN255-Operations!AN256-Operations!AN257</f>
        <v/>
      </c>
      <c r="AO258" s="20">
        <f>Operations!AO252-Operations!AO254-Operations!AO255-Operations!AO256-Operations!AO257</f>
        <v/>
      </c>
      <c r="AP258" s="20">
        <f>Operations!AP252-Operations!AP254-Operations!AP255-Operations!AP256-Operations!AP257</f>
        <v/>
      </c>
      <c r="AQ258" s="20">
        <f>Operations!AQ252-Operations!AQ254-Operations!AQ255-Operations!AQ256-Operations!AQ257</f>
        <v/>
      </c>
      <c r="AR258" s="20">
        <f>Operations!AR252-Operations!AR254-Operations!AR255-Operations!AR256-Operations!AR257</f>
        <v/>
      </c>
      <c r="AS258" s="20">
        <f>Operations!AS252-Operations!AS254-Operations!AS255-Operations!AS256-Operations!AS257</f>
        <v/>
      </c>
      <c r="AT258" s="20">
        <f>Operations!AT252-Operations!AT254-Operations!AT255-Operations!AT256-Operations!AT257</f>
        <v/>
      </c>
      <c r="AU258" s="20">
        <f>Operations!AU252-Operations!AU254-Operations!AU255-Operations!AU256-Operations!AU257</f>
        <v/>
      </c>
    </row>
    <row r="259">
      <c r="D259" t="inlineStr">
        <is>
          <t>R5 capex</t>
        </is>
      </c>
      <c r="E259" t="inlineStr">
        <is>
          <t>USD m</t>
        </is>
      </c>
      <c r="J259" s="20">
        <f>0</f>
        <v/>
      </c>
      <c r="K259" s="20">
        <f>0</f>
        <v/>
      </c>
      <c r="L259" s="20">
        <f>0</f>
        <v/>
      </c>
      <c r="M259" s="20">
        <f>0</f>
        <v/>
      </c>
      <c r="N259" s="20">
        <f>0</f>
        <v/>
      </c>
      <c r="O259" s="20">
        <f>0</f>
        <v/>
      </c>
      <c r="P259" s="20">
        <f>0</f>
        <v/>
      </c>
      <c r="Q259" s="20">
        <f>0</f>
        <v/>
      </c>
      <c r="R259" s="20">
        <f>0</f>
        <v/>
      </c>
      <c r="S259" s="20">
        <f>0</f>
        <v/>
      </c>
      <c r="T259" s="20">
        <f>0</f>
        <v/>
      </c>
      <c r="U259" s="20">
        <f>0</f>
        <v/>
      </c>
      <c r="V259" s="20">
        <f>0</f>
        <v/>
      </c>
      <c r="W259" s="20">
        <f>0</f>
        <v/>
      </c>
      <c r="X259" s="20">
        <f>0</f>
        <v/>
      </c>
      <c r="Y259" s="20">
        <f>0</f>
        <v/>
      </c>
      <c r="Z259" s="20">
        <f>0</f>
        <v/>
      </c>
      <c r="AA259" s="20">
        <f>0</f>
        <v/>
      </c>
      <c r="AB259" s="20">
        <f>0</f>
        <v/>
      </c>
      <c r="AC259" s="20">
        <f>0</f>
        <v/>
      </c>
      <c r="AD259" s="20">
        <f>0</f>
        <v/>
      </c>
      <c r="AE259" s="20">
        <f>0</f>
        <v/>
      </c>
      <c r="AF259" s="20">
        <f>0</f>
        <v/>
      </c>
      <c r="AG259" s="20">
        <f>0</f>
        <v/>
      </c>
      <c r="AH259" s="20">
        <f>0</f>
        <v/>
      </c>
      <c r="AI259" s="20">
        <f>0</f>
        <v/>
      </c>
      <c r="AJ259" s="20">
        <f>0</f>
        <v/>
      </c>
      <c r="AK259" s="20">
        <f>0</f>
        <v/>
      </c>
      <c r="AL259" s="20">
        <f>0</f>
        <v/>
      </c>
      <c r="AM259" s="20">
        <f>0</f>
        <v/>
      </c>
      <c r="AN259" s="20">
        <f>0</f>
        <v/>
      </c>
      <c r="AO259" s="20">
        <f>0</f>
        <v/>
      </c>
      <c r="AP259" s="20">
        <f>0</f>
        <v/>
      </c>
      <c r="AQ259" s="20">
        <f>0</f>
        <v/>
      </c>
      <c r="AR259" s="20">
        <f>0</f>
        <v/>
      </c>
      <c r="AS259" s="20">
        <f>0</f>
        <v/>
      </c>
      <c r="AT259" s="20">
        <f>0</f>
        <v/>
      </c>
      <c r="AU259" s="20">
        <f>0</f>
        <v/>
      </c>
    </row>
    <row r="260">
      <c r="D260" t="inlineStr">
        <is>
          <t>R5 decommissioning at end of life</t>
        </is>
      </c>
      <c r="E260" t="inlineStr">
        <is>
          <t>USD m</t>
        </is>
      </c>
      <c r="J260" s="20">
        <f>IF(Time!J$4=YEAR(Inputs!$F$134),Inputs!$F$137*Inputs!$F$132/1000*Time!J$9,0)</f>
        <v/>
      </c>
      <c r="K260" s="20">
        <f>IF(Time!K$4=YEAR(Inputs!$F$134),Inputs!$F$137*Inputs!$F$132/1000*Time!K$9,0)</f>
        <v/>
      </c>
      <c r="L260" s="20">
        <f>IF(Time!L$4=YEAR(Inputs!$F$134),Inputs!$F$137*Inputs!$F$132/1000*Time!L$9,0)</f>
        <v/>
      </c>
      <c r="M260" s="20">
        <f>IF(Time!M$4=YEAR(Inputs!$F$134),Inputs!$F$137*Inputs!$F$132/1000*Time!M$9,0)</f>
        <v/>
      </c>
      <c r="N260" s="20">
        <f>IF(Time!N$4=YEAR(Inputs!$F$134),Inputs!$F$137*Inputs!$F$132/1000*Time!N$9,0)</f>
        <v/>
      </c>
      <c r="O260" s="20">
        <f>IF(Time!O$4=YEAR(Inputs!$F$134),Inputs!$F$137*Inputs!$F$132/1000*Time!O$9,0)</f>
        <v/>
      </c>
      <c r="P260" s="20">
        <f>IF(Time!P$4=YEAR(Inputs!$F$134),Inputs!$F$137*Inputs!$F$132/1000*Time!P$9,0)</f>
        <v/>
      </c>
      <c r="Q260" s="20">
        <f>IF(Time!Q$4=YEAR(Inputs!$F$134),Inputs!$F$137*Inputs!$F$132/1000*Time!Q$9,0)</f>
        <v/>
      </c>
      <c r="R260" s="20">
        <f>IF(Time!R$4=YEAR(Inputs!$F$134),Inputs!$F$137*Inputs!$F$132/1000*Time!R$9,0)</f>
        <v/>
      </c>
      <c r="S260" s="20">
        <f>IF(Time!S$4=YEAR(Inputs!$F$134),Inputs!$F$137*Inputs!$F$132/1000*Time!S$9,0)</f>
        <v/>
      </c>
      <c r="T260" s="20">
        <f>IF(Time!T$4=YEAR(Inputs!$F$134),Inputs!$F$137*Inputs!$F$132/1000*Time!T$9,0)</f>
        <v/>
      </c>
      <c r="U260" s="20">
        <f>IF(Time!U$4=YEAR(Inputs!$F$134),Inputs!$F$137*Inputs!$F$132/1000*Time!U$9,0)</f>
        <v/>
      </c>
      <c r="V260" s="20">
        <f>IF(Time!V$4=YEAR(Inputs!$F$134),Inputs!$F$137*Inputs!$F$132/1000*Time!V$9,0)</f>
        <v/>
      </c>
      <c r="W260" s="20">
        <f>IF(Time!W$4=YEAR(Inputs!$F$134),Inputs!$F$137*Inputs!$F$132/1000*Time!W$9,0)</f>
        <v/>
      </c>
      <c r="X260" s="20">
        <f>IF(Time!X$4=YEAR(Inputs!$F$134),Inputs!$F$137*Inputs!$F$132/1000*Time!X$9,0)</f>
        <v/>
      </c>
      <c r="Y260" s="20">
        <f>IF(Time!Y$4=YEAR(Inputs!$F$134),Inputs!$F$137*Inputs!$F$132/1000*Time!Y$9,0)</f>
        <v/>
      </c>
      <c r="Z260" s="20">
        <f>IF(Time!Z$4=YEAR(Inputs!$F$134),Inputs!$F$137*Inputs!$F$132/1000*Time!Z$9,0)</f>
        <v/>
      </c>
      <c r="AA260" s="20">
        <f>IF(Time!AA$4=YEAR(Inputs!$F$134),Inputs!$F$137*Inputs!$F$132/1000*Time!AA$9,0)</f>
        <v/>
      </c>
      <c r="AB260" s="20">
        <f>IF(Time!AB$4=YEAR(Inputs!$F$134),Inputs!$F$137*Inputs!$F$132/1000*Time!AB$9,0)</f>
        <v/>
      </c>
      <c r="AC260" s="20">
        <f>IF(Time!AC$4=YEAR(Inputs!$F$134),Inputs!$F$137*Inputs!$F$132/1000*Time!AC$9,0)</f>
        <v/>
      </c>
      <c r="AD260" s="20">
        <f>IF(Time!AD$4=YEAR(Inputs!$F$134),Inputs!$F$137*Inputs!$F$132/1000*Time!AD$9,0)</f>
        <v/>
      </c>
      <c r="AE260" s="20">
        <f>IF(Time!AE$4=YEAR(Inputs!$F$134),Inputs!$F$137*Inputs!$F$132/1000*Time!AE$9,0)</f>
        <v/>
      </c>
      <c r="AF260" s="20">
        <f>IF(Time!AF$4=YEAR(Inputs!$F$134),Inputs!$F$137*Inputs!$F$132/1000*Time!AF$9,0)</f>
        <v/>
      </c>
      <c r="AG260" s="20">
        <f>IF(Time!AG$4=YEAR(Inputs!$F$134),Inputs!$F$137*Inputs!$F$132/1000*Time!AG$9,0)</f>
        <v/>
      </c>
      <c r="AH260" s="20">
        <f>IF(Time!AH$4=YEAR(Inputs!$F$134),Inputs!$F$137*Inputs!$F$132/1000*Time!AH$9,0)</f>
        <v/>
      </c>
      <c r="AI260" s="20">
        <f>IF(Time!AI$4=YEAR(Inputs!$F$134),Inputs!$F$137*Inputs!$F$132/1000*Time!AI$9,0)</f>
        <v/>
      </c>
      <c r="AJ260" s="20">
        <f>IF(Time!AJ$4=YEAR(Inputs!$F$134),Inputs!$F$137*Inputs!$F$132/1000*Time!AJ$9,0)</f>
        <v/>
      </c>
      <c r="AK260" s="20">
        <f>IF(Time!AK$4=YEAR(Inputs!$F$134),Inputs!$F$137*Inputs!$F$132/1000*Time!AK$9,0)</f>
        <v/>
      </c>
      <c r="AL260" s="20">
        <f>IF(Time!AL$4=YEAR(Inputs!$F$134),Inputs!$F$137*Inputs!$F$132/1000*Time!AL$9,0)</f>
        <v/>
      </c>
      <c r="AM260" s="20">
        <f>IF(Time!AM$4=YEAR(Inputs!$F$134),Inputs!$F$137*Inputs!$F$132/1000*Time!AM$9,0)</f>
        <v/>
      </c>
      <c r="AN260" s="20">
        <f>IF(Time!AN$4=YEAR(Inputs!$F$134),Inputs!$F$137*Inputs!$F$132/1000*Time!AN$9,0)</f>
        <v/>
      </c>
      <c r="AO260" s="20">
        <f>IF(Time!AO$4=YEAR(Inputs!$F$134),Inputs!$F$137*Inputs!$F$132/1000*Time!AO$9,0)</f>
        <v/>
      </c>
      <c r="AP260" s="20">
        <f>IF(Time!AP$4=YEAR(Inputs!$F$134),Inputs!$F$137*Inputs!$F$132/1000*Time!AP$9,0)</f>
        <v/>
      </c>
      <c r="AQ260" s="20">
        <f>IF(Time!AQ$4=YEAR(Inputs!$F$134),Inputs!$F$137*Inputs!$F$132/1000*Time!AQ$9,0)</f>
        <v/>
      </c>
      <c r="AR260" s="20">
        <f>IF(Time!AR$4=YEAR(Inputs!$F$134),Inputs!$F$137*Inputs!$F$132/1000*Time!AR$9,0)</f>
        <v/>
      </c>
      <c r="AS260" s="20">
        <f>IF(Time!AS$4=YEAR(Inputs!$F$134),Inputs!$F$137*Inputs!$F$132/1000*Time!AS$9,0)</f>
        <v/>
      </c>
      <c r="AT260" s="20">
        <f>IF(Time!AT$4=YEAR(Inputs!$F$134),Inputs!$F$137*Inputs!$F$132/1000*Time!AT$9,0)</f>
        <v/>
      </c>
      <c r="AU260" s="20">
        <f>IF(Time!AU$4=YEAR(Inputs!$F$134),Inputs!$F$137*Inputs!$F$132/1000*Time!AU$9,0)</f>
        <v/>
      </c>
    </row>
    <row r="261">
      <c r="D261" t="inlineStr">
        <is>
          <t>R5 pre-tax cash flow, 100% of asset</t>
        </is>
      </c>
      <c r="E261" t="inlineStr">
        <is>
          <t>USD m</t>
        </is>
      </c>
      <c r="G261" s="20">
        <f>SUM(J261:AU261)</f>
        <v/>
      </c>
      <c r="J261" s="20">
        <f>Operations!J258-Operations!J259-Operations!J260</f>
        <v/>
      </c>
      <c r="K261" s="20">
        <f>Operations!K258-Operations!K259-Operations!K260</f>
        <v/>
      </c>
      <c r="L261" s="20">
        <f>Operations!L258-Operations!L259-Operations!L260</f>
        <v/>
      </c>
      <c r="M261" s="20">
        <f>Operations!M258-Operations!M259-Operations!M260</f>
        <v/>
      </c>
      <c r="N261" s="20">
        <f>Operations!N258-Operations!N259-Operations!N260</f>
        <v/>
      </c>
      <c r="O261" s="20">
        <f>Operations!O258-Operations!O259-Operations!O260</f>
        <v/>
      </c>
      <c r="P261" s="20">
        <f>Operations!P258-Operations!P259-Operations!P260</f>
        <v/>
      </c>
      <c r="Q261" s="20">
        <f>Operations!Q258-Operations!Q259-Operations!Q260</f>
        <v/>
      </c>
      <c r="R261" s="20">
        <f>Operations!R258-Operations!R259-Operations!R260</f>
        <v/>
      </c>
      <c r="S261" s="20">
        <f>Operations!S258-Operations!S259-Operations!S260</f>
        <v/>
      </c>
      <c r="T261" s="20">
        <f>Operations!T258-Operations!T259-Operations!T260</f>
        <v/>
      </c>
      <c r="U261" s="20">
        <f>Operations!U258-Operations!U259-Operations!U260</f>
        <v/>
      </c>
      <c r="V261" s="20">
        <f>Operations!V258-Operations!V259-Operations!V260</f>
        <v/>
      </c>
      <c r="W261" s="20">
        <f>Operations!W258-Operations!W259-Operations!W260</f>
        <v/>
      </c>
      <c r="X261" s="20">
        <f>Operations!X258-Operations!X259-Operations!X260</f>
        <v/>
      </c>
      <c r="Y261" s="20">
        <f>Operations!Y258-Operations!Y259-Operations!Y260</f>
        <v/>
      </c>
      <c r="Z261" s="20">
        <f>Operations!Z258-Operations!Z259-Operations!Z260</f>
        <v/>
      </c>
      <c r="AA261" s="20">
        <f>Operations!AA258-Operations!AA259-Operations!AA260</f>
        <v/>
      </c>
      <c r="AB261" s="20">
        <f>Operations!AB258-Operations!AB259-Operations!AB260</f>
        <v/>
      </c>
      <c r="AC261" s="20">
        <f>Operations!AC258-Operations!AC259-Operations!AC260</f>
        <v/>
      </c>
      <c r="AD261" s="20">
        <f>Operations!AD258-Operations!AD259-Operations!AD260</f>
        <v/>
      </c>
      <c r="AE261" s="20">
        <f>Operations!AE258-Operations!AE259-Operations!AE260</f>
        <v/>
      </c>
      <c r="AF261" s="20">
        <f>Operations!AF258-Operations!AF259-Operations!AF260</f>
        <v/>
      </c>
      <c r="AG261" s="20">
        <f>Operations!AG258-Operations!AG259-Operations!AG260</f>
        <v/>
      </c>
      <c r="AH261" s="20">
        <f>Operations!AH258-Operations!AH259-Operations!AH260</f>
        <v/>
      </c>
      <c r="AI261" s="20">
        <f>Operations!AI258-Operations!AI259-Operations!AI260</f>
        <v/>
      </c>
      <c r="AJ261" s="20">
        <f>Operations!AJ258-Operations!AJ259-Operations!AJ260</f>
        <v/>
      </c>
      <c r="AK261" s="20">
        <f>Operations!AK258-Operations!AK259-Operations!AK260</f>
        <v/>
      </c>
      <c r="AL261" s="20">
        <f>Operations!AL258-Operations!AL259-Operations!AL260</f>
        <v/>
      </c>
      <c r="AM261" s="20">
        <f>Operations!AM258-Operations!AM259-Operations!AM260</f>
        <v/>
      </c>
      <c r="AN261" s="20">
        <f>Operations!AN258-Operations!AN259-Operations!AN260</f>
        <v/>
      </c>
      <c r="AO261" s="20">
        <f>Operations!AO258-Operations!AO259-Operations!AO260</f>
        <v/>
      </c>
      <c r="AP261" s="20">
        <f>Operations!AP258-Operations!AP259-Operations!AP260</f>
        <v/>
      </c>
      <c r="AQ261" s="20">
        <f>Operations!AQ258-Operations!AQ259-Operations!AQ260</f>
        <v/>
      </c>
      <c r="AR261" s="20">
        <f>Operations!AR258-Operations!AR259-Operations!AR260</f>
        <v/>
      </c>
      <c r="AS261" s="20">
        <f>Operations!AS258-Operations!AS259-Operations!AS260</f>
        <v/>
      </c>
      <c r="AT261" s="20">
        <f>Operations!AT258-Operations!AT259-Operations!AT260</f>
        <v/>
      </c>
      <c r="AU261" s="20">
        <f>Operations!AU258-Operations!AU259-Operations!AU260</f>
        <v/>
      </c>
    </row>
    <row r="262">
      <c r="D262" t="inlineStr">
        <is>
          <t>R5 fraction of year before flip</t>
        </is>
      </c>
      <c r="E262" t="inlineStr">
        <is>
          <t>fraction</t>
        </is>
      </c>
      <c r="J262" s="14">
        <f>MAX(0,MIN(Inputs!$F$228,Time!J$6)-Time!J$5)/Time!J$7</f>
        <v/>
      </c>
      <c r="K262" s="14">
        <f>MAX(0,MIN(Inputs!$F$228,Time!K$6)-Time!K$5)/Time!K$7</f>
        <v/>
      </c>
      <c r="L262" s="14">
        <f>MAX(0,MIN(Inputs!$F$228,Time!L$6)-Time!L$5)/Time!L$7</f>
        <v/>
      </c>
      <c r="M262" s="14">
        <f>MAX(0,MIN(Inputs!$F$228,Time!M$6)-Time!M$5)/Time!M$7</f>
        <v/>
      </c>
      <c r="N262" s="14">
        <f>MAX(0,MIN(Inputs!$F$228,Time!N$6)-Time!N$5)/Time!N$7</f>
        <v/>
      </c>
      <c r="O262" s="14">
        <f>MAX(0,MIN(Inputs!$F$228,Time!O$6)-Time!O$5)/Time!O$7</f>
        <v/>
      </c>
      <c r="P262" s="14">
        <f>MAX(0,MIN(Inputs!$F$228,Time!P$6)-Time!P$5)/Time!P$7</f>
        <v/>
      </c>
      <c r="Q262" s="14">
        <f>MAX(0,MIN(Inputs!$F$228,Time!Q$6)-Time!Q$5)/Time!Q$7</f>
        <v/>
      </c>
      <c r="R262" s="14">
        <f>MAX(0,MIN(Inputs!$F$228,Time!R$6)-Time!R$5)/Time!R$7</f>
        <v/>
      </c>
      <c r="S262" s="14">
        <f>MAX(0,MIN(Inputs!$F$228,Time!S$6)-Time!S$5)/Time!S$7</f>
        <v/>
      </c>
      <c r="T262" s="14">
        <f>MAX(0,MIN(Inputs!$F$228,Time!T$6)-Time!T$5)/Time!T$7</f>
        <v/>
      </c>
      <c r="U262" s="14">
        <f>MAX(0,MIN(Inputs!$F$228,Time!U$6)-Time!U$5)/Time!U$7</f>
        <v/>
      </c>
      <c r="V262" s="14">
        <f>MAX(0,MIN(Inputs!$F$228,Time!V$6)-Time!V$5)/Time!V$7</f>
        <v/>
      </c>
      <c r="W262" s="14">
        <f>MAX(0,MIN(Inputs!$F$228,Time!W$6)-Time!W$5)/Time!W$7</f>
        <v/>
      </c>
      <c r="X262" s="14">
        <f>MAX(0,MIN(Inputs!$F$228,Time!X$6)-Time!X$5)/Time!X$7</f>
        <v/>
      </c>
      <c r="Y262" s="14">
        <f>MAX(0,MIN(Inputs!$F$228,Time!Y$6)-Time!Y$5)/Time!Y$7</f>
        <v/>
      </c>
      <c r="Z262" s="14">
        <f>MAX(0,MIN(Inputs!$F$228,Time!Z$6)-Time!Z$5)/Time!Z$7</f>
        <v/>
      </c>
      <c r="AA262" s="14">
        <f>MAX(0,MIN(Inputs!$F$228,Time!AA$6)-Time!AA$5)/Time!AA$7</f>
        <v/>
      </c>
      <c r="AB262" s="14">
        <f>MAX(0,MIN(Inputs!$F$228,Time!AB$6)-Time!AB$5)/Time!AB$7</f>
        <v/>
      </c>
      <c r="AC262" s="14">
        <f>MAX(0,MIN(Inputs!$F$228,Time!AC$6)-Time!AC$5)/Time!AC$7</f>
        <v/>
      </c>
      <c r="AD262" s="14">
        <f>MAX(0,MIN(Inputs!$F$228,Time!AD$6)-Time!AD$5)/Time!AD$7</f>
        <v/>
      </c>
      <c r="AE262" s="14">
        <f>MAX(0,MIN(Inputs!$F$228,Time!AE$6)-Time!AE$5)/Time!AE$7</f>
        <v/>
      </c>
      <c r="AF262" s="14">
        <f>MAX(0,MIN(Inputs!$F$228,Time!AF$6)-Time!AF$5)/Time!AF$7</f>
        <v/>
      </c>
      <c r="AG262" s="14">
        <f>MAX(0,MIN(Inputs!$F$228,Time!AG$6)-Time!AG$5)/Time!AG$7</f>
        <v/>
      </c>
      <c r="AH262" s="14">
        <f>MAX(0,MIN(Inputs!$F$228,Time!AH$6)-Time!AH$5)/Time!AH$7</f>
        <v/>
      </c>
      <c r="AI262" s="14">
        <f>MAX(0,MIN(Inputs!$F$228,Time!AI$6)-Time!AI$5)/Time!AI$7</f>
        <v/>
      </c>
      <c r="AJ262" s="14">
        <f>MAX(0,MIN(Inputs!$F$228,Time!AJ$6)-Time!AJ$5)/Time!AJ$7</f>
        <v/>
      </c>
      <c r="AK262" s="14">
        <f>MAX(0,MIN(Inputs!$F$228,Time!AK$6)-Time!AK$5)/Time!AK$7</f>
        <v/>
      </c>
      <c r="AL262" s="14">
        <f>MAX(0,MIN(Inputs!$F$228,Time!AL$6)-Time!AL$5)/Time!AL$7</f>
        <v/>
      </c>
      <c r="AM262" s="14">
        <f>MAX(0,MIN(Inputs!$F$228,Time!AM$6)-Time!AM$5)/Time!AM$7</f>
        <v/>
      </c>
      <c r="AN262" s="14">
        <f>MAX(0,MIN(Inputs!$F$228,Time!AN$6)-Time!AN$5)/Time!AN$7</f>
        <v/>
      </c>
      <c r="AO262" s="14">
        <f>MAX(0,MIN(Inputs!$F$228,Time!AO$6)-Time!AO$5)/Time!AO$7</f>
        <v/>
      </c>
      <c r="AP262" s="14">
        <f>MAX(0,MIN(Inputs!$F$228,Time!AP$6)-Time!AP$5)/Time!AP$7</f>
        <v/>
      </c>
      <c r="AQ262" s="14">
        <f>MAX(0,MIN(Inputs!$F$228,Time!AQ$6)-Time!AQ$5)/Time!AQ$7</f>
        <v/>
      </c>
      <c r="AR262" s="14">
        <f>MAX(0,MIN(Inputs!$F$228,Time!AR$6)-Time!AR$5)/Time!AR$7</f>
        <v/>
      </c>
      <c r="AS262" s="14">
        <f>MAX(0,MIN(Inputs!$F$228,Time!AS$6)-Time!AS$5)/Time!AS$7</f>
        <v/>
      </c>
      <c r="AT262" s="14">
        <f>MAX(0,MIN(Inputs!$F$228,Time!AT$6)-Time!AT$5)/Time!AT$7</f>
        <v/>
      </c>
      <c r="AU262" s="14">
        <f>MAX(0,MIN(Inputs!$F$228,Time!AU$6)-Time!AU$5)/Time!AU$7</f>
        <v/>
      </c>
    </row>
    <row r="263">
      <c r="D263" t="inlineStr">
        <is>
          <t>R5 tax equity cash share</t>
        </is>
      </c>
      <c r="E263" t="inlineStr">
        <is>
          <t>fraction</t>
        </is>
      </c>
      <c r="J263" s="14">
        <f>Inputs!$F$225/100*Operations!J262+Inputs!$F$227/100*(1-Operations!J262)</f>
        <v/>
      </c>
      <c r="K263" s="14">
        <f>Inputs!$F$225/100*Operations!K262+Inputs!$F$227/100*(1-Operations!K262)</f>
        <v/>
      </c>
      <c r="L263" s="14">
        <f>Inputs!$F$225/100*Operations!L262+Inputs!$F$227/100*(1-Operations!L262)</f>
        <v/>
      </c>
      <c r="M263" s="14">
        <f>Inputs!$F$225/100*Operations!M262+Inputs!$F$227/100*(1-Operations!M262)</f>
        <v/>
      </c>
      <c r="N263" s="14">
        <f>Inputs!$F$225/100*Operations!N262+Inputs!$F$227/100*(1-Operations!N262)</f>
        <v/>
      </c>
      <c r="O263" s="14">
        <f>Inputs!$F$225/100*Operations!O262+Inputs!$F$227/100*(1-Operations!O262)</f>
        <v/>
      </c>
      <c r="P263" s="14">
        <f>Inputs!$F$225/100*Operations!P262+Inputs!$F$227/100*(1-Operations!P262)</f>
        <v/>
      </c>
      <c r="Q263" s="14">
        <f>Inputs!$F$225/100*Operations!Q262+Inputs!$F$227/100*(1-Operations!Q262)</f>
        <v/>
      </c>
      <c r="R263" s="14">
        <f>Inputs!$F$225/100*Operations!R262+Inputs!$F$227/100*(1-Operations!R262)</f>
        <v/>
      </c>
      <c r="S263" s="14">
        <f>Inputs!$F$225/100*Operations!S262+Inputs!$F$227/100*(1-Operations!S262)</f>
        <v/>
      </c>
      <c r="T263" s="14">
        <f>Inputs!$F$225/100*Operations!T262+Inputs!$F$227/100*(1-Operations!T262)</f>
        <v/>
      </c>
      <c r="U263" s="14">
        <f>Inputs!$F$225/100*Operations!U262+Inputs!$F$227/100*(1-Operations!U262)</f>
        <v/>
      </c>
      <c r="V263" s="14">
        <f>Inputs!$F$225/100*Operations!V262+Inputs!$F$227/100*(1-Operations!V262)</f>
        <v/>
      </c>
      <c r="W263" s="14">
        <f>Inputs!$F$225/100*Operations!W262+Inputs!$F$227/100*(1-Operations!W262)</f>
        <v/>
      </c>
      <c r="X263" s="14">
        <f>Inputs!$F$225/100*Operations!X262+Inputs!$F$227/100*(1-Operations!X262)</f>
        <v/>
      </c>
      <c r="Y263" s="14">
        <f>Inputs!$F$225/100*Operations!Y262+Inputs!$F$227/100*(1-Operations!Y262)</f>
        <v/>
      </c>
      <c r="Z263" s="14">
        <f>Inputs!$F$225/100*Operations!Z262+Inputs!$F$227/100*(1-Operations!Z262)</f>
        <v/>
      </c>
      <c r="AA263" s="14">
        <f>Inputs!$F$225/100*Operations!AA262+Inputs!$F$227/100*(1-Operations!AA262)</f>
        <v/>
      </c>
      <c r="AB263" s="14">
        <f>Inputs!$F$225/100*Operations!AB262+Inputs!$F$227/100*(1-Operations!AB262)</f>
        <v/>
      </c>
      <c r="AC263" s="14">
        <f>Inputs!$F$225/100*Operations!AC262+Inputs!$F$227/100*(1-Operations!AC262)</f>
        <v/>
      </c>
      <c r="AD263" s="14">
        <f>Inputs!$F$225/100*Operations!AD262+Inputs!$F$227/100*(1-Operations!AD262)</f>
        <v/>
      </c>
      <c r="AE263" s="14">
        <f>Inputs!$F$225/100*Operations!AE262+Inputs!$F$227/100*(1-Operations!AE262)</f>
        <v/>
      </c>
      <c r="AF263" s="14">
        <f>Inputs!$F$225/100*Operations!AF262+Inputs!$F$227/100*(1-Operations!AF262)</f>
        <v/>
      </c>
      <c r="AG263" s="14">
        <f>Inputs!$F$225/100*Operations!AG262+Inputs!$F$227/100*(1-Operations!AG262)</f>
        <v/>
      </c>
      <c r="AH263" s="14">
        <f>Inputs!$F$225/100*Operations!AH262+Inputs!$F$227/100*(1-Operations!AH262)</f>
        <v/>
      </c>
      <c r="AI263" s="14">
        <f>Inputs!$F$225/100*Operations!AI262+Inputs!$F$227/100*(1-Operations!AI262)</f>
        <v/>
      </c>
      <c r="AJ263" s="14">
        <f>Inputs!$F$225/100*Operations!AJ262+Inputs!$F$227/100*(1-Operations!AJ262)</f>
        <v/>
      </c>
      <c r="AK263" s="14">
        <f>Inputs!$F$225/100*Operations!AK262+Inputs!$F$227/100*(1-Operations!AK262)</f>
        <v/>
      </c>
      <c r="AL263" s="14">
        <f>Inputs!$F$225/100*Operations!AL262+Inputs!$F$227/100*(1-Operations!AL262)</f>
        <v/>
      </c>
      <c r="AM263" s="14">
        <f>Inputs!$F$225/100*Operations!AM262+Inputs!$F$227/100*(1-Operations!AM262)</f>
        <v/>
      </c>
      <c r="AN263" s="14">
        <f>Inputs!$F$225/100*Operations!AN262+Inputs!$F$227/100*(1-Operations!AN262)</f>
        <v/>
      </c>
      <c r="AO263" s="14">
        <f>Inputs!$F$225/100*Operations!AO262+Inputs!$F$227/100*(1-Operations!AO262)</f>
        <v/>
      </c>
      <c r="AP263" s="14">
        <f>Inputs!$F$225/100*Operations!AP262+Inputs!$F$227/100*(1-Operations!AP262)</f>
        <v/>
      </c>
      <c r="AQ263" s="14">
        <f>Inputs!$F$225/100*Operations!AQ262+Inputs!$F$227/100*(1-Operations!AQ262)</f>
        <v/>
      </c>
      <c r="AR263" s="14">
        <f>Inputs!$F$225/100*Operations!AR262+Inputs!$F$227/100*(1-Operations!AR262)</f>
        <v/>
      </c>
      <c r="AS263" s="14">
        <f>Inputs!$F$225/100*Operations!AS262+Inputs!$F$227/100*(1-Operations!AS262)</f>
        <v/>
      </c>
      <c r="AT263" s="14">
        <f>Inputs!$F$225/100*Operations!AT262+Inputs!$F$227/100*(1-Operations!AT262)</f>
        <v/>
      </c>
      <c r="AU263" s="14">
        <f>Inputs!$F$225/100*Operations!AU262+Inputs!$F$227/100*(1-Operations!AU262)</f>
        <v/>
      </c>
    </row>
    <row r="264">
      <c r="D264" t="inlineStr">
        <is>
          <t>R5 Mesa share of taxable income</t>
        </is>
      </c>
      <c r="E264" t="inlineStr">
        <is>
          <t>fraction</t>
        </is>
      </c>
      <c r="J264" s="14">
        <f>(1-Inputs!$F$226/100)*Operations!J262+(1-Inputs!$F$227/100)*(1-Operations!J262)</f>
        <v/>
      </c>
      <c r="K264" s="14">
        <f>(1-Inputs!$F$226/100)*Operations!K262+(1-Inputs!$F$227/100)*(1-Operations!K262)</f>
        <v/>
      </c>
      <c r="L264" s="14">
        <f>(1-Inputs!$F$226/100)*Operations!L262+(1-Inputs!$F$227/100)*(1-Operations!L262)</f>
        <v/>
      </c>
      <c r="M264" s="14">
        <f>(1-Inputs!$F$226/100)*Operations!M262+(1-Inputs!$F$227/100)*(1-Operations!M262)</f>
        <v/>
      </c>
      <c r="N264" s="14">
        <f>(1-Inputs!$F$226/100)*Operations!N262+(1-Inputs!$F$227/100)*(1-Operations!N262)</f>
        <v/>
      </c>
      <c r="O264" s="14">
        <f>(1-Inputs!$F$226/100)*Operations!O262+(1-Inputs!$F$227/100)*(1-Operations!O262)</f>
        <v/>
      </c>
      <c r="P264" s="14">
        <f>(1-Inputs!$F$226/100)*Operations!P262+(1-Inputs!$F$227/100)*(1-Operations!P262)</f>
        <v/>
      </c>
      <c r="Q264" s="14">
        <f>(1-Inputs!$F$226/100)*Operations!Q262+(1-Inputs!$F$227/100)*(1-Operations!Q262)</f>
        <v/>
      </c>
      <c r="R264" s="14">
        <f>(1-Inputs!$F$226/100)*Operations!R262+(1-Inputs!$F$227/100)*(1-Operations!R262)</f>
        <v/>
      </c>
      <c r="S264" s="14">
        <f>(1-Inputs!$F$226/100)*Operations!S262+(1-Inputs!$F$227/100)*(1-Operations!S262)</f>
        <v/>
      </c>
      <c r="T264" s="14">
        <f>(1-Inputs!$F$226/100)*Operations!T262+(1-Inputs!$F$227/100)*(1-Operations!T262)</f>
        <v/>
      </c>
      <c r="U264" s="14">
        <f>(1-Inputs!$F$226/100)*Operations!U262+(1-Inputs!$F$227/100)*(1-Operations!U262)</f>
        <v/>
      </c>
      <c r="V264" s="14">
        <f>(1-Inputs!$F$226/100)*Operations!V262+(1-Inputs!$F$227/100)*(1-Operations!V262)</f>
        <v/>
      </c>
      <c r="W264" s="14">
        <f>(1-Inputs!$F$226/100)*Operations!W262+(1-Inputs!$F$227/100)*(1-Operations!W262)</f>
        <v/>
      </c>
      <c r="X264" s="14">
        <f>(1-Inputs!$F$226/100)*Operations!X262+(1-Inputs!$F$227/100)*(1-Operations!X262)</f>
        <v/>
      </c>
      <c r="Y264" s="14">
        <f>(1-Inputs!$F$226/100)*Operations!Y262+(1-Inputs!$F$227/100)*(1-Operations!Y262)</f>
        <v/>
      </c>
      <c r="Z264" s="14">
        <f>(1-Inputs!$F$226/100)*Operations!Z262+(1-Inputs!$F$227/100)*(1-Operations!Z262)</f>
        <v/>
      </c>
      <c r="AA264" s="14">
        <f>(1-Inputs!$F$226/100)*Operations!AA262+(1-Inputs!$F$227/100)*(1-Operations!AA262)</f>
        <v/>
      </c>
      <c r="AB264" s="14">
        <f>(1-Inputs!$F$226/100)*Operations!AB262+(1-Inputs!$F$227/100)*(1-Operations!AB262)</f>
        <v/>
      </c>
      <c r="AC264" s="14">
        <f>(1-Inputs!$F$226/100)*Operations!AC262+(1-Inputs!$F$227/100)*(1-Operations!AC262)</f>
        <v/>
      </c>
      <c r="AD264" s="14">
        <f>(1-Inputs!$F$226/100)*Operations!AD262+(1-Inputs!$F$227/100)*(1-Operations!AD262)</f>
        <v/>
      </c>
      <c r="AE264" s="14">
        <f>(1-Inputs!$F$226/100)*Operations!AE262+(1-Inputs!$F$227/100)*(1-Operations!AE262)</f>
        <v/>
      </c>
      <c r="AF264" s="14">
        <f>(1-Inputs!$F$226/100)*Operations!AF262+(1-Inputs!$F$227/100)*(1-Operations!AF262)</f>
        <v/>
      </c>
      <c r="AG264" s="14">
        <f>(1-Inputs!$F$226/100)*Operations!AG262+(1-Inputs!$F$227/100)*(1-Operations!AG262)</f>
        <v/>
      </c>
      <c r="AH264" s="14">
        <f>(1-Inputs!$F$226/100)*Operations!AH262+(1-Inputs!$F$227/100)*(1-Operations!AH262)</f>
        <v/>
      </c>
      <c r="AI264" s="14">
        <f>(1-Inputs!$F$226/100)*Operations!AI262+(1-Inputs!$F$227/100)*(1-Operations!AI262)</f>
        <v/>
      </c>
      <c r="AJ264" s="14">
        <f>(1-Inputs!$F$226/100)*Operations!AJ262+(1-Inputs!$F$227/100)*(1-Operations!AJ262)</f>
        <v/>
      </c>
      <c r="AK264" s="14">
        <f>(1-Inputs!$F$226/100)*Operations!AK262+(1-Inputs!$F$227/100)*(1-Operations!AK262)</f>
        <v/>
      </c>
      <c r="AL264" s="14">
        <f>(1-Inputs!$F$226/100)*Operations!AL262+(1-Inputs!$F$227/100)*(1-Operations!AL262)</f>
        <v/>
      </c>
      <c r="AM264" s="14">
        <f>(1-Inputs!$F$226/100)*Operations!AM262+(1-Inputs!$F$227/100)*(1-Operations!AM262)</f>
        <v/>
      </c>
      <c r="AN264" s="14">
        <f>(1-Inputs!$F$226/100)*Operations!AN262+(1-Inputs!$F$227/100)*(1-Operations!AN262)</f>
        <v/>
      </c>
      <c r="AO264" s="14">
        <f>(1-Inputs!$F$226/100)*Operations!AO262+(1-Inputs!$F$227/100)*(1-Operations!AO262)</f>
        <v/>
      </c>
      <c r="AP264" s="14">
        <f>(1-Inputs!$F$226/100)*Operations!AP262+(1-Inputs!$F$227/100)*(1-Operations!AP262)</f>
        <v/>
      </c>
      <c r="AQ264" s="14">
        <f>(1-Inputs!$F$226/100)*Operations!AQ262+(1-Inputs!$F$227/100)*(1-Operations!AQ262)</f>
        <v/>
      </c>
      <c r="AR264" s="14">
        <f>(1-Inputs!$F$226/100)*Operations!AR262+(1-Inputs!$F$227/100)*(1-Operations!AR262)</f>
        <v/>
      </c>
      <c r="AS264" s="14">
        <f>(1-Inputs!$F$226/100)*Operations!AS262+(1-Inputs!$F$227/100)*(1-Operations!AS262)</f>
        <v/>
      </c>
      <c r="AT264" s="14">
        <f>(1-Inputs!$F$226/100)*Operations!AT262+(1-Inputs!$F$227/100)*(1-Operations!AT262)</f>
        <v/>
      </c>
      <c r="AU264" s="14">
        <f>(1-Inputs!$F$226/100)*Operations!AU262+(1-Inputs!$F$227/100)*(1-Operations!AU262)</f>
        <v/>
      </c>
    </row>
    <row r="265">
      <c r="D265" t="inlineStr">
        <is>
          <t>R5 Mesa share of cash flow</t>
        </is>
      </c>
      <c r="E265" t="inlineStr">
        <is>
          <t>USD m</t>
        </is>
      </c>
      <c r="G265" s="20">
        <f>SUM(J265:AU265)</f>
        <v/>
      </c>
      <c r="J265" s="20">
        <f>Operations!J261*(1-Operations!J263)*Operations!J235</f>
        <v/>
      </c>
      <c r="K265" s="20">
        <f>Operations!K261*(1-Operations!K263)*Operations!K235</f>
        <v/>
      </c>
      <c r="L265" s="20">
        <f>Operations!L261*(1-Operations!L263)*Operations!L235</f>
        <v/>
      </c>
      <c r="M265" s="20">
        <f>Operations!M261*(1-Operations!M263)*Operations!M235</f>
        <v/>
      </c>
      <c r="N265" s="20">
        <f>Operations!N261*(1-Operations!N263)*Operations!N235</f>
        <v/>
      </c>
      <c r="O265" s="20">
        <f>Operations!O261*(1-Operations!O263)*Operations!O235</f>
        <v/>
      </c>
      <c r="P265" s="20">
        <f>Operations!P261*(1-Operations!P263)*Operations!P235</f>
        <v/>
      </c>
      <c r="Q265" s="20">
        <f>Operations!Q261*(1-Operations!Q263)*Operations!Q235</f>
        <v/>
      </c>
      <c r="R265" s="20">
        <f>Operations!R261*(1-Operations!R263)*Operations!R235</f>
        <v/>
      </c>
      <c r="S265" s="20">
        <f>Operations!S261*(1-Operations!S263)*Operations!S235</f>
        <v/>
      </c>
      <c r="T265" s="20">
        <f>Operations!T261*(1-Operations!T263)*Operations!T235</f>
        <v/>
      </c>
      <c r="U265" s="20">
        <f>Operations!U261*(1-Operations!U263)*Operations!U235</f>
        <v/>
      </c>
      <c r="V265" s="20">
        <f>Operations!V261*(1-Operations!V263)*Operations!V235</f>
        <v/>
      </c>
      <c r="W265" s="20">
        <f>Operations!W261*(1-Operations!W263)*Operations!W235</f>
        <v/>
      </c>
      <c r="X265" s="20">
        <f>Operations!X261*(1-Operations!X263)*Operations!X235</f>
        <v/>
      </c>
      <c r="Y265" s="20">
        <f>Operations!Y261*(1-Operations!Y263)*Operations!Y235</f>
        <v/>
      </c>
      <c r="Z265" s="20">
        <f>Operations!Z261*(1-Operations!Z263)*Operations!Z235</f>
        <v/>
      </c>
      <c r="AA265" s="20">
        <f>Operations!AA261*(1-Operations!AA263)*Operations!AA235</f>
        <v/>
      </c>
      <c r="AB265" s="20">
        <f>Operations!AB261*(1-Operations!AB263)*Operations!AB235</f>
        <v/>
      </c>
      <c r="AC265" s="20">
        <f>Operations!AC261*(1-Operations!AC263)*Operations!AC235</f>
        <v/>
      </c>
      <c r="AD265" s="20">
        <f>Operations!AD261*(1-Operations!AD263)*Operations!AD235</f>
        <v/>
      </c>
      <c r="AE265" s="20">
        <f>Operations!AE261*(1-Operations!AE263)*Operations!AE235</f>
        <v/>
      </c>
      <c r="AF265" s="20">
        <f>Operations!AF261*(1-Operations!AF263)*Operations!AF235</f>
        <v/>
      </c>
      <c r="AG265" s="20">
        <f>Operations!AG261*(1-Operations!AG263)*Operations!AG235</f>
        <v/>
      </c>
      <c r="AH265" s="20">
        <f>Operations!AH261*(1-Operations!AH263)*Operations!AH235</f>
        <v/>
      </c>
      <c r="AI265" s="20">
        <f>Operations!AI261*(1-Operations!AI263)*Operations!AI235</f>
        <v/>
      </c>
      <c r="AJ265" s="20">
        <f>Operations!AJ261*(1-Operations!AJ263)*Operations!AJ235</f>
        <v/>
      </c>
      <c r="AK265" s="20">
        <f>Operations!AK261*(1-Operations!AK263)*Operations!AK235</f>
        <v/>
      </c>
      <c r="AL265" s="20">
        <f>Operations!AL261*(1-Operations!AL263)*Operations!AL235</f>
        <v/>
      </c>
      <c r="AM265" s="20">
        <f>Operations!AM261*(1-Operations!AM263)*Operations!AM235</f>
        <v/>
      </c>
      <c r="AN265" s="20">
        <f>Operations!AN261*(1-Operations!AN263)*Operations!AN235</f>
        <v/>
      </c>
      <c r="AO265" s="20">
        <f>Operations!AO261*(1-Operations!AO263)*Operations!AO235</f>
        <v/>
      </c>
      <c r="AP265" s="20">
        <f>Operations!AP261*(1-Operations!AP263)*Operations!AP235</f>
        <v/>
      </c>
      <c r="AQ265" s="20">
        <f>Operations!AQ261*(1-Operations!AQ263)*Operations!AQ235</f>
        <v/>
      </c>
      <c r="AR265" s="20">
        <f>Operations!AR261*(1-Operations!AR263)*Operations!AR235</f>
        <v/>
      </c>
      <c r="AS265" s="20">
        <f>Operations!AS261*(1-Operations!AS263)*Operations!AS235</f>
        <v/>
      </c>
      <c r="AT265" s="20">
        <f>Operations!AT261*(1-Operations!AT263)*Operations!AT235</f>
        <v/>
      </c>
      <c r="AU265" s="20">
        <f>Operations!AU261*(1-Operations!AU263)*Operations!AU235</f>
        <v/>
      </c>
    </row>
    <row r="266">
      <c r="D266" t="inlineStr">
        <is>
          <t>R5 Mesa taxable operating income</t>
        </is>
      </c>
      <c r="E266" t="inlineStr">
        <is>
          <t>USD m</t>
        </is>
      </c>
      <c r="J266" s="20">
        <f>Operations!J261*Operations!J264*Operations!J235</f>
        <v/>
      </c>
      <c r="K266" s="20">
        <f>Operations!K261*Operations!K264*Operations!K235</f>
        <v/>
      </c>
      <c r="L266" s="20">
        <f>Operations!L261*Operations!L264*Operations!L235</f>
        <v/>
      </c>
      <c r="M266" s="20">
        <f>Operations!M261*Operations!M264*Operations!M235</f>
        <v/>
      </c>
      <c r="N266" s="20">
        <f>Operations!N261*Operations!N264*Operations!N235</f>
        <v/>
      </c>
      <c r="O266" s="20">
        <f>Operations!O261*Operations!O264*Operations!O235</f>
        <v/>
      </c>
      <c r="P266" s="20">
        <f>Operations!P261*Operations!P264*Operations!P235</f>
        <v/>
      </c>
      <c r="Q266" s="20">
        <f>Operations!Q261*Operations!Q264*Operations!Q235</f>
        <v/>
      </c>
      <c r="R266" s="20">
        <f>Operations!R261*Operations!R264*Operations!R235</f>
        <v/>
      </c>
      <c r="S266" s="20">
        <f>Operations!S261*Operations!S264*Operations!S235</f>
        <v/>
      </c>
      <c r="T266" s="20">
        <f>Operations!T261*Operations!T264*Operations!T235</f>
        <v/>
      </c>
      <c r="U266" s="20">
        <f>Operations!U261*Operations!U264*Operations!U235</f>
        <v/>
      </c>
      <c r="V266" s="20">
        <f>Operations!V261*Operations!V264*Operations!V235</f>
        <v/>
      </c>
      <c r="W266" s="20">
        <f>Operations!W261*Operations!W264*Operations!W235</f>
        <v/>
      </c>
      <c r="X266" s="20">
        <f>Operations!X261*Operations!X264*Operations!X235</f>
        <v/>
      </c>
      <c r="Y266" s="20">
        <f>Operations!Y261*Operations!Y264*Operations!Y235</f>
        <v/>
      </c>
      <c r="Z266" s="20">
        <f>Operations!Z261*Operations!Z264*Operations!Z235</f>
        <v/>
      </c>
      <c r="AA266" s="20">
        <f>Operations!AA261*Operations!AA264*Operations!AA235</f>
        <v/>
      </c>
      <c r="AB266" s="20">
        <f>Operations!AB261*Operations!AB264*Operations!AB235</f>
        <v/>
      </c>
      <c r="AC266" s="20">
        <f>Operations!AC261*Operations!AC264*Operations!AC235</f>
        <v/>
      </c>
      <c r="AD266" s="20">
        <f>Operations!AD261*Operations!AD264*Operations!AD235</f>
        <v/>
      </c>
      <c r="AE266" s="20">
        <f>Operations!AE261*Operations!AE264*Operations!AE235</f>
        <v/>
      </c>
      <c r="AF266" s="20">
        <f>Operations!AF261*Operations!AF264*Operations!AF235</f>
        <v/>
      </c>
      <c r="AG266" s="20">
        <f>Operations!AG261*Operations!AG264*Operations!AG235</f>
        <v/>
      </c>
      <c r="AH266" s="20">
        <f>Operations!AH261*Operations!AH264*Operations!AH235</f>
        <v/>
      </c>
      <c r="AI266" s="20">
        <f>Operations!AI261*Operations!AI264*Operations!AI235</f>
        <v/>
      </c>
      <c r="AJ266" s="20">
        <f>Operations!AJ261*Operations!AJ264*Operations!AJ235</f>
        <v/>
      </c>
      <c r="AK266" s="20">
        <f>Operations!AK261*Operations!AK264*Operations!AK235</f>
        <v/>
      </c>
      <c r="AL266" s="20">
        <f>Operations!AL261*Operations!AL264*Operations!AL235</f>
        <v/>
      </c>
      <c r="AM266" s="20">
        <f>Operations!AM261*Operations!AM264*Operations!AM235</f>
        <v/>
      </c>
      <c r="AN266" s="20">
        <f>Operations!AN261*Operations!AN264*Operations!AN235</f>
        <v/>
      </c>
      <c r="AO266" s="20">
        <f>Operations!AO261*Operations!AO264*Operations!AO235</f>
        <v/>
      </c>
      <c r="AP266" s="20">
        <f>Operations!AP261*Operations!AP264*Operations!AP235</f>
        <v/>
      </c>
      <c r="AQ266" s="20">
        <f>Operations!AQ261*Operations!AQ264*Operations!AQ235</f>
        <v/>
      </c>
      <c r="AR266" s="20">
        <f>Operations!AR261*Operations!AR264*Operations!AR235</f>
        <v/>
      </c>
      <c r="AS266" s="20">
        <f>Operations!AS261*Operations!AS264*Operations!AS235</f>
        <v/>
      </c>
      <c r="AT266" s="20">
        <f>Operations!AT261*Operations!AT264*Operations!AT235</f>
        <v/>
      </c>
      <c r="AU266" s="20">
        <f>Operations!AU261*Operations!AU264*Operations!AU235</f>
        <v/>
      </c>
    </row>
    <row r="267">
      <c r="D267" t="inlineStr">
        <is>
          <t>R5 Mesa unlevered post-tax cash flow (before price shield)</t>
        </is>
      </c>
      <c r="E267" t="inlineStr">
        <is>
          <t>USD m</t>
        </is>
      </c>
      <c r="J267" s="20">
        <f>Operations!J265-Inputs!$F$241/100*Operations!J266</f>
        <v/>
      </c>
      <c r="K267" s="20">
        <f>Operations!K265-Inputs!$F$241/100*Operations!K266</f>
        <v/>
      </c>
      <c r="L267" s="20">
        <f>Operations!L265-Inputs!$F$241/100*Operations!L266</f>
        <v/>
      </c>
      <c r="M267" s="20">
        <f>Operations!M265-Inputs!$F$241/100*Operations!M266</f>
        <v/>
      </c>
      <c r="N267" s="20">
        <f>Operations!N265-Inputs!$F$241/100*Operations!N266</f>
        <v/>
      </c>
      <c r="O267" s="20">
        <f>Operations!O265-Inputs!$F$241/100*Operations!O266</f>
        <v/>
      </c>
      <c r="P267" s="20">
        <f>Operations!P265-Inputs!$F$241/100*Operations!P266</f>
        <v/>
      </c>
      <c r="Q267" s="20">
        <f>Operations!Q265-Inputs!$F$241/100*Operations!Q266</f>
        <v/>
      </c>
      <c r="R267" s="20">
        <f>Operations!R265-Inputs!$F$241/100*Operations!R266</f>
        <v/>
      </c>
      <c r="S267" s="20">
        <f>Operations!S265-Inputs!$F$241/100*Operations!S266</f>
        <v/>
      </c>
      <c r="T267" s="20">
        <f>Operations!T265-Inputs!$F$241/100*Operations!T266</f>
        <v/>
      </c>
      <c r="U267" s="20">
        <f>Operations!U265-Inputs!$F$241/100*Operations!U266</f>
        <v/>
      </c>
      <c r="V267" s="20">
        <f>Operations!V265-Inputs!$F$241/100*Operations!V266</f>
        <v/>
      </c>
      <c r="W267" s="20">
        <f>Operations!W265-Inputs!$F$241/100*Operations!W266</f>
        <v/>
      </c>
      <c r="X267" s="20">
        <f>Operations!X265-Inputs!$F$241/100*Operations!X266</f>
        <v/>
      </c>
      <c r="Y267" s="20">
        <f>Operations!Y265-Inputs!$F$241/100*Operations!Y266</f>
        <v/>
      </c>
      <c r="Z267" s="20">
        <f>Operations!Z265-Inputs!$F$241/100*Operations!Z266</f>
        <v/>
      </c>
      <c r="AA267" s="20">
        <f>Operations!AA265-Inputs!$F$241/100*Operations!AA266</f>
        <v/>
      </c>
      <c r="AB267" s="20">
        <f>Operations!AB265-Inputs!$F$241/100*Operations!AB266</f>
        <v/>
      </c>
      <c r="AC267" s="20">
        <f>Operations!AC265-Inputs!$F$241/100*Operations!AC266</f>
        <v/>
      </c>
      <c r="AD267" s="20">
        <f>Operations!AD265-Inputs!$F$241/100*Operations!AD266</f>
        <v/>
      </c>
      <c r="AE267" s="20">
        <f>Operations!AE265-Inputs!$F$241/100*Operations!AE266</f>
        <v/>
      </c>
      <c r="AF267" s="20">
        <f>Operations!AF265-Inputs!$F$241/100*Operations!AF266</f>
        <v/>
      </c>
      <c r="AG267" s="20">
        <f>Operations!AG265-Inputs!$F$241/100*Operations!AG266</f>
        <v/>
      </c>
      <c r="AH267" s="20">
        <f>Operations!AH265-Inputs!$F$241/100*Operations!AH266</f>
        <v/>
      </c>
      <c r="AI267" s="20">
        <f>Operations!AI265-Inputs!$F$241/100*Operations!AI266</f>
        <v/>
      </c>
      <c r="AJ267" s="20">
        <f>Operations!AJ265-Inputs!$F$241/100*Operations!AJ266</f>
        <v/>
      </c>
      <c r="AK267" s="20">
        <f>Operations!AK265-Inputs!$F$241/100*Operations!AK266</f>
        <v/>
      </c>
      <c r="AL267" s="20">
        <f>Operations!AL265-Inputs!$F$241/100*Operations!AL266</f>
        <v/>
      </c>
      <c r="AM267" s="20">
        <f>Operations!AM265-Inputs!$F$241/100*Operations!AM266</f>
        <v/>
      </c>
      <c r="AN267" s="20">
        <f>Operations!AN265-Inputs!$F$241/100*Operations!AN266</f>
        <v/>
      </c>
      <c r="AO267" s="20">
        <f>Operations!AO265-Inputs!$F$241/100*Operations!AO266</f>
        <v/>
      </c>
      <c r="AP267" s="20">
        <f>Operations!AP265-Inputs!$F$241/100*Operations!AP266</f>
        <v/>
      </c>
      <c r="AQ267" s="20">
        <f>Operations!AQ265-Inputs!$F$241/100*Operations!AQ266</f>
        <v/>
      </c>
      <c r="AR267" s="20">
        <f>Operations!AR265-Inputs!$F$241/100*Operations!AR266</f>
        <v/>
      </c>
      <c r="AS267" s="20">
        <f>Operations!AS265-Inputs!$F$241/100*Operations!AS266</f>
        <v/>
      </c>
      <c r="AT267" s="20">
        <f>Operations!AT265-Inputs!$F$241/100*Operations!AT266</f>
        <v/>
      </c>
      <c r="AU267" s="20">
        <f>Operations!AU265-Inputs!$F$241/100*Operations!AU266</f>
        <v/>
      </c>
    </row>
    <row r="268">
      <c r="D268" t="inlineStr">
        <is>
          <t>R5 contracted share of revenue</t>
        </is>
      </c>
      <c r="E268" t="inlineStr">
        <is>
          <t>fraction</t>
        </is>
      </c>
      <c r="J268" s="14">
        <f>IF(Operations!J252=0,0,Operations!J249/Operations!J252)</f>
        <v/>
      </c>
      <c r="K268" s="14">
        <f>IF(Operations!K252=0,0,Operations!K249/Operations!K252)</f>
        <v/>
      </c>
      <c r="L268" s="14">
        <f>IF(Operations!L252=0,0,Operations!L249/Operations!L252)</f>
        <v/>
      </c>
      <c r="M268" s="14">
        <f>IF(Operations!M252=0,0,Operations!M249/Operations!M252)</f>
        <v/>
      </c>
      <c r="N268" s="14">
        <f>IF(Operations!N252=0,0,Operations!N249/Operations!N252)</f>
        <v/>
      </c>
      <c r="O268" s="14">
        <f>IF(Operations!O252=0,0,Operations!O249/Operations!O252)</f>
        <v/>
      </c>
      <c r="P268" s="14">
        <f>IF(Operations!P252=0,0,Operations!P249/Operations!P252)</f>
        <v/>
      </c>
      <c r="Q268" s="14">
        <f>IF(Operations!Q252=0,0,Operations!Q249/Operations!Q252)</f>
        <v/>
      </c>
      <c r="R268" s="14">
        <f>IF(Operations!R252=0,0,Operations!R249/Operations!R252)</f>
        <v/>
      </c>
      <c r="S268" s="14">
        <f>IF(Operations!S252=0,0,Operations!S249/Operations!S252)</f>
        <v/>
      </c>
      <c r="T268" s="14">
        <f>IF(Operations!T252=0,0,Operations!T249/Operations!T252)</f>
        <v/>
      </c>
      <c r="U268" s="14">
        <f>IF(Operations!U252=0,0,Operations!U249/Operations!U252)</f>
        <v/>
      </c>
      <c r="V268" s="14">
        <f>IF(Operations!V252=0,0,Operations!V249/Operations!V252)</f>
        <v/>
      </c>
      <c r="W268" s="14">
        <f>IF(Operations!W252=0,0,Operations!W249/Operations!W252)</f>
        <v/>
      </c>
      <c r="X268" s="14">
        <f>IF(Operations!X252=0,0,Operations!X249/Operations!X252)</f>
        <v/>
      </c>
      <c r="Y268" s="14">
        <f>IF(Operations!Y252=0,0,Operations!Y249/Operations!Y252)</f>
        <v/>
      </c>
      <c r="Z268" s="14">
        <f>IF(Operations!Z252=0,0,Operations!Z249/Operations!Z252)</f>
        <v/>
      </c>
      <c r="AA268" s="14">
        <f>IF(Operations!AA252=0,0,Operations!AA249/Operations!AA252)</f>
        <v/>
      </c>
      <c r="AB268" s="14">
        <f>IF(Operations!AB252=0,0,Operations!AB249/Operations!AB252)</f>
        <v/>
      </c>
      <c r="AC268" s="14">
        <f>IF(Operations!AC252=0,0,Operations!AC249/Operations!AC252)</f>
        <v/>
      </c>
      <c r="AD268" s="14">
        <f>IF(Operations!AD252=0,0,Operations!AD249/Operations!AD252)</f>
        <v/>
      </c>
      <c r="AE268" s="14">
        <f>IF(Operations!AE252=0,0,Operations!AE249/Operations!AE252)</f>
        <v/>
      </c>
      <c r="AF268" s="14">
        <f>IF(Operations!AF252=0,0,Operations!AF249/Operations!AF252)</f>
        <v/>
      </c>
      <c r="AG268" s="14">
        <f>IF(Operations!AG252=0,0,Operations!AG249/Operations!AG252)</f>
        <v/>
      </c>
      <c r="AH268" s="14">
        <f>IF(Operations!AH252=0,0,Operations!AH249/Operations!AH252)</f>
        <v/>
      </c>
      <c r="AI268" s="14">
        <f>IF(Operations!AI252=0,0,Operations!AI249/Operations!AI252)</f>
        <v/>
      </c>
      <c r="AJ268" s="14">
        <f>IF(Operations!AJ252=0,0,Operations!AJ249/Operations!AJ252)</f>
        <v/>
      </c>
      <c r="AK268" s="14">
        <f>IF(Operations!AK252=0,0,Operations!AK249/Operations!AK252)</f>
        <v/>
      </c>
      <c r="AL268" s="14">
        <f>IF(Operations!AL252=0,0,Operations!AL249/Operations!AL252)</f>
        <v/>
      </c>
      <c r="AM268" s="14">
        <f>IF(Operations!AM252=0,0,Operations!AM249/Operations!AM252)</f>
        <v/>
      </c>
      <c r="AN268" s="14">
        <f>IF(Operations!AN252=0,0,Operations!AN249/Operations!AN252)</f>
        <v/>
      </c>
      <c r="AO268" s="14">
        <f>IF(Operations!AO252=0,0,Operations!AO249/Operations!AO252)</f>
        <v/>
      </c>
      <c r="AP268" s="14">
        <f>IF(Operations!AP252=0,0,Operations!AP249/Operations!AP252)</f>
        <v/>
      </c>
      <c r="AQ268" s="14">
        <f>IF(Operations!AQ252=0,0,Operations!AQ249/Operations!AQ252)</f>
        <v/>
      </c>
      <c r="AR268" s="14">
        <f>IF(Operations!AR252=0,0,Operations!AR249/Operations!AR252)</f>
        <v/>
      </c>
      <c r="AS268" s="14">
        <f>IF(Operations!AS252=0,0,Operations!AS249/Operations!AS252)</f>
        <v/>
      </c>
      <c r="AT268" s="14">
        <f>IF(Operations!AT252=0,0,Operations!AT249/Operations!AT252)</f>
        <v/>
      </c>
      <c r="AU268" s="14">
        <f>IF(Operations!AU252=0,0,Operations!AU249/Operations!AU252)</f>
        <v/>
      </c>
    </row>
    <row r="269">
      <c r="D269" t="inlineStr">
        <is>
          <t>R5 hedged share of revenue</t>
        </is>
      </c>
      <c r="E269" t="inlineStr">
        <is>
          <t>fraction</t>
        </is>
      </c>
      <c r="J269" s="14">
        <f>IF(Operations!J252=0,0,Operations!J250/Operations!J252)</f>
        <v/>
      </c>
      <c r="K269" s="14">
        <f>IF(Operations!K252=0,0,Operations!K250/Operations!K252)</f>
        <v/>
      </c>
      <c r="L269" s="14">
        <f>IF(Operations!L252=0,0,Operations!L250/Operations!L252)</f>
        <v/>
      </c>
      <c r="M269" s="14">
        <f>IF(Operations!M252=0,0,Operations!M250/Operations!M252)</f>
        <v/>
      </c>
      <c r="N269" s="14">
        <f>IF(Operations!N252=0,0,Operations!N250/Operations!N252)</f>
        <v/>
      </c>
      <c r="O269" s="14">
        <f>IF(Operations!O252=0,0,Operations!O250/Operations!O252)</f>
        <v/>
      </c>
      <c r="P269" s="14">
        <f>IF(Operations!P252=0,0,Operations!P250/Operations!P252)</f>
        <v/>
      </c>
      <c r="Q269" s="14">
        <f>IF(Operations!Q252=0,0,Operations!Q250/Operations!Q252)</f>
        <v/>
      </c>
      <c r="R269" s="14">
        <f>IF(Operations!R252=0,0,Operations!R250/Operations!R252)</f>
        <v/>
      </c>
      <c r="S269" s="14">
        <f>IF(Operations!S252=0,0,Operations!S250/Operations!S252)</f>
        <v/>
      </c>
      <c r="T269" s="14">
        <f>IF(Operations!T252=0,0,Operations!T250/Operations!T252)</f>
        <v/>
      </c>
      <c r="U269" s="14">
        <f>IF(Operations!U252=0,0,Operations!U250/Operations!U252)</f>
        <v/>
      </c>
      <c r="V269" s="14">
        <f>IF(Operations!V252=0,0,Operations!V250/Operations!V252)</f>
        <v/>
      </c>
      <c r="W269" s="14">
        <f>IF(Operations!W252=0,0,Operations!W250/Operations!W252)</f>
        <v/>
      </c>
      <c r="X269" s="14">
        <f>IF(Operations!X252=0,0,Operations!X250/Operations!X252)</f>
        <v/>
      </c>
      <c r="Y269" s="14">
        <f>IF(Operations!Y252=0,0,Operations!Y250/Operations!Y252)</f>
        <v/>
      </c>
      <c r="Z269" s="14">
        <f>IF(Operations!Z252=0,0,Operations!Z250/Operations!Z252)</f>
        <v/>
      </c>
      <c r="AA269" s="14">
        <f>IF(Operations!AA252=0,0,Operations!AA250/Operations!AA252)</f>
        <v/>
      </c>
      <c r="AB269" s="14">
        <f>IF(Operations!AB252=0,0,Operations!AB250/Operations!AB252)</f>
        <v/>
      </c>
      <c r="AC269" s="14">
        <f>IF(Operations!AC252=0,0,Operations!AC250/Operations!AC252)</f>
        <v/>
      </c>
      <c r="AD269" s="14">
        <f>IF(Operations!AD252=0,0,Operations!AD250/Operations!AD252)</f>
        <v/>
      </c>
      <c r="AE269" s="14">
        <f>IF(Operations!AE252=0,0,Operations!AE250/Operations!AE252)</f>
        <v/>
      </c>
      <c r="AF269" s="14">
        <f>IF(Operations!AF252=0,0,Operations!AF250/Operations!AF252)</f>
        <v/>
      </c>
      <c r="AG269" s="14">
        <f>IF(Operations!AG252=0,0,Operations!AG250/Operations!AG252)</f>
        <v/>
      </c>
      <c r="AH269" s="14">
        <f>IF(Operations!AH252=0,0,Operations!AH250/Operations!AH252)</f>
        <v/>
      </c>
      <c r="AI269" s="14">
        <f>IF(Operations!AI252=0,0,Operations!AI250/Operations!AI252)</f>
        <v/>
      </c>
      <c r="AJ269" s="14">
        <f>IF(Operations!AJ252=0,0,Operations!AJ250/Operations!AJ252)</f>
        <v/>
      </c>
      <c r="AK269" s="14">
        <f>IF(Operations!AK252=0,0,Operations!AK250/Operations!AK252)</f>
        <v/>
      </c>
      <c r="AL269" s="14">
        <f>IF(Operations!AL252=0,0,Operations!AL250/Operations!AL252)</f>
        <v/>
      </c>
      <c r="AM269" s="14">
        <f>IF(Operations!AM252=0,0,Operations!AM250/Operations!AM252)</f>
        <v/>
      </c>
      <c r="AN269" s="14">
        <f>IF(Operations!AN252=0,0,Operations!AN250/Operations!AN252)</f>
        <v/>
      </c>
      <c r="AO269" s="14">
        <f>IF(Operations!AO252=0,0,Operations!AO250/Operations!AO252)</f>
        <v/>
      </c>
      <c r="AP269" s="14">
        <f>IF(Operations!AP252=0,0,Operations!AP250/Operations!AP252)</f>
        <v/>
      </c>
      <c r="AQ269" s="14">
        <f>IF(Operations!AQ252=0,0,Operations!AQ250/Operations!AQ252)</f>
        <v/>
      </c>
      <c r="AR269" s="14">
        <f>IF(Operations!AR252=0,0,Operations!AR250/Operations!AR252)</f>
        <v/>
      </c>
      <c r="AS269" s="14">
        <f>IF(Operations!AS252=0,0,Operations!AS250/Operations!AS252)</f>
        <v/>
      </c>
      <c r="AT269" s="14">
        <f>IF(Operations!AT252=0,0,Operations!AT250/Operations!AT252)</f>
        <v/>
      </c>
      <c r="AU269" s="14">
        <f>IF(Operations!AU252=0,0,Operations!AU250/Operations!AU252)</f>
        <v/>
      </c>
    </row>
    <row r="270">
      <c r="D270" t="inlineStr">
        <is>
          <t>R5 merchant share of revenue</t>
        </is>
      </c>
      <c r="E270" t="inlineStr">
        <is>
          <t>fraction</t>
        </is>
      </c>
      <c r="J270" s="14">
        <f>1-Operations!J268-Operations!J269</f>
        <v/>
      </c>
      <c r="K270" s="14">
        <f>1-Operations!K268-Operations!K269</f>
        <v/>
      </c>
      <c r="L270" s="14">
        <f>1-Operations!L268-Operations!L269</f>
        <v/>
      </c>
      <c r="M270" s="14">
        <f>1-Operations!M268-Operations!M269</f>
        <v/>
      </c>
      <c r="N270" s="14">
        <f>1-Operations!N268-Operations!N269</f>
        <v/>
      </c>
      <c r="O270" s="14">
        <f>1-Operations!O268-Operations!O269</f>
        <v/>
      </c>
      <c r="P270" s="14">
        <f>1-Operations!P268-Operations!P269</f>
        <v/>
      </c>
      <c r="Q270" s="14">
        <f>1-Operations!Q268-Operations!Q269</f>
        <v/>
      </c>
      <c r="R270" s="14">
        <f>1-Operations!R268-Operations!R269</f>
        <v/>
      </c>
      <c r="S270" s="14">
        <f>1-Operations!S268-Operations!S269</f>
        <v/>
      </c>
      <c r="T270" s="14">
        <f>1-Operations!T268-Operations!T269</f>
        <v/>
      </c>
      <c r="U270" s="14">
        <f>1-Operations!U268-Operations!U269</f>
        <v/>
      </c>
      <c r="V270" s="14">
        <f>1-Operations!V268-Operations!V269</f>
        <v/>
      </c>
      <c r="W270" s="14">
        <f>1-Operations!W268-Operations!W269</f>
        <v/>
      </c>
      <c r="X270" s="14">
        <f>1-Operations!X268-Operations!X269</f>
        <v/>
      </c>
      <c r="Y270" s="14">
        <f>1-Operations!Y268-Operations!Y269</f>
        <v/>
      </c>
      <c r="Z270" s="14">
        <f>1-Operations!Z268-Operations!Z269</f>
        <v/>
      </c>
      <c r="AA270" s="14">
        <f>1-Operations!AA268-Operations!AA269</f>
        <v/>
      </c>
      <c r="AB270" s="14">
        <f>1-Operations!AB268-Operations!AB269</f>
        <v/>
      </c>
      <c r="AC270" s="14">
        <f>1-Operations!AC268-Operations!AC269</f>
        <v/>
      </c>
      <c r="AD270" s="14">
        <f>1-Operations!AD268-Operations!AD269</f>
        <v/>
      </c>
      <c r="AE270" s="14">
        <f>1-Operations!AE268-Operations!AE269</f>
        <v/>
      </c>
      <c r="AF270" s="14">
        <f>1-Operations!AF268-Operations!AF269</f>
        <v/>
      </c>
      <c r="AG270" s="14">
        <f>1-Operations!AG268-Operations!AG269</f>
        <v/>
      </c>
      <c r="AH270" s="14">
        <f>1-Operations!AH268-Operations!AH269</f>
        <v/>
      </c>
      <c r="AI270" s="14">
        <f>1-Operations!AI268-Operations!AI269</f>
        <v/>
      </c>
      <c r="AJ270" s="14">
        <f>1-Operations!AJ268-Operations!AJ269</f>
        <v/>
      </c>
      <c r="AK270" s="14">
        <f>1-Operations!AK268-Operations!AK269</f>
        <v/>
      </c>
      <c r="AL270" s="14">
        <f>1-Operations!AL268-Operations!AL269</f>
        <v/>
      </c>
      <c r="AM270" s="14">
        <f>1-Operations!AM268-Operations!AM269</f>
        <v/>
      </c>
      <c r="AN270" s="14">
        <f>1-Operations!AN268-Operations!AN269</f>
        <v/>
      </c>
      <c r="AO270" s="14">
        <f>1-Operations!AO268-Operations!AO269</f>
        <v/>
      </c>
      <c r="AP270" s="14">
        <f>1-Operations!AP268-Operations!AP269</f>
        <v/>
      </c>
      <c r="AQ270" s="14">
        <f>1-Operations!AQ268-Operations!AQ269</f>
        <v/>
      </c>
      <c r="AR270" s="14">
        <f>1-Operations!AR268-Operations!AR269</f>
        <v/>
      </c>
      <c r="AS270" s="14">
        <f>1-Operations!AS268-Operations!AS269</f>
        <v/>
      </c>
      <c r="AT270" s="14">
        <f>1-Operations!AT268-Operations!AT269</f>
        <v/>
      </c>
      <c r="AU270" s="14">
        <f>1-Operations!AU268-Operations!AU269</f>
        <v/>
      </c>
    </row>
    <row r="271">
      <c r="D271" t="inlineStr">
        <is>
          <t>R5 Mesa-share contracted revenue</t>
        </is>
      </c>
      <c r="E271" t="inlineStr">
        <is>
          <t>USD m</t>
        </is>
      </c>
      <c r="J271" s="20">
        <f>Operations!J249*Operations!J235*(1-Operations!J263)</f>
        <v/>
      </c>
      <c r="K271" s="20">
        <f>Operations!K249*Operations!K235*(1-Operations!K263)</f>
        <v/>
      </c>
      <c r="L271" s="20">
        <f>Operations!L249*Operations!L235*(1-Operations!L263)</f>
        <v/>
      </c>
      <c r="M271" s="20">
        <f>Operations!M249*Operations!M235*(1-Operations!M263)</f>
        <v/>
      </c>
      <c r="N271" s="20">
        <f>Operations!N249*Operations!N235*(1-Operations!N263)</f>
        <v/>
      </c>
      <c r="O271" s="20">
        <f>Operations!O249*Operations!O235*(1-Operations!O263)</f>
        <v/>
      </c>
      <c r="P271" s="20">
        <f>Operations!P249*Operations!P235*(1-Operations!P263)</f>
        <v/>
      </c>
      <c r="Q271" s="20">
        <f>Operations!Q249*Operations!Q235*(1-Operations!Q263)</f>
        <v/>
      </c>
      <c r="R271" s="20">
        <f>Operations!R249*Operations!R235*(1-Operations!R263)</f>
        <v/>
      </c>
      <c r="S271" s="20">
        <f>Operations!S249*Operations!S235*(1-Operations!S263)</f>
        <v/>
      </c>
      <c r="T271" s="20">
        <f>Operations!T249*Operations!T235*(1-Operations!T263)</f>
        <v/>
      </c>
      <c r="U271" s="20">
        <f>Operations!U249*Operations!U235*(1-Operations!U263)</f>
        <v/>
      </c>
      <c r="V271" s="20">
        <f>Operations!V249*Operations!V235*(1-Operations!V263)</f>
        <v/>
      </c>
      <c r="W271" s="20">
        <f>Operations!W249*Operations!W235*(1-Operations!W263)</f>
        <v/>
      </c>
      <c r="X271" s="20">
        <f>Operations!X249*Operations!X235*(1-Operations!X263)</f>
        <v/>
      </c>
      <c r="Y271" s="20">
        <f>Operations!Y249*Operations!Y235*(1-Operations!Y263)</f>
        <v/>
      </c>
      <c r="Z271" s="20">
        <f>Operations!Z249*Operations!Z235*(1-Operations!Z263)</f>
        <v/>
      </c>
      <c r="AA271" s="20">
        <f>Operations!AA249*Operations!AA235*(1-Operations!AA263)</f>
        <v/>
      </c>
      <c r="AB271" s="20">
        <f>Operations!AB249*Operations!AB235*(1-Operations!AB263)</f>
        <v/>
      </c>
      <c r="AC271" s="20">
        <f>Operations!AC249*Operations!AC235*(1-Operations!AC263)</f>
        <v/>
      </c>
      <c r="AD271" s="20">
        <f>Operations!AD249*Operations!AD235*(1-Operations!AD263)</f>
        <v/>
      </c>
      <c r="AE271" s="20">
        <f>Operations!AE249*Operations!AE235*(1-Operations!AE263)</f>
        <v/>
      </c>
      <c r="AF271" s="20">
        <f>Operations!AF249*Operations!AF235*(1-Operations!AF263)</f>
        <v/>
      </c>
      <c r="AG271" s="20">
        <f>Operations!AG249*Operations!AG235*(1-Operations!AG263)</f>
        <v/>
      </c>
      <c r="AH271" s="20">
        <f>Operations!AH249*Operations!AH235*(1-Operations!AH263)</f>
        <v/>
      </c>
      <c r="AI271" s="20">
        <f>Operations!AI249*Operations!AI235*(1-Operations!AI263)</f>
        <v/>
      </c>
      <c r="AJ271" s="20">
        <f>Operations!AJ249*Operations!AJ235*(1-Operations!AJ263)</f>
        <v/>
      </c>
      <c r="AK271" s="20">
        <f>Operations!AK249*Operations!AK235*(1-Operations!AK263)</f>
        <v/>
      </c>
      <c r="AL271" s="20">
        <f>Operations!AL249*Operations!AL235*(1-Operations!AL263)</f>
        <v/>
      </c>
      <c r="AM271" s="20">
        <f>Operations!AM249*Operations!AM235*(1-Operations!AM263)</f>
        <v/>
      </c>
      <c r="AN271" s="20">
        <f>Operations!AN249*Operations!AN235*(1-Operations!AN263)</f>
        <v/>
      </c>
      <c r="AO271" s="20">
        <f>Operations!AO249*Operations!AO235*(1-Operations!AO263)</f>
        <v/>
      </c>
      <c r="AP271" s="20">
        <f>Operations!AP249*Operations!AP235*(1-Operations!AP263)</f>
        <v/>
      </c>
      <c r="AQ271" s="20">
        <f>Operations!AQ249*Operations!AQ235*(1-Operations!AQ263)</f>
        <v/>
      </c>
      <c r="AR271" s="20">
        <f>Operations!AR249*Operations!AR235*(1-Operations!AR263)</f>
        <v/>
      </c>
      <c r="AS271" s="20">
        <f>Operations!AS249*Operations!AS235*(1-Operations!AS263)</f>
        <v/>
      </c>
      <c r="AT271" s="20">
        <f>Operations!AT249*Operations!AT235*(1-Operations!AT263)</f>
        <v/>
      </c>
      <c r="AU271" s="20">
        <f>Operations!AU249*Operations!AU235*(1-Operations!AU263)</f>
        <v/>
      </c>
    </row>
    <row r="272">
      <c r="D272" t="inlineStr">
        <is>
          <t>R5 Mesa-share hedged revenue</t>
        </is>
      </c>
      <c r="E272" t="inlineStr">
        <is>
          <t>USD m</t>
        </is>
      </c>
      <c r="J272" s="20">
        <f>Operations!J250*Operations!J235*(1-Operations!J263)</f>
        <v/>
      </c>
      <c r="K272" s="20">
        <f>Operations!K250*Operations!K235*(1-Operations!K263)</f>
        <v/>
      </c>
      <c r="L272" s="20">
        <f>Operations!L250*Operations!L235*(1-Operations!L263)</f>
        <v/>
      </c>
      <c r="M272" s="20">
        <f>Operations!M250*Operations!M235*(1-Operations!M263)</f>
        <v/>
      </c>
      <c r="N272" s="20">
        <f>Operations!N250*Operations!N235*(1-Operations!N263)</f>
        <v/>
      </c>
      <c r="O272" s="20">
        <f>Operations!O250*Operations!O235*(1-Operations!O263)</f>
        <v/>
      </c>
      <c r="P272" s="20">
        <f>Operations!P250*Operations!P235*(1-Operations!P263)</f>
        <v/>
      </c>
      <c r="Q272" s="20">
        <f>Operations!Q250*Operations!Q235*(1-Operations!Q263)</f>
        <v/>
      </c>
      <c r="R272" s="20">
        <f>Operations!R250*Operations!R235*(1-Operations!R263)</f>
        <v/>
      </c>
      <c r="S272" s="20">
        <f>Operations!S250*Operations!S235*(1-Operations!S263)</f>
        <v/>
      </c>
      <c r="T272" s="20">
        <f>Operations!T250*Operations!T235*(1-Operations!T263)</f>
        <v/>
      </c>
      <c r="U272" s="20">
        <f>Operations!U250*Operations!U235*(1-Operations!U263)</f>
        <v/>
      </c>
      <c r="V272" s="20">
        <f>Operations!V250*Operations!V235*(1-Operations!V263)</f>
        <v/>
      </c>
      <c r="W272" s="20">
        <f>Operations!W250*Operations!W235*(1-Operations!W263)</f>
        <v/>
      </c>
      <c r="X272" s="20">
        <f>Operations!X250*Operations!X235*(1-Operations!X263)</f>
        <v/>
      </c>
      <c r="Y272" s="20">
        <f>Operations!Y250*Operations!Y235*(1-Operations!Y263)</f>
        <v/>
      </c>
      <c r="Z272" s="20">
        <f>Operations!Z250*Operations!Z235*(1-Operations!Z263)</f>
        <v/>
      </c>
      <c r="AA272" s="20">
        <f>Operations!AA250*Operations!AA235*(1-Operations!AA263)</f>
        <v/>
      </c>
      <c r="AB272" s="20">
        <f>Operations!AB250*Operations!AB235*(1-Operations!AB263)</f>
        <v/>
      </c>
      <c r="AC272" s="20">
        <f>Operations!AC250*Operations!AC235*(1-Operations!AC263)</f>
        <v/>
      </c>
      <c r="AD272" s="20">
        <f>Operations!AD250*Operations!AD235*(1-Operations!AD263)</f>
        <v/>
      </c>
      <c r="AE272" s="20">
        <f>Operations!AE250*Operations!AE235*(1-Operations!AE263)</f>
        <v/>
      </c>
      <c r="AF272" s="20">
        <f>Operations!AF250*Operations!AF235*(1-Operations!AF263)</f>
        <v/>
      </c>
      <c r="AG272" s="20">
        <f>Operations!AG250*Operations!AG235*(1-Operations!AG263)</f>
        <v/>
      </c>
      <c r="AH272" s="20">
        <f>Operations!AH250*Operations!AH235*(1-Operations!AH263)</f>
        <v/>
      </c>
      <c r="AI272" s="20">
        <f>Operations!AI250*Operations!AI235*(1-Operations!AI263)</f>
        <v/>
      </c>
      <c r="AJ272" s="20">
        <f>Operations!AJ250*Operations!AJ235*(1-Operations!AJ263)</f>
        <v/>
      </c>
      <c r="AK272" s="20">
        <f>Operations!AK250*Operations!AK235*(1-Operations!AK263)</f>
        <v/>
      </c>
      <c r="AL272" s="20">
        <f>Operations!AL250*Operations!AL235*(1-Operations!AL263)</f>
        <v/>
      </c>
      <c r="AM272" s="20">
        <f>Operations!AM250*Operations!AM235*(1-Operations!AM263)</f>
        <v/>
      </c>
      <c r="AN272" s="20">
        <f>Operations!AN250*Operations!AN235*(1-Operations!AN263)</f>
        <v/>
      </c>
      <c r="AO272" s="20">
        <f>Operations!AO250*Operations!AO235*(1-Operations!AO263)</f>
        <v/>
      </c>
      <c r="AP272" s="20">
        <f>Operations!AP250*Operations!AP235*(1-Operations!AP263)</f>
        <v/>
      </c>
      <c r="AQ272" s="20">
        <f>Operations!AQ250*Operations!AQ235*(1-Operations!AQ263)</f>
        <v/>
      </c>
      <c r="AR272" s="20">
        <f>Operations!AR250*Operations!AR235*(1-Operations!AR263)</f>
        <v/>
      </c>
      <c r="AS272" s="20">
        <f>Operations!AS250*Operations!AS235*(1-Operations!AS263)</f>
        <v/>
      </c>
      <c r="AT272" s="20">
        <f>Operations!AT250*Operations!AT235*(1-Operations!AT263)</f>
        <v/>
      </c>
      <c r="AU272" s="20">
        <f>Operations!AU250*Operations!AU235*(1-Operations!AU263)</f>
        <v/>
      </c>
    </row>
    <row r="273">
      <c r="D273" t="inlineStr">
        <is>
          <t>R5 Mesa-share merchant revenue</t>
        </is>
      </c>
      <c r="E273" t="inlineStr">
        <is>
          <t>USD m</t>
        </is>
      </c>
      <c r="J273" s="20">
        <f>Operations!J253*Operations!J235*(1-Operations!J263)</f>
        <v/>
      </c>
      <c r="K273" s="20">
        <f>Operations!K253*Operations!K235*(1-Operations!K263)</f>
        <v/>
      </c>
      <c r="L273" s="20">
        <f>Operations!L253*Operations!L235*(1-Operations!L263)</f>
        <v/>
      </c>
      <c r="M273" s="20">
        <f>Operations!M253*Operations!M235*(1-Operations!M263)</f>
        <v/>
      </c>
      <c r="N273" s="20">
        <f>Operations!N253*Operations!N235*(1-Operations!N263)</f>
        <v/>
      </c>
      <c r="O273" s="20">
        <f>Operations!O253*Operations!O235*(1-Operations!O263)</f>
        <v/>
      </c>
      <c r="P273" s="20">
        <f>Operations!P253*Operations!P235*(1-Operations!P263)</f>
        <v/>
      </c>
      <c r="Q273" s="20">
        <f>Operations!Q253*Operations!Q235*(1-Operations!Q263)</f>
        <v/>
      </c>
      <c r="R273" s="20">
        <f>Operations!R253*Operations!R235*(1-Operations!R263)</f>
        <v/>
      </c>
      <c r="S273" s="20">
        <f>Operations!S253*Operations!S235*(1-Operations!S263)</f>
        <v/>
      </c>
      <c r="T273" s="20">
        <f>Operations!T253*Operations!T235*(1-Operations!T263)</f>
        <v/>
      </c>
      <c r="U273" s="20">
        <f>Operations!U253*Operations!U235*(1-Operations!U263)</f>
        <v/>
      </c>
      <c r="V273" s="20">
        <f>Operations!V253*Operations!V235*(1-Operations!V263)</f>
        <v/>
      </c>
      <c r="W273" s="20">
        <f>Operations!W253*Operations!W235*(1-Operations!W263)</f>
        <v/>
      </c>
      <c r="X273" s="20">
        <f>Operations!X253*Operations!X235*(1-Operations!X263)</f>
        <v/>
      </c>
      <c r="Y273" s="20">
        <f>Operations!Y253*Operations!Y235*(1-Operations!Y263)</f>
        <v/>
      </c>
      <c r="Z273" s="20">
        <f>Operations!Z253*Operations!Z235*(1-Operations!Z263)</f>
        <v/>
      </c>
      <c r="AA273" s="20">
        <f>Operations!AA253*Operations!AA235*(1-Operations!AA263)</f>
        <v/>
      </c>
      <c r="AB273" s="20">
        <f>Operations!AB253*Operations!AB235*(1-Operations!AB263)</f>
        <v/>
      </c>
      <c r="AC273" s="20">
        <f>Operations!AC253*Operations!AC235*(1-Operations!AC263)</f>
        <v/>
      </c>
      <c r="AD273" s="20">
        <f>Operations!AD253*Operations!AD235*(1-Operations!AD263)</f>
        <v/>
      </c>
      <c r="AE273" s="20">
        <f>Operations!AE253*Operations!AE235*(1-Operations!AE263)</f>
        <v/>
      </c>
      <c r="AF273" s="20">
        <f>Operations!AF253*Operations!AF235*(1-Operations!AF263)</f>
        <v/>
      </c>
      <c r="AG273" s="20">
        <f>Operations!AG253*Operations!AG235*(1-Operations!AG263)</f>
        <v/>
      </c>
      <c r="AH273" s="20">
        <f>Operations!AH253*Operations!AH235*(1-Operations!AH263)</f>
        <v/>
      </c>
      <c r="AI273" s="20">
        <f>Operations!AI253*Operations!AI235*(1-Operations!AI263)</f>
        <v/>
      </c>
      <c r="AJ273" s="20">
        <f>Operations!AJ253*Operations!AJ235*(1-Operations!AJ263)</f>
        <v/>
      </c>
      <c r="AK273" s="20">
        <f>Operations!AK253*Operations!AK235*(1-Operations!AK263)</f>
        <v/>
      </c>
      <c r="AL273" s="20">
        <f>Operations!AL253*Operations!AL235*(1-Operations!AL263)</f>
        <v/>
      </c>
      <c r="AM273" s="20">
        <f>Operations!AM253*Operations!AM235*(1-Operations!AM263)</f>
        <v/>
      </c>
      <c r="AN273" s="20">
        <f>Operations!AN253*Operations!AN235*(1-Operations!AN263)</f>
        <v/>
      </c>
      <c r="AO273" s="20">
        <f>Operations!AO253*Operations!AO235*(1-Operations!AO263)</f>
        <v/>
      </c>
      <c r="AP273" s="20">
        <f>Operations!AP253*Operations!AP235*(1-Operations!AP263)</f>
        <v/>
      </c>
      <c r="AQ273" s="20">
        <f>Operations!AQ253*Operations!AQ235*(1-Operations!AQ263)</f>
        <v/>
      </c>
      <c r="AR273" s="20">
        <f>Operations!AR253*Operations!AR235*(1-Operations!AR263)</f>
        <v/>
      </c>
      <c r="AS273" s="20">
        <f>Operations!AS253*Operations!AS235*(1-Operations!AS263)</f>
        <v/>
      </c>
      <c r="AT273" s="20">
        <f>Operations!AT253*Operations!AT235*(1-Operations!AT263)</f>
        <v/>
      </c>
      <c r="AU273" s="20">
        <f>Operations!AU253*Operations!AU235*(1-Operations!AU263)</f>
        <v/>
      </c>
    </row>
    <row r="274">
      <c r="D274" t="inlineStr">
        <is>
          <t>R5 Mesa-share revenue</t>
        </is>
      </c>
      <c r="E274" t="inlineStr">
        <is>
          <t>USD m</t>
        </is>
      </c>
      <c r="J274" s="20">
        <f>Operations!J252*Operations!J235*(1-Operations!J263)</f>
        <v/>
      </c>
      <c r="K274" s="20">
        <f>Operations!K252*Operations!K235*(1-Operations!K263)</f>
        <v/>
      </c>
      <c r="L274" s="20">
        <f>Operations!L252*Operations!L235*(1-Operations!L263)</f>
        <v/>
      </c>
      <c r="M274" s="20">
        <f>Operations!M252*Operations!M235*(1-Operations!M263)</f>
        <v/>
      </c>
      <c r="N274" s="20">
        <f>Operations!N252*Operations!N235*(1-Operations!N263)</f>
        <v/>
      </c>
      <c r="O274" s="20">
        <f>Operations!O252*Operations!O235*(1-Operations!O263)</f>
        <v/>
      </c>
      <c r="P274" s="20">
        <f>Operations!P252*Operations!P235*(1-Operations!P263)</f>
        <v/>
      </c>
      <c r="Q274" s="20">
        <f>Operations!Q252*Operations!Q235*(1-Operations!Q263)</f>
        <v/>
      </c>
      <c r="R274" s="20">
        <f>Operations!R252*Operations!R235*(1-Operations!R263)</f>
        <v/>
      </c>
      <c r="S274" s="20">
        <f>Operations!S252*Operations!S235*(1-Operations!S263)</f>
        <v/>
      </c>
      <c r="T274" s="20">
        <f>Operations!T252*Operations!T235*(1-Operations!T263)</f>
        <v/>
      </c>
      <c r="U274" s="20">
        <f>Operations!U252*Operations!U235*(1-Operations!U263)</f>
        <v/>
      </c>
      <c r="V274" s="20">
        <f>Operations!V252*Operations!V235*(1-Operations!V263)</f>
        <v/>
      </c>
      <c r="W274" s="20">
        <f>Operations!W252*Operations!W235*(1-Operations!W263)</f>
        <v/>
      </c>
      <c r="X274" s="20">
        <f>Operations!X252*Operations!X235*(1-Operations!X263)</f>
        <v/>
      </c>
      <c r="Y274" s="20">
        <f>Operations!Y252*Operations!Y235*(1-Operations!Y263)</f>
        <v/>
      </c>
      <c r="Z274" s="20">
        <f>Operations!Z252*Operations!Z235*(1-Operations!Z263)</f>
        <v/>
      </c>
      <c r="AA274" s="20">
        <f>Operations!AA252*Operations!AA235*(1-Operations!AA263)</f>
        <v/>
      </c>
      <c r="AB274" s="20">
        <f>Operations!AB252*Operations!AB235*(1-Operations!AB263)</f>
        <v/>
      </c>
      <c r="AC274" s="20">
        <f>Operations!AC252*Operations!AC235*(1-Operations!AC263)</f>
        <v/>
      </c>
      <c r="AD274" s="20">
        <f>Operations!AD252*Operations!AD235*(1-Operations!AD263)</f>
        <v/>
      </c>
      <c r="AE274" s="20">
        <f>Operations!AE252*Operations!AE235*(1-Operations!AE263)</f>
        <v/>
      </c>
      <c r="AF274" s="20">
        <f>Operations!AF252*Operations!AF235*(1-Operations!AF263)</f>
        <v/>
      </c>
      <c r="AG274" s="20">
        <f>Operations!AG252*Operations!AG235*(1-Operations!AG263)</f>
        <v/>
      </c>
      <c r="AH274" s="20">
        <f>Operations!AH252*Operations!AH235*(1-Operations!AH263)</f>
        <v/>
      </c>
      <c r="AI274" s="20">
        <f>Operations!AI252*Operations!AI235*(1-Operations!AI263)</f>
        <v/>
      </c>
      <c r="AJ274" s="20">
        <f>Operations!AJ252*Operations!AJ235*(1-Operations!AJ263)</f>
        <v/>
      </c>
      <c r="AK274" s="20">
        <f>Operations!AK252*Operations!AK235*(1-Operations!AK263)</f>
        <v/>
      </c>
      <c r="AL274" s="20">
        <f>Operations!AL252*Operations!AL235*(1-Operations!AL263)</f>
        <v/>
      </c>
      <c r="AM274" s="20">
        <f>Operations!AM252*Operations!AM235*(1-Operations!AM263)</f>
        <v/>
      </c>
      <c r="AN274" s="20">
        <f>Operations!AN252*Operations!AN235*(1-Operations!AN263)</f>
        <v/>
      </c>
      <c r="AO274" s="20">
        <f>Operations!AO252*Operations!AO235*(1-Operations!AO263)</f>
        <v/>
      </c>
      <c r="AP274" s="20">
        <f>Operations!AP252*Operations!AP235*(1-Operations!AP263)</f>
        <v/>
      </c>
      <c r="AQ274" s="20">
        <f>Operations!AQ252*Operations!AQ235*(1-Operations!AQ263)</f>
        <v/>
      </c>
      <c r="AR274" s="20">
        <f>Operations!AR252*Operations!AR235*(1-Operations!AR263)</f>
        <v/>
      </c>
      <c r="AS274" s="20">
        <f>Operations!AS252*Operations!AS235*(1-Operations!AS263)</f>
        <v/>
      </c>
      <c r="AT274" s="20">
        <f>Operations!AT252*Operations!AT235*(1-Operations!AT263)</f>
        <v/>
      </c>
      <c r="AU274" s="20">
        <f>Operations!AU252*Operations!AU235*(1-Operations!AU263)</f>
        <v/>
      </c>
    </row>
    <row r="275">
      <c r="D275" s="19" t="inlineStr">
        <is>
          <t>R6 Redfern Storage (lithium-ion BESS (LFP), 2-hour)</t>
        </is>
      </c>
    </row>
    <row r="276">
      <c r="D276" t="inlineStr">
        <is>
          <t>R6 operating fraction</t>
        </is>
      </c>
      <c r="E276" t="inlineStr">
        <is>
          <t>fraction</t>
        </is>
      </c>
      <c r="J276" s="14">
        <f>MAX(0,MIN(Inputs!$F$145,Time!J$6)-MAX(Inputs!$F$144,Time!J$5))/Time!J$7</f>
        <v/>
      </c>
      <c r="K276" s="14">
        <f>MAX(0,MIN(Inputs!$F$145,Time!K$6)-MAX(Inputs!$F$144,Time!K$5))/Time!K$7</f>
        <v/>
      </c>
      <c r="L276" s="14">
        <f>MAX(0,MIN(Inputs!$F$145,Time!L$6)-MAX(Inputs!$F$144,Time!L$5))/Time!L$7</f>
        <v/>
      </c>
      <c r="M276" s="14">
        <f>MAX(0,MIN(Inputs!$F$145,Time!M$6)-MAX(Inputs!$F$144,Time!M$5))/Time!M$7</f>
        <v/>
      </c>
      <c r="N276" s="14">
        <f>MAX(0,MIN(Inputs!$F$145,Time!N$6)-MAX(Inputs!$F$144,Time!N$5))/Time!N$7</f>
        <v/>
      </c>
      <c r="O276" s="14">
        <f>MAX(0,MIN(Inputs!$F$145,Time!O$6)-MAX(Inputs!$F$144,Time!O$5))/Time!O$7</f>
        <v/>
      </c>
      <c r="P276" s="14">
        <f>MAX(0,MIN(Inputs!$F$145,Time!P$6)-MAX(Inputs!$F$144,Time!P$5))/Time!P$7</f>
        <v/>
      </c>
      <c r="Q276" s="14">
        <f>MAX(0,MIN(Inputs!$F$145,Time!Q$6)-MAX(Inputs!$F$144,Time!Q$5))/Time!Q$7</f>
        <v/>
      </c>
      <c r="R276" s="14">
        <f>MAX(0,MIN(Inputs!$F$145,Time!R$6)-MAX(Inputs!$F$144,Time!R$5))/Time!R$7</f>
        <v/>
      </c>
      <c r="S276" s="14">
        <f>MAX(0,MIN(Inputs!$F$145,Time!S$6)-MAX(Inputs!$F$144,Time!S$5))/Time!S$7</f>
        <v/>
      </c>
      <c r="T276" s="14">
        <f>MAX(0,MIN(Inputs!$F$145,Time!T$6)-MAX(Inputs!$F$144,Time!T$5))/Time!T$7</f>
        <v/>
      </c>
      <c r="U276" s="14">
        <f>MAX(0,MIN(Inputs!$F$145,Time!U$6)-MAX(Inputs!$F$144,Time!U$5))/Time!U$7</f>
        <v/>
      </c>
      <c r="V276" s="14">
        <f>MAX(0,MIN(Inputs!$F$145,Time!V$6)-MAX(Inputs!$F$144,Time!V$5))/Time!V$7</f>
        <v/>
      </c>
      <c r="W276" s="14">
        <f>MAX(0,MIN(Inputs!$F$145,Time!W$6)-MAX(Inputs!$F$144,Time!W$5))/Time!W$7</f>
        <v/>
      </c>
      <c r="X276" s="14">
        <f>MAX(0,MIN(Inputs!$F$145,Time!X$6)-MAX(Inputs!$F$144,Time!X$5))/Time!X$7</f>
        <v/>
      </c>
      <c r="Y276" s="14">
        <f>MAX(0,MIN(Inputs!$F$145,Time!Y$6)-MAX(Inputs!$F$144,Time!Y$5))/Time!Y$7</f>
        <v/>
      </c>
      <c r="Z276" s="14">
        <f>MAX(0,MIN(Inputs!$F$145,Time!Z$6)-MAX(Inputs!$F$144,Time!Z$5))/Time!Z$7</f>
        <v/>
      </c>
      <c r="AA276" s="14">
        <f>MAX(0,MIN(Inputs!$F$145,Time!AA$6)-MAX(Inputs!$F$144,Time!AA$5))/Time!AA$7</f>
        <v/>
      </c>
      <c r="AB276" s="14">
        <f>MAX(0,MIN(Inputs!$F$145,Time!AB$6)-MAX(Inputs!$F$144,Time!AB$5))/Time!AB$7</f>
        <v/>
      </c>
      <c r="AC276" s="14">
        <f>MAX(0,MIN(Inputs!$F$145,Time!AC$6)-MAX(Inputs!$F$144,Time!AC$5))/Time!AC$7</f>
        <v/>
      </c>
      <c r="AD276" s="14">
        <f>MAX(0,MIN(Inputs!$F$145,Time!AD$6)-MAX(Inputs!$F$144,Time!AD$5))/Time!AD$7</f>
        <v/>
      </c>
      <c r="AE276" s="14">
        <f>MAX(0,MIN(Inputs!$F$145,Time!AE$6)-MAX(Inputs!$F$144,Time!AE$5))/Time!AE$7</f>
        <v/>
      </c>
      <c r="AF276" s="14">
        <f>MAX(0,MIN(Inputs!$F$145,Time!AF$6)-MAX(Inputs!$F$144,Time!AF$5))/Time!AF$7</f>
        <v/>
      </c>
      <c r="AG276" s="14">
        <f>MAX(0,MIN(Inputs!$F$145,Time!AG$6)-MAX(Inputs!$F$144,Time!AG$5))/Time!AG$7</f>
        <v/>
      </c>
      <c r="AH276" s="14">
        <f>MAX(0,MIN(Inputs!$F$145,Time!AH$6)-MAX(Inputs!$F$144,Time!AH$5))/Time!AH$7</f>
        <v/>
      </c>
      <c r="AI276" s="14">
        <f>MAX(0,MIN(Inputs!$F$145,Time!AI$6)-MAX(Inputs!$F$144,Time!AI$5))/Time!AI$7</f>
        <v/>
      </c>
      <c r="AJ276" s="14">
        <f>MAX(0,MIN(Inputs!$F$145,Time!AJ$6)-MAX(Inputs!$F$144,Time!AJ$5))/Time!AJ$7</f>
        <v/>
      </c>
      <c r="AK276" s="14">
        <f>MAX(0,MIN(Inputs!$F$145,Time!AK$6)-MAX(Inputs!$F$144,Time!AK$5))/Time!AK$7</f>
        <v/>
      </c>
      <c r="AL276" s="14">
        <f>MAX(0,MIN(Inputs!$F$145,Time!AL$6)-MAX(Inputs!$F$144,Time!AL$5))/Time!AL$7</f>
        <v/>
      </c>
      <c r="AM276" s="14">
        <f>MAX(0,MIN(Inputs!$F$145,Time!AM$6)-MAX(Inputs!$F$144,Time!AM$5))/Time!AM$7</f>
        <v/>
      </c>
      <c r="AN276" s="14">
        <f>MAX(0,MIN(Inputs!$F$145,Time!AN$6)-MAX(Inputs!$F$144,Time!AN$5))/Time!AN$7</f>
        <v/>
      </c>
      <c r="AO276" s="14">
        <f>MAX(0,MIN(Inputs!$F$145,Time!AO$6)-MAX(Inputs!$F$144,Time!AO$5))/Time!AO$7</f>
        <v/>
      </c>
      <c r="AP276" s="14">
        <f>MAX(0,MIN(Inputs!$F$145,Time!AP$6)-MAX(Inputs!$F$144,Time!AP$5))/Time!AP$7</f>
        <v/>
      </c>
      <c r="AQ276" s="14">
        <f>MAX(0,MIN(Inputs!$F$145,Time!AQ$6)-MAX(Inputs!$F$144,Time!AQ$5))/Time!AQ$7</f>
        <v/>
      </c>
      <c r="AR276" s="14">
        <f>MAX(0,MIN(Inputs!$F$145,Time!AR$6)-MAX(Inputs!$F$144,Time!AR$5))/Time!AR$7</f>
        <v/>
      </c>
      <c r="AS276" s="14">
        <f>MAX(0,MIN(Inputs!$F$145,Time!AS$6)-MAX(Inputs!$F$144,Time!AS$5))/Time!AS$7</f>
        <v/>
      </c>
      <c r="AT276" s="14">
        <f>MAX(0,MIN(Inputs!$F$145,Time!AT$6)-MAX(Inputs!$F$144,Time!AT$5))/Time!AT$7</f>
        <v/>
      </c>
      <c r="AU276" s="14">
        <f>MAX(0,MIN(Inputs!$F$145,Time!AU$6)-MAX(Inputs!$F$144,Time!AU$5))/Time!AU$7</f>
        <v/>
      </c>
    </row>
    <row r="277">
      <c r="D277" t="inlineStr">
        <is>
          <t>R6 owned fraction</t>
        </is>
      </c>
      <c r="E277" t="inlineStr">
        <is>
          <t>fraction</t>
        </is>
      </c>
      <c r="J277" s="14">
        <f>MAX(0,MIN(Inputs!$F$145,Time!J$6)-MAX(MAX(Inputs!$F$146,Inputs!$F$144),Time!J$5))/Time!J$7</f>
        <v/>
      </c>
      <c r="K277" s="14">
        <f>MAX(0,MIN(Inputs!$F$145,Time!K$6)-MAX(MAX(Inputs!$F$146,Inputs!$F$144),Time!K$5))/Time!K$7</f>
        <v/>
      </c>
      <c r="L277" s="14">
        <f>MAX(0,MIN(Inputs!$F$145,Time!L$6)-MAX(MAX(Inputs!$F$146,Inputs!$F$144),Time!L$5))/Time!L$7</f>
        <v/>
      </c>
      <c r="M277" s="14">
        <f>MAX(0,MIN(Inputs!$F$145,Time!M$6)-MAX(MAX(Inputs!$F$146,Inputs!$F$144),Time!M$5))/Time!M$7</f>
        <v/>
      </c>
      <c r="N277" s="14">
        <f>MAX(0,MIN(Inputs!$F$145,Time!N$6)-MAX(MAX(Inputs!$F$146,Inputs!$F$144),Time!N$5))/Time!N$7</f>
        <v/>
      </c>
      <c r="O277" s="14">
        <f>MAX(0,MIN(Inputs!$F$145,Time!O$6)-MAX(MAX(Inputs!$F$146,Inputs!$F$144),Time!O$5))/Time!O$7</f>
        <v/>
      </c>
      <c r="P277" s="14">
        <f>MAX(0,MIN(Inputs!$F$145,Time!P$6)-MAX(MAX(Inputs!$F$146,Inputs!$F$144),Time!P$5))/Time!P$7</f>
        <v/>
      </c>
      <c r="Q277" s="14">
        <f>MAX(0,MIN(Inputs!$F$145,Time!Q$6)-MAX(MAX(Inputs!$F$146,Inputs!$F$144),Time!Q$5))/Time!Q$7</f>
        <v/>
      </c>
      <c r="R277" s="14">
        <f>MAX(0,MIN(Inputs!$F$145,Time!R$6)-MAX(MAX(Inputs!$F$146,Inputs!$F$144),Time!R$5))/Time!R$7</f>
        <v/>
      </c>
      <c r="S277" s="14">
        <f>MAX(0,MIN(Inputs!$F$145,Time!S$6)-MAX(MAX(Inputs!$F$146,Inputs!$F$144),Time!S$5))/Time!S$7</f>
        <v/>
      </c>
      <c r="T277" s="14">
        <f>MAX(0,MIN(Inputs!$F$145,Time!T$6)-MAX(MAX(Inputs!$F$146,Inputs!$F$144),Time!T$5))/Time!T$7</f>
        <v/>
      </c>
      <c r="U277" s="14">
        <f>MAX(0,MIN(Inputs!$F$145,Time!U$6)-MAX(MAX(Inputs!$F$146,Inputs!$F$144),Time!U$5))/Time!U$7</f>
        <v/>
      </c>
      <c r="V277" s="14">
        <f>MAX(0,MIN(Inputs!$F$145,Time!V$6)-MAX(MAX(Inputs!$F$146,Inputs!$F$144),Time!V$5))/Time!V$7</f>
        <v/>
      </c>
      <c r="W277" s="14">
        <f>MAX(0,MIN(Inputs!$F$145,Time!W$6)-MAX(MAX(Inputs!$F$146,Inputs!$F$144),Time!W$5))/Time!W$7</f>
        <v/>
      </c>
      <c r="X277" s="14">
        <f>MAX(0,MIN(Inputs!$F$145,Time!X$6)-MAX(MAX(Inputs!$F$146,Inputs!$F$144),Time!X$5))/Time!X$7</f>
        <v/>
      </c>
      <c r="Y277" s="14">
        <f>MAX(0,MIN(Inputs!$F$145,Time!Y$6)-MAX(MAX(Inputs!$F$146,Inputs!$F$144),Time!Y$5))/Time!Y$7</f>
        <v/>
      </c>
      <c r="Z277" s="14">
        <f>MAX(0,MIN(Inputs!$F$145,Time!Z$6)-MAX(MAX(Inputs!$F$146,Inputs!$F$144),Time!Z$5))/Time!Z$7</f>
        <v/>
      </c>
      <c r="AA277" s="14">
        <f>MAX(0,MIN(Inputs!$F$145,Time!AA$6)-MAX(MAX(Inputs!$F$146,Inputs!$F$144),Time!AA$5))/Time!AA$7</f>
        <v/>
      </c>
      <c r="AB277" s="14">
        <f>MAX(0,MIN(Inputs!$F$145,Time!AB$6)-MAX(MAX(Inputs!$F$146,Inputs!$F$144),Time!AB$5))/Time!AB$7</f>
        <v/>
      </c>
      <c r="AC277" s="14">
        <f>MAX(0,MIN(Inputs!$F$145,Time!AC$6)-MAX(MAX(Inputs!$F$146,Inputs!$F$144),Time!AC$5))/Time!AC$7</f>
        <v/>
      </c>
      <c r="AD277" s="14">
        <f>MAX(0,MIN(Inputs!$F$145,Time!AD$6)-MAX(MAX(Inputs!$F$146,Inputs!$F$144),Time!AD$5))/Time!AD$7</f>
        <v/>
      </c>
      <c r="AE277" s="14">
        <f>MAX(0,MIN(Inputs!$F$145,Time!AE$6)-MAX(MAX(Inputs!$F$146,Inputs!$F$144),Time!AE$5))/Time!AE$7</f>
        <v/>
      </c>
      <c r="AF277" s="14">
        <f>MAX(0,MIN(Inputs!$F$145,Time!AF$6)-MAX(MAX(Inputs!$F$146,Inputs!$F$144),Time!AF$5))/Time!AF$7</f>
        <v/>
      </c>
      <c r="AG277" s="14">
        <f>MAX(0,MIN(Inputs!$F$145,Time!AG$6)-MAX(MAX(Inputs!$F$146,Inputs!$F$144),Time!AG$5))/Time!AG$7</f>
        <v/>
      </c>
      <c r="AH277" s="14">
        <f>MAX(0,MIN(Inputs!$F$145,Time!AH$6)-MAX(MAX(Inputs!$F$146,Inputs!$F$144),Time!AH$5))/Time!AH$7</f>
        <v/>
      </c>
      <c r="AI277" s="14">
        <f>MAX(0,MIN(Inputs!$F$145,Time!AI$6)-MAX(MAX(Inputs!$F$146,Inputs!$F$144),Time!AI$5))/Time!AI$7</f>
        <v/>
      </c>
      <c r="AJ277" s="14">
        <f>MAX(0,MIN(Inputs!$F$145,Time!AJ$6)-MAX(MAX(Inputs!$F$146,Inputs!$F$144),Time!AJ$5))/Time!AJ$7</f>
        <v/>
      </c>
      <c r="AK277" s="14">
        <f>MAX(0,MIN(Inputs!$F$145,Time!AK$6)-MAX(MAX(Inputs!$F$146,Inputs!$F$144),Time!AK$5))/Time!AK$7</f>
        <v/>
      </c>
      <c r="AL277" s="14">
        <f>MAX(0,MIN(Inputs!$F$145,Time!AL$6)-MAX(MAX(Inputs!$F$146,Inputs!$F$144),Time!AL$5))/Time!AL$7</f>
        <v/>
      </c>
      <c r="AM277" s="14">
        <f>MAX(0,MIN(Inputs!$F$145,Time!AM$6)-MAX(MAX(Inputs!$F$146,Inputs!$F$144),Time!AM$5))/Time!AM$7</f>
        <v/>
      </c>
      <c r="AN277" s="14">
        <f>MAX(0,MIN(Inputs!$F$145,Time!AN$6)-MAX(MAX(Inputs!$F$146,Inputs!$F$144),Time!AN$5))/Time!AN$7</f>
        <v/>
      </c>
      <c r="AO277" s="14">
        <f>MAX(0,MIN(Inputs!$F$145,Time!AO$6)-MAX(MAX(Inputs!$F$146,Inputs!$F$144),Time!AO$5))/Time!AO$7</f>
        <v/>
      </c>
      <c r="AP277" s="14">
        <f>MAX(0,MIN(Inputs!$F$145,Time!AP$6)-MAX(MAX(Inputs!$F$146,Inputs!$F$144),Time!AP$5))/Time!AP$7</f>
        <v/>
      </c>
      <c r="AQ277" s="14">
        <f>MAX(0,MIN(Inputs!$F$145,Time!AQ$6)-MAX(MAX(Inputs!$F$146,Inputs!$F$144),Time!AQ$5))/Time!AQ$7</f>
        <v/>
      </c>
      <c r="AR277" s="14">
        <f>MAX(0,MIN(Inputs!$F$145,Time!AR$6)-MAX(MAX(Inputs!$F$146,Inputs!$F$144),Time!AR$5))/Time!AR$7</f>
        <v/>
      </c>
      <c r="AS277" s="14">
        <f>MAX(0,MIN(Inputs!$F$145,Time!AS$6)-MAX(MAX(Inputs!$F$146,Inputs!$F$144),Time!AS$5))/Time!AS$7</f>
        <v/>
      </c>
      <c r="AT277" s="14">
        <f>MAX(0,MIN(Inputs!$F$145,Time!AT$6)-MAX(MAX(Inputs!$F$146,Inputs!$F$144),Time!AT$5))/Time!AT$7</f>
        <v/>
      </c>
      <c r="AU277" s="14">
        <f>MAX(0,MIN(Inputs!$F$145,Time!AU$6)-MAX(MAX(Inputs!$F$146,Inputs!$F$144),Time!AU$5))/Time!AU$7</f>
        <v/>
      </c>
    </row>
    <row r="278">
      <c r="D278" t="inlineStr">
        <is>
          <t>R6 owned share of operating period</t>
        </is>
      </c>
      <c r="E278" t="inlineStr">
        <is>
          <t>fraction</t>
        </is>
      </c>
      <c r="J278" s="14">
        <f>IF(Operations!J276&gt;0,Operations!J277/Operations!J276,0)</f>
        <v/>
      </c>
      <c r="K278" s="14">
        <f>IF(Operations!K276&gt;0,Operations!K277/Operations!K276,0)</f>
        <v/>
      </c>
      <c r="L278" s="14">
        <f>IF(Operations!L276&gt;0,Operations!L277/Operations!L276,0)</f>
        <v/>
      </c>
      <c r="M278" s="14">
        <f>IF(Operations!M276&gt;0,Operations!M277/Operations!M276,0)</f>
        <v/>
      </c>
      <c r="N278" s="14">
        <f>IF(Operations!N276&gt;0,Operations!N277/Operations!N276,0)</f>
        <v/>
      </c>
      <c r="O278" s="14">
        <f>IF(Operations!O276&gt;0,Operations!O277/Operations!O276,0)</f>
        <v/>
      </c>
      <c r="P278" s="14">
        <f>IF(Operations!P276&gt;0,Operations!P277/Operations!P276,0)</f>
        <v/>
      </c>
      <c r="Q278" s="14">
        <f>IF(Operations!Q276&gt;0,Operations!Q277/Operations!Q276,0)</f>
        <v/>
      </c>
      <c r="R278" s="14">
        <f>IF(Operations!R276&gt;0,Operations!R277/Operations!R276,0)</f>
        <v/>
      </c>
      <c r="S278" s="14">
        <f>IF(Operations!S276&gt;0,Operations!S277/Operations!S276,0)</f>
        <v/>
      </c>
      <c r="T278" s="14">
        <f>IF(Operations!T276&gt;0,Operations!T277/Operations!T276,0)</f>
        <v/>
      </c>
      <c r="U278" s="14">
        <f>IF(Operations!U276&gt;0,Operations!U277/Operations!U276,0)</f>
        <v/>
      </c>
      <c r="V278" s="14">
        <f>IF(Operations!V276&gt;0,Operations!V277/Operations!V276,0)</f>
        <v/>
      </c>
      <c r="W278" s="14">
        <f>IF(Operations!W276&gt;0,Operations!W277/Operations!W276,0)</f>
        <v/>
      </c>
      <c r="X278" s="14">
        <f>IF(Operations!X276&gt;0,Operations!X277/Operations!X276,0)</f>
        <v/>
      </c>
      <c r="Y278" s="14">
        <f>IF(Operations!Y276&gt;0,Operations!Y277/Operations!Y276,0)</f>
        <v/>
      </c>
      <c r="Z278" s="14">
        <f>IF(Operations!Z276&gt;0,Operations!Z277/Operations!Z276,0)</f>
        <v/>
      </c>
      <c r="AA278" s="14">
        <f>IF(Operations!AA276&gt;0,Operations!AA277/Operations!AA276,0)</f>
        <v/>
      </c>
      <c r="AB278" s="14">
        <f>IF(Operations!AB276&gt;0,Operations!AB277/Operations!AB276,0)</f>
        <v/>
      </c>
      <c r="AC278" s="14">
        <f>IF(Operations!AC276&gt;0,Operations!AC277/Operations!AC276,0)</f>
        <v/>
      </c>
      <c r="AD278" s="14">
        <f>IF(Operations!AD276&gt;0,Operations!AD277/Operations!AD276,0)</f>
        <v/>
      </c>
      <c r="AE278" s="14">
        <f>IF(Operations!AE276&gt;0,Operations!AE277/Operations!AE276,0)</f>
        <v/>
      </c>
      <c r="AF278" s="14">
        <f>IF(Operations!AF276&gt;0,Operations!AF277/Operations!AF276,0)</f>
        <v/>
      </c>
      <c r="AG278" s="14">
        <f>IF(Operations!AG276&gt;0,Operations!AG277/Operations!AG276,0)</f>
        <v/>
      </c>
      <c r="AH278" s="14">
        <f>IF(Operations!AH276&gt;0,Operations!AH277/Operations!AH276,0)</f>
        <v/>
      </c>
      <c r="AI278" s="14">
        <f>IF(Operations!AI276&gt;0,Operations!AI277/Operations!AI276,0)</f>
        <v/>
      </c>
      <c r="AJ278" s="14">
        <f>IF(Operations!AJ276&gt;0,Operations!AJ277/Operations!AJ276,0)</f>
        <v/>
      </c>
      <c r="AK278" s="14">
        <f>IF(Operations!AK276&gt;0,Operations!AK277/Operations!AK276,0)</f>
        <v/>
      </c>
      <c r="AL278" s="14">
        <f>IF(Operations!AL276&gt;0,Operations!AL277/Operations!AL276,0)</f>
        <v/>
      </c>
      <c r="AM278" s="14">
        <f>IF(Operations!AM276&gt;0,Operations!AM277/Operations!AM276,0)</f>
        <v/>
      </c>
      <c r="AN278" s="14">
        <f>IF(Operations!AN276&gt;0,Operations!AN277/Operations!AN276,0)</f>
        <v/>
      </c>
      <c r="AO278" s="14">
        <f>IF(Operations!AO276&gt;0,Operations!AO277/Operations!AO276,0)</f>
        <v/>
      </c>
      <c r="AP278" s="14">
        <f>IF(Operations!AP276&gt;0,Operations!AP277/Operations!AP276,0)</f>
        <v/>
      </c>
      <c r="AQ278" s="14">
        <f>IF(Operations!AQ276&gt;0,Operations!AQ277/Operations!AQ276,0)</f>
        <v/>
      </c>
      <c r="AR278" s="14">
        <f>IF(Operations!AR276&gt;0,Operations!AR277/Operations!AR276,0)</f>
        <v/>
      </c>
      <c r="AS278" s="14">
        <f>IF(Operations!AS276&gt;0,Operations!AS277/Operations!AS276,0)</f>
        <v/>
      </c>
      <c r="AT278" s="14">
        <f>IF(Operations!AT276&gt;0,Operations!AT277/Operations!AT276,0)</f>
        <v/>
      </c>
      <c r="AU278" s="14">
        <f>IF(Operations!AU276&gt;0,Operations!AU277/Operations!AU276,0)</f>
        <v/>
      </c>
    </row>
    <row r="279">
      <c r="D279" t="inlineStr">
        <is>
          <t>R6 own hub ATC</t>
        </is>
      </c>
      <c r="E279" t="inlineStr">
        <is>
          <t>USD/MWh</t>
        </is>
      </c>
      <c r="J279" s="18">
        <f>Operations!J52</f>
        <v/>
      </c>
      <c r="K279" s="18">
        <f>Operations!K52</f>
        <v/>
      </c>
      <c r="L279" s="18">
        <f>Operations!L52</f>
        <v/>
      </c>
      <c r="M279" s="18">
        <f>Operations!M52</f>
        <v/>
      </c>
      <c r="N279" s="18">
        <f>Operations!N52</f>
        <v/>
      </c>
      <c r="O279" s="18">
        <f>Operations!O52</f>
        <v/>
      </c>
      <c r="P279" s="18">
        <f>Operations!P52</f>
        <v/>
      </c>
      <c r="Q279" s="18">
        <f>Operations!Q52</f>
        <v/>
      </c>
      <c r="R279" s="18">
        <f>Operations!R52</f>
        <v/>
      </c>
      <c r="S279" s="18">
        <f>Operations!S52</f>
        <v/>
      </c>
      <c r="T279" s="18">
        <f>Operations!T52</f>
        <v/>
      </c>
      <c r="U279" s="18">
        <f>Operations!U52</f>
        <v/>
      </c>
      <c r="V279" s="18">
        <f>Operations!V52</f>
        <v/>
      </c>
      <c r="W279" s="18">
        <f>Operations!W52</f>
        <v/>
      </c>
      <c r="X279" s="18">
        <f>Operations!X52</f>
        <v/>
      </c>
      <c r="Y279" s="18">
        <f>Operations!Y52</f>
        <v/>
      </c>
      <c r="Z279" s="18">
        <f>Operations!Z52</f>
        <v/>
      </c>
      <c r="AA279" s="18">
        <f>Operations!AA52</f>
        <v/>
      </c>
      <c r="AB279" s="18">
        <f>Operations!AB52</f>
        <v/>
      </c>
      <c r="AC279" s="18">
        <f>Operations!AC52</f>
        <v/>
      </c>
      <c r="AD279" s="18">
        <f>Operations!AD52</f>
        <v/>
      </c>
      <c r="AE279" s="18">
        <f>Operations!AE52</f>
        <v/>
      </c>
      <c r="AF279" s="18">
        <f>Operations!AF52</f>
        <v/>
      </c>
      <c r="AG279" s="18">
        <f>Operations!AG52</f>
        <v/>
      </c>
      <c r="AH279" s="18">
        <f>Operations!AH52</f>
        <v/>
      </c>
      <c r="AI279" s="18">
        <f>Operations!AI52</f>
        <v/>
      </c>
      <c r="AJ279" s="18">
        <f>Operations!AJ52</f>
        <v/>
      </c>
      <c r="AK279" s="18">
        <f>Operations!AK52</f>
        <v/>
      </c>
      <c r="AL279" s="18">
        <f>Operations!AL52</f>
        <v/>
      </c>
      <c r="AM279" s="18">
        <f>Operations!AM52</f>
        <v/>
      </c>
      <c r="AN279" s="18">
        <f>Operations!AN52</f>
        <v/>
      </c>
      <c r="AO279" s="18">
        <f>Operations!AO52</f>
        <v/>
      </c>
      <c r="AP279" s="18">
        <f>Operations!AP52</f>
        <v/>
      </c>
      <c r="AQ279" s="18">
        <f>Operations!AQ52</f>
        <v/>
      </c>
      <c r="AR279" s="18">
        <f>Operations!AR52</f>
        <v/>
      </c>
      <c r="AS279" s="18">
        <f>Operations!AS52</f>
        <v/>
      </c>
      <c r="AT279" s="18">
        <f>Operations!AT52</f>
        <v/>
      </c>
      <c r="AU279" s="18">
        <f>Operations!AU52</f>
        <v/>
      </c>
    </row>
    <row r="280">
      <c r="D280" t="inlineStr">
        <is>
          <t>R6 toll term fraction</t>
        </is>
      </c>
      <c r="E280" t="inlineStr">
        <is>
          <t>fraction</t>
        </is>
      </c>
      <c r="J280" s="14">
        <f>MAX(0,MIN(Inputs!$F$209,Time!J$6)-MAX(Inputs!$F$208,Time!J$5))/Time!J$7</f>
        <v/>
      </c>
      <c r="K280" s="14">
        <f>MAX(0,MIN(Inputs!$F$209,Time!K$6)-MAX(Inputs!$F$208,Time!K$5))/Time!K$7</f>
        <v/>
      </c>
      <c r="L280" s="14">
        <f>MAX(0,MIN(Inputs!$F$209,Time!L$6)-MAX(Inputs!$F$208,Time!L$5))/Time!L$7</f>
        <v/>
      </c>
      <c r="M280" s="14">
        <f>MAX(0,MIN(Inputs!$F$209,Time!M$6)-MAX(Inputs!$F$208,Time!M$5))/Time!M$7</f>
        <v/>
      </c>
      <c r="N280" s="14">
        <f>MAX(0,MIN(Inputs!$F$209,Time!N$6)-MAX(Inputs!$F$208,Time!N$5))/Time!N$7</f>
        <v/>
      </c>
      <c r="O280" s="14">
        <f>MAX(0,MIN(Inputs!$F$209,Time!O$6)-MAX(Inputs!$F$208,Time!O$5))/Time!O$7</f>
        <v/>
      </c>
      <c r="P280" s="14">
        <f>MAX(0,MIN(Inputs!$F$209,Time!P$6)-MAX(Inputs!$F$208,Time!P$5))/Time!P$7</f>
        <v/>
      </c>
      <c r="Q280" s="14">
        <f>MAX(0,MIN(Inputs!$F$209,Time!Q$6)-MAX(Inputs!$F$208,Time!Q$5))/Time!Q$7</f>
        <v/>
      </c>
      <c r="R280" s="14">
        <f>MAX(0,MIN(Inputs!$F$209,Time!R$6)-MAX(Inputs!$F$208,Time!R$5))/Time!R$7</f>
        <v/>
      </c>
      <c r="S280" s="14">
        <f>MAX(0,MIN(Inputs!$F$209,Time!S$6)-MAX(Inputs!$F$208,Time!S$5))/Time!S$7</f>
        <v/>
      </c>
      <c r="T280" s="14">
        <f>MAX(0,MIN(Inputs!$F$209,Time!T$6)-MAX(Inputs!$F$208,Time!T$5))/Time!T$7</f>
        <v/>
      </c>
      <c r="U280" s="14">
        <f>MAX(0,MIN(Inputs!$F$209,Time!U$6)-MAX(Inputs!$F$208,Time!U$5))/Time!U$7</f>
        <v/>
      </c>
      <c r="V280" s="14">
        <f>MAX(0,MIN(Inputs!$F$209,Time!V$6)-MAX(Inputs!$F$208,Time!V$5))/Time!V$7</f>
        <v/>
      </c>
      <c r="W280" s="14">
        <f>MAX(0,MIN(Inputs!$F$209,Time!W$6)-MAX(Inputs!$F$208,Time!W$5))/Time!W$7</f>
        <v/>
      </c>
      <c r="X280" s="14">
        <f>MAX(0,MIN(Inputs!$F$209,Time!X$6)-MAX(Inputs!$F$208,Time!X$5))/Time!X$7</f>
        <v/>
      </c>
      <c r="Y280" s="14">
        <f>MAX(0,MIN(Inputs!$F$209,Time!Y$6)-MAX(Inputs!$F$208,Time!Y$5))/Time!Y$7</f>
        <v/>
      </c>
      <c r="Z280" s="14">
        <f>MAX(0,MIN(Inputs!$F$209,Time!Z$6)-MAX(Inputs!$F$208,Time!Z$5))/Time!Z$7</f>
        <v/>
      </c>
      <c r="AA280" s="14">
        <f>MAX(0,MIN(Inputs!$F$209,Time!AA$6)-MAX(Inputs!$F$208,Time!AA$5))/Time!AA$7</f>
        <v/>
      </c>
      <c r="AB280" s="14">
        <f>MAX(0,MIN(Inputs!$F$209,Time!AB$6)-MAX(Inputs!$F$208,Time!AB$5))/Time!AB$7</f>
        <v/>
      </c>
      <c r="AC280" s="14">
        <f>MAX(0,MIN(Inputs!$F$209,Time!AC$6)-MAX(Inputs!$F$208,Time!AC$5))/Time!AC$7</f>
        <v/>
      </c>
      <c r="AD280" s="14">
        <f>MAX(0,MIN(Inputs!$F$209,Time!AD$6)-MAX(Inputs!$F$208,Time!AD$5))/Time!AD$7</f>
        <v/>
      </c>
      <c r="AE280" s="14">
        <f>MAX(0,MIN(Inputs!$F$209,Time!AE$6)-MAX(Inputs!$F$208,Time!AE$5))/Time!AE$7</f>
        <v/>
      </c>
      <c r="AF280" s="14">
        <f>MAX(0,MIN(Inputs!$F$209,Time!AF$6)-MAX(Inputs!$F$208,Time!AF$5))/Time!AF$7</f>
        <v/>
      </c>
      <c r="AG280" s="14">
        <f>MAX(0,MIN(Inputs!$F$209,Time!AG$6)-MAX(Inputs!$F$208,Time!AG$5))/Time!AG$7</f>
        <v/>
      </c>
      <c r="AH280" s="14">
        <f>MAX(0,MIN(Inputs!$F$209,Time!AH$6)-MAX(Inputs!$F$208,Time!AH$5))/Time!AH$7</f>
        <v/>
      </c>
      <c r="AI280" s="14">
        <f>MAX(0,MIN(Inputs!$F$209,Time!AI$6)-MAX(Inputs!$F$208,Time!AI$5))/Time!AI$7</f>
        <v/>
      </c>
      <c r="AJ280" s="14">
        <f>MAX(0,MIN(Inputs!$F$209,Time!AJ$6)-MAX(Inputs!$F$208,Time!AJ$5))/Time!AJ$7</f>
        <v/>
      </c>
      <c r="AK280" s="14">
        <f>MAX(0,MIN(Inputs!$F$209,Time!AK$6)-MAX(Inputs!$F$208,Time!AK$5))/Time!AK$7</f>
        <v/>
      </c>
      <c r="AL280" s="14">
        <f>MAX(0,MIN(Inputs!$F$209,Time!AL$6)-MAX(Inputs!$F$208,Time!AL$5))/Time!AL$7</f>
        <v/>
      </c>
      <c r="AM280" s="14">
        <f>MAX(0,MIN(Inputs!$F$209,Time!AM$6)-MAX(Inputs!$F$208,Time!AM$5))/Time!AM$7</f>
        <v/>
      </c>
      <c r="AN280" s="14">
        <f>MAX(0,MIN(Inputs!$F$209,Time!AN$6)-MAX(Inputs!$F$208,Time!AN$5))/Time!AN$7</f>
        <v/>
      </c>
      <c r="AO280" s="14">
        <f>MAX(0,MIN(Inputs!$F$209,Time!AO$6)-MAX(Inputs!$F$208,Time!AO$5))/Time!AO$7</f>
        <v/>
      </c>
      <c r="AP280" s="14">
        <f>MAX(0,MIN(Inputs!$F$209,Time!AP$6)-MAX(Inputs!$F$208,Time!AP$5))/Time!AP$7</f>
        <v/>
      </c>
      <c r="AQ280" s="14">
        <f>MAX(0,MIN(Inputs!$F$209,Time!AQ$6)-MAX(Inputs!$F$208,Time!AQ$5))/Time!AQ$7</f>
        <v/>
      </c>
      <c r="AR280" s="14">
        <f>MAX(0,MIN(Inputs!$F$209,Time!AR$6)-MAX(Inputs!$F$208,Time!AR$5))/Time!AR$7</f>
        <v/>
      </c>
      <c r="AS280" s="14">
        <f>MAX(0,MIN(Inputs!$F$209,Time!AS$6)-MAX(Inputs!$F$208,Time!AS$5))/Time!AS$7</f>
        <v/>
      </c>
      <c r="AT280" s="14">
        <f>MAX(0,MIN(Inputs!$F$209,Time!AT$6)-MAX(Inputs!$F$208,Time!AT$5))/Time!AT$7</f>
        <v/>
      </c>
      <c r="AU280" s="14">
        <f>MAX(0,MIN(Inputs!$F$209,Time!AU$6)-MAX(Inputs!$F$208,Time!AU$5))/Time!AU$7</f>
        <v/>
      </c>
    </row>
    <row r="281">
      <c r="D281" t="inlineStr">
        <is>
          <t>R6 toll revenue</t>
        </is>
      </c>
      <c r="E281" t="inlineStr">
        <is>
          <t>USD m</t>
        </is>
      </c>
      <c r="G281" s="20">
        <f>SUM(J281:AU281)</f>
        <v/>
      </c>
      <c r="J281" s="20">
        <f>Inputs!$F$206*Inputs!$F$207*Inputs!$F$143/1000*Operations!J280*(1-MAX(0,Inputs!$F$210-Inputs!$F$150)/100)</f>
        <v/>
      </c>
      <c r="K281" s="20">
        <f>Inputs!$F$206*Inputs!$F$207*Inputs!$F$143/1000*Operations!K280*(1-MAX(0,Inputs!$F$210-Inputs!$F$150)/100)</f>
        <v/>
      </c>
      <c r="L281" s="20">
        <f>Inputs!$F$206*Inputs!$F$207*Inputs!$F$143/1000*Operations!L280*(1-MAX(0,Inputs!$F$210-Inputs!$F$150)/100)</f>
        <v/>
      </c>
      <c r="M281" s="20">
        <f>Inputs!$F$206*Inputs!$F$207*Inputs!$F$143/1000*Operations!M280*(1-MAX(0,Inputs!$F$210-Inputs!$F$150)/100)</f>
        <v/>
      </c>
      <c r="N281" s="20">
        <f>Inputs!$F$206*Inputs!$F$207*Inputs!$F$143/1000*Operations!N280*(1-MAX(0,Inputs!$F$210-Inputs!$F$150)/100)</f>
        <v/>
      </c>
      <c r="O281" s="20">
        <f>Inputs!$F$206*Inputs!$F$207*Inputs!$F$143/1000*Operations!O280*(1-MAX(0,Inputs!$F$210-Inputs!$F$150)/100)</f>
        <v/>
      </c>
      <c r="P281" s="20">
        <f>Inputs!$F$206*Inputs!$F$207*Inputs!$F$143/1000*Operations!P280*(1-MAX(0,Inputs!$F$210-Inputs!$F$150)/100)</f>
        <v/>
      </c>
      <c r="Q281" s="20">
        <f>Inputs!$F$206*Inputs!$F$207*Inputs!$F$143/1000*Operations!Q280*(1-MAX(0,Inputs!$F$210-Inputs!$F$150)/100)</f>
        <v/>
      </c>
      <c r="R281" s="20">
        <f>Inputs!$F$206*Inputs!$F$207*Inputs!$F$143/1000*Operations!R280*(1-MAX(0,Inputs!$F$210-Inputs!$F$150)/100)</f>
        <v/>
      </c>
      <c r="S281" s="20">
        <f>Inputs!$F$206*Inputs!$F$207*Inputs!$F$143/1000*Operations!S280*(1-MAX(0,Inputs!$F$210-Inputs!$F$150)/100)</f>
        <v/>
      </c>
      <c r="T281" s="20">
        <f>Inputs!$F$206*Inputs!$F$207*Inputs!$F$143/1000*Operations!T280*(1-MAX(0,Inputs!$F$210-Inputs!$F$150)/100)</f>
        <v/>
      </c>
      <c r="U281" s="20">
        <f>Inputs!$F$206*Inputs!$F$207*Inputs!$F$143/1000*Operations!U280*(1-MAX(0,Inputs!$F$210-Inputs!$F$150)/100)</f>
        <v/>
      </c>
      <c r="V281" s="20">
        <f>Inputs!$F$206*Inputs!$F$207*Inputs!$F$143/1000*Operations!V280*(1-MAX(0,Inputs!$F$210-Inputs!$F$150)/100)</f>
        <v/>
      </c>
      <c r="W281" s="20">
        <f>Inputs!$F$206*Inputs!$F$207*Inputs!$F$143/1000*Operations!W280*(1-MAX(0,Inputs!$F$210-Inputs!$F$150)/100)</f>
        <v/>
      </c>
      <c r="X281" s="20">
        <f>Inputs!$F$206*Inputs!$F$207*Inputs!$F$143/1000*Operations!X280*(1-MAX(0,Inputs!$F$210-Inputs!$F$150)/100)</f>
        <v/>
      </c>
      <c r="Y281" s="20">
        <f>Inputs!$F$206*Inputs!$F$207*Inputs!$F$143/1000*Operations!Y280*(1-MAX(0,Inputs!$F$210-Inputs!$F$150)/100)</f>
        <v/>
      </c>
      <c r="Z281" s="20">
        <f>Inputs!$F$206*Inputs!$F$207*Inputs!$F$143/1000*Operations!Z280*(1-MAX(0,Inputs!$F$210-Inputs!$F$150)/100)</f>
        <v/>
      </c>
      <c r="AA281" s="20">
        <f>Inputs!$F$206*Inputs!$F$207*Inputs!$F$143/1000*Operations!AA280*(1-MAX(0,Inputs!$F$210-Inputs!$F$150)/100)</f>
        <v/>
      </c>
      <c r="AB281" s="20">
        <f>Inputs!$F$206*Inputs!$F$207*Inputs!$F$143/1000*Operations!AB280*(1-MAX(0,Inputs!$F$210-Inputs!$F$150)/100)</f>
        <v/>
      </c>
      <c r="AC281" s="20">
        <f>Inputs!$F$206*Inputs!$F$207*Inputs!$F$143/1000*Operations!AC280*(1-MAX(0,Inputs!$F$210-Inputs!$F$150)/100)</f>
        <v/>
      </c>
      <c r="AD281" s="20">
        <f>Inputs!$F$206*Inputs!$F$207*Inputs!$F$143/1000*Operations!AD280*(1-MAX(0,Inputs!$F$210-Inputs!$F$150)/100)</f>
        <v/>
      </c>
      <c r="AE281" s="20">
        <f>Inputs!$F$206*Inputs!$F$207*Inputs!$F$143/1000*Operations!AE280*(1-MAX(0,Inputs!$F$210-Inputs!$F$150)/100)</f>
        <v/>
      </c>
      <c r="AF281" s="20">
        <f>Inputs!$F$206*Inputs!$F$207*Inputs!$F$143/1000*Operations!AF280*(1-MAX(0,Inputs!$F$210-Inputs!$F$150)/100)</f>
        <v/>
      </c>
      <c r="AG281" s="20">
        <f>Inputs!$F$206*Inputs!$F$207*Inputs!$F$143/1000*Operations!AG280*(1-MAX(0,Inputs!$F$210-Inputs!$F$150)/100)</f>
        <v/>
      </c>
      <c r="AH281" s="20">
        <f>Inputs!$F$206*Inputs!$F$207*Inputs!$F$143/1000*Operations!AH280*(1-MAX(0,Inputs!$F$210-Inputs!$F$150)/100)</f>
        <v/>
      </c>
      <c r="AI281" s="20">
        <f>Inputs!$F$206*Inputs!$F$207*Inputs!$F$143/1000*Operations!AI280*(1-MAX(0,Inputs!$F$210-Inputs!$F$150)/100)</f>
        <v/>
      </c>
      <c r="AJ281" s="20">
        <f>Inputs!$F$206*Inputs!$F$207*Inputs!$F$143/1000*Operations!AJ280*(1-MAX(0,Inputs!$F$210-Inputs!$F$150)/100)</f>
        <v/>
      </c>
      <c r="AK281" s="20">
        <f>Inputs!$F$206*Inputs!$F$207*Inputs!$F$143/1000*Operations!AK280*(1-MAX(0,Inputs!$F$210-Inputs!$F$150)/100)</f>
        <v/>
      </c>
      <c r="AL281" s="20">
        <f>Inputs!$F$206*Inputs!$F$207*Inputs!$F$143/1000*Operations!AL280*(1-MAX(0,Inputs!$F$210-Inputs!$F$150)/100)</f>
        <v/>
      </c>
      <c r="AM281" s="20">
        <f>Inputs!$F$206*Inputs!$F$207*Inputs!$F$143/1000*Operations!AM280*(1-MAX(0,Inputs!$F$210-Inputs!$F$150)/100)</f>
        <v/>
      </c>
      <c r="AN281" s="20">
        <f>Inputs!$F$206*Inputs!$F$207*Inputs!$F$143/1000*Operations!AN280*(1-MAX(0,Inputs!$F$210-Inputs!$F$150)/100)</f>
        <v/>
      </c>
      <c r="AO281" s="20">
        <f>Inputs!$F$206*Inputs!$F$207*Inputs!$F$143/1000*Operations!AO280*(1-MAX(0,Inputs!$F$210-Inputs!$F$150)/100)</f>
        <v/>
      </c>
      <c r="AP281" s="20">
        <f>Inputs!$F$206*Inputs!$F$207*Inputs!$F$143/1000*Operations!AP280*(1-MAX(0,Inputs!$F$210-Inputs!$F$150)/100)</f>
        <v/>
      </c>
      <c r="AQ281" s="20">
        <f>Inputs!$F$206*Inputs!$F$207*Inputs!$F$143/1000*Operations!AQ280*(1-MAX(0,Inputs!$F$210-Inputs!$F$150)/100)</f>
        <v/>
      </c>
      <c r="AR281" s="20">
        <f>Inputs!$F$206*Inputs!$F$207*Inputs!$F$143/1000*Operations!AR280*(1-MAX(0,Inputs!$F$210-Inputs!$F$150)/100)</f>
        <v/>
      </c>
      <c r="AS281" s="20">
        <f>Inputs!$F$206*Inputs!$F$207*Inputs!$F$143/1000*Operations!AS280*(1-MAX(0,Inputs!$F$210-Inputs!$F$150)/100)</f>
        <v/>
      </c>
      <c r="AT281" s="20">
        <f>Inputs!$F$206*Inputs!$F$207*Inputs!$F$143/1000*Operations!AT280*(1-MAX(0,Inputs!$F$210-Inputs!$F$150)/100)</f>
        <v/>
      </c>
      <c r="AU281" s="20">
        <f>Inputs!$F$206*Inputs!$F$207*Inputs!$F$143/1000*Operations!AU280*(1-MAX(0,Inputs!$F$210-Inputs!$F$150)/100)</f>
        <v/>
      </c>
    </row>
    <row r="282">
      <c r="D282" t="inlineStr">
        <is>
          <t>R6 merchant revenue after toll</t>
        </is>
      </c>
      <c r="E282" t="inlineStr">
        <is>
          <t>USD m</t>
        </is>
      </c>
      <c r="G282" s="20">
        <f>SUM(J282:AU282)</f>
        <v/>
      </c>
      <c r="J282" s="20">
        <f>Operations!J56*Inputs!$F$143/1000*Inputs!$F$150/100*(Operations!J276-Operations!J280)</f>
        <v/>
      </c>
      <c r="K282" s="20">
        <f>Operations!K56*Inputs!$F$143/1000*Inputs!$F$150/100*(Operations!K276-Operations!K280)</f>
        <v/>
      </c>
      <c r="L282" s="20">
        <f>Operations!L56*Inputs!$F$143/1000*Inputs!$F$150/100*(Operations!L276-Operations!L280)</f>
        <v/>
      </c>
      <c r="M282" s="20">
        <f>Operations!M56*Inputs!$F$143/1000*Inputs!$F$150/100*(Operations!M276-Operations!M280)</f>
        <v/>
      </c>
      <c r="N282" s="20">
        <f>Operations!N56*Inputs!$F$143/1000*Inputs!$F$150/100*(Operations!N276-Operations!N280)</f>
        <v/>
      </c>
      <c r="O282" s="20">
        <f>Operations!O56*Inputs!$F$143/1000*Inputs!$F$150/100*(Operations!O276-Operations!O280)</f>
        <v/>
      </c>
      <c r="P282" s="20">
        <f>Operations!P56*Inputs!$F$143/1000*Inputs!$F$150/100*(Operations!P276-Operations!P280)</f>
        <v/>
      </c>
      <c r="Q282" s="20">
        <f>Operations!Q56*Inputs!$F$143/1000*Inputs!$F$150/100*(Operations!Q276-Operations!Q280)</f>
        <v/>
      </c>
      <c r="R282" s="20">
        <f>Operations!R56*Inputs!$F$143/1000*Inputs!$F$150/100*(Operations!R276-Operations!R280)</f>
        <v/>
      </c>
      <c r="S282" s="20">
        <f>Operations!S56*Inputs!$F$143/1000*Inputs!$F$150/100*(Operations!S276-Operations!S280)</f>
        <v/>
      </c>
      <c r="T282" s="20">
        <f>Operations!T56*Inputs!$F$143/1000*Inputs!$F$150/100*(Operations!T276-Operations!T280)</f>
        <v/>
      </c>
      <c r="U282" s="20">
        <f>Operations!U56*Inputs!$F$143/1000*Inputs!$F$150/100*(Operations!U276-Operations!U280)</f>
        <v/>
      </c>
      <c r="V282" s="20">
        <f>Operations!V56*Inputs!$F$143/1000*Inputs!$F$150/100*(Operations!V276-Operations!V280)</f>
        <v/>
      </c>
      <c r="W282" s="20">
        <f>Operations!W56*Inputs!$F$143/1000*Inputs!$F$150/100*(Operations!W276-Operations!W280)</f>
        <v/>
      </c>
      <c r="X282" s="20">
        <f>Operations!X56*Inputs!$F$143/1000*Inputs!$F$150/100*(Operations!X276-Operations!X280)</f>
        <v/>
      </c>
      <c r="Y282" s="20">
        <f>Operations!Y56*Inputs!$F$143/1000*Inputs!$F$150/100*(Operations!Y276-Operations!Y280)</f>
        <v/>
      </c>
      <c r="Z282" s="20">
        <f>Operations!Z56*Inputs!$F$143/1000*Inputs!$F$150/100*(Operations!Z276-Operations!Z280)</f>
        <v/>
      </c>
      <c r="AA282" s="20">
        <f>Operations!AA56*Inputs!$F$143/1000*Inputs!$F$150/100*(Operations!AA276-Operations!AA280)</f>
        <v/>
      </c>
      <c r="AB282" s="20">
        <f>Operations!AB56*Inputs!$F$143/1000*Inputs!$F$150/100*(Operations!AB276-Operations!AB280)</f>
        <v/>
      </c>
      <c r="AC282" s="20">
        <f>Operations!AC56*Inputs!$F$143/1000*Inputs!$F$150/100*(Operations!AC276-Operations!AC280)</f>
        <v/>
      </c>
      <c r="AD282" s="20">
        <f>Operations!AD56*Inputs!$F$143/1000*Inputs!$F$150/100*(Operations!AD276-Operations!AD280)</f>
        <v/>
      </c>
      <c r="AE282" s="20">
        <f>Operations!AE56*Inputs!$F$143/1000*Inputs!$F$150/100*(Operations!AE276-Operations!AE280)</f>
        <v/>
      </c>
      <c r="AF282" s="20">
        <f>Operations!AF56*Inputs!$F$143/1000*Inputs!$F$150/100*(Operations!AF276-Operations!AF280)</f>
        <v/>
      </c>
      <c r="AG282" s="20">
        <f>Operations!AG56*Inputs!$F$143/1000*Inputs!$F$150/100*(Operations!AG276-Operations!AG280)</f>
        <v/>
      </c>
      <c r="AH282" s="20">
        <f>Operations!AH56*Inputs!$F$143/1000*Inputs!$F$150/100*(Operations!AH276-Operations!AH280)</f>
        <v/>
      </c>
      <c r="AI282" s="20">
        <f>Operations!AI56*Inputs!$F$143/1000*Inputs!$F$150/100*(Operations!AI276-Operations!AI280)</f>
        <v/>
      </c>
      <c r="AJ282" s="20">
        <f>Operations!AJ56*Inputs!$F$143/1000*Inputs!$F$150/100*(Operations!AJ276-Operations!AJ280)</f>
        <v/>
      </c>
      <c r="AK282" s="20">
        <f>Operations!AK56*Inputs!$F$143/1000*Inputs!$F$150/100*(Operations!AK276-Operations!AK280)</f>
        <v/>
      </c>
      <c r="AL282" s="20">
        <f>Operations!AL56*Inputs!$F$143/1000*Inputs!$F$150/100*(Operations!AL276-Operations!AL280)</f>
        <v/>
      </c>
      <c r="AM282" s="20">
        <f>Operations!AM56*Inputs!$F$143/1000*Inputs!$F$150/100*(Operations!AM276-Operations!AM280)</f>
        <v/>
      </c>
      <c r="AN282" s="20">
        <f>Operations!AN56*Inputs!$F$143/1000*Inputs!$F$150/100*(Operations!AN276-Operations!AN280)</f>
        <v/>
      </c>
      <c r="AO282" s="20">
        <f>Operations!AO56*Inputs!$F$143/1000*Inputs!$F$150/100*(Operations!AO276-Operations!AO280)</f>
        <v/>
      </c>
      <c r="AP282" s="20">
        <f>Operations!AP56*Inputs!$F$143/1000*Inputs!$F$150/100*(Operations!AP276-Operations!AP280)</f>
        <v/>
      </c>
      <c r="AQ282" s="20">
        <f>Operations!AQ56*Inputs!$F$143/1000*Inputs!$F$150/100*(Operations!AQ276-Operations!AQ280)</f>
        <v/>
      </c>
      <c r="AR282" s="20">
        <f>Operations!AR56*Inputs!$F$143/1000*Inputs!$F$150/100*(Operations!AR276-Operations!AR280)</f>
        <v/>
      </c>
      <c r="AS282" s="20">
        <f>Operations!AS56*Inputs!$F$143/1000*Inputs!$F$150/100*(Operations!AS276-Operations!AS280)</f>
        <v/>
      </c>
      <c r="AT282" s="20">
        <f>Operations!AT56*Inputs!$F$143/1000*Inputs!$F$150/100*(Operations!AT276-Operations!AT280)</f>
        <v/>
      </c>
      <c r="AU282" s="20">
        <f>Operations!AU56*Inputs!$F$143/1000*Inputs!$F$150/100*(Operations!AU276-Operations!AU280)</f>
        <v/>
      </c>
    </row>
    <row r="283">
      <c r="D283" t="inlineStr">
        <is>
          <t>R6 contracted revenue (toll)</t>
        </is>
      </c>
      <c r="E283" t="inlineStr">
        <is>
          <t>USD m</t>
        </is>
      </c>
      <c r="J283" s="20">
        <f>Operations!J281</f>
        <v/>
      </c>
      <c r="K283" s="20">
        <f>Operations!K281</f>
        <v/>
      </c>
      <c r="L283" s="20">
        <f>Operations!L281</f>
        <v/>
      </c>
      <c r="M283" s="20">
        <f>Operations!M281</f>
        <v/>
      </c>
      <c r="N283" s="20">
        <f>Operations!N281</f>
        <v/>
      </c>
      <c r="O283" s="20">
        <f>Operations!O281</f>
        <v/>
      </c>
      <c r="P283" s="20">
        <f>Operations!P281</f>
        <v/>
      </c>
      <c r="Q283" s="20">
        <f>Operations!Q281</f>
        <v/>
      </c>
      <c r="R283" s="20">
        <f>Operations!R281</f>
        <v/>
      </c>
      <c r="S283" s="20">
        <f>Operations!S281</f>
        <v/>
      </c>
      <c r="T283" s="20">
        <f>Operations!T281</f>
        <v/>
      </c>
      <c r="U283" s="20">
        <f>Operations!U281</f>
        <v/>
      </c>
      <c r="V283" s="20">
        <f>Operations!V281</f>
        <v/>
      </c>
      <c r="W283" s="20">
        <f>Operations!W281</f>
        <v/>
      </c>
      <c r="X283" s="20">
        <f>Operations!X281</f>
        <v/>
      </c>
      <c r="Y283" s="20">
        <f>Operations!Y281</f>
        <v/>
      </c>
      <c r="Z283" s="20">
        <f>Operations!Z281</f>
        <v/>
      </c>
      <c r="AA283" s="20">
        <f>Operations!AA281</f>
        <v/>
      </c>
      <c r="AB283" s="20">
        <f>Operations!AB281</f>
        <v/>
      </c>
      <c r="AC283" s="20">
        <f>Operations!AC281</f>
        <v/>
      </c>
      <c r="AD283" s="20">
        <f>Operations!AD281</f>
        <v/>
      </c>
      <c r="AE283" s="20">
        <f>Operations!AE281</f>
        <v/>
      </c>
      <c r="AF283" s="20">
        <f>Operations!AF281</f>
        <v/>
      </c>
      <c r="AG283" s="20">
        <f>Operations!AG281</f>
        <v/>
      </c>
      <c r="AH283" s="20">
        <f>Operations!AH281</f>
        <v/>
      </c>
      <c r="AI283" s="20">
        <f>Operations!AI281</f>
        <v/>
      </c>
      <c r="AJ283" s="20">
        <f>Operations!AJ281</f>
        <v/>
      </c>
      <c r="AK283" s="20">
        <f>Operations!AK281</f>
        <v/>
      </c>
      <c r="AL283" s="20">
        <f>Operations!AL281</f>
        <v/>
      </c>
      <c r="AM283" s="20">
        <f>Operations!AM281</f>
        <v/>
      </c>
      <c r="AN283" s="20">
        <f>Operations!AN281</f>
        <v/>
      </c>
      <c r="AO283" s="20">
        <f>Operations!AO281</f>
        <v/>
      </c>
      <c r="AP283" s="20">
        <f>Operations!AP281</f>
        <v/>
      </c>
      <c r="AQ283" s="20">
        <f>Operations!AQ281</f>
        <v/>
      </c>
      <c r="AR283" s="20">
        <f>Operations!AR281</f>
        <v/>
      </c>
      <c r="AS283" s="20">
        <f>Operations!AS281</f>
        <v/>
      </c>
      <c r="AT283" s="20">
        <f>Operations!AT281</f>
        <v/>
      </c>
      <c r="AU283" s="20">
        <f>Operations!AU281</f>
        <v/>
      </c>
    </row>
    <row r="284">
      <c r="D284" t="inlineStr">
        <is>
          <t>R6 hedged revenue</t>
        </is>
      </c>
      <c r="E284" t="inlineStr">
        <is>
          <t>USD m</t>
        </is>
      </c>
      <c r="J284" s="20">
        <f>0</f>
        <v/>
      </c>
      <c r="K284" s="20">
        <f>0</f>
        <v/>
      </c>
      <c r="L284" s="20">
        <f>0</f>
        <v/>
      </c>
      <c r="M284" s="20">
        <f>0</f>
        <v/>
      </c>
      <c r="N284" s="20">
        <f>0</f>
        <v/>
      </c>
      <c r="O284" s="20">
        <f>0</f>
        <v/>
      </c>
      <c r="P284" s="20">
        <f>0</f>
        <v/>
      </c>
      <c r="Q284" s="20">
        <f>0</f>
        <v/>
      </c>
      <c r="R284" s="20">
        <f>0</f>
        <v/>
      </c>
      <c r="S284" s="20">
        <f>0</f>
        <v/>
      </c>
      <c r="T284" s="20">
        <f>0</f>
        <v/>
      </c>
      <c r="U284" s="20">
        <f>0</f>
        <v/>
      </c>
      <c r="V284" s="20">
        <f>0</f>
        <v/>
      </c>
      <c r="W284" s="20">
        <f>0</f>
        <v/>
      </c>
      <c r="X284" s="20">
        <f>0</f>
        <v/>
      </c>
      <c r="Y284" s="20">
        <f>0</f>
        <v/>
      </c>
      <c r="Z284" s="20">
        <f>0</f>
        <v/>
      </c>
      <c r="AA284" s="20">
        <f>0</f>
        <v/>
      </c>
      <c r="AB284" s="20">
        <f>0</f>
        <v/>
      </c>
      <c r="AC284" s="20">
        <f>0</f>
        <v/>
      </c>
      <c r="AD284" s="20">
        <f>0</f>
        <v/>
      </c>
      <c r="AE284" s="20">
        <f>0</f>
        <v/>
      </c>
      <c r="AF284" s="20">
        <f>0</f>
        <v/>
      </c>
      <c r="AG284" s="20">
        <f>0</f>
        <v/>
      </c>
      <c r="AH284" s="20">
        <f>0</f>
        <v/>
      </c>
      <c r="AI284" s="20">
        <f>0</f>
        <v/>
      </c>
      <c r="AJ284" s="20">
        <f>0</f>
        <v/>
      </c>
      <c r="AK284" s="20">
        <f>0</f>
        <v/>
      </c>
      <c r="AL284" s="20">
        <f>0</f>
        <v/>
      </c>
      <c r="AM284" s="20">
        <f>0</f>
        <v/>
      </c>
      <c r="AN284" s="20">
        <f>0</f>
        <v/>
      </c>
      <c r="AO284" s="20">
        <f>0</f>
        <v/>
      </c>
      <c r="AP284" s="20">
        <f>0</f>
        <v/>
      </c>
      <c r="AQ284" s="20">
        <f>0</f>
        <v/>
      </c>
      <c r="AR284" s="20">
        <f>0</f>
        <v/>
      </c>
      <c r="AS284" s="20">
        <f>0</f>
        <v/>
      </c>
      <c r="AT284" s="20">
        <f>0</f>
        <v/>
      </c>
      <c r="AU284" s="20">
        <f>0</f>
        <v/>
      </c>
    </row>
    <row r="285">
      <c r="D285" t="inlineStr">
        <is>
          <t>R6 total revenue</t>
        </is>
      </c>
      <c r="E285" t="inlineStr">
        <is>
          <t>USD m</t>
        </is>
      </c>
      <c r="G285" s="20">
        <f>SUM(J285:AU285)</f>
        <v/>
      </c>
      <c r="J285" s="20">
        <f>Operations!J281+Operations!J282</f>
        <v/>
      </c>
      <c r="K285" s="20">
        <f>Operations!K281+Operations!K282</f>
        <v/>
      </c>
      <c r="L285" s="20">
        <f>Operations!L281+Operations!L282</f>
        <v/>
      </c>
      <c r="M285" s="20">
        <f>Operations!M281+Operations!M282</f>
        <v/>
      </c>
      <c r="N285" s="20">
        <f>Operations!N281+Operations!N282</f>
        <v/>
      </c>
      <c r="O285" s="20">
        <f>Operations!O281+Operations!O282</f>
        <v/>
      </c>
      <c r="P285" s="20">
        <f>Operations!P281+Operations!P282</f>
        <v/>
      </c>
      <c r="Q285" s="20">
        <f>Operations!Q281+Operations!Q282</f>
        <v/>
      </c>
      <c r="R285" s="20">
        <f>Operations!R281+Operations!R282</f>
        <v/>
      </c>
      <c r="S285" s="20">
        <f>Operations!S281+Operations!S282</f>
        <v/>
      </c>
      <c r="T285" s="20">
        <f>Operations!T281+Operations!T282</f>
        <v/>
      </c>
      <c r="U285" s="20">
        <f>Operations!U281+Operations!U282</f>
        <v/>
      </c>
      <c r="V285" s="20">
        <f>Operations!V281+Operations!V282</f>
        <v/>
      </c>
      <c r="W285" s="20">
        <f>Operations!W281+Operations!W282</f>
        <v/>
      </c>
      <c r="X285" s="20">
        <f>Operations!X281+Operations!X282</f>
        <v/>
      </c>
      <c r="Y285" s="20">
        <f>Operations!Y281+Operations!Y282</f>
        <v/>
      </c>
      <c r="Z285" s="20">
        <f>Operations!Z281+Operations!Z282</f>
        <v/>
      </c>
      <c r="AA285" s="20">
        <f>Operations!AA281+Operations!AA282</f>
        <v/>
      </c>
      <c r="AB285" s="20">
        <f>Operations!AB281+Operations!AB282</f>
        <v/>
      </c>
      <c r="AC285" s="20">
        <f>Operations!AC281+Operations!AC282</f>
        <v/>
      </c>
      <c r="AD285" s="20">
        <f>Operations!AD281+Operations!AD282</f>
        <v/>
      </c>
      <c r="AE285" s="20">
        <f>Operations!AE281+Operations!AE282</f>
        <v/>
      </c>
      <c r="AF285" s="20">
        <f>Operations!AF281+Operations!AF282</f>
        <v/>
      </c>
      <c r="AG285" s="20">
        <f>Operations!AG281+Operations!AG282</f>
        <v/>
      </c>
      <c r="AH285" s="20">
        <f>Operations!AH281+Operations!AH282</f>
        <v/>
      </c>
      <c r="AI285" s="20">
        <f>Operations!AI281+Operations!AI282</f>
        <v/>
      </c>
      <c r="AJ285" s="20">
        <f>Operations!AJ281+Operations!AJ282</f>
        <v/>
      </c>
      <c r="AK285" s="20">
        <f>Operations!AK281+Operations!AK282</f>
        <v/>
      </c>
      <c r="AL285" s="20">
        <f>Operations!AL281+Operations!AL282</f>
        <v/>
      </c>
      <c r="AM285" s="20">
        <f>Operations!AM281+Operations!AM282</f>
        <v/>
      </c>
      <c r="AN285" s="20">
        <f>Operations!AN281+Operations!AN282</f>
        <v/>
      </c>
      <c r="AO285" s="20">
        <f>Operations!AO281+Operations!AO282</f>
        <v/>
      </c>
      <c r="AP285" s="20">
        <f>Operations!AP281+Operations!AP282</f>
        <v/>
      </c>
      <c r="AQ285" s="20">
        <f>Operations!AQ281+Operations!AQ282</f>
        <v/>
      </c>
      <c r="AR285" s="20">
        <f>Operations!AR281+Operations!AR282</f>
        <v/>
      </c>
      <c r="AS285" s="20">
        <f>Operations!AS281+Operations!AS282</f>
        <v/>
      </c>
      <c r="AT285" s="20">
        <f>Operations!AT281+Operations!AT282</f>
        <v/>
      </c>
      <c r="AU285" s="20">
        <f>Operations!AU281+Operations!AU282</f>
        <v/>
      </c>
    </row>
    <row r="286">
      <c r="D286" t="inlineStr">
        <is>
          <t>R6 merchant revenue (total less contracted and hedged)</t>
        </is>
      </c>
      <c r="E286" t="inlineStr">
        <is>
          <t>USD m</t>
        </is>
      </c>
      <c r="J286" s="20">
        <f>Operations!J285-Operations!J283-Operations!J284</f>
        <v/>
      </c>
      <c r="K286" s="20">
        <f>Operations!K285-Operations!K283-Operations!K284</f>
        <v/>
      </c>
      <c r="L286" s="20">
        <f>Operations!L285-Operations!L283-Operations!L284</f>
        <v/>
      </c>
      <c r="M286" s="20">
        <f>Operations!M285-Operations!M283-Operations!M284</f>
        <v/>
      </c>
      <c r="N286" s="20">
        <f>Operations!N285-Operations!N283-Operations!N284</f>
        <v/>
      </c>
      <c r="O286" s="20">
        <f>Operations!O285-Operations!O283-Operations!O284</f>
        <v/>
      </c>
      <c r="P286" s="20">
        <f>Operations!P285-Operations!P283-Operations!P284</f>
        <v/>
      </c>
      <c r="Q286" s="20">
        <f>Operations!Q285-Operations!Q283-Operations!Q284</f>
        <v/>
      </c>
      <c r="R286" s="20">
        <f>Operations!R285-Operations!R283-Operations!R284</f>
        <v/>
      </c>
      <c r="S286" s="20">
        <f>Operations!S285-Operations!S283-Operations!S284</f>
        <v/>
      </c>
      <c r="T286" s="20">
        <f>Operations!T285-Operations!T283-Operations!T284</f>
        <v/>
      </c>
      <c r="U286" s="20">
        <f>Operations!U285-Operations!U283-Operations!U284</f>
        <v/>
      </c>
      <c r="V286" s="20">
        <f>Operations!V285-Operations!V283-Operations!V284</f>
        <v/>
      </c>
      <c r="W286" s="20">
        <f>Operations!W285-Operations!W283-Operations!W284</f>
        <v/>
      </c>
      <c r="X286" s="20">
        <f>Operations!X285-Operations!X283-Operations!X284</f>
        <v/>
      </c>
      <c r="Y286" s="20">
        <f>Operations!Y285-Operations!Y283-Operations!Y284</f>
        <v/>
      </c>
      <c r="Z286" s="20">
        <f>Operations!Z285-Operations!Z283-Operations!Z284</f>
        <v/>
      </c>
      <c r="AA286" s="20">
        <f>Operations!AA285-Operations!AA283-Operations!AA284</f>
        <v/>
      </c>
      <c r="AB286" s="20">
        <f>Operations!AB285-Operations!AB283-Operations!AB284</f>
        <v/>
      </c>
      <c r="AC286" s="20">
        <f>Operations!AC285-Operations!AC283-Operations!AC284</f>
        <v/>
      </c>
      <c r="AD286" s="20">
        <f>Operations!AD285-Operations!AD283-Operations!AD284</f>
        <v/>
      </c>
      <c r="AE286" s="20">
        <f>Operations!AE285-Operations!AE283-Operations!AE284</f>
        <v/>
      </c>
      <c r="AF286" s="20">
        <f>Operations!AF285-Operations!AF283-Operations!AF284</f>
        <v/>
      </c>
      <c r="AG286" s="20">
        <f>Operations!AG285-Operations!AG283-Operations!AG284</f>
        <v/>
      </c>
      <c r="AH286" s="20">
        <f>Operations!AH285-Operations!AH283-Operations!AH284</f>
        <v/>
      </c>
      <c r="AI286" s="20">
        <f>Operations!AI285-Operations!AI283-Operations!AI284</f>
        <v/>
      </c>
      <c r="AJ286" s="20">
        <f>Operations!AJ285-Operations!AJ283-Operations!AJ284</f>
        <v/>
      </c>
      <c r="AK286" s="20">
        <f>Operations!AK285-Operations!AK283-Operations!AK284</f>
        <v/>
      </c>
      <c r="AL286" s="20">
        <f>Operations!AL285-Operations!AL283-Operations!AL284</f>
        <v/>
      </c>
      <c r="AM286" s="20">
        <f>Operations!AM285-Operations!AM283-Operations!AM284</f>
        <v/>
      </c>
      <c r="AN286" s="20">
        <f>Operations!AN285-Operations!AN283-Operations!AN284</f>
        <v/>
      </c>
      <c r="AO286" s="20">
        <f>Operations!AO285-Operations!AO283-Operations!AO284</f>
        <v/>
      </c>
      <c r="AP286" s="20">
        <f>Operations!AP285-Operations!AP283-Operations!AP284</f>
        <v/>
      </c>
      <c r="AQ286" s="20">
        <f>Operations!AQ285-Operations!AQ283-Operations!AQ284</f>
        <v/>
      </c>
      <c r="AR286" s="20">
        <f>Operations!AR285-Operations!AR283-Operations!AR284</f>
        <v/>
      </c>
      <c r="AS286" s="20">
        <f>Operations!AS285-Operations!AS283-Operations!AS284</f>
        <v/>
      </c>
      <c r="AT286" s="20">
        <f>Operations!AT285-Operations!AT283-Operations!AT284</f>
        <v/>
      </c>
      <c r="AU286" s="20">
        <f>Operations!AU285-Operations!AU283-Operations!AU284</f>
        <v/>
      </c>
    </row>
    <row r="287">
      <c r="D287" t="inlineStr">
        <is>
          <t>R6 opex (O&amp;M, land, insurance, property tax, site)</t>
        </is>
      </c>
      <c r="E287" t="inlineStr">
        <is>
          <t>USD m</t>
        </is>
      </c>
      <c r="J287" s="20">
        <f>Inputs!$F$147*Inputs!$F$143/1000*Time!J$9*Time!J$10*Operations!J276*Operations!$F$50</f>
        <v/>
      </c>
      <c r="K287" s="20">
        <f>Inputs!$F$147*Inputs!$F$143/1000*Time!K$9*Time!K$10*Operations!K276*Operations!$F$50</f>
        <v/>
      </c>
      <c r="L287" s="20">
        <f>Inputs!$F$147*Inputs!$F$143/1000*Time!L$9*Time!L$10*Operations!L276*Operations!$F$50</f>
        <v/>
      </c>
      <c r="M287" s="20">
        <f>Inputs!$F$147*Inputs!$F$143/1000*Time!M$9*Time!M$10*Operations!M276*Operations!$F$50</f>
        <v/>
      </c>
      <c r="N287" s="20">
        <f>Inputs!$F$147*Inputs!$F$143/1000*Time!N$9*Time!N$10*Operations!N276*Operations!$F$50</f>
        <v/>
      </c>
      <c r="O287" s="20">
        <f>Inputs!$F$147*Inputs!$F$143/1000*Time!O$9*Time!O$10*Operations!O276*Operations!$F$50</f>
        <v/>
      </c>
      <c r="P287" s="20">
        <f>Inputs!$F$147*Inputs!$F$143/1000*Time!P$9*Time!P$10*Operations!P276*Operations!$F$50</f>
        <v/>
      </c>
      <c r="Q287" s="20">
        <f>Inputs!$F$147*Inputs!$F$143/1000*Time!Q$9*Time!Q$10*Operations!Q276*Operations!$F$50</f>
        <v/>
      </c>
      <c r="R287" s="20">
        <f>Inputs!$F$147*Inputs!$F$143/1000*Time!R$9*Time!R$10*Operations!R276*Operations!$F$50</f>
        <v/>
      </c>
      <c r="S287" s="20">
        <f>Inputs!$F$147*Inputs!$F$143/1000*Time!S$9*Time!S$10*Operations!S276*Operations!$F$50</f>
        <v/>
      </c>
      <c r="T287" s="20">
        <f>Inputs!$F$147*Inputs!$F$143/1000*Time!T$9*Time!T$10*Operations!T276*Operations!$F$50</f>
        <v/>
      </c>
      <c r="U287" s="20">
        <f>Inputs!$F$147*Inputs!$F$143/1000*Time!U$9*Time!U$10*Operations!U276*Operations!$F$50</f>
        <v/>
      </c>
      <c r="V287" s="20">
        <f>Inputs!$F$147*Inputs!$F$143/1000*Time!V$9*Time!V$10*Operations!V276*Operations!$F$50</f>
        <v/>
      </c>
      <c r="W287" s="20">
        <f>Inputs!$F$147*Inputs!$F$143/1000*Time!W$9*Time!W$10*Operations!W276*Operations!$F$50</f>
        <v/>
      </c>
      <c r="X287" s="20">
        <f>Inputs!$F$147*Inputs!$F$143/1000*Time!X$9*Time!X$10*Operations!X276*Operations!$F$50</f>
        <v/>
      </c>
      <c r="Y287" s="20">
        <f>Inputs!$F$147*Inputs!$F$143/1000*Time!Y$9*Time!Y$10*Operations!Y276*Operations!$F$50</f>
        <v/>
      </c>
      <c r="Z287" s="20">
        <f>Inputs!$F$147*Inputs!$F$143/1000*Time!Z$9*Time!Z$10*Operations!Z276*Operations!$F$50</f>
        <v/>
      </c>
      <c r="AA287" s="20">
        <f>Inputs!$F$147*Inputs!$F$143/1000*Time!AA$9*Time!AA$10*Operations!AA276*Operations!$F$50</f>
        <v/>
      </c>
      <c r="AB287" s="20">
        <f>Inputs!$F$147*Inputs!$F$143/1000*Time!AB$9*Time!AB$10*Operations!AB276*Operations!$F$50</f>
        <v/>
      </c>
      <c r="AC287" s="20">
        <f>Inputs!$F$147*Inputs!$F$143/1000*Time!AC$9*Time!AC$10*Operations!AC276*Operations!$F$50</f>
        <v/>
      </c>
      <c r="AD287" s="20">
        <f>Inputs!$F$147*Inputs!$F$143/1000*Time!AD$9*Time!AD$10*Operations!AD276*Operations!$F$50</f>
        <v/>
      </c>
      <c r="AE287" s="20">
        <f>Inputs!$F$147*Inputs!$F$143/1000*Time!AE$9*Time!AE$10*Operations!AE276*Operations!$F$50</f>
        <v/>
      </c>
      <c r="AF287" s="20">
        <f>Inputs!$F$147*Inputs!$F$143/1000*Time!AF$9*Time!AF$10*Operations!AF276*Operations!$F$50</f>
        <v/>
      </c>
      <c r="AG287" s="20">
        <f>Inputs!$F$147*Inputs!$F$143/1000*Time!AG$9*Time!AG$10*Operations!AG276*Operations!$F$50</f>
        <v/>
      </c>
      <c r="AH287" s="20">
        <f>Inputs!$F$147*Inputs!$F$143/1000*Time!AH$9*Time!AH$10*Operations!AH276*Operations!$F$50</f>
        <v/>
      </c>
      <c r="AI287" s="20">
        <f>Inputs!$F$147*Inputs!$F$143/1000*Time!AI$9*Time!AI$10*Operations!AI276*Operations!$F$50</f>
        <v/>
      </c>
      <c r="AJ287" s="20">
        <f>Inputs!$F$147*Inputs!$F$143/1000*Time!AJ$9*Time!AJ$10*Operations!AJ276*Operations!$F$50</f>
        <v/>
      </c>
      <c r="AK287" s="20">
        <f>Inputs!$F$147*Inputs!$F$143/1000*Time!AK$9*Time!AK$10*Operations!AK276*Operations!$F$50</f>
        <v/>
      </c>
      <c r="AL287" s="20">
        <f>Inputs!$F$147*Inputs!$F$143/1000*Time!AL$9*Time!AL$10*Operations!AL276*Operations!$F$50</f>
        <v/>
      </c>
      <c r="AM287" s="20">
        <f>Inputs!$F$147*Inputs!$F$143/1000*Time!AM$9*Time!AM$10*Operations!AM276*Operations!$F$50</f>
        <v/>
      </c>
      <c r="AN287" s="20">
        <f>Inputs!$F$147*Inputs!$F$143/1000*Time!AN$9*Time!AN$10*Operations!AN276*Operations!$F$50</f>
        <v/>
      </c>
      <c r="AO287" s="20">
        <f>Inputs!$F$147*Inputs!$F$143/1000*Time!AO$9*Time!AO$10*Operations!AO276*Operations!$F$50</f>
        <v/>
      </c>
      <c r="AP287" s="20">
        <f>Inputs!$F$147*Inputs!$F$143/1000*Time!AP$9*Time!AP$10*Operations!AP276*Operations!$F$50</f>
        <v/>
      </c>
      <c r="AQ287" s="20">
        <f>Inputs!$F$147*Inputs!$F$143/1000*Time!AQ$9*Time!AQ$10*Operations!AQ276*Operations!$F$50</f>
        <v/>
      </c>
      <c r="AR287" s="20">
        <f>Inputs!$F$147*Inputs!$F$143/1000*Time!AR$9*Time!AR$10*Operations!AR276*Operations!$F$50</f>
        <v/>
      </c>
      <c r="AS287" s="20">
        <f>Inputs!$F$147*Inputs!$F$143/1000*Time!AS$9*Time!AS$10*Operations!AS276*Operations!$F$50</f>
        <v/>
      </c>
      <c r="AT287" s="20">
        <f>Inputs!$F$147*Inputs!$F$143/1000*Time!AT$9*Time!AT$10*Operations!AT276*Operations!$F$50</f>
        <v/>
      </c>
      <c r="AU287" s="20">
        <f>Inputs!$F$147*Inputs!$F$143/1000*Time!AU$9*Time!AU$10*Operations!AU276*Operations!$F$50</f>
        <v/>
      </c>
    </row>
    <row r="288">
      <c r="D288" t="inlineStr">
        <is>
          <t>R6 land lease (in opex)</t>
        </is>
      </c>
      <c r="E288" t="inlineStr">
        <is>
          <t>USD m</t>
        </is>
      </c>
      <c r="J288" s="20">
        <f>0</f>
        <v/>
      </c>
      <c r="K288" s="20">
        <f>0</f>
        <v/>
      </c>
      <c r="L288" s="20">
        <f>0</f>
        <v/>
      </c>
      <c r="M288" s="20">
        <f>0</f>
        <v/>
      </c>
      <c r="N288" s="20">
        <f>0</f>
        <v/>
      </c>
      <c r="O288" s="20">
        <f>0</f>
        <v/>
      </c>
      <c r="P288" s="20">
        <f>0</f>
        <v/>
      </c>
      <c r="Q288" s="20">
        <f>0</f>
        <v/>
      </c>
      <c r="R288" s="20">
        <f>0</f>
        <v/>
      </c>
      <c r="S288" s="20">
        <f>0</f>
        <v/>
      </c>
      <c r="T288" s="20">
        <f>0</f>
        <v/>
      </c>
      <c r="U288" s="20">
        <f>0</f>
        <v/>
      </c>
      <c r="V288" s="20">
        <f>0</f>
        <v/>
      </c>
      <c r="W288" s="20">
        <f>0</f>
        <v/>
      </c>
      <c r="X288" s="20">
        <f>0</f>
        <v/>
      </c>
      <c r="Y288" s="20">
        <f>0</f>
        <v/>
      </c>
      <c r="Z288" s="20">
        <f>0</f>
        <v/>
      </c>
      <c r="AA288" s="20">
        <f>0</f>
        <v/>
      </c>
      <c r="AB288" s="20">
        <f>0</f>
        <v/>
      </c>
      <c r="AC288" s="20">
        <f>0</f>
        <v/>
      </c>
      <c r="AD288" s="20">
        <f>0</f>
        <v/>
      </c>
      <c r="AE288" s="20">
        <f>0</f>
        <v/>
      </c>
      <c r="AF288" s="20">
        <f>0</f>
        <v/>
      </c>
      <c r="AG288" s="20">
        <f>0</f>
        <v/>
      </c>
      <c r="AH288" s="20">
        <f>0</f>
        <v/>
      </c>
      <c r="AI288" s="20">
        <f>0</f>
        <v/>
      </c>
      <c r="AJ288" s="20">
        <f>0</f>
        <v/>
      </c>
      <c r="AK288" s="20">
        <f>0</f>
        <v/>
      </c>
      <c r="AL288" s="20">
        <f>0</f>
        <v/>
      </c>
      <c r="AM288" s="20">
        <f>0</f>
        <v/>
      </c>
      <c r="AN288" s="20">
        <f>0</f>
        <v/>
      </c>
      <c r="AO288" s="20">
        <f>0</f>
        <v/>
      </c>
      <c r="AP288" s="20">
        <f>0</f>
        <v/>
      </c>
      <c r="AQ288" s="20">
        <f>0</f>
        <v/>
      </c>
      <c r="AR288" s="20">
        <f>0</f>
        <v/>
      </c>
      <c r="AS288" s="20">
        <f>0</f>
        <v/>
      </c>
      <c r="AT288" s="20">
        <f>0</f>
        <v/>
      </c>
      <c r="AU288" s="20">
        <f>0</f>
        <v/>
      </c>
    </row>
    <row r="289">
      <c r="D289" t="inlineStr">
        <is>
          <t>R6 decommissioning surety cost</t>
        </is>
      </c>
      <c r="E289" t="inlineStr">
        <is>
          <t>USD m</t>
        </is>
      </c>
      <c r="J289" s="20">
        <f>Inputs!$F$236/100*Inputs!$F$148*Inputs!$F$143/1000*Time!J$9*Operations!J276</f>
        <v/>
      </c>
      <c r="K289" s="20">
        <f>Inputs!$F$236/100*Inputs!$F$148*Inputs!$F$143/1000*Time!K$9*Operations!K276</f>
        <v/>
      </c>
      <c r="L289" s="20">
        <f>Inputs!$F$236/100*Inputs!$F$148*Inputs!$F$143/1000*Time!L$9*Operations!L276</f>
        <v/>
      </c>
      <c r="M289" s="20">
        <f>Inputs!$F$236/100*Inputs!$F$148*Inputs!$F$143/1000*Time!M$9*Operations!M276</f>
        <v/>
      </c>
      <c r="N289" s="20">
        <f>Inputs!$F$236/100*Inputs!$F$148*Inputs!$F$143/1000*Time!N$9*Operations!N276</f>
        <v/>
      </c>
      <c r="O289" s="20">
        <f>Inputs!$F$236/100*Inputs!$F$148*Inputs!$F$143/1000*Time!O$9*Operations!O276</f>
        <v/>
      </c>
      <c r="P289" s="20">
        <f>Inputs!$F$236/100*Inputs!$F$148*Inputs!$F$143/1000*Time!P$9*Operations!P276</f>
        <v/>
      </c>
      <c r="Q289" s="20">
        <f>Inputs!$F$236/100*Inputs!$F$148*Inputs!$F$143/1000*Time!Q$9*Operations!Q276</f>
        <v/>
      </c>
      <c r="R289" s="20">
        <f>Inputs!$F$236/100*Inputs!$F$148*Inputs!$F$143/1000*Time!R$9*Operations!R276</f>
        <v/>
      </c>
      <c r="S289" s="20">
        <f>Inputs!$F$236/100*Inputs!$F$148*Inputs!$F$143/1000*Time!S$9*Operations!S276</f>
        <v/>
      </c>
      <c r="T289" s="20">
        <f>Inputs!$F$236/100*Inputs!$F$148*Inputs!$F$143/1000*Time!T$9*Operations!T276</f>
        <v/>
      </c>
      <c r="U289" s="20">
        <f>Inputs!$F$236/100*Inputs!$F$148*Inputs!$F$143/1000*Time!U$9*Operations!U276</f>
        <v/>
      </c>
      <c r="V289" s="20">
        <f>Inputs!$F$236/100*Inputs!$F$148*Inputs!$F$143/1000*Time!V$9*Operations!V276</f>
        <v/>
      </c>
      <c r="W289" s="20">
        <f>Inputs!$F$236/100*Inputs!$F$148*Inputs!$F$143/1000*Time!W$9*Operations!W276</f>
        <v/>
      </c>
      <c r="X289" s="20">
        <f>Inputs!$F$236/100*Inputs!$F$148*Inputs!$F$143/1000*Time!X$9*Operations!X276</f>
        <v/>
      </c>
      <c r="Y289" s="20">
        <f>Inputs!$F$236/100*Inputs!$F$148*Inputs!$F$143/1000*Time!Y$9*Operations!Y276</f>
        <v/>
      </c>
      <c r="Z289" s="20">
        <f>Inputs!$F$236/100*Inputs!$F$148*Inputs!$F$143/1000*Time!Z$9*Operations!Z276</f>
        <v/>
      </c>
      <c r="AA289" s="20">
        <f>Inputs!$F$236/100*Inputs!$F$148*Inputs!$F$143/1000*Time!AA$9*Operations!AA276</f>
        <v/>
      </c>
      <c r="AB289" s="20">
        <f>Inputs!$F$236/100*Inputs!$F$148*Inputs!$F$143/1000*Time!AB$9*Operations!AB276</f>
        <v/>
      </c>
      <c r="AC289" s="20">
        <f>Inputs!$F$236/100*Inputs!$F$148*Inputs!$F$143/1000*Time!AC$9*Operations!AC276</f>
        <v/>
      </c>
      <c r="AD289" s="20">
        <f>Inputs!$F$236/100*Inputs!$F$148*Inputs!$F$143/1000*Time!AD$9*Operations!AD276</f>
        <v/>
      </c>
      <c r="AE289" s="20">
        <f>Inputs!$F$236/100*Inputs!$F$148*Inputs!$F$143/1000*Time!AE$9*Operations!AE276</f>
        <v/>
      </c>
      <c r="AF289" s="20">
        <f>Inputs!$F$236/100*Inputs!$F$148*Inputs!$F$143/1000*Time!AF$9*Operations!AF276</f>
        <v/>
      </c>
      <c r="AG289" s="20">
        <f>Inputs!$F$236/100*Inputs!$F$148*Inputs!$F$143/1000*Time!AG$9*Operations!AG276</f>
        <v/>
      </c>
      <c r="AH289" s="20">
        <f>Inputs!$F$236/100*Inputs!$F$148*Inputs!$F$143/1000*Time!AH$9*Operations!AH276</f>
        <v/>
      </c>
      <c r="AI289" s="20">
        <f>Inputs!$F$236/100*Inputs!$F$148*Inputs!$F$143/1000*Time!AI$9*Operations!AI276</f>
        <v/>
      </c>
      <c r="AJ289" s="20">
        <f>Inputs!$F$236/100*Inputs!$F$148*Inputs!$F$143/1000*Time!AJ$9*Operations!AJ276</f>
        <v/>
      </c>
      <c r="AK289" s="20">
        <f>Inputs!$F$236/100*Inputs!$F$148*Inputs!$F$143/1000*Time!AK$9*Operations!AK276</f>
        <v/>
      </c>
      <c r="AL289" s="20">
        <f>Inputs!$F$236/100*Inputs!$F$148*Inputs!$F$143/1000*Time!AL$9*Operations!AL276</f>
        <v/>
      </c>
      <c r="AM289" s="20">
        <f>Inputs!$F$236/100*Inputs!$F$148*Inputs!$F$143/1000*Time!AM$9*Operations!AM276</f>
        <v/>
      </c>
      <c r="AN289" s="20">
        <f>Inputs!$F$236/100*Inputs!$F$148*Inputs!$F$143/1000*Time!AN$9*Operations!AN276</f>
        <v/>
      </c>
      <c r="AO289" s="20">
        <f>Inputs!$F$236/100*Inputs!$F$148*Inputs!$F$143/1000*Time!AO$9*Operations!AO276</f>
        <v/>
      </c>
      <c r="AP289" s="20">
        <f>Inputs!$F$236/100*Inputs!$F$148*Inputs!$F$143/1000*Time!AP$9*Operations!AP276</f>
        <v/>
      </c>
      <c r="AQ289" s="20">
        <f>Inputs!$F$236/100*Inputs!$F$148*Inputs!$F$143/1000*Time!AQ$9*Operations!AQ276</f>
        <v/>
      </c>
      <c r="AR289" s="20">
        <f>Inputs!$F$236/100*Inputs!$F$148*Inputs!$F$143/1000*Time!AR$9*Operations!AR276</f>
        <v/>
      </c>
      <c r="AS289" s="20">
        <f>Inputs!$F$236/100*Inputs!$F$148*Inputs!$F$143/1000*Time!AS$9*Operations!AS276</f>
        <v/>
      </c>
      <c r="AT289" s="20">
        <f>Inputs!$F$236/100*Inputs!$F$148*Inputs!$F$143/1000*Time!AT$9*Operations!AT276</f>
        <v/>
      </c>
      <c r="AU289" s="20">
        <f>Inputs!$F$236/100*Inputs!$F$148*Inputs!$F$143/1000*Time!AU$9*Operations!AU276</f>
        <v/>
      </c>
    </row>
    <row r="290">
      <c r="D290" t="inlineStr">
        <is>
          <t>R6 Texas margin tax</t>
        </is>
      </c>
      <c r="E290" t="inlineStr">
        <is>
          <t>USD m</t>
        </is>
      </c>
      <c r="J290" s="20">
        <f>Inputs!$F$237/100*Inputs!$F$238/100*Operations!J285</f>
        <v/>
      </c>
      <c r="K290" s="20">
        <f>Inputs!$F$237/100*Inputs!$F$238/100*Operations!K285</f>
        <v/>
      </c>
      <c r="L290" s="20">
        <f>Inputs!$F$237/100*Inputs!$F$238/100*Operations!L285</f>
        <v/>
      </c>
      <c r="M290" s="20">
        <f>Inputs!$F$237/100*Inputs!$F$238/100*Operations!M285</f>
        <v/>
      </c>
      <c r="N290" s="20">
        <f>Inputs!$F$237/100*Inputs!$F$238/100*Operations!N285</f>
        <v/>
      </c>
      <c r="O290" s="20">
        <f>Inputs!$F$237/100*Inputs!$F$238/100*Operations!O285</f>
        <v/>
      </c>
      <c r="P290" s="20">
        <f>Inputs!$F$237/100*Inputs!$F$238/100*Operations!P285</f>
        <v/>
      </c>
      <c r="Q290" s="20">
        <f>Inputs!$F$237/100*Inputs!$F$238/100*Operations!Q285</f>
        <v/>
      </c>
      <c r="R290" s="20">
        <f>Inputs!$F$237/100*Inputs!$F$238/100*Operations!R285</f>
        <v/>
      </c>
      <c r="S290" s="20">
        <f>Inputs!$F$237/100*Inputs!$F$238/100*Operations!S285</f>
        <v/>
      </c>
      <c r="T290" s="20">
        <f>Inputs!$F$237/100*Inputs!$F$238/100*Operations!T285</f>
        <v/>
      </c>
      <c r="U290" s="20">
        <f>Inputs!$F$237/100*Inputs!$F$238/100*Operations!U285</f>
        <v/>
      </c>
      <c r="V290" s="20">
        <f>Inputs!$F$237/100*Inputs!$F$238/100*Operations!V285</f>
        <v/>
      </c>
      <c r="W290" s="20">
        <f>Inputs!$F$237/100*Inputs!$F$238/100*Operations!W285</f>
        <v/>
      </c>
      <c r="X290" s="20">
        <f>Inputs!$F$237/100*Inputs!$F$238/100*Operations!X285</f>
        <v/>
      </c>
      <c r="Y290" s="20">
        <f>Inputs!$F$237/100*Inputs!$F$238/100*Operations!Y285</f>
        <v/>
      </c>
      <c r="Z290" s="20">
        <f>Inputs!$F$237/100*Inputs!$F$238/100*Operations!Z285</f>
        <v/>
      </c>
      <c r="AA290" s="20">
        <f>Inputs!$F$237/100*Inputs!$F$238/100*Operations!AA285</f>
        <v/>
      </c>
      <c r="AB290" s="20">
        <f>Inputs!$F$237/100*Inputs!$F$238/100*Operations!AB285</f>
        <v/>
      </c>
      <c r="AC290" s="20">
        <f>Inputs!$F$237/100*Inputs!$F$238/100*Operations!AC285</f>
        <v/>
      </c>
      <c r="AD290" s="20">
        <f>Inputs!$F$237/100*Inputs!$F$238/100*Operations!AD285</f>
        <v/>
      </c>
      <c r="AE290" s="20">
        <f>Inputs!$F$237/100*Inputs!$F$238/100*Operations!AE285</f>
        <v/>
      </c>
      <c r="AF290" s="20">
        <f>Inputs!$F$237/100*Inputs!$F$238/100*Operations!AF285</f>
        <v/>
      </c>
      <c r="AG290" s="20">
        <f>Inputs!$F$237/100*Inputs!$F$238/100*Operations!AG285</f>
        <v/>
      </c>
      <c r="AH290" s="20">
        <f>Inputs!$F$237/100*Inputs!$F$238/100*Operations!AH285</f>
        <v/>
      </c>
      <c r="AI290" s="20">
        <f>Inputs!$F$237/100*Inputs!$F$238/100*Operations!AI285</f>
        <v/>
      </c>
      <c r="AJ290" s="20">
        <f>Inputs!$F$237/100*Inputs!$F$238/100*Operations!AJ285</f>
        <v/>
      </c>
      <c r="AK290" s="20">
        <f>Inputs!$F$237/100*Inputs!$F$238/100*Operations!AK285</f>
        <v/>
      </c>
      <c r="AL290" s="20">
        <f>Inputs!$F$237/100*Inputs!$F$238/100*Operations!AL285</f>
        <v/>
      </c>
      <c r="AM290" s="20">
        <f>Inputs!$F$237/100*Inputs!$F$238/100*Operations!AM285</f>
        <v/>
      </c>
      <c r="AN290" s="20">
        <f>Inputs!$F$237/100*Inputs!$F$238/100*Operations!AN285</f>
        <v/>
      </c>
      <c r="AO290" s="20">
        <f>Inputs!$F$237/100*Inputs!$F$238/100*Operations!AO285</f>
        <v/>
      </c>
      <c r="AP290" s="20">
        <f>Inputs!$F$237/100*Inputs!$F$238/100*Operations!AP285</f>
        <v/>
      </c>
      <c r="AQ290" s="20">
        <f>Inputs!$F$237/100*Inputs!$F$238/100*Operations!AQ285</f>
        <v/>
      </c>
      <c r="AR290" s="20">
        <f>Inputs!$F$237/100*Inputs!$F$238/100*Operations!AR285</f>
        <v/>
      </c>
      <c r="AS290" s="20">
        <f>Inputs!$F$237/100*Inputs!$F$238/100*Operations!AS285</f>
        <v/>
      </c>
      <c r="AT290" s="20">
        <f>Inputs!$F$237/100*Inputs!$F$238/100*Operations!AT285</f>
        <v/>
      </c>
      <c r="AU290" s="20">
        <f>Inputs!$F$237/100*Inputs!$F$238/100*Operations!AU285</f>
        <v/>
      </c>
    </row>
    <row r="291">
      <c r="D291" t="inlineStr">
        <is>
          <t>R6 EBITDA</t>
        </is>
      </c>
      <c r="E291" t="inlineStr">
        <is>
          <t>USD m</t>
        </is>
      </c>
      <c r="G291" s="20">
        <f>SUM(J291:AU291)</f>
        <v/>
      </c>
      <c r="J291" s="20">
        <f>Operations!J285-Operations!J287-Operations!J288-Operations!J289-Operations!J290</f>
        <v/>
      </c>
      <c r="K291" s="20">
        <f>Operations!K285-Operations!K287-Operations!K288-Operations!K289-Operations!K290</f>
        <v/>
      </c>
      <c r="L291" s="20">
        <f>Operations!L285-Operations!L287-Operations!L288-Operations!L289-Operations!L290</f>
        <v/>
      </c>
      <c r="M291" s="20">
        <f>Operations!M285-Operations!M287-Operations!M288-Operations!M289-Operations!M290</f>
        <v/>
      </c>
      <c r="N291" s="20">
        <f>Operations!N285-Operations!N287-Operations!N288-Operations!N289-Operations!N290</f>
        <v/>
      </c>
      <c r="O291" s="20">
        <f>Operations!O285-Operations!O287-Operations!O288-Operations!O289-Operations!O290</f>
        <v/>
      </c>
      <c r="P291" s="20">
        <f>Operations!P285-Operations!P287-Operations!P288-Operations!P289-Operations!P290</f>
        <v/>
      </c>
      <c r="Q291" s="20">
        <f>Operations!Q285-Operations!Q287-Operations!Q288-Operations!Q289-Operations!Q290</f>
        <v/>
      </c>
      <c r="R291" s="20">
        <f>Operations!R285-Operations!R287-Operations!R288-Operations!R289-Operations!R290</f>
        <v/>
      </c>
      <c r="S291" s="20">
        <f>Operations!S285-Operations!S287-Operations!S288-Operations!S289-Operations!S290</f>
        <v/>
      </c>
      <c r="T291" s="20">
        <f>Operations!T285-Operations!T287-Operations!T288-Operations!T289-Operations!T290</f>
        <v/>
      </c>
      <c r="U291" s="20">
        <f>Operations!U285-Operations!U287-Operations!U288-Operations!U289-Operations!U290</f>
        <v/>
      </c>
      <c r="V291" s="20">
        <f>Operations!V285-Operations!V287-Operations!V288-Operations!V289-Operations!V290</f>
        <v/>
      </c>
      <c r="W291" s="20">
        <f>Operations!W285-Operations!W287-Operations!W288-Operations!W289-Operations!W290</f>
        <v/>
      </c>
      <c r="X291" s="20">
        <f>Operations!X285-Operations!X287-Operations!X288-Operations!X289-Operations!X290</f>
        <v/>
      </c>
      <c r="Y291" s="20">
        <f>Operations!Y285-Operations!Y287-Operations!Y288-Operations!Y289-Operations!Y290</f>
        <v/>
      </c>
      <c r="Z291" s="20">
        <f>Operations!Z285-Operations!Z287-Operations!Z288-Operations!Z289-Operations!Z290</f>
        <v/>
      </c>
      <c r="AA291" s="20">
        <f>Operations!AA285-Operations!AA287-Operations!AA288-Operations!AA289-Operations!AA290</f>
        <v/>
      </c>
      <c r="AB291" s="20">
        <f>Operations!AB285-Operations!AB287-Operations!AB288-Operations!AB289-Operations!AB290</f>
        <v/>
      </c>
      <c r="AC291" s="20">
        <f>Operations!AC285-Operations!AC287-Operations!AC288-Operations!AC289-Operations!AC290</f>
        <v/>
      </c>
      <c r="AD291" s="20">
        <f>Operations!AD285-Operations!AD287-Operations!AD288-Operations!AD289-Operations!AD290</f>
        <v/>
      </c>
      <c r="AE291" s="20">
        <f>Operations!AE285-Operations!AE287-Operations!AE288-Operations!AE289-Operations!AE290</f>
        <v/>
      </c>
      <c r="AF291" s="20">
        <f>Operations!AF285-Operations!AF287-Operations!AF288-Operations!AF289-Operations!AF290</f>
        <v/>
      </c>
      <c r="AG291" s="20">
        <f>Operations!AG285-Operations!AG287-Operations!AG288-Operations!AG289-Operations!AG290</f>
        <v/>
      </c>
      <c r="AH291" s="20">
        <f>Operations!AH285-Operations!AH287-Operations!AH288-Operations!AH289-Operations!AH290</f>
        <v/>
      </c>
      <c r="AI291" s="20">
        <f>Operations!AI285-Operations!AI287-Operations!AI288-Operations!AI289-Operations!AI290</f>
        <v/>
      </c>
      <c r="AJ291" s="20">
        <f>Operations!AJ285-Operations!AJ287-Operations!AJ288-Operations!AJ289-Operations!AJ290</f>
        <v/>
      </c>
      <c r="AK291" s="20">
        <f>Operations!AK285-Operations!AK287-Operations!AK288-Operations!AK289-Operations!AK290</f>
        <v/>
      </c>
      <c r="AL291" s="20">
        <f>Operations!AL285-Operations!AL287-Operations!AL288-Operations!AL289-Operations!AL290</f>
        <v/>
      </c>
      <c r="AM291" s="20">
        <f>Operations!AM285-Operations!AM287-Operations!AM288-Operations!AM289-Operations!AM290</f>
        <v/>
      </c>
      <c r="AN291" s="20">
        <f>Operations!AN285-Operations!AN287-Operations!AN288-Operations!AN289-Operations!AN290</f>
        <v/>
      </c>
      <c r="AO291" s="20">
        <f>Operations!AO285-Operations!AO287-Operations!AO288-Operations!AO289-Operations!AO290</f>
        <v/>
      </c>
      <c r="AP291" s="20">
        <f>Operations!AP285-Operations!AP287-Operations!AP288-Operations!AP289-Operations!AP290</f>
        <v/>
      </c>
      <c r="AQ291" s="20">
        <f>Operations!AQ285-Operations!AQ287-Operations!AQ288-Operations!AQ289-Operations!AQ290</f>
        <v/>
      </c>
      <c r="AR291" s="20">
        <f>Operations!AR285-Operations!AR287-Operations!AR288-Operations!AR289-Operations!AR290</f>
        <v/>
      </c>
      <c r="AS291" s="20">
        <f>Operations!AS285-Operations!AS287-Operations!AS288-Operations!AS289-Operations!AS290</f>
        <v/>
      </c>
      <c r="AT291" s="20">
        <f>Operations!AT285-Operations!AT287-Operations!AT288-Operations!AT289-Operations!AT290</f>
        <v/>
      </c>
      <c r="AU291" s="20">
        <f>Operations!AU285-Operations!AU287-Operations!AU288-Operations!AU289-Operations!AU290</f>
        <v/>
      </c>
    </row>
    <row r="292">
      <c r="D292" t="inlineStr">
        <is>
          <t>R6 augmentation capex</t>
        </is>
      </c>
      <c r="E292" t="inlineStr">
        <is>
          <t>USD m</t>
        </is>
      </c>
      <c r="J292" s="20">
        <f>IF(OR(Time!J$4=YEAR(Inputs!$F$144)+Inputs!$F$151,Time!J$4=YEAR(Inputs!$F$144)+Inputs!$F$152),Inputs!$F$153/100*Inputs!$F$149*Inputs!$F$154/1000*(1+Inputs!$F$187/100)^(Time!J$4-Inputs!$F$186),0)</f>
        <v/>
      </c>
      <c r="K292" s="20">
        <f>IF(OR(Time!K$4=YEAR(Inputs!$F$144)+Inputs!$F$151,Time!K$4=YEAR(Inputs!$F$144)+Inputs!$F$152),Inputs!$F$153/100*Inputs!$F$149*Inputs!$F$154/1000*(1+Inputs!$F$187/100)^(Time!K$4-Inputs!$F$186),0)</f>
        <v/>
      </c>
      <c r="L292" s="20">
        <f>IF(OR(Time!L$4=YEAR(Inputs!$F$144)+Inputs!$F$151,Time!L$4=YEAR(Inputs!$F$144)+Inputs!$F$152),Inputs!$F$153/100*Inputs!$F$149*Inputs!$F$154/1000*(1+Inputs!$F$187/100)^(Time!L$4-Inputs!$F$186),0)</f>
        <v/>
      </c>
      <c r="M292" s="20">
        <f>IF(OR(Time!M$4=YEAR(Inputs!$F$144)+Inputs!$F$151,Time!M$4=YEAR(Inputs!$F$144)+Inputs!$F$152),Inputs!$F$153/100*Inputs!$F$149*Inputs!$F$154/1000*(1+Inputs!$F$187/100)^(Time!M$4-Inputs!$F$186),0)</f>
        <v/>
      </c>
      <c r="N292" s="20">
        <f>IF(OR(Time!N$4=YEAR(Inputs!$F$144)+Inputs!$F$151,Time!N$4=YEAR(Inputs!$F$144)+Inputs!$F$152),Inputs!$F$153/100*Inputs!$F$149*Inputs!$F$154/1000*(1+Inputs!$F$187/100)^(Time!N$4-Inputs!$F$186),0)</f>
        <v/>
      </c>
      <c r="O292" s="20">
        <f>IF(OR(Time!O$4=YEAR(Inputs!$F$144)+Inputs!$F$151,Time!O$4=YEAR(Inputs!$F$144)+Inputs!$F$152),Inputs!$F$153/100*Inputs!$F$149*Inputs!$F$154/1000*(1+Inputs!$F$187/100)^(Time!O$4-Inputs!$F$186),0)</f>
        <v/>
      </c>
      <c r="P292" s="20">
        <f>IF(OR(Time!P$4=YEAR(Inputs!$F$144)+Inputs!$F$151,Time!P$4=YEAR(Inputs!$F$144)+Inputs!$F$152),Inputs!$F$153/100*Inputs!$F$149*Inputs!$F$154/1000*(1+Inputs!$F$187/100)^(Time!P$4-Inputs!$F$186),0)</f>
        <v/>
      </c>
      <c r="Q292" s="20">
        <f>IF(OR(Time!Q$4=YEAR(Inputs!$F$144)+Inputs!$F$151,Time!Q$4=YEAR(Inputs!$F$144)+Inputs!$F$152),Inputs!$F$153/100*Inputs!$F$149*Inputs!$F$154/1000*(1+Inputs!$F$187/100)^(Time!Q$4-Inputs!$F$186),0)</f>
        <v/>
      </c>
      <c r="R292" s="20">
        <f>IF(OR(Time!R$4=YEAR(Inputs!$F$144)+Inputs!$F$151,Time!R$4=YEAR(Inputs!$F$144)+Inputs!$F$152),Inputs!$F$153/100*Inputs!$F$149*Inputs!$F$154/1000*(1+Inputs!$F$187/100)^(Time!R$4-Inputs!$F$186),0)</f>
        <v/>
      </c>
      <c r="S292" s="20">
        <f>IF(OR(Time!S$4=YEAR(Inputs!$F$144)+Inputs!$F$151,Time!S$4=YEAR(Inputs!$F$144)+Inputs!$F$152),Inputs!$F$153/100*Inputs!$F$149*Inputs!$F$154/1000*(1+Inputs!$F$187/100)^(Time!S$4-Inputs!$F$186),0)</f>
        <v/>
      </c>
      <c r="T292" s="20">
        <f>IF(OR(Time!T$4=YEAR(Inputs!$F$144)+Inputs!$F$151,Time!T$4=YEAR(Inputs!$F$144)+Inputs!$F$152),Inputs!$F$153/100*Inputs!$F$149*Inputs!$F$154/1000*(1+Inputs!$F$187/100)^(Time!T$4-Inputs!$F$186),0)</f>
        <v/>
      </c>
      <c r="U292" s="20">
        <f>IF(OR(Time!U$4=YEAR(Inputs!$F$144)+Inputs!$F$151,Time!U$4=YEAR(Inputs!$F$144)+Inputs!$F$152),Inputs!$F$153/100*Inputs!$F$149*Inputs!$F$154/1000*(1+Inputs!$F$187/100)^(Time!U$4-Inputs!$F$186),0)</f>
        <v/>
      </c>
      <c r="V292" s="20">
        <f>IF(OR(Time!V$4=YEAR(Inputs!$F$144)+Inputs!$F$151,Time!V$4=YEAR(Inputs!$F$144)+Inputs!$F$152),Inputs!$F$153/100*Inputs!$F$149*Inputs!$F$154/1000*(1+Inputs!$F$187/100)^(Time!V$4-Inputs!$F$186),0)</f>
        <v/>
      </c>
      <c r="W292" s="20">
        <f>IF(OR(Time!W$4=YEAR(Inputs!$F$144)+Inputs!$F$151,Time!W$4=YEAR(Inputs!$F$144)+Inputs!$F$152),Inputs!$F$153/100*Inputs!$F$149*Inputs!$F$154/1000*(1+Inputs!$F$187/100)^(Time!W$4-Inputs!$F$186),0)</f>
        <v/>
      </c>
      <c r="X292" s="20">
        <f>IF(OR(Time!X$4=YEAR(Inputs!$F$144)+Inputs!$F$151,Time!X$4=YEAR(Inputs!$F$144)+Inputs!$F$152),Inputs!$F$153/100*Inputs!$F$149*Inputs!$F$154/1000*(1+Inputs!$F$187/100)^(Time!X$4-Inputs!$F$186),0)</f>
        <v/>
      </c>
      <c r="Y292" s="20">
        <f>IF(OR(Time!Y$4=YEAR(Inputs!$F$144)+Inputs!$F$151,Time!Y$4=YEAR(Inputs!$F$144)+Inputs!$F$152),Inputs!$F$153/100*Inputs!$F$149*Inputs!$F$154/1000*(1+Inputs!$F$187/100)^(Time!Y$4-Inputs!$F$186),0)</f>
        <v/>
      </c>
      <c r="Z292" s="20">
        <f>IF(OR(Time!Z$4=YEAR(Inputs!$F$144)+Inputs!$F$151,Time!Z$4=YEAR(Inputs!$F$144)+Inputs!$F$152),Inputs!$F$153/100*Inputs!$F$149*Inputs!$F$154/1000*(1+Inputs!$F$187/100)^(Time!Z$4-Inputs!$F$186),0)</f>
        <v/>
      </c>
      <c r="AA292" s="20">
        <f>IF(OR(Time!AA$4=YEAR(Inputs!$F$144)+Inputs!$F$151,Time!AA$4=YEAR(Inputs!$F$144)+Inputs!$F$152),Inputs!$F$153/100*Inputs!$F$149*Inputs!$F$154/1000*(1+Inputs!$F$187/100)^(Time!AA$4-Inputs!$F$186),0)</f>
        <v/>
      </c>
      <c r="AB292" s="20">
        <f>IF(OR(Time!AB$4=YEAR(Inputs!$F$144)+Inputs!$F$151,Time!AB$4=YEAR(Inputs!$F$144)+Inputs!$F$152),Inputs!$F$153/100*Inputs!$F$149*Inputs!$F$154/1000*(1+Inputs!$F$187/100)^(Time!AB$4-Inputs!$F$186),0)</f>
        <v/>
      </c>
      <c r="AC292" s="20">
        <f>IF(OR(Time!AC$4=YEAR(Inputs!$F$144)+Inputs!$F$151,Time!AC$4=YEAR(Inputs!$F$144)+Inputs!$F$152),Inputs!$F$153/100*Inputs!$F$149*Inputs!$F$154/1000*(1+Inputs!$F$187/100)^(Time!AC$4-Inputs!$F$186),0)</f>
        <v/>
      </c>
      <c r="AD292" s="20">
        <f>IF(OR(Time!AD$4=YEAR(Inputs!$F$144)+Inputs!$F$151,Time!AD$4=YEAR(Inputs!$F$144)+Inputs!$F$152),Inputs!$F$153/100*Inputs!$F$149*Inputs!$F$154/1000*(1+Inputs!$F$187/100)^(Time!AD$4-Inputs!$F$186),0)</f>
        <v/>
      </c>
      <c r="AE292" s="20">
        <f>IF(OR(Time!AE$4=YEAR(Inputs!$F$144)+Inputs!$F$151,Time!AE$4=YEAR(Inputs!$F$144)+Inputs!$F$152),Inputs!$F$153/100*Inputs!$F$149*Inputs!$F$154/1000*(1+Inputs!$F$187/100)^(Time!AE$4-Inputs!$F$186),0)</f>
        <v/>
      </c>
      <c r="AF292" s="20">
        <f>IF(OR(Time!AF$4=YEAR(Inputs!$F$144)+Inputs!$F$151,Time!AF$4=YEAR(Inputs!$F$144)+Inputs!$F$152),Inputs!$F$153/100*Inputs!$F$149*Inputs!$F$154/1000*(1+Inputs!$F$187/100)^(Time!AF$4-Inputs!$F$186),0)</f>
        <v/>
      </c>
      <c r="AG292" s="20">
        <f>IF(OR(Time!AG$4=YEAR(Inputs!$F$144)+Inputs!$F$151,Time!AG$4=YEAR(Inputs!$F$144)+Inputs!$F$152),Inputs!$F$153/100*Inputs!$F$149*Inputs!$F$154/1000*(1+Inputs!$F$187/100)^(Time!AG$4-Inputs!$F$186),0)</f>
        <v/>
      </c>
      <c r="AH292" s="20">
        <f>IF(OR(Time!AH$4=YEAR(Inputs!$F$144)+Inputs!$F$151,Time!AH$4=YEAR(Inputs!$F$144)+Inputs!$F$152),Inputs!$F$153/100*Inputs!$F$149*Inputs!$F$154/1000*(1+Inputs!$F$187/100)^(Time!AH$4-Inputs!$F$186),0)</f>
        <v/>
      </c>
      <c r="AI292" s="20">
        <f>IF(OR(Time!AI$4=YEAR(Inputs!$F$144)+Inputs!$F$151,Time!AI$4=YEAR(Inputs!$F$144)+Inputs!$F$152),Inputs!$F$153/100*Inputs!$F$149*Inputs!$F$154/1000*(1+Inputs!$F$187/100)^(Time!AI$4-Inputs!$F$186),0)</f>
        <v/>
      </c>
      <c r="AJ292" s="20">
        <f>IF(OR(Time!AJ$4=YEAR(Inputs!$F$144)+Inputs!$F$151,Time!AJ$4=YEAR(Inputs!$F$144)+Inputs!$F$152),Inputs!$F$153/100*Inputs!$F$149*Inputs!$F$154/1000*(1+Inputs!$F$187/100)^(Time!AJ$4-Inputs!$F$186),0)</f>
        <v/>
      </c>
      <c r="AK292" s="20">
        <f>IF(OR(Time!AK$4=YEAR(Inputs!$F$144)+Inputs!$F$151,Time!AK$4=YEAR(Inputs!$F$144)+Inputs!$F$152),Inputs!$F$153/100*Inputs!$F$149*Inputs!$F$154/1000*(1+Inputs!$F$187/100)^(Time!AK$4-Inputs!$F$186),0)</f>
        <v/>
      </c>
      <c r="AL292" s="20">
        <f>IF(OR(Time!AL$4=YEAR(Inputs!$F$144)+Inputs!$F$151,Time!AL$4=YEAR(Inputs!$F$144)+Inputs!$F$152),Inputs!$F$153/100*Inputs!$F$149*Inputs!$F$154/1000*(1+Inputs!$F$187/100)^(Time!AL$4-Inputs!$F$186),0)</f>
        <v/>
      </c>
      <c r="AM292" s="20">
        <f>IF(OR(Time!AM$4=YEAR(Inputs!$F$144)+Inputs!$F$151,Time!AM$4=YEAR(Inputs!$F$144)+Inputs!$F$152),Inputs!$F$153/100*Inputs!$F$149*Inputs!$F$154/1000*(1+Inputs!$F$187/100)^(Time!AM$4-Inputs!$F$186),0)</f>
        <v/>
      </c>
      <c r="AN292" s="20">
        <f>IF(OR(Time!AN$4=YEAR(Inputs!$F$144)+Inputs!$F$151,Time!AN$4=YEAR(Inputs!$F$144)+Inputs!$F$152),Inputs!$F$153/100*Inputs!$F$149*Inputs!$F$154/1000*(1+Inputs!$F$187/100)^(Time!AN$4-Inputs!$F$186),0)</f>
        <v/>
      </c>
      <c r="AO292" s="20">
        <f>IF(OR(Time!AO$4=YEAR(Inputs!$F$144)+Inputs!$F$151,Time!AO$4=YEAR(Inputs!$F$144)+Inputs!$F$152),Inputs!$F$153/100*Inputs!$F$149*Inputs!$F$154/1000*(1+Inputs!$F$187/100)^(Time!AO$4-Inputs!$F$186),0)</f>
        <v/>
      </c>
      <c r="AP292" s="20">
        <f>IF(OR(Time!AP$4=YEAR(Inputs!$F$144)+Inputs!$F$151,Time!AP$4=YEAR(Inputs!$F$144)+Inputs!$F$152),Inputs!$F$153/100*Inputs!$F$149*Inputs!$F$154/1000*(1+Inputs!$F$187/100)^(Time!AP$4-Inputs!$F$186),0)</f>
        <v/>
      </c>
      <c r="AQ292" s="20">
        <f>IF(OR(Time!AQ$4=YEAR(Inputs!$F$144)+Inputs!$F$151,Time!AQ$4=YEAR(Inputs!$F$144)+Inputs!$F$152),Inputs!$F$153/100*Inputs!$F$149*Inputs!$F$154/1000*(1+Inputs!$F$187/100)^(Time!AQ$4-Inputs!$F$186),0)</f>
        <v/>
      </c>
      <c r="AR292" s="20">
        <f>IF(OR(Time!AR$4=YEAR(Inputs!$F$144)+Inputs!$F$151,Time!AR$4=YEAR(Inputs!$F$144)+Inputs!$F$152),Inputs!$F$153/100*Inputs!$F$149*Inputs!$F$154/1000*(1+Inputs!$F$187/100)^(Time!AR$4-Inputs!$F$186),0)</f>
        <v/>
      </c>
      <c r="AS292" s="20">
        <f>IF(OR(Time!AS$4=YEAR(Inputs!$F$144)+Inputs!$F$151,Time!AS$4=YEAR(Inputs!$F$144)+Inputs!$F$152),Inputs!$F$153/100*Inputs!$F$149*Inputs!$F$154/1000*(1+Inputs!$F$187/100)^(Time!AS$4-Inputs!$F$186),0)</f>
        <v/>
      </c>
      <c r="AT292" s="20">
        <f>IF(OR(Time!AT$4=YEAR(Inputs!$F$144)+Inputs!$F$151,Time!AT$4=YEAR(Inputs!$F$144)+Inputs!$F$152),Inputs!$F$153/100*Inputs!$F$149*Inputs!$F$154/1000*(1+Inputs!$F$187/100)^(Time!AT$4-Inputs!$F$186),0)</f>
        <v/>
      </c>
      <c r="AU292" s="20">
        <f>IF(OR(Time!AU$4=YEAR(Inputs!$F$144)+Inputs!$F$151,Time!AU$4=YEAR(Inputs!$F$144)+Inputs!$F$152),Inputs!$F$153/100*Inputs!$F$149*Inputs!$F$154/1000*(1+Inputs!$F$187/100)^(Time!AU$4-Inputs!$F$186),0)</f>
        <v/>
      </c>
    </row>
    <row r="293">
      <c r="D293" t="inlineStr">
        <is>
          <t>R6 decommissioning at end of life</t>
        </is>
      </c>
      <c r="E293" t="inlineStr">
        <is>
          <t>USD m</t>
        </is>
      </c>
      <c r="J293" s="20">
        <f>IF(Time!J$4=YEAR(Inputs!$F$145),Inputs!$F$148*Inputs!$F$143/1000*Time!J$9,0)</f>
        <v/>
      </c>
      <c r="K293" s="20">
        <f>IF(Time!K$4=YEAR(Inputs!$F$145),Inputs!$F$148*Inputs!$F$143/1000*Time!K$9,0)</f>
        <v/>
      </c>
      <c r="L293" s="20">
        <f>IF(Time!L$4=YEAR(Inputs!$F$145),Inputs!$F$148*Inputs!$F$143/1000*Time!L$9,0)</f>
        <v/>
      </c>
      <c r="M293" s="20">
        <f>IF(Time!M$4=YEAR(Inputs!$F$145),Inputs!$F$148*Inputs!$F$143/1000*Time!M$9,0)</f>
        <v/>
      </c>
      <c r="N293" s="20">
        <f>IF(Time!N$4=YEAR(Inputs!$F$145),Inputs!$F$148*Inputs!$F$143/1000*Time!N$9,0)</f>
        <v/>
      </c>
      <c r="O293" s="20">
        <f>IF(Time!O$4=YEAR(Inputs!$F$145),Inputs!$F$148*Inputs!$F$143/1000*Time!O$9,0)</f>
        <v/>
      </c>
      <c r="P293" s="20">
        <f>IF(Time!P$4=YEAR(Inputs!$F$145),Inputs!$F$148*Inputs!$F$143/1000*Time!P$9,0)</f>
        <v/>
      </c>
      <c r="Q293" s="20">
        <f>IF(Time!Q$4=YEAR(Inputs!$F$145),Inputs!$F$148*Inputs!$F$143/1000*Time!Q$9,0)</f>
        <v/>
      </c>
      <c r="R293" s="20">
        <f>IF(Time!R$4=YEAR(Inputs!$F$145),Inputs!$F$148*Inputs!$F$143/1000*Time!R$9,0)</f>
        <v/>
      </c>
      <c r="S293" s="20">
        <f>IF(Time!S$4=YEAR(Inputs!$F$145),Inputs!$F$148*Inputs!$F$143/1000*Time!S$9,0)</f>
        <v/>
      </c>
      <c r="T293" s="20">
        <f>IF(Time!T$4=YEAR(Inputs!$F$145),Inputs!$F$148*Inputs!$F$143/1000*Time!T$9,0)</f>
        <v/>
      </c>
      <c r="U293" s="20">
        <f>IF(Time!U$4=YEAR(Inputs!$F$145),Inputs!$F$148*Inputs!$F$143/1000*Time!U$9,0)</f>
        <v/>
      </c>
      <c r="V293" s="20">
        <f>IF(Time!V$4=YEAR(Inputs!$F$145),Inputs!$F$148*Inputs!$F$143/1000*Time!V$9,0)</f>
        <v/>
      </c>
      <c r="W293" s="20">
        <f>IF(Time!W$4=YEAR(Inputs!$F$145),Inputs!$F$148*Inputs!$F$143/1000*Time!W$9,0)</f>
        <v/>
      </c>
      <c r="X293" s="20">
        <f>IF(Time!X$4=YEAR(Inputs!$F$145),Inputs!$F$148*Inputs!$F$143/1000*Time!X$9,0)</f>
        <v/>
      </c>
      <c r="Y293" s="20">
        <f>IF(Time!Y$4=YEAR(Inputs!$F$145),Inputs!$F$148*Inputs!$F$143/1000*Time!Y$9,0)</f>
        <v/>
      </c>
      <c r="Z293" s="20">
        <f>IF(Time!Z$4=YEAR(Inputs!$F$145),Inputs!$F$148*Inputs!$F$143/1000*Time!Z$9,0)</f>
        <v/>
      </c>
      <c r="AA293" s="20">
        <f>IF(Time!AA$4=YEAR(Inputs!$F$145),Inputs!$F$148*Inputs!$F$143/1000*Time!AA$9,0)</f>
        <v/>
      </c>
      <c r="AB293" s="20">
        <f>IF(Time!AB$4=YEAR(Inputs!$F$145),Inputs!$F$148*Inputs!$F$143/1000*Time!AB$9,0)</f>
        <v/>
      </c>
      <c r="AC293" s="20">
        <f>IF(Time!AC$4=YEAR(Inputs!$F$145),Inputs!$F$148*Inputs!$F$143/1000*Time!AC$9,0)</f>
        <v/>
      </c>
      <c r="AD293" s="20">
        <f>IF(Time!AD$4=YEAR(Inputs!$F$145),Inputs!$F$148*Inputs!$F$143/1000*Time!AD$9,0)</f>
        <v/>
      </c>
      <c r="AE293" s="20">
        <f>IF(Time!AE$4=YEAR(Inputs!$F$145),Inputs!$F$148*Inputs!$F$143/1000*Time!AE$9,0)</f>
        <v/>
      </c>
      <c r="AF293" s="20">
        <f>IF(Time!AF$4=YEAR(Inputs!$F$145),Inputs!$F$148*Inputs!$F$143/1000*Time!AF$9,0)</f>
        <v/>
      </c>
      <c r="AG293" s="20">
        <f>IF(Time!AG$4=YEAR(Inputs!$F$145),Inputs!$F$148*Inputs!$F$143/1000*Time!AG$9,0)</f>
        <v/>
      </c>
      <c r="AH293" s="20">
        <f>IF(Time!AH$4=YEAR(Inputs!$F$145),Inputs!$F$148*Inputs!$F$143/1000*Time!AH$9,0)</f>
        <v/>
      </c>
      <c r="AI293" s="20">
        <f>IF(Time!AI$4=YEAR(Inputs!$F$145),Inputs!$F$148*Inputs!$F$143/1000*Time!AI$9,0)</f>
        <v/>
      </c>
      <c r="AJ293" s="20">
        <f>IF(Time!AJ$4=YEAR(Inputs!$F$145),Inputs!$F$148*Inputs!$F$143/1000*Time!AJ$9,0)</f>
        <v/>
      </c>
      <c r="AK293" s="20">
        <f>IF(Time!AK$4=YEAR(Inputs!$F$145),Inputs!$F$148*Inputs!$F$143/1000*Time!AK$9,0)</f>
        <v/>
      </c>
      <c r="AL293" s="20">
        <f>IF(Time!AL$4=YEAR(Inputs!$F$145),Inputs!$F$148*Inputs!$F$143/1000*Time!AL$9,0)</f>
        <v/>
      </c>
      <c r="AM293" s="20">
        <f>IF(Time!AM$4=YEAR(Inputs!$F$145),Inputs!$F$148*Inputs!$F$143/1000*Time!AM$9,0)</f>
        <v/>
      </c>
      <c r="AN293" s="20">
        <f>IF(Time!AN$4=YEAR(Inputs!$F$145),Inputs!$F$148*Inputs!$F$143/1000*Time!AN$9,0)</f>
        <v/>
      </c>
      <c r="AO293" s="20">
        <f>IF(Time!AO$4=YEAR(Inputs!$F$145),Inputs!$F$148*Inputs!$F$143/1000*Time!AO$9,0)</f>
        <v/>
      </c>
      <c r="AP293" s="20">
        <f>IF(Time!AP$4=YEAR(Inputs!$F$145),Inputs!$F$148*Inputs!$F$143/1000*Time!AP$9,0)</f>
        <v/>
      </c>
      <c r="AQ293" s="20">
        <f>IF(Time!AQ$4=YEAR(Inputs!$F$145),Inputs!$F$148*Inputs!$F$143/1000*Time!AQ$9,0)</f>
        <v/>
      </c>
      <c r="AR293" s="20">
        <f>IF(Time!AR$4=YEAR(Inputs!$F$145),Inputs!$F$148*Inputs!$F$143/1000*Time!AR$9,0)</f>
        <v/>
      </c>
      <c r="AS293" s="20">
        <f>IF(Time!AS$4=YEAR(Inputs!$F$145),Inputs!$F$148*Inputs!$F$143/1000*Time!AS$9,0)</f>
        <v/>
      </c>
      <c r="AT293" s="20">
        <f>IF(Time!AT$4=YEAR(Inputs!$F$145),Inputs!$F$148*Inputs!$F$143/1000*Time!AT$9,0)</f>
        <v/>
      </c>
      <c r="AU293" s="20">
        <f>IF(Time!AU$4=YEAR(Inputs!$F$145),Inputs!$F$148*Inputs!$F$143/1000*Time!AU$9,0)</f>
        <v/>
      </c>
    </row>
    <row r="294">
      <c r="D294" t="inlineStr">
        <is>
          <t>R6 pre-tax cash flow, 100% of asset</t>
        </is>
      </c>
      <c r="E294" t="inlineStr">
        <is>
          <t>USD m</t>
        </is>
      </c>
      <c r="G294" s="20">
        <f>SUM(J294:AU294)</f>
        <v/>
      </c>
      <c r="J294" s="20">
        <f>Operations!J291-Operations!J292-Operations!J293</f>
        <v/>
      </c>
      <c r="K294" s="20">
        <f>Operations!K291-Operations!K292-Operations!K293</f>
        <v/>
      </c>
      <c r="L294" s="20">
        <f>Operations!L291-Operations!L292-Operations!L293</f>
        <v/>
      </c>
      <c r="M294" s="20">
        <f>Operations!M291-Operations!M292-Operations!M293</f>
        <v/>
      </c>
      <c r="N294" s="20">
        <f>Operations!N291-Operations!N292-Operations!N293</f>
        <v/>
      </c>
      <c r="O294" s="20">
        <f>Operations!O291-Operations!O292-Operations!O293</f>
        <v/>
      </c>
      <c r="P294" s="20">
        <f>Operations!P291-Operations!P292-Operations!P293</f>
        <v/>
      </c>
      <c r="Q294" s="20">
        <f>Operations!Q291-Operations!Q292-Operations!Q293</f>
        <v/>
      </c>
      <c r="R294" s="20">
        <f>Operations!R291-Operations!R292-Operations!R293</f>
        <v/>
      </c>
      <c r="S294" s="20">
        <f>Operations!S291-Operations!S292-Operations!S293</f>
        <v/>
      </c>
      <c r="T294" s="20">
        <f>Operations!T291-Operations!T292-Operations!T293</f>
        <v/>
      </c>
      <c r="U294" s="20">
        <f>Operations!U291-Operations!U292-Operations!U293</f>
        <v/>
      </c>
      <c r="V294" s="20">
        <f>Operations!V291-Operations!V292-Operations!V293</f>
        <v/>
      </c>
      <c r="W294" s="20">
        <f>Operations!W291-Operations!W292-Operations!W293</f>
        <v/>
      </c>
      <c r="X294" s="20">
        <f>Operations!X291-Operations!X292-Operations!X293</f>
        <v/>
      </c>
      <c r="Y294" s="20">
        <f>Operations!Y291-Operations!Y292-Operations!Y293</f>
        <v/>
      </c>
      <c r="Z294" s="20">
        <f>Operations!Z291-Operations!Z292-Operations!Z293</f>
        <v/>
      </c>
      <c r="AA294" s="20">
        <f>Operations!AA291-Operations!AA292-Operations!AA293</f>
        <v/>
      </c>
      <c r="AB294" s="20">
        <f>Operations!AB291-Operations!AB292-Operations!AB293</f>
        <v/>
      </c>
      <c r="AC294" s="20">
        <f>Operations!AC291-Operations!AC292-Operations!AC293</f>
        <v/>
      </c>
      <c r="AD294" s="20">
        <f>Operations!AD291-Operations!AD292-Operations!AD293</f>
        <v/>
      </c>
      <c r="AE294" s="20">
        <f>Operations!AE291-Operations!AE292-Operations!AE293</f>
        <v/>
      </c>
      <c r="AF294" s="20">
        <f>Operations!AF291-Operations!AF292-Operations!AF293</f>
        <v/>
      </c>
      <c r="AG294" s="20">
        <f>Operations!AG291-Operations!AG292-Operations!AG293</f>
        <v/>
      </c>
      <c r="AH294" s="20">
        <f>Operations!AH291-Operations!AH292-Operations!AH293</f>
        <v/>
      </c>
      <c r="AI294" s="20">
        <f>Operations!AI291-Operations!AI292-Operations!AI293</f>
        <v/>
      </c>
      <c r="AJ294" s="20">
        <f>Operations!AJ291-Operations!AJ292-Operations!AJ293</f>
        <v/>
      </c>
      <c r="AK294" s="20">
        <f>Operations!AK291-Operations!AK292-Operations!AK293</f>
        <v/>
      </c>
      <c r="AL294" s="20">
        <f>Operations!AL291-Operations!AL292-Operations!AL293</f>
        <v/>
      </c>
      <c r="AM294" s="20">
        <f>Operations!AM291-Operations!AM292-Operations!AM293</f>
        <v/>
      </c>
      <c r="AN294" s="20">
        <f>Operations!AN291-Operations!AN292-Operations!AN293</f>
        <v/>
      </c>
      <c r="AO294" s="20">
        <f>Operations!AO291-Operations!AO292-Operations!AO293</f>
        <v/>
      </c>
      <c r="AP294" s="20">
        <f>Operations!AP291-Operations!AP292-Operations!AP293</f>
        <v/>
      </c>
      <c r="AQ294" s="20">
        <f>Operations!AQ291-Operations!AQ292-Operations!AQ293</f>
        <v/>
      </c>
      <c r="AR294" s="20">
        <f>Operations!AR291-Operations!AR292-Operations!AR293</f>
        <v/>
      </c>
      <c r="AS294" s="20">
        <f>Operations!AS291-Operations!AS292-Operations!AS293</f>
        <v/>
      </c>
      <c r="AT294" s="20">
        <f>Operations!AT291-Operations!AT292-Operations!AT293</f>
        <v/>
      </c>
      <c r="AU294" s="20">
        <f>Operations!AU291-Operations!AU292-Operations!AU293</f>
        <v/>
      </c>
    </row>
    <row r="295">
      <c r="D295" t="inlineStr">
        <is>
          <t>R6 tax equity cash share</t>
        </is>
      </c>
      <c r="E295" t="inlineStr">
        <is>
          <t>fraction</t>
        </is>
      </c>
      <c r="J295" s="14">
        <f>0</f>
        <v/>
      </c>
      <c r="K295" s="14">
        <f>0</f>
        <v/>
      </c>
      <c r="L295" s="14">
        <f>0</f>
        <v/>
      </c>
      <c r="M295" s="14">
        <f>0</f>
        <v/>
      </c>
      <c r="N295" s="14">
        <f>0</f>
        <v/>
      </c>
      <c r="O295" s="14">
        <f>0</f>
        <v/>
      </c>
      <c r="P295" s="14">
        <f>0</f>
        <v/>
      </c>
      <c r="Q295" s="14">
        <f>0</f>
        <v/>
      </c>
      <c r="R295" s="14">
        <f>0</f>
        <v/>
      </c>
      <c r="S295" s="14">
        <f>0</f>
        <v/>
      </c>
      <c r="T295" s="14">
        <f>0</f>
        <v/>
      </c>
      <c r="U295" s="14">
        <f>0</f>
        <v/>
      </c>
      <c r="V295" s="14">
        <f>0</f>
        <v/>
      </c>
      <c r="W295" s="14">
        <f>0</f>
        <v/>
      </c>
      <c r="X295" s="14">
        <f>0</f>
        <v/>
      </c>
      <c r="Y295" s="14">
        <f>0</f>
        <v/>
      </c>
      <c r="Z295" s="14">
        <f>0</f>
        <v/>
      </c>
      <c r="AA295" s="14">
        <f>0</f>
        <v/>
      </c>
      <c r="AB295" s="14">
        <f>0</f>
        <v/>
      </c>
      <c r="AC295" s="14">
        <f>0</f>
        <v/>
      </c>
      <c r="AD295" s="14">
        <f>0</f>
        <v/>
      </c>
      <c r="AE295" s="14">
        <f>0</f>
        <v/>
      </c>
      <c r="AF295" s="14">
        <f>0</f>
        <v/>
      </c>
      <c r="AG295" s="14">
        <f>0</f>
        <v/>
      </c>
      <c r="AH295" s="14">
        <f>0</f>
        <v/>
      </c>
      <c r="AI295" s="14">
        <f>0</f>
        <v/>
      </c>
      <c r="AJ295" s="14">
        <f>0</f>
        <v/>
      </c>
      <c r="AK295" s="14">
        <f>0</f>
        <v/>
      </c>
      <c r="AL295" s="14">
        <f>0</f>
        <v/>
      </c>
      <c r="AM295" s="14">
        <f>0</f>
        <v/>
      </c>
      <c r="AN295" s="14">
        <f>0</f>
        <v/>
      </c>
      <c r="AO295" s="14">
        <f>0</f>
        <v/>
      </c>
      <c r="AP295" s="14">
        <f>0</f>
        <v/>
      </c>
      <c r="AQ295" s="14">
        <f>0</f>
        <v/>
      </c>
      <c r="AR295" s="14">
        <f>0</f>
        <v/>
      </c>
      <c r="AS295" s="14">
        <f>0</f>
        <v/>
      </c>
      <c r="AT295" s="14">
        <f>0</f>
        <v/>
      </c>
      <c r="AU295" s="14">
        <f>0</f>
        <v/>
      </c>
    </row>
    <row r="296">
      <c r="D296" t="inlineStr">
        <is>
          <t>R6 Mesa share of taxable income</t>
        </is>
      </c>
      <c r="E296" t="inlineStr">
        <is>
          <t>fraction</t>
        </is>
      </c>
      <c r="J296" s="14">
        <f>1</f>
        <v/>
      </c>
      <c r="K296" s="14">
        <f>1</f>
        <v/>
      </c>
      <c r="L296" s="14">
        <f>1</f>
        <v/>
      </c>
      <c r="M296" s="14">
        <f>1</f>
        <v/>
      </c>
      <c r="N296" s="14">
        <f>1</f>
        <v/>
      </c>
      <c r="O296" s="14">
        <f>1</f>
        <v/>
      </c>
      <c r="P296" s="14">
        <f>1</f>
        <v/>
      </c>
      <c r="Q296" s="14">
        <f>1</f>
        <v/>
      </c>
      <c r="R296" s="14">
        <f>1</f>
        <v/>
      </c>
      <c r="S296" s="14">
        <f>1</f>
        <v/>
      </c>
      <c r="T296" s="14">
        <f>1</f>
        <v/>
      </c>
      <c r="U296" s="14">
        <f>1</f>
        <v/>
      </c>
      <c r="V296" s="14">
        <f>1</f>
        <v/>
      </c>
      <c r="W296" s="14">
        <f>1</f>
        <v/>
      </c>
      <c r="X296" s="14">
        <f>1</f>
        <v/>
      </c>
      <c r="Y296" s="14">
        <f>1</f>
        <v/>
      </c>
      <c r="Z296" s="14">
        <f>1</f>
        <v/>
      </c>
      <c r="AA296" s="14">
        <f>1</f>
        <v/>
      </c>
      <c r="AB296" s="14">
        <f>1</f>
        <v/>
      </c>
      <c r="AC296" s="14">
        <f>1</f>
        <v/>
      </c>
      <c r="AD296" s="14">
        <f>1</f>
        <v/>
      </c>
      <c r="AE296" s="14">
        <f>1</f>
        <v/>
      </c>
      <c r="AF296" s="14">
        <f>1</f>
        <v/>
      </c>
      <c r="AG296" s="14">
        <f>1</f>
        <v/>
      </c>
      <c r="AH296" s="14">
        <f>1</f>
        <v/>
      </c>
      <c r="AI296" s="14">
        <f>1</f>
        <v/>
      </c>
      <c r="AJ296" s="14">
        <f>1</f>
        <v/>
      </c>
      <c r="AK296" s="14">
        <f>1</f>
        <v/>
      </c>
      <c r="AL296" s="14">
        <f>1</f>
        <v/>
      </c>
      <c r="AM296" s="14">
        <f>1</f>
        <v/>
      </c>
      <c r="AN296" s="14">
        <f>1</f>
        <v/>
      </c>
      <c r="AO296" s="14">
        <f>1</f>
        <v/>
      </c>
      <c r="AP296" s="14">
        <f>1</f>
        <v/>
      </c>
      <c r="AQ296" s="14">
        <f>1</f>
        <v/>
      </c>
      <c r="AR296" s="14">
        <f>1</f>
        <v/>
      </c>
      <c r="AS296" s="14">
        <f>1</f>
        <v/>
      </c>
      <c r="AT296" s="14">
        <f>1</f>
        <v/>
      </c>
      <c r="AU296" s="14">
        <f>1</f>
        <v/>
      </c>
    </row>
    <row r="297">
      <c r="D297" t="inlineStr">
        <is>
          <t>R6 Mesa share of cash flow</t>
        </is>
      </c>
      <c r="E297" t="inlineStr">
        <is>
          <t>USD m</t>
        </is>
      </c>
      <c r="G297" s="20">
        <f>SUM(J297:AU297)</f>
        <v/>
      </c>
      <c r="J297" s="20">
        <f>Operations!J294*(1-Operations!J295)*Operations!J278</f>
        <v/>
      </c>
      <c r="K297" s="20">
        <f>Operations!K294*(1-Operations!K295)*Operations!K278</f>
        <v/>
      </c>
      <c r="L297" s="20">
        <f>Operations!L294*(1-Operations!L295)*Operations!L278</f>
        <v/>
      </c>
      <c r="M297" s="20">
        <f>Operations!M294*(1-Operations!M295)*Operations!M278</f>
        <v/>
      </c>
      <c r="N297" s="20">
        <f>Operations!N294*(1-Operations!N295)*Operations!N278</f>
        <v/>
      </c>
      <c r="O297" s="20">
        <f>Operations!O294*(1-Operations!O295)*Operations!O278</f>
        <v/>
      </c>
      <c r="P297" s="20">
        <f>Operations!P294*(1-Operations!P295)*Operations!P278</f>
        <v/>
      </c>
      <c r="Q297" s="20">
        <f>Operations!Q294*(1-Operations!Q295)*Operations!Q278</f>
        <v/>
      </c>
      <c r="R297" s="20">
        <f>Operations!R294*(1-Operations!R295)*Operations!R278</f>
        <v/>
      </c>
      <c r="S297" s="20">
        <f>Operations!S294*(1-Operations!S295)*Operations!S278</f>
        <v/>
      </c>
      <c r="T297" s="20">
        <f>Operations!T294*(1-Operations!T295)*Operations!T278</f>
        <v/>
      </c>
      <c r="U297" s="20">
        <f>Operations!U294*(1-Operations!U295)*Operations!U278</f>
        <v/>
      </c>
      <c r="V297" s="20">
        <f>Operations!V294*(1-Operations!V295)*Operations!V278</f>
        <v/>
      </c>
      <c r="W297" s="20">
        <f>Operations!W294*(1-Operations!W295)*Operations!W278</f>
        <v/>
      </c>
      <c r="X297" s="20">
        <f>Operations!X294*(1-Operations!X295)*Operations!X278</f>
        <v/>
      </c>
      <c r="Y297" s="20">
        <f>Operations!Y294*(1-Operations!Y295)*Operations!Y278</f>
        <v/>
      </c>
      <c r="Z297" s="20">
        <f>Operations!Z294*(1-Operations!Z295)*Operations!Z278</f>
        <v/>
      </c>
      <c r="AA297" s="20">
        <f>Operations!AA294*(1-Operations!AA295)*Operations!AA278</f>
        <v/>
      </c>
      <c r="AB297" s="20">
        <f>Operations!AB294*(1-Operations!AB295)*Operations!AB278</f>
        <v/>
      </c>
      <c r="AC297" s="20">
        <f>Operations!AC294*(1-Operations!AC295)*Operations!AC278</f>
        <v/>
      </c>
      <c r="AD297" s="20">
        <f>Operations!AD294*(1-Operations!AD295)*Operations!AD278</f>
        <v/>
      </c>
      <c r="AE297" s="20">
        <f>Operations!AE294*(1-Operations!AE295)*Operations!AE278</f>
        <v/>
      </c>
      <c r="AF297" s="20">
        <f>Operations!AF294*(1-Operations!AF295)*Operations!AF278</f>
        <v/>
      </c>
      <c r="AG297" s="20">
        <f>Operations!AG294*(1-Operations!AG295)*Operations!AG278</f>
        <v/>
      </c>
      <c r="AH297" s="20">
        <f>Operations!AH294*(1-Operations!AH295)*Operations!AH278</f>
        <v/>
      </c>
      <c r="AI297" s="20">
        <f>Operations!AI294*(1-Operations!AI295)*Operations!AI278</f>
        <v/>
      </c>
      <c r="AJ297" s="20">
        <f>Operations!AJ294*(1-Operations!AJ295)*Operations!AJ278</f>
        <v/>
      </c>
      <c r="AK297" s="20">
        <f>Operations!AK294*(1-Operations!AK295)*Operations!AK278</f>
        <v/>
      </c>
      <c r="AL297" s="20">
        <f>Operations!AL294*(1-Operations!AL295)*Operations!AL278</f>
        <v/>
      </c>
      <c r="AM297" s="20">
        <f>Operations!AM294*(1-Operations!AM295)*Operations!AM278</f>
        <v/>
      </c>
      <c r="AN297" s="20">
        <f>Operations!AN294*(1-Operations!AN295)*Operations!AN278</f>
        <v/>
      </c>
      <c r="AO297" s="20">
        <f>Operations!AO294*(1-Operations!AO295)*Operations!AO278</f>
        <v/>
      </c>
      <c r="AP297" s="20">
        <f>Operations!AP294*(1-Operations!AP295)*Operations!AP278</f>
        <v/>
      </c>
      <c r="AQ297" s="20">
        <f>Operations!AQ294*(1-Operations!AQ295)*Operations!AQ278</f>
        <v/>
      </c>
      <c r="AR297" s="20">
        <f>Operations!AR294*(1-Operations!AR295)*Operations!AR278</f>
        <v/>
      </c>
      <c r="AS297" s="20">
        <f>Operations!AS294*(1-Operations!AS295)*Operations!AS278</f>
        <v/>
      </c>
      <c r="AT297" s="20">
        <f>Operations!AT294*(1-Operations!AT295)*Operations!AT278</f>
        <v/>
      </c>
      <c r="AU297" s="20">
        <f>Operations!AU294*(1-Operations!AU295)*Operations!AU278</f>
        <v/>
      </c>
    </row>
    <row r="298">
      <c r="D298" t="inlineStr">
        <is>
          <t>R6 Mesa taxable operating income</t>
        </is>
      </c>
      <c r="E298" t="inlineStr">
        <is>
          <t>USD m</t>
        </is>
      </c>
      <c r="J298" s="20">
        <f>Operations!J294*Operations!J296*Operations!J278</f>
        <v/>
      </c>
      <c r="K298" s="20">
        <f>Operations!K294*Operations!K296*Operations!K278</f>
        <v/>
      </c>
      <c r="L298" s="20">
        <f>Operations!L294*Operations!L296*Operations!L278</f>
        <v/>
      </c>
      <c r="M298" s="20">
        <f>Operations!M294*Operations!M296*Operations!M278</f>
        <v/>
      </c>
      <c r="N298" s="20">
        <f>Operations!N294*Operations!N296*Operations!N278</f>
        <v/>
      </c>
      <c r="O298" s="20">
        <f>Operations!O294*Operations!O296*Operations!O278</f>
        <v/>
      </c>
      <c r="P298" s="20">
        <f>Operations!P294*Operations!P296*Operations!P278</f>
        <v/>
      </c>
      <c r="Q298" s="20">
        <f>Operations!Q294*Operations!Q296*Operations!Q278</f>
        <v/>
      </c>
      <c r="R298" s="20">
        <f>Operations!R294*Operations!R296*Operations!R278</f>
        <v/>
      </c>
      <c r="S298" s="20">
        <f>Operations!S294*Operations!S296*Operations!S278</f>
        <v/>
      </c>
      <c r="T298" s="20">
        <f>Operations!T294*Operations!T296*Operations!T278</f>
        <v/>
      </c>
      <c r="U298" s="20">
        <f>Operations!U294*Operations!U296*Operations!U278</f>
        <v/>
      </c>
      <c r="V298" s="20">
        <f>Operations!V294*Operations!V296*Operations!V278</f>
        <v/>
      </c>
      <c r="W298" s="20">
        <f>Operations!W294*Operations!W296*Operations!W278</f>
        <v/>
      </c>
      <c r="X298" s="20">
        <f>Operations!X294*Operations!X296*Operations!X278</f>
        <v/>
      </c>
      <c r="Y298" s="20">
        <f>Operations!Y294*Operations!Y296*Operations!Y278</f>
        <v/>
      </c>
      <c r="Z298" s="20">
        <f>Operations!Z294*Operations!Z296*Operations!Z278</f>
        <v/>
      </c>
      <c r="AA298" s="20">
        <f>Operations!AA294*Operations!AA296*Operations!AA278</f>
        <v/>
      </c>
      <c r="AB298" s="20">
        <f>Operations!AB294*Operations!AB296*Operations!AB278</f>
        <v/>
      </c>
      <c r="AC298" s="20">
        <f>Operations!AC294*Operations!AC296*Operations!AC278</f>
        <v/>
      </c>
      <c r="AD298" s="20">
        <f>Operations!AD294*Operations!AD296*Operations!AD278</f>
        <v/>
      </c>
      <c r="AE298" s="20">
        <f>Operations!AE294*Operations!AE296*Operations!AE278</f>
        <v/>
      </c>
      <c r="AF298" s="20">
        <f>Operations!AF294*Operations!AF296*Operations!AF278</f>
        <v/>
      </c>
      <c r="AG298" s="20">
        <f>Operations!AG294*Operations!AG296*Operations!AG278</f>
        <v/>
      </c>
      <c r="AH298" s="20">
        <f>Operations!AH294*Operations!AH296*Operations!AH278</f>
        <v/>
      </c>
      <c r="AI298" s="20">
        <f>Operations!AI294*Operations!AI296*Operations!AI278</f>
        <v/>
      </c>
      <c r="AJ298" s="20">
        <f>Operations!AJ294*Operations!AJ296*Operations!AJ278</f>
        <v/>
      </c>
      <c r="AK298" s="20">
        <f>Operations!AK294*Operations!AK296*Operations!AK278</f>
        <v/>
      </c>
      <c r="AL298" s="20">
        <f>Operations!AL294*Operations!AL296*Operations!AL278</f>
        <v/>
      </c>
      <c r="AM298" s="20">
        <f>Operations!AM294*Operations!AM296*Operations!AM278</f>
        <v/>
      </c>
      <c r="AN298" s="20">
        <f>Operations!AN294*Operations!AN296*Operations!AN278</f>
        <v/>
      </c>
      <c r="AO298" s="20">
        <f>Operations!AO294*Operations!AO296*Operations!AO278</f>
        <v/>
      </c>
      <c r="AP298" s="20">
        <f>Operations!AP294*Operations!AP296*Operations!AP278</f>
        <v/>
      </c>
      <c r="AQ298" s="20">
        <f>Operations!AQ294*Operations!AQ296*Operations!AQ278</f>
        <v/>
      </c>
      <c r="AR298" s="20">
        <f>Operations!AR294*Operations!AR296*Operations!AR278</f>
        <v/>
      </c>
      <c r="AS298" s="20">
        <f>Operations!AS294*Operations!AS296*Operations!AS278</f>
        <v/>
      </c>
      <c r="AT298" s="20">
        <f>Operations!AT294*Operations!AT296*Operations!AT278</f>
        <v/>
      </c>
      <c r="AU298" s="20">
        <f>Operations!AU294*Operations!AU296*Operations!AU278</f>
        <v/>
      </c>
    </row>
    <row r="299">
      <c r="D299" t="inlineStr">
        <is>
          <t>R6 Mesa unlevered post-tax cash flow (before price shield)</t>
        </is>
      </c>
      <c r="E299" t="inlineStr">
        <is>
          <t>USD m</t>
        </is>
      </c>
      <c r="J299" s="20">
        <f>Operations!J297-Inputs!$F$241/100*Operations!J298</f>
        <v/>
      </c>
      <c r="K299" s="20">
        <f>Operations!K297-Inputs!$F$241/100*Operations!K298</f>
        <v/>
      </c>
      <c r="L299" s="20">
        <f>Operations!L297-Inputs!$F$241/100*Operations!L298</f>
        <v/>
      </c>
      <c r="M299" s="20">
        <f>Operations!M297-Inputs!$F$241/100*Operations!M298</f>
        <v/>
      </c>
      <c r="N299" s="20">
        <f>Operations!N297-Inputs!$F$241/100*Operations!N298</f>
        <v/>
      </c>
      <c r="O299" s="20">
        <f>Operations!O297-Inputs!$F$241/100*Operations!O298</f>
        <v/>
      </c>
      <c r="P299" s="20">
        <f>Operations!P297-Inputs!$F$241/100*Operations!P298</f>
        <v/>
      </c>
      <c r="Q299" s="20">
        <f>Operations!Q297-Inputs!$F$241/100*Operations!Q298</f>
        <v/>
      </c>
      <c r="R299" s="20">
        <f>Operations!R297-Inputs!$F$241/100*Operations!R298</f>
        <v/>
      </c>
      <c r="S299" s="20">
        <f>Operations!S297-Inputs!$F$241/100*Operations!S298</f>
        <v/>
      </c>
      <c r="T299" s="20">
        <f>Operations!T297-Inputs!$F$241/100*Operations!T298</f>
        <v/>
      </c>
      <c r="U299" s="20">
        <f>Operations!U297-Inputs!$F$241/100*Operations!U298</f>
        <v/>
      </c>
      <c r="V299" s="20">
        <f>Operations!V297-Inputs!$F$241/100*Operations!V298</f>
        <v/>
      </c>
      <c r="W299" s="20">
        <f>Operations!W297-Inputs!$F$241/100*Operations!W298</f>
        <v/>
      </c>
      <c r="X299" s="20">
        <f>Operations!X297-Inputs!$F$241/100*Operations!X298</f>
        <v/>
      </c>
      <c r="Y299" s="20">
        <f>Operations!Y297-Inputs!$F$241/100*Operations!Y298</f>
        <v/>
      </c>
      <c r="Z299" s="20">
        <f>Operations!Z297-Inputs!$F$241/100*Operations!Z298</f>
        <v/>
      </c>
      <c r="AA299" s="20">
        <f>Operations!AA297-Inputs!$F$241/100*Operations!AA298</f>
        <v/>
      </c>
      <c r="AB299" s="20">
        <f>Operations!AB297-Inputs!$F$241/100*Operations!AB298</f>
        <v/>
      </c>
      <c r="AC299" s="20">
        <f>Operations!AC297-Inputs!$F$241/100*Operations!AC298</f>
        <v/>
      </c>
      <c r="AD299" s="20">
        <f>Operations!AD297-Inputs!$F$241/100*Operations!AD298</f>
        <v/>
      </c>
      <c r="AE299" s="20">
        <f>Operations!AE297-Inputs!$F$241/100*Operations!AE298</f>
        <v/>
      </c>
      <c r="AF299" s="20">
        <f>Operations!AF297-Inputs!$F$241/100*Operations!AF298</f>
        <v/>
      </c>
      <c r="AG299" s="20">
        <f>Operations!AG297-Inputs!$F$241/100*Operations!AG298</f>
        <v/>
      </c>
      <c r="AH299" s="20">
        <f>Operations!AH297-Inputs!$F$241/100*Operations!AH298</f>
        <v/>
      </c>
      <c r="AI299" s="20">
        <f>Operations!AI297-Inputs!$F$241/100*Operations!AI298</f>
        <v/>
      </c>
      <c r="AJ299" s="20">
        <f>Operations!AJ297-Inputs!$F$241/100*Operations!AJ298</f>
        <v/>
      </c>
      <c r="AK299" s="20">
        <f>Operations!AK297-Inputs!$F$241/100*Operations!AK298</f>
        <v/>
      </c>
      <c r="AL299" s="20">
        <f>Operations!AL297-Inputs!$F$241/100*Operations!AL298</f>
        <v/>
      </c>
      <c r="AM299" s="20">
        <f>Operations!AM297-Inputs!$F$241/100*Operations!AM298</f>
        <v/>
      </c>
      <c r="AN299" s="20">
        <f>Operations!AN297-Inputs!$F$241/100*Operations!AN298</f>
        <v/>
      </c>
      <c r="AO299" s="20">
        <f>Operations!AO297-Inputs!$F$241/100*Operations!AO298</f>
        <v/>
      </c>
      <c r="AP299" s="20">
        <f>Operations!AP297-Inputs!$F$241/100*Operations!AP298</f>
        <v/>
      </c>
      <c r="AQ299" s="20">
        <f>Operations!AQ297-Inputs!$F$241/100*Operations!AQ298</f>
        <v/>
      </c>
      <c r="AR299" s="20">
        <f>Operations!AR297-Inputs!$F$241/100*Operations!AR298</f>
        <v/>
      </c>
      <c r="AS299" s="20">
        <f>Operations!AS297-Inputs!$F$241/100*Operations!AS298</f>
        <v/>
      </c>
      <c r="AT299" s="20">
        <f>Operations!AT297-Inputs!$F$241/100*Operations!AT298</f>
        <v/>
      </c>
      <c r="AU299" s="20">
        <f>Operations!AU297-Inputs!$F$241/100*Operations!AU298</f>
        <v/>
      </c>
    </row>
    <row r="300">
      <c r="D300" t="inlineStr">
        <is>
          <t>R6 contracted share of revenue</t>
        </is>
      </c>
      <c r="E300" t="inlineStr">
        <is>
          <t>fraction</t>
        </is>
      </c>
      <c r="J300" s="14">
        <f>IF(Operations!J285=0,0,Operations!J283/Operations!J285)</f>
        <v/>
      </c>
      <c r="K300" s="14">
        <f>IF(Operations!K285=0,0,Operations!K283/Operations!K285)</f>
        <v/>
      </c>
      <c r="L300" s="14">
        <f>IF(Operations!L285=0,0,Operations!L283/Operations!L285)</f>
        <v/>
      </c>
      <c r="M300" s="14">
        <f>IF(Operations!M285=0,0,Operations!M283/Operations!M285)</f>
        <v/>
      </c>
      <c r="N300" s="14">
        <f>IF(Operations!N285=0,0,Operations!N283/Operations!N285)</f>
        <v/>
      </c>
      <c r="O300" s="14">
        <f>IF(Operations!O285=0,0,Operations!O283/Operations!O285)</f>
        <v/>
      </c>
      <c r="P300" s="14">
        <f>IF(Operations!P285=0,0,Operations!P283/Operations!P285)</f>
        <v/>
      </c>
      <c r="Q300" s="14">
        <f>IF(Operations!Q285=0,0,Operations!Q283/Operations!Q285)</f>
        <v/>
      </c>
      <c r="R300" s="14">
        <f>IF(Operations!R285=0,0,Operations!R283/Operations!R285)</f>
        <v/>
      </c>
      <c r="S300" s="14">
        <f>IF(Operations!S285=0,0,Operations!S283/Operations!S285)</f>
        <v/>
      </c>
      <c r="T300" s="14">
        <f>IF(Operations!T285=0,0,Operations!T283/Operations!T285)</f>
        <v/>
      </c>
      <c r="U300" s="14">
        <f>IF(Operations!U285=0,0,Operations!U283/Operations!U285)</f>
        <v/>
      </c>
      <c r="V300" s="14">
        <f>IF(Operations!V285=0,0,Operations!V283/Operations!V285)</f>
        <v/>
      </c>
      <c r="W300" s="14">
        <f>IF(Operations!W285=0,0,Operations!W283/Operations!W285)</f>
        <v/>
      </c>
      <c r="X300" s="14">
        <f>IF(Operations!X285=0,0,Operations!X283/Operations!X285)</f>
        <v/>
      </c>
      <c r="Y300" s="14">
        <f>IF(Operations!Y285=0,0,Operations!Y283/Operations!Y285)</f>
        <v/>
      </c>
      <c r="Z300" s="14">
        <f>IF(Operations!Z285=0,0,Operations!Z283/Operations!Z285)</f>
        <v/>
      </c>
      <c r="AA300" s="14">
        <f>IF(Operations!AA285=0,0,Operations!AA283/Operations!AA285)</f>
        <v/>
      </c>
      <c r="AB300" s="14">
        <f>IF(Operations!AB285=0,0,Operations!AB283/Operations!AB285)</f>
        <v/>
      </c>
      <c r="AC300" s="14">
        <f>IF(Operations!AC285=0,0,Operations!AC283/Operations!AC285)</f>
        <v/>
      </c>
      <c r="AD300" s="14">
        <f>IF(Operations!AD285=0,0,Operations!AD283/Operations!AD285)</f>
        <v/>
      </c>
      <c r="AE300" s="14">
        <f>IF(Operations!AE285=0,0,Operations!AE283/Operations!AE285)</f>
        <v/>
      </c>
      <c r="AF300" s="14">
        <f>IF(Operations!AF285=0,0,Operations!AF283/Operations!AF285)</f>
        <v/>
      </c>
      <c r="AG300" s="14">
        <f>IF(Operations!AG285=0,0,Operations!AG283/Operations!AG285)</f>
        <v/>
      </c>
      <c r="AH300" s="14">
        <f>IF(Operations!AH285=0,0,Operations!AH283/Operations!AH285)</f>
        <v/>
      </c>
      <c r="AI300" s="14">
        <f>IF(Operations!AI285=0,0,Operations!AI283/Operations!AI285)</f>
        <v/>
      </c>
      <c r="AJ300" s="14">
        <f>IF(Operations!AJ285=0,0,Operations!AJ283/Operations!AJ285)</f>
        <v/>
      </c>
      <c r="AK300" s="14">
        <f>IF(Operations!AK285=0,0,Operations!AK283/Operations!AK285)</f>
        <v/>
      </c>
      <c r="AL300" s="14">
        <f>IF(Operations!AL285=0,0,Operations!AL283/Operations!AL285)</f>
        <v/>
      </c>
      <c r="AM300" s="14">
        <f>IF(Operations!AM285=0,0,Operations!AM283/Operations!AM285)</f>
        <v/>
      </c>
      <c r="AN300" s="14">
        <f>IF(Operations!AN285=0,0,Operations!AN283/Operations!AN285)</f>
        <v/>
      </c>
      <c r="AO300" s="14">
        <f>IF(Operations!AO285=0,0,Operations!AO283/Operations!AO285)</f>
        <v/>
      </c>
      <c r="AP300" s="14">
        <f>IF(Operations!AP285=0,0,Operations!AP283/Operations!AP285)</f>
        <v/>
      </c>
      <c r="AQ300" s="14">
        <f>IF(Operations!AQ285=0,0,Operations!AQ283/Operations!AQ285)</f>
        <v/>
      </c>
      <c r="AR300" s="14">
        <f>IF(Operations!AR285=0,0,Operations!AR283/Operations!AR285)</f>
        <v/>
      </c>
      <c r="AS300" s="14">
        <f>IF(Operations!AS285=0,0,Operations!AS283/Operations!AS285)</f>
        <v/>
      </c>
      <c r="AT300" s="14">
        <f>IF(Operations!AT285=0,0,Operations!AT283/Operations!AT285)</f>
        <v/>
      </c>
      <c r="AU300" s="14">
        <f>IF(Operations!AU285=0,0,Operations!AU283/Operations!AU285)</f>
        <v/>
      </c>
    </row>
    <row r="301">
      <c r="D301" t="inlineStr">
        <is>
          <t>R6 hedged share of revenue</t>
        </is>
      </c>
      <c r="E301" t="inlineStr">
        <is>
          <t>fraction</t>
        </is>
      </c>
      <c r="J301" s="14">
        <f>IF(Operations!J285=0,0,Operations!J284/Operations!J285)</f>
        <v/>
      </c>
      <c r="K301" s="14">
        <f>IF(Operations!K285=0,0,Operations!K284/Operations!K285)</f>
        <v/>
      </c>
      <c r="L301" s="14">
        <f>IF(Operations!L285=0,0,Operations!L284/Operations!L285)</f>
        <v/>
      </c>
      <c r="M301" s="14">
        <f>IF(Operations!M285=0,0,Operations!M284/Operations!M285)</f>
        <v/>
      </c>
      <c r="N301" s="14">
        <f>IF(Operations!N285=0,0,Operations!N284/Operations!N285)</f>
        <v/>
      </c>
      <c r="O301" s="14">
        <f>IF(Operations!O285=0,0,Operations!O284/Operations!O285)</f>
        <v/>
      </c>
      <c r="P301" s="14">
        <f>IF(Operations!P285=0,0,Operations!P284/Operations!P285)</f>
        <v/>
      </c>
      <c r="Q301" s="14">
        <f>IF(Operations!Q285=0,0,Operations!Q284/Operations!Q285)</f>
        <v/>
      </c>
      <c r="R301" s="14">
        <f>IF(Operations!R285=0,0,Operations!R284/Operations!R285)</f>
        <v/>
      </c>
      <c r="S301" s="14">
        <f>IF(Operations!S285=0,0,Operations!S284/Operations!S285)</f>
        <v/>
      </c>
      <c r="T301" s="14">
        <f>IF(Operations!T285=0,0,Operations!T284/Operations!T285)</f>
        <v/>
      </c>
      <c r="U301" s="14">
        <f>IF(Operations!U285=0,0,Operations!U284/Operations!U285)</f>
        <v/>
      </c>
      <c r="V301" s="14">
        <f>IF(Operations!V285=0,0,Operations!V284/Operations!V285)</f>
        <v/>
      </c>
      <c r="W301" s="14">
        <f>IF(Operations!W285=0,0,Operations!W284/Operations!W285)</f>
        <v/>
      </c>
      <c r="X301" s="14">
        <f>IF(Operations!X285=0,0,Operations!X284/Operations!X285)</f>
        <v/>
      </c>
      <c r="Y301" s="14">
        <f>IF(Operations!Y285=0,0,Operations!Y284/Operations!Y285)</f>
        <v/>
      </c>
      <c r="Z301" s="14">
        <f>IF(Operations!Z285=0,0,Operations!Z284/Operations!Z285)</f>
        <v/>
      </c>
      <c r="AA301" s="14">
        <f>IF(Operations!AA285=0,0,Operations!AA284/Operations!AA285)</f>
        <v/>
      </c>
      <c r="AB301" s="14">
        <f>IF(Operations!AB285=0,0,Operations!AB284/Operations!AB285)</f>
        <v/>
      </c>
      <c r="AC301" s="14">
        <f>IF(Operations!AC285=0,0,Operations!AC284/Operations!AC285)</f>
        <v/>
      </c>
      <c r="AD301" s="14">
        <f>IF(Operations!AD285=0,0,Operations!AD284/Operations!AD285)</f>
        <v/>
      </c>
      <c r="AE301" s="14">
        <f>IF(Operations!AE285=0,0,Operations!AE284/Operations!AE285)</f>
        <v/>
      </c>
      <c r="AF301" s="14">
        <f>IF(Operations!AF285=0,0,Operations!AF284/Operations!AF285)</f>
        <v/>
      </c>
      <c r="AG301" s="14">
        <f>IF(Operations!AG285=0,0,Operations!AG284/Operations!AG285)</f>
        <v/>
      </c>
      <c r="AH301" s="14">
        <f>IF(Operations!AH285=0,0,Operations!AH284/Operations!AH285)</f>
        <v/>
      </c>
      <c r="AI301" s="14">
        <f>IF(Operations!AI285=0,0,Operations!AI284/Operations!AI285)</f>
        <v/>
      </c>
      <c r="AJ301" s="14">
        <f>IF(Operations!AJ285=0,0,Operations!AJ284/Operations!AJ285)</f>
        <v/>
      </c>
      <c r="AK301" s="14">
        <f>IF(Operations!AK285=0,0,Operations!AK284/Operations!AK285)</f>
        <v/>
      </c>
      <c r="AL301" s="14">
        <f>IF(Operations!AL285=0,0,Operations!AL284/Operations!AL285)</f>
        <v/>
      </c>
      <c r="AM301" s="14">
        <f>IF(Operations!AM285=0,0,Operations!AM284/Operations!AM285)</f>
        <v/>
      </c>
      <c r="AN301" s="14">
        <f>IF(Operations!AN285=0,0,Operations!AN284/Operations!AN285)</f>
        <v/>
      </c>
      <c r="AO301" s="14">
        <f>IF(Operations!AO285=0,0,Operations!AO284/Operations!AO285)</f>
        <v/>
      </c>
      <c r="AP301" s="14">
        <f>IF(Operations!AP285=0,0,Operations!AP284/Operations!AP285)</f>
        <v/>
      </c>
      <c r="AQ301" s="14">
        <f>IF(Operations!AQ285=0,0,Operations!AQ284/Operations!AQ285)</f>
        <v/>
      </c>
      <c r="AR301" s="14">
        <f>IF(Operations!AR285=0,0,Operations!AR284/Operations!AR285)</f>
        <v/>
      </c>
      <c r="AS301" s="14">
        <f>IF(Operations!AS285=0,0,Operations!AS284/Operations!AS285)</f>
        <v/>
      </c>
      <c r="AT301" s="14">
        <f>IF(Operations!AT285=0,0,Operations!AT284/Operations!AT285)</f>
        <v/>
      </c>
      <c r="AU301" s="14">
        <f>IF(Operations!AU285=0,0,Operations!AU284/Operations!AU285)</f>
        <v/>
      </c>
    </row>
    <row r="302">
      <c r="D302" t="inlineStr">
        <is>
          <t>R6 merchant share of revenue</t>
        </is>
      </c>
      <c r="E302" t="inlineStr">
        <is>
          <t>fraction</t>
        </is>
      </c>
      <c r="J302" s="14">
        <f>1-Operations!J300-Operations!J301</f>
        <v/>
      </c>
      <c r="K302" s="14">
        <f>1-Operations!K300-Operations!K301</f>
        <v/>
      </c>
      <c r="L302" s="14">
        <f>1-Operations!L300-Operations!L301</f>
        <v/>
      </c>
      <c r="M302" s="14">
        <f>1-Operations!M300-Operations!M301</f>
        <v/>
      </c>
      <c r="N302" s="14">
        <f>1-Operations!N300-Operations!N301</f>
        <v/>
      </c>
      <c r="O302" s="14">
        <f>1-Operations!O300-Operations!O301</f>
        <v/>
      </c>
      <c r="P302" s="14">
        <f>1-Operations!P300-Operations!P301</f>
        <v/>
      </c>
      <c r="Q302" s="14">
        <f>1-Operations!Q300-Operations!Q301</f>
        <v/>
      </c>
      <c r="R302" s="14">
        <f>1-Operations!R300-Operations!R301</f>
        <v/>
      </c>
      <c r="S302" s="14">
        <f>1-Operations!S300-Operations!S301</f>
        <v/>
      </c>
      <c r="T302" s="14">
        <f>1-Operations!T300-Operations!T301</f>
        <v/>
      </c>
      <c r="U302" s="14">
        <f>1-Operations!U300-Operations!U301</f>
        <v/>
      </c>
      <c r="V302" s="14">
        <f>1-Operations!V300-Operations!V301</f>
        <v/>
      </c>
      <c r="W302" s="14">
        <f>1-Operations!W300-Operations!W301</f>
        <v/>
      </c>
      <c r="X302" s="14">
        <f>1-Operations!X300-Operations!X301</f>
        <v/>
      </c>
      <c r="Y302" s="14">
        <f>1-Operations!Y300-Operations!Y301</f>
        <v/>
      </c>
      <c r="Z302" s="14">
        <f>1-Operations!Z300-Operations!Z301</f>
        <v/>
      </c>
      <c r="AA302" s="14">
        <f>1-Operations!AA300-Operations!AA301</f>
        <v/>
      </c>
      <c r="AB302" s="14">
        <f>1-Operations!AB300-Operations!AB301</f>
        <v/>
      </c>
      <c r="AC302" s="14">
        <f>1-Operations!AC300-Operations!AC301</f>
        <v/>
      </c>
      <c r="AD302" s="14">
        <f>1-Operations!AD300-Operations!AD301</f>
        <v/>
      </c>
      <c r="AE302" s="14">
        <f>1-Operations!AE300-Operations!AE301</f>
        <v/>
      </c>
      <c r="AF302" s="14">
        <f>1-Operations!AF300-Operations!AF301</f>
        <v/>
      </c>
      <c r="AG302" s="14">
        <f>1-Operations!AG300-Operations!AG301</f>
        <v/>
      </c>
      <c r="AH302" s="14">
        <f>1-Operations!AH300-Operations!AH301</f>
        <v/>
      </c>
      <c r="AI302" s="14">
        <f>1-Operations!AI300-Operations!AI301</f>
        <v/>
      </c>
      <c r="AJ302" s="14">
        <f>1-Operations!AJ300-Operations!AJ301</f>
        <v/>
      </c>
      <c r="AK302" s="14">
        <f>1-Operations!AK300-Operations!AK301</f>
        <v/>
      </c>
      <c r="AL302" s="14">
        <f>1-Operations!AL300-Operations!AL301</f>
        <v/>
      </c>
      <c r="AM302" s="14">
        <f>1-Operations!AM300-Operations!AM301</f>
        <v/>
      </c>
      <c r="AN302" s="14">
        <f>1-Operations!AN300-Operations!AN301</f>
        <v/>
      </c>
      <c r="AO302" s="14">
        <f>1-Operations!AO300-Operations!AO301</f>
        <v/>
      </c>
      <c r="AP302" s="14">
        <f>1-Operations!AP300-Operations!AP301</f>
        <v/>
      </c>
      <c r="AQ302" s="14">
        <f>1-Operations!AQ300-Operations!AQ301</f>
        <v/>
      </c>
      <c r="AR302" s="14">
        <f>1-Operations!AR300-Operations!AR301</f>
        <v/>
      </c>
      <c r="AS302" s="14">
        <f>1-Operations!AS300-Operations!AS301</f>
        <v/>
      </c>
      <c r="AT302" s="14">
        <f>1-Operations!AT300-Operations!AT301</f>
        <v/>
      </c>
      <c r="AU302" s="14">
        <f>1-Operations!AU300-Operations!AU301</f>
        <v/>
      </c>
    </row>
    <row r="303">
      <c r="D303" t="inlineStr">
        <is>
          <t>R6 Mesa-share contracted revenue</t>
        </is>
      </c>
      <c r="E303" t="inlineStr">
        <is>
          <t>USD m</t>
        </is>
      </c>
      <c r="J303" s="20">
        <f>Operations!J283*Operations!J278*(1-Operations!J295)</f>
        <v/>
      </c>
      <c r="K303" s="20">
        <f>Operations!K283*Operations!K278*(1-Operations!K295)</f>
        <v/>
      </c>
      <c r="L303" s="20">
        <f>Operations!L283*Operations!L278*(1-Operations!L295)</f>
        <v/>
      </c>
      <c r="M303" s="20">
        <f>Operations!M283*Operations!M278*(1-Operations!M295)</f>
        <v/>
      </c>
      <c r="N303" s="20">
        <f>Operations!N283*Operations!N278*(1-Operations!N295)</f>
        <v/>
      </c>
      <c r="O303" s="20">
        <f>Operations!O283*Operations!O278*(1-Operations!O295)</f>
        <v/>
      </c>
      <c r="P303" s="20">
        <f>Operations!P283*Operations!P278*(1-Operations!P295)</f>
        <v/>
      </c>
      <c r="Q303" s="20">
        <f>Operations!Q283*Operations!Q278*(1-Operations!Q295)</f>
        <v/>
      </c>
      <c r="R303" s="20">
        <f>Operations!R283*Operations!R278*(1-Operations!R295)</f>
        <v/>
      </c>
      <c r="S303" s="20">
        <f>Operations!S283*Operations!S278*(1-Operations!S295)</f>
        <v/>
      </c>
      <c r="T303" s="20">
        <f>Operations!T283*Operations!T278*(1-Operations!T295)</f>
        <v/>
      </c>
      <c r="U303" s="20">
        <f>Operations!U283*Operations!U278*(1-Operations!U295)</f>
        <v/>
      </c>
      <c r="V303" s="20">
        <f>Operations!V283*Operations!V278*(1-Operations!V295)</f>
        <v/>
      </c>
      <c r="W303" s="20">
        <f>Operations!W283*Operations!W278*(1-Operations!W295)</f>
        <v/>
      </c>
      <c r="X303" s="20">
        <f>Operations!X283*Operations!X278*(1-Operations!X295)</f>
        <v/>
      </c>
      <c r="Y303" s="20">
        <f>Operations!Y283*Operations!Y278*(1-Operations!Y295)</f>
        <v/>
      </c>
      <c r="Z303" s="20">
        <f>Operations!Z283*Operations!Z278*(1-Operations!Z295)</f>
        <v/>
      </c>
      <c r="AA303" s="20">
        <f>Operations!AA283*Operations!AA278*(1-Operations!AA295)</f>
        <v/>
      </c>
      <c r="AB303" s="20">
        <f>Operations!AB283*Operations!AB278*(1-Operations!AB295)</f>
        <v/>
      </c>
      <c r="AC303" s="20">
        <f>Operations!AC283*Operations!AC278*(1-Operations!AC295)</f>
        <v/>
      </c>
      <c r="AD303" s="20">
        <f>Operations!AD283*Operations!AD278*(1-Operations!AD295)</f>
        <v/>
      </c>
      <c r="AE303" s="20">
        <f>Operations!AE283*Operations!AE278*(1-Operations!AE295)</f>
        <v/>
      </c>
      <c r="AF303" s="20">
        <f>Operations!AF283*Operations!AF278*(1-Operations!AF295)</f>
        <v/>
      </c>
      <c r="AG303" s="20">
        <f>Operations!AG283*Operations!AG278*(1-Operations!AG295)</f>
        <v/>
      </c>
      <c r="AH303" s="20">
        <f>Operations!AH283*Operations!AH278*(1-Operations!AH295)</f>
        <v/>
      </c>
      <c r="AI303" s="20">
        <f>Operations!AI283*Operations!AI278*(1-Operations!AI295)</f>
        <v/>
      </c>
      <c r="AJ303" s="20">
        <f>Operations!AJ283*Operations!AJ278*(1-Operations!AJ295)</f>
        <v/>
      </c>
      <c r="AK303" s="20">
        <f>Operations!AK283*Operations!AK278*(1-Operations!AK295)</f>
        <v/>
      </c>
      <c r="AL303" s="20">
        <f>Operations!AL283*Operations!AL278*(1-Operations!AL295)</f>
        <v/>
      </c>
      <c r="AM303" s="20">
        <f>Operations!AM283*Operations!AM278*(1-Operations!AM295)</f>
        <v/>
      </c>
      <c r="AN303" s="20">
        <f>Operations!AN283*Operations!AN278*(1-Operations!AN295)</f>
        <v/>
      </c>
      <c r="AO303" s="20">
        <f>Operations!AO283*Operations!AO278*(1-Operations!AO295)</f>
        <v/>
      </c>
      <c r="AP303" s="20">
        <f>Operations!AP283*Operations!AP278*(1-Operations!AP295)</f>
        <v/>
      </c>
      <c r="AQ303" s="20">
        <f>Operations!AQ283*Operations!AQ278*(1-Operations!AQ295)</f>
        <v/>
      </c>
      <c r="AR303" s="20">
        <f>Operations!AR283*Operations!AR278*(1-Operations!AR295)</f>
        <v/>
      </c>
      <c r="AS303" s="20">
        <f>Operations!AS283*Operations!AS278*(1-Operations!AS295)</f>
        <v/>
      </c>
      <c r="AT303" s="20">
        <f>Operations!AT283*Operations!AT278*(1-Operations!AT295)</f>
        <v/>
      </c>
      <c r="AU303" s="20">
        <f>Operations!AU283*Operations!AU278*(1-Operations!AU295)</f>
        <v/>
      </c>
    </row>
    <row r="304">
      <c r="D304" t="inlineStr">
        <is>
          <t>R6 Mesa-share hedged revenue</t>
        </is>
      </c>
      <c r="E304" t="inlineStr">
        <is>
          <t>USD m</t>
        </is>
      </c>
      <c r="J304" s="20">
        <f>Operations!J284*Operations!J278*(1-Operations!J295)</f>
        <v/>
      </c>
      <c r="K304" s="20">
        <f>Operations!K284*Operations!K278*(1-Operations!K295)</f>
        <v/>
      </c>
      <c r="L304" s="20">
        <f>Operations!L284*Operations!L278*(1-Operations!L295)</f>
        <v/>
      </c>
      <c r="M304" s="20">
        <f>Operations!M284*Operations!M278*(1-Operations!M295)</f>
        <v/>
      </c>
      <c r="N304" s="20">
        <f>Operations!N284*Operations!N278*(1-Operations!N295)</f>
        <v/>
      </c>
      <c r="O304" s="20">
        <f>Operations!O284*Operations!O278*(1-Operations!O295)</f>
        <v/>
      </c>
      <c r="P304" s="20">
        <f>Operations!P284*Operations!P278*(1-Operations!P295)</f>
        <v/>
      </c>
      <c r="Q304" s="20">
        <f>Operations!Q284*Operations!Q278*(1-Operations!Q295)</f>
        <v/>
      </c>
      <c r="R304" s="20">
        <f>Operations!R284*Operations!R278*(1-Operations!R295)</f>
        <v/>
      </c>
      <c r="S304" s="20">
        <f>Operations!S284*Operations!S278*(1-Operations!S295)</f>
        <v/>
      </c>
      <c r="T304" s="20">
        <f>Operations!T284*Operations!T278*(1-Operations!T295)</f>
        <v/>
      </c>
      <c r="U304" s="20">
        <f>Operations!U284*Operations!U278*(1-Operations!U295)</f>
        <v/>
      </c>
      <c r="V304" s="20">
        <f>Operations!V284*Operations!V278*(1-Operations!V295)</f>
        <v/>
      </c>
      <c r="W304" s="20">
        <f>Operations!W284*Operations!W278*(1-Operations!W295)</f>
        <v/>
      </c>
      <c r="X304" s="20">
        <f>Operations!X284*Operations!X278*(1-Operations!X295)</f>
        <v/>
      </c>
      <c r="Y304" s="20">
        <f>Operations!Y284*Operations!Y278*(1-Operations!Y295)</f>
        <v/>
      </c>
      <c r="Z304" s="20">
        <f>Operations!Z284*Operations!Z278*(1-Operations!Z295)</f>
        <v/>
      </c>
      <c r="AA304" s="20">
        <f>Operations!AA284*Operations!AA278*(1-Operations!AA295)</f>
        <v/>
      </c>
      <c r="AB304" s="20">
        <f>Operations!AB284*Operations!AB278*(1-Operations!AB295)</f>
        <v/>
      </c>
      <c r="AC304" s="20">
        <f>Operations!AC284*Operations!AC278*(1-Operations!AC295)</f>
        <v/>
      </c>
      <c r="AD304" s="20">
        <f>Operations!AD284*Operations!AD278*(1-Operations!AD295)</f>
        <v/>
      </c>
      <c r="AE304" s="20">
        <f>Operations!AE284*Operations!AE278*(1-Operations!AE295)</f>
        <v/>
      </c>
      <c r="AF304" s="20">
        <f>Operations!AF284*Operations!AF278*(1-Operations!AF295)</f>
        <v/>
      </c>
      <c r="AG304" s="20">
        <f>Operations!AG284*Operations!AG278*(1-Operations!AG295)</f>
        <v/>
      </c>
      <c r="AH304" s="20">
        <f>Operations!AH284*Operations!AH278*(1-Operations!AH295)</f>
        <v/>
      </c>
      <c r="AI304" s="20">
        <f>Operations!AI284*Operations!AI278*(1-Operations!AI295)</f>
        <v/>
      </c>
      <c r="AJ304" s="20">
        <f>Operations!AJ284*Operations!AJ278*(1-Operations!AJ295)</f>
        <v/>
      </c>
      <c r="AK304" s="20">
        <f>Operations!AK284*Operations!AK278*(1-Operations!AK295)</f>
        <v/>
      </c>
      <c r="AL304" s="20">
        <f>Operations!AL284*Operations!AL278*(1-Operations!AL295)</f>
        <v/>
      </c>
      <c r="AM304" s="20">
        <f>Operations!AM284*Operations!AM278*(1-Operations!AM295)</f>
        <v/>
      </c>
      <c r="AN304" s="20">
        <f>Operations!AN284*Operations!AN278*(1-Operations!AN295)</f>
        <v/>
      </c>
      <c r="AO304" s="20">
        <f>Operations!AO284*Operations!AO278*(1-Operations!AO295)</f>
        <v/>
      </c>
      <c r="AP304" s="20">
        <f>Operations!AP284*Operations!AP278*(1-Operations!AP295)</f>
        <v/>
      </c>
      <c r="AQ304" s="20">
        <f>Operations!AQ284*Operations!AQ278*(1-Operations!AQ295)</f>
        <v/>
      </c>
      <c r="AR304" s="20">
        <f>Operations!AR284*Operations!AR278*(1-Operations!AR295)</f>
        <v/>
      </c>
      <c r="AS304" s="20">
        <f>Operations!AS284*Operations!AS278*(1-Operations!AS295)</f>
        <v/>
      </c>
      <c r="AT304" s="20">
        <f>Operations!AT284*Operations!AT278*(1-Operations!AT295)</f>
        <v/>
      </c>
      <c r="AU304" s="20">
        <f>Operations!AU284*Operations!AU278*(1-Operations!AU295)</f>
        <v/>
      </c>
    </row>
    <row r="305">
      <c r="D305" t="inlineStr">
        <is>
          <t>R6 Mesa-share merchant revenue</t>
        </is>
      </c>
      <c r="E305" t="inlineStr">
        <is>
          <t>USD m</t>
        </is>
      </c>
      <c r="J305" s="20">
        <f>Operations!J286*Operations!J278*(1-Operations!J295)</f>
        <v/>
      </c>
      <c r="K305" s="20">
        <f>Operations!K286*Operations!K278*(1-Operations!K295)</f>
        <v/>
      </c>
      <c r="L305" s="20">
        <f>Operations!L286*Operations!L278*(1-Operations!L295)</f>
        <v/>
      </c>
      <c r="M305" s="20">
        <f>Operations!M286*Operations!M278*(1-Operations!M295)</f>
        <v/>
      </c>
      <c r="N305" s="20">
        <f>Operations!N286*Operations!N278*(1-Operations!N295)</f>
        <v/>
      </c>
      <c r="O305" s="20">
        <f>Operations!O286*Operations!O278*(1-Operations!O295)</f>
        <v/>
      </c>
      <c r="P305" s="20">
        <f>Operations!P286*Operations!P278*(1-Operations!P295)</f>
        <v/>
      </c>
      <c r="Q305" s="20">
        <f>Operations!Q286*Operations!Q278*(1-Operations!Q295)</f>
        <v/>
      </c>
      <c r="R305" s="20">
        <f>Operations!R286*Operations!R278*(1-Operations!R295)</f>
        <v/>
      </c>
      <c r="S305" s="20">
        <f>Operations!S286*Operations!S278*(1-Operations!S295)</f>
        <v/>
      </c>
      <c r="T305" s="20">
        <f>Operations!T286*Operations!T278*(1-Operations!T295)</f>
        <v/>
      </c>
      <c r="U305" s="20">
        <f>Operations!U286*Operations!U278*(1-Operations!U295)</f>
        <v/>
      </c>
      <c r="V305" s="20">
        <f>Operations!V286*Operations!V278*(1-Operations!V295)</f>
        <v/>
      </c>
      <c r="W305" s="20">
        <f>Operations!W286*Operations!W278*(1-Operations!W295)</f>
        <v/>
      </c>
      <c r="X305" s="20">
        <f>Operations!X286*Operations!X278*(1-Operations!X295)</f>
        <v/>
      </c>
      <c r="Y305" s="20">
        <f>Operations!Y286*Operations!Y278*(1-Operations!Y295)</f>
        <v/>
      </c>
      <c r="Z305" s="20">
        <f>Operations!Z286*Operations!Z278*(1-Operations!Z295)</f>
        <v/>
      </c>
      <c r="AA305" s="20">
        <f>Operations!AA286*Operations!AA278*(1-Operations!AA295)</f>
        <v/>
      </c>
      <c r="AB305" s="20">
        <f>Operations!AB286*Operations!AB278*(1-Operations!AB295)</f>
        <v/>
      </c>
      <c r="AC305" s="20">
        <f>Operations!AC286*Operations!AC278*(1-Operations!AC295)</f>
        <v/>
      </c>
      <c r="AD305" s="20">
        <f>Operations!AD286*Operations!AD278*(1-Operations!AD295)</f>
        <v/>
      </c>
      <c r="AE305" s="20">
        <f>Operations!AE286*Operations!AE278*(1-Operations!AE295)</f>
        <v/>
      </c>
      <c r="AF305" s="20">
        <f>Operations!AF286*Operations!AF278*(1-Operations!AF295)</f>
        <v/>
      </c>
      <c r="AG305" s="20">
        <f>Operations!AG286*Operations!AG278*(1-Operations!AG295)</f>
        <v/>
      </c>
      <c r="AH305" s="20">
        <f>Operations!AH286*Operations!AH278*(1-Operations!AH295)</f>
        <v/>
      </c>
      <c r="AI305" s="20">
        <f>Operations!AI286*Operations!AI278*(1-Operations!AI295)</f>
        <v/>
      </c>
      <c r="AJ305" s="20">
        <f>Operations!AJ286*Operations!AJ278*(1-Operations!AJ295)</f>
        <v/>
      </c>
      <c r="AK305" s="20">
        <f>Operations!AK286*Operations!AK278*(1-Operations!AK295)</f>
        <v/>
      </c>
      <c r="AL305" s="20">
        <f>Operations!AL286*Operations!AL278*(1-Operations!AL295)</f>
        <v/>
      </c>
      <c r="AM305" s="20">
        <f>Operations!AM286*Operations!AM278*(1-Operations!AM295)</f>
        <v/>
      </c>
      <c r="AN305" s="20">
        <f>Operations!AN286*Operations!AN278*(1-Operations!AN295)</f>
        <v/>
      </c>
      <c r="AO305" s="20">
        <f>Operations!AO286*Operations!AO278*(1-Operations!AO295)</f>
        <v/>
      </c>
      <c r="AP305" s="20">
        <f>Operations!AP286*Operations!AP278*(1-Operations!AP295)</f>
        <v/>
      </c>
      <c r="AQ305" s="20">
        <f>Operations!AQ286*Operations!AQ278*(1-Operations!AQ295)</f>
        <v/>
      </c>
      <c r="AR305" s="20">
        <f>Operations!AR286*Operations!AR278*(1-Operations!AR295)</f>
        <v/>
      </c>
      <c r="AS305" s="20">
        <f>Operations!AS286*Operations!AS278*(1-Operations!AS295)</f>
        <v/>
      </c>
      <c r="AT305" s="20">
        <f>Operations!AT286*Operations!AT278*(1-Operations!AT295)</f>
        <v/>
      </c>
      <c r="AU305" s="20">
        <f>Operations!AU286*Operations!AU278*(1-Operations!AU295)</f>
        <v/>
      </c>
    </row>
    <row r="306">
      <c r="D306" t="inlineStr">
        <is>
          <t>R6 Mesa-share revenue</t>
        </is>
      </c>
      <c r="E306" t="inlineStr">
        <is>
          <t>USD m</t>
        </is>
      </c>
      <c r="J306" s="20">
        <f>Operations!J285*Operations!J278*(1-Operations!J295)</f>
        <v/>
      </c>
      <c r="K306" s="20">
        <f>Operations!K285*Operations!K278*(1-Operations!K295)</f>
        <v/>
      </c>
      <c r="L306" s="20">
        <f>Operations!L285*Operations!L278*(1-Operations!L295)</f>
        <v/>
      </c>
      <c r="M306" s="20">
        <f>Operations!M285*Operations!M278*(1-Operations!M295)</f>
        <v/>
      </c>
      <c r="N306" s="20">
        <f>Operations!N285*Operations!N278*(1-Operations!N295)</f>
        <v/>
      </c>
      <c r="O306" s="20">
        <f>Operations!O285*Operations!O278*(1-Operations!O295)</f>
        <v/>
      </c>
      <c r="P306" s="20">
        <f>Operations!P285*Operations!P278*(1-Operations!P295)</f>
        <v/>
      </c>
      <c r="Q306" s="20">
        <f>Operations!Q285*Operations!Q278*(1-Operations!Q295)</f>
        <v/>
      </c>
      <c r="R306" s="20">
        <f>Operations!R285*Operations!R278*(1-Operations!R295)</f>
        <v/>
      </c>
      <c r="S306" s="20">
        <f>Operations!S285*Operations!S278*(1-Operations!S295)</f>
        <v/>
      </c>
      <c r="T306" s="20">
        <f>Operations!T285*Operations!T278*(1-Operations!T295)</f>
        <v/>
      </c>
      <c r="U306" s="20">
        <f>Operations!U285*Operations!U278*(1-Operations!U295)</f>
        <v/>
      </c>
      <c r="V306" s="20">
        <f>Operations!V285*Operations!V278*(1-Operations!V295)</f>
        <v/>
      </c>
      <c r="W306" s="20">
        <f>Operations!W285*Operations!W278*(1-Operations!W295)</f>
        <v/>
      </c>
      <c r="X306" s="20">
        <f>Operations!X285*Operations!X278*(1-Operations!X295)</f>
        <v/>
      </c>
      <c r="Y306" s="20">
        <f>Operations!Y285*Operations!Y278*(1-Operations!Y295)</f>
        <v/>
      </c>
      <c r="Z306" s="20">
        <f>Operations!Z285*Operations!Z278*(1-Operations!Z295)</f>
        <v/>
      </c>
      <c r="AA306" s="20">
        <f>Operations!AA285*Operations!AA278*(1-Operations!AA295)</f>
        <v/>
      </c>
      <c r="AB306" s="20">
        <f>Operations!AB285*Operations!AB278*(1-Operations!AB295)</f>
        <v/>
      </c>
      <c r="AC306" s="20">
        <f>Operations!AC285*Operations!AC278*(1-Operations!AC295)</f>
        <v/>
      </c>
      <c r="AD306" s="20">
        <f>Operations!AD285*Operations!AD278*(1-Operations!AD295)</f>
        <v/>
      </c>
      <c r="AE306" s="20">
        <f>Operations!AE285*Operations!AE278*(1-Operations!AE295)</f>
        <v/>
      </c>
      <c r="AF306" s="20">
        <f>Operations!AF285*Operations!AF278*(1-Operations!AF295)</f>
        <v/>
      </c>
      <c r="AG306" s="20">
        <f>Operations!AG285*Operations!AG278*(1-Operations!AG295)</f>
        <v/>
      </c>
      <c r="AH306" s="20">
        <f>Operations!AH285*Operations!AH278*(1-Operations!AH295)</f>
        <v/>
      </c>
      <c r="AI306" s="20">
        <f>Operations!AI285*Operations!AI278*(1-Operations!AI295)</f>
        <v/>
      </c>
      <c r="AJ306" s="20">
        <f>Operations!AJ285*Operations!AJ278*(1-Operations!AJ295)</f>
        <v/>
      </c>
      <c r="AK306" s="20">
        <f>Operations!AK285*Operations!AK278*(1-Operations!AK295)</f>
        <v/>
      </c>
      <c r="AL306" s="20">
        <f>Operations!AL285*Operations!AL278*(1-Operations!AL295)</f>
        <v/>
      </c>
      <c r="AM306" s="20">
        <f>Operations!AM285*Operations!AM278*(1-Operations!AM295)</f>
        <v/>
      </c>
      <c r="AN306" s="20">
        <f>Operations!AN285*Operations!AN278*(1-Operations!AN295)</f>
        <v/>
      </c>
      <c r="AO306" s="20">
        <f>Operations!AO285*Operations!AO278*(1-Operations!AO295)</f>
        <v/>
      </c>
      <c r="AP306" s="20">
        <f>Operations!AP285*Operations!AP278*(1-Operations!AP295)</f>
        <v/>
      </c>
      <c r="AQ306" s="20">
        <f>Operations!AQ285*Operations!AQ278*(1-Operations!AQ295)</f>
        <v/>
      </c>
      <c r="AR306" s="20">
        <f>Operations!AR285*Operations!AR278*(1-Operations!AR295)</f>
        <v/>
      </c>
      <c r="AS306" s="20">
        <f>Operations!AS285*Operations!AS278*(1-Operations!AS295)</f>
        <v/>
      </c>
      <c r="AT306" s="20">
        <f>Operations!AT285*Operations!AT278*(1-Operations!AT295)</f>
        <v/>
      </c>
      <c r="AU306" s="20">
        <f>Operations!AU285*Operations!AU278*(1-Operations!AU295)</f>
        <v/>
      </c>
    </row>
    <row r="307">
      <c r="D307" s="19" t="inlineStr">
        <is>
          <t>R7 Kerrigan Storage (lithium-ion BESS (LFP), 2-hour)</t>
        </is>
      </c>
    </row>
    <row r="308">
      <c r="D308" t="inlineStr">
        <is>
          <t>R7 operating fraction</t>
        </is>
      </c>
      <c r="E308" t="inlineStr">
        <is>
          <t>fraction</t>
        </is>
      </c>
      <c r="J308" s="14">
        <f>MAX(0,MIN(Inputs!$F$157,Time!J$6)-MAX(Inputs!$F$156,Time!J$5))/Time!J$7</f>
        <v/>
      </c>
      <c r="K308" s="14">
        <f>MAX(0,MIN(Inputs!$F$157,Time!K$6)-MAX(Inputs!$F$156,Time!K$5))/Time!K$7</f>
        <v/>
      </c>
      <c r="L308" s="14">
        <f>MAX(0,MIN(Inputs!$F$157,Time!L$6)-MAX(Inputs!$F$156,Time!L$5))/Time!L$7</f>
        <v/>
      </c>
      <c r="M308" s="14">
        <f>MAX(0,MIN(Inputs!$F$157,Time!M$6)-MAX(Inputs!$F$156,Time!M$5))/Time!M$7</f>
        <v/>
      </c>
      <c r="N308" s="14">
        <f>MAX(0,MIN(Inputs!$F$157,Time!N$6)-MAX(Inputs!$F$156,Time!N$5))/Time!N$7</f>
        <v/>
      </c>
      <c r="O308" s="14">
        <f>MAX(0,MIN(Inputs!$F$157,Time!O$6)-MAX(Inputs!$F$156,Time!O$5))/Time!O$7</f>
        <v/>
      </c>
      <c r="P308" s="14">
        <f>MAX(0,MIN(Inputs!$F$157,Time!P$6)-MAX(Inputs!$F$156,Time!P$5))/Time!P$7</f>
        <v/>
      </c>
      <c r="Q308" s="14">
        <f>MAX(0,MIN(Inputs!$F$157,Time!Q$6)-MAX(Inputs!$F$156,Time!Q$5))/Time!Q$7</f>
        <v/>
      </c>
      <c r="R308" s="14">
        <f>MAX(0,MIN(Inputs!$F$157,Time!R$6)-MAX(Inputs!$F$156,Time!R$5))/Time!R$7</f>
        <v/>
      </c>
      <c r="S308" s="14">
        <f>MAX(0,MIN(Inputs!$F$157,Time!S$6)-MAX(Inputs!$F$156,Time!S$5))/Time!S$7</f>
        <v/>
      </c>
      <c r="T308" s="14">
        <f>MAX(0,MIN(Inputs!$F$157,Time!T$6)-MAX(Inputs!$F$156,Time!T$5))/Time!T$7</f>
        <v/>
      </c>
      <c r="U308" s="14">
        <f>MAX(0,MIN(Inputs!$F$157,Time!U$6)-MAX(Inputs!$F$156,Time!U$5))/Time!U$7</f>
        <v/>
      </c>
      <c r="V308" s="14">
        <f>MAX(0,MIN(Inputs!$F$157,Time!V$6)-MAX(Inputs!$F$156,Time!V$5))/Time!V$7</f>
        <v/>
      </c>
      <c r="W308" s="14">
        <f>MAX(0,MIN(Inputs!$F$157,Time!W$6)-MAX(Inputs!$F$156,Time!W$5))/Time!W$7</f>
        <v/>
      </c>
      <c r="X308" s="14">
        <f>MAX(0,MIN(Inputs!$F$157,Time!X$6)-MAX(Inputs!$F$156,Time!X$5))/Time!X$7</f>
        <v/>
      </c>
      <c r="Y308" s="14">
        <f>MAX(0,MIN(Inputs!$F$157,Time!Y$6)-MAX(Inputs!$F$156,Time!Y$5))/Time!Y$7</f>
        <v/>
      </c>
      <c r="Z308" s="14">
        <f>MAX(0,MIN(Inputs!$F$157,Time!Z$6)-MAX(Inputs!$F$156,Time!Z$5))/Time!Z$7</f>
        <v/>
      </c>
      <c r="AA308" s="14">
        <f>MAX(0,MIN(Inputs!$F$157,Time!AA$6)-MAX(Inputs!$F$156,Time!AA$5))/Time!AA$7</f>
        <v/>
      </c>
      <c r="AB308" s="14">
        <f>MAX(0,MIN(Inputs!$F$157,Time!AB$6)-MAX(Inputs!$F$156,Time!AB$5))/Time!AB$7</f>
        <v/>
      </c>
      <c r="AC308" s="14">
        <f>MAX(0,MIN(Inputs!$F$157,Time!AC$6)-MAX(Inputs!$F$156,Time!AC$5))/Time!AC$7</f>
        <v/>
      </c>
      <c r="AD308" s="14">
        <f>MAX(0,MIN(Inputs!$F$157,Time!AD$6)-MAX(Inputs!$F$156,Time!AD$5))/Time!AD$7</f>
        <v/>
      </c>
      <c r="AE308" s="14">
        <f>MAX(0,MIN(Inputs!$F$157,Time!AE$6)-MAX(Inputs!$F$156,Time!AE$5))/Time!AE$7</f>
        <v/>
      </c>
      <c r="AF308" s="14">
        <f>MAX(0,MIN(Inputs!$F$157,Time!AF$6)-MAX(Inputs!$F$156,Time!AF$5))/Time!AF$7</f>
        <v/>
      </c>
      <c r="AG308" s="14">
        <f>MAX(0,MIN(Inputs!$F$157,Time!AG$6)-MAX(Inputs!$F$156,Time!AG$5))/Time!AG$7</f>
        <v/>
      </c>
      <c r="AH308" s="14">
        <f>MAX(0,MIN(Inputs!$F$157,Time!AH$6)-MAX(Inputs!$F$156,Time!AH$5))/Time!AH$7</f>
        <v/>
      </c>
      <c r="AI308" s="14">
        <f>MAX(0,MIN(Inputs!$F$157,Time!AI$6)-MAX(Inputs!$F$156,Time!AI$5))/Time!AI$7</f>
        <v/>
      </c>
      <c r="AJ308" s="14">
        <f>MAX(0,MIN(Inputs!$F$157,Time!AJ$6)-MAX(Inputs!$F$156,Time!AJ$5))/Time!AJ$7</f>
        <v/>
      </c>
      <c r="AK308" s="14">
        <f>MAX(0,MIN(Inputs!$F$157,Time!AK$6)-MAX(Inputs!$F$156,Time!AK$5))/Time!AK$7</f>
        <v/>
      </c>
      <c r="AL308" s="14">
        <f>MAX(0,MIN(Inputs!$F$157,Time!AL$6)-MAX(Inputs!$F$156,Time!AL$5))/Time!AL$7</f>
        <v/>
      </c>
      <c r="AM308" s="14">
        <f>MAX(0,MIN(Inputs!$F$157,Time!AM$6)-MAX(Inputs!$F$156,Time!AM$5))/Time!AM$7</f>
        <v/>
      </c>
      <c r="AN308" s="14">
        <f>MAX(0,MIN(Inputs!$F$157,Time!AN$6)-MAX(Inputs!$F$156,Time!AN$5))/Time!AN$7</f>
        <v/>
      </c>
      <c r="AO308" s="14">
        <f>MAX(0,MIN(Inputs!$F$157,Time!AO$6)-MAX(Inputs!$F$156,Time!AO$5))/Time!AO$7</f>
        <v/>
      </c>
      <c r="AP308" s="14">
        <f>MAX(0,MIN(Inputs!$F$157,Time!AP$6)-MAX(Inputs!$F$156,Time!AP$5))/Time!AP$7</f>
        <v/>
      </c>
      <c r="AQ308" s="14">
        <f>MAX(0,MIN(Inputs!$F$157,Time!AQ$6)-MAX(Inputs!$F$156,Time!AQ$5))/Time!AQ$7</f>
        <v/>
      </c>
      <c r="AR308" s="14">
        <f>MAX(0,MIN(Inputs!$F$157,Time!AR$6)-MAX(Inputs!$F$156,Time!AR$5))/Time!AR$7</f>
        <v/>
      </c>
      <c r="AS308" s="14">
        <f>MAX(0,MIN(Inputs!$F$157,Time!AS$6)-MAX(Inputs!$F$156,Time!AS$5))/Time!AS$7</f>
        <v/>
      </c>
      <c r="AT308" s="14">
        <f>MAX(0,MIN(Inputs!$F$157,Time!AT$6)-MAX(Inputs!$F$156,Time!AT$5))/Time!AT$7</f>
        <v/>
      </c>
      <c r="AU308" s="14">
        <f>MAX(0,MIN(Inputs!$F$157,Time!AU$6)-MAX(Inputs!$F$156,Time!AU$5))/Time!AU$7</f>
        <v/>
      </c>
    </row>
    <row r="309">
      <c r="D309" t="inlineStr">
        <is>
          <t>R7 owned fraction</t>
        </is>
      </c>
      <c r="E309" t="inlineStr">
        <is>
          <t>fraction</t>
        </is>
      </c>
      <c r="J309" s="14">
        <f>MAX(0,MIN(Inputs!$F$157,Time!J$6)-MAX(MAX(Inputs!$F$158,Inputs!$F$156),Time!J$5))/Time!J$7</f>
        <v/>
      </c>
      <c r="K309" s="14">
        <f>MAX(0,MIN(Inputs!$F$157,Time!K$6)-MAX(MAX(Inputs!$F$158,Inputs!$F$156),Time!K$5))/Time!K$7</f>
        <v/>
      </c>
      <c r="L309" s="14">
        <f>MAX(0,MIN(Inputs!$F$157,Time!L$6)-MAX(MAX(Inputs!$F$158,Inputs!$F$156),Time!L$5))/Time!L$7</f>
        <v/>
      </c>
      <c r="M309" s="14">
        <f>MAX(0,MIN(Inputs!$F$157,Time!M$6)-MAX(MAX(Inputs!$F$158,Inputs!$F$156),Time!M$5))/Time!M$7</f>
        <v/>
      </c>
      <c r="N309" s="14">
        <f>MAX(0,MIN(Inputs!$F$157,Time!N$6)-MAX(MAX(Inputs!$F$158,Inputs!$F$156),Time!N$5))/Time!N$7</f>
        <v/>
      </c>
      <c r="O309" s="14">
        <f>MAX(0,MIN(Inputs!$F$157,Time!O$6)-MAX(MAX(Inputs!$F$158,Inputs!$F$156),Time!O$5))/Time!O$7</f>
        <v/>
      </c>
      <c r="P309" s="14">
        <f>MAX(0,MIN(Inputs!$F$157,Time!P$6)-MAX(MAX(Inputs!$F$158,Inputs!$F$156),Time!P$5))/Time!P$7</f>
        <v/>
      </c>
      <c r="Q309" s="14">
        <f>MAX(0,MIN(Inputs!$F$157,Time!Q$6)-MAX(MAX(Inputs!$F$158,Inputs!$F$156),Time!Q$5))/Time!Q$7</f>
        <v/>
      </c>
      <c r="R309" s="14">
        <f>MAX(0,MIN(Inputs!$F$157,Time!R$6)-MAX(MAX(Inputs!$F$158,Inputs!$F$156),Time!R$5))/Time!R$7</f>
        <v/>
      </c>
      <c r="S309" s="14">
        <f>MAX(0,MIN(Inputs!$F$157,Time!S$6)-MAX(MAX(Inputs!$F$158,Inputs!$F$156),Time!S$5))/Time!S$7</f>
        <v/>
      </c>
      <c r="T309" s="14">
        <f>MAX(0,MIN(Inputs!$F$157,Time!T$6)-MAX(MAX(Inputs!$F$158,Inputs!$F$156),Time!T$5))/Time!T$7</f>
        <v/>
      </c>
      <c r="U309" s="14">
        <f>MAX(0,MIN(Inputs!$F$157,Time!U$6)-MAX(MAX(Inputs!$F$158,Inputs!$F$156),Time!U$5))/Time!U$7</f>
        <v/>
      </c>
      <c r="V309" s="14">
        <f>MAX(0,MIN(Inputs!$F$157,Time!V$6)-MAX(MAX(Inputs!$F$158,Inputs!$F$156),Time!V$5))/Time!V$7</f>
        <v/>
      </c>
      <c r="W309" s="14">
        <f>MAX(0,MIN(Inputs!$F$157,Time!W$6)-MAX(MAX(Inputs!$F$158,Inputs!$F$156),Time!W$5))/Time!W$7</f>
        <v/>
      </c>
      <c r="X309" s="14">
        <f>MAX(0,MIN(Inputs!$F$157,Time!X$6)-MAX(MAX(Inputs!$F$158,Inputs!$F$156),Time!X$5))/Time!X$7</f>
        <v/>
      </c>
      <c r="Y309" s="14">
        <f>MAX(0,MIN(Inputs!$F$157,Time!Y$6)-MAX(MAX(Inputs!$F$158,Inputs!$F$156),Time!Y$5))/Time!Y$7</f>
        <v/>
      </c>
      <c r="Z309" s="14">
        <f>MAX(0,MIN(Inputs!$F$157,Time!Z$6)-MAX(MAX(Inputs!$F$158,Inputs!$F$156),Time!Z$5))/Time!Z$7</f>
        <v/>
      </c>
      <c r="AA309" s="14">
        <f>MAX(0,MIN(Inputs!$F$157,Time!AA$6)-MAX(MAX(Inputs!$F$158,Inputs!$F$156),Time!AA$5))/Time!AA$7</f>
        <v/>
      </c>
      <c r="AB309" s="14">
        <f>MAX(0,MIN(Inputs!$F$157,Time!AB$6)-MAX(MAX(Inputs!$F$158,Inputs!$F$156),Time!AB$5))/Time!AB$7</f>
        <v/>
      </c>
      <c r="AC309" s="14">
        <f>MAX(0,MIN(Inputs!$F$157,Time!AC$6)-MAX(MAX(Inputs!$F$158,Inputs!$F$156),Time!AC$5))/Time!AC$7</f>
        <v/>
      </c>
      <c r="AD309" s="14">
        <f>MAX(0,MIN(Inputs!$F$157,Time!AD$6)-MAX(MAX(Inputs!$F$158,Inputs!$F$156),Time!AD$5))/Time!AD$7</f>
        <v/>
      </c>
      <c r="AE309" s="14">
        <f>MAX(0,MIN(Inputs!$F$157,Time!AE$6)-MAX(MAX(Inputs!$F$158,Inputs!$F$156),Time!AE$5))/Time!AE$7</f>
        <v/>
      </c>
      <c r="AF309" s="14">
        <f>MAX(0,MIN(Inputs!$F$157,Time!AF$6)-MAX(MAX(Inputs!$F$158,Inputs!$F$156),Time!AF$5))/Time!AF$7</f>
        <v/>
      </c>
      <c r="AG309" s="14">
        <f>MAX(0,MIN(Inputs!$F$157,Time!AG$6)-MAX(MAX(Inputs!$F$158,Inputs!$F$156),Time!AG$5))/Time!AG$7</f>
        <v/>
      </c>
      <c r="AH309" s="14">
        <f>MAX(0,MIN(Inputs!$F$157,Time!AH$6)-MAX(MAX(Inputs!$F$158,Inputs!$F$156),Time!AH$5))/Time!AH$7</f>
        <v/>
      </c>
      <c r="AI309" s="14">
        <f>MAX(0,MIN(Inputs!$F$157,Time!AI$6)-MAX(MAX(Inputs!$F$158,Inputs!$F$156),Time!AI$5))/Time!AI$7</f>
        <v/>
      </c>
      <c r="AJ309" s="14">
        <f>MAX(0,MIN(Inputs!$F$157,Time!AJ$6)-MAX(MAX(Inputs!$F$158,Inputs!$F$156),Time!AJ$5))/Time!AJ$7</f>
        <v/>
      </c>
      <c r="AK309" s="14">
        <f>MAX(0,MIN(Inputs!$F$157,Time!AK$6)-MAX(MAX(Inputs!$F$158,Inputs!$F$156),Time!AK$5))/Time!AK$7</f>
        <v/>
      </c>
      <c r="AL309" s="14">
        <f>MAX(0,MIN(Inputs!$F$157,Time!AL$6)-MAX(MAX(Inputs!$F$158,Inputs!$F$156),Time!AL$5))/Time!AL$7</f>
        <v/>
      </c>
      <c r="AM309" s="14">
        <f>MAX(0,MIN(Inputs!$F$157,Time!AM$6)-MAX(MAX(Inputs!$F$158,Inputs!$F$156),Time!AM$5))/Time!AM$7</f>
        <v/>
      </c>
      <c r="AN309" s="14">
        <f>MAX(0,MIN(Inputs!$F$157,Time!AN$6)-MAX(MAX(Inputs!$F$158,Inputs!$F$156),Time!AN$5))/Time!AN$7</f>
        <v/>
      </c>
      <c r="AO309" s="14">
        <f>MAX(0,MIN(Inputs!$F$157,Time!AO$6)-MAX(MAX(Inputs!$F$158,Inputs!$F$156),Time!AO$5))/Time!AO$7</f>
        <v/>
      </c>
      <c r="AP309" s="14">
        <f>MAX(0,MIN(Inputs!$F$157,Time!AP$6)-MAX(MAX(Inputs!$F$158,Inputs!$F$156),Time!AP$5))/Time!AP$7</f>
        <v/>
      </c>
      <c r="AQ309" s="14">
        <f>MAX(0,MIN(Inputs!$F$157,Time!AQ$6)-MAX(MAX(Inputs!$F$158,Inputs!$F$156),Time!AQ$5))/Time!AQ$7</f>
        <v/>
      </c>
      <c r="AR309" s="14">
        <f>MAX(0,MIN(Inputs!$F$157,Time!AR$6)-MAX(MAX(Inputs!$F$158,Inputs!$F$156),Time!AR$5))/Time!AR$7</f>
        <v/>
      </c>
      <c r="AS309" s="14">
        <f>MAX(0,MIN(Inputs!$F$157,Time!AS$6)-MAX(MAX(Inputs!$F$158,Inputs!$F$156),Time!AS$5))/Time!AS$7</f>
        <v/>
      </c>
      <c r="AT309" s="14">
        <f>MAX(0,MIN(Inputs!$F$157,Time!AT$6)-MAX(MAX(Inputs!$F$158,Inputs!$F$156),Time!AT$5))/Time!AT$7</f>
        <v/>
      </c>
      <c r="AU309" s="14">
        <f>MAX(0,MIN(Inputs!$F$157,Time!AU$6)-MAX(MAX(Inputs!$F$158,Inputs!$F$156),Time!AU$5))/Time!AU$7</f>
        <v/>
      </c>
    </row>
    <row r="310">
      <c r="D310" t="inlineStr">
        <is>
          <t>R7 owned share of operating period</t>
        </is>
      </c>
      <c r="E310" t="inlineStr">
        <is>
          <t>fraction</t>
        </is>
      </c>
      <c r="J310" s="14">
        <f>IF(Operations!J308&gt;0,Operations!J309/Operations!J308,0)</f>
        <v/>
      </c>
      <c r="K310" s="14">
        <f>IF(Operations!K308&gt;0,Operations!K309/Operations!K308,0)</f>
        <v/>
      </c>
      <c r="L310" s="14">
        <f>IF(Operations!L308&gt;0,Operations!L309/Operations!L308,0)</f>
        <v/>
      </c>
      <c r="M310" s="14">
        <f>IF(Operations!M308&gt;0,Operations!M309/Operations!M308,0)</f>
        <v/>
      </c>
      <c r="N310" s="14">
        <f>IF(Operations!N308&gt;0,Operations!N309/Operations!N308,0)</f>
        <v/>
      </c>
      <c r="O310" s="14">
        <f>IF(Operations!O308&gt;0,Operations!O309/Operations!O308,0)</f>
        <v/>
      </c>
      <c r="P310" s="14">
        <f>IF(Operations!P308&gt;0,Operations!P309/Operations!P308,0)</f>
        <v/>
      </c>
      <c r="Q310" s="14">
        <f>IF(Operations!Q308&gt;0,Operations!Q309/Operations!Q308,0)</f>
        <v/>
      </c>
      <c r="R310" s="14">
        <f>IF(Operations!R308&gt;0,Operations!R309/Operations!R308,0)</f>
        <v/>
      </c>
      <c r="S310" s="14">
        <f>IF(Operations!S308&gt;0,Operations!S309/Operations!S308,0)</f>
        <v/>
      </c>
      <c r="T310" s="14">
        <f>IF(Operations!T308&gt;0,Operations!T309/Operations!T308,0)</f>
        <v/>
      </c>
      <c r="U310" s="14">
        <f>IF(Operations!U308&gt;0,Operations!U309/Operations!U308,0)</f>
        <v/>
      </c>
      <c r="V310" s="14">
        <f>IF(Operations!V308&gt;0,Operations!V309/Operations!V308,0)</f>
        <v/>
      </c>
      <c r="W310" s="14">
        <f>IF(Operations!W308&gt;0,Operations!W309/Operations!W308,0)</f>
        <v/>
      </c>
      <c r="X310" s="14">
        <f>IF(Operations!X308&gt;0,Operations!X309/Operations!X308,0)</f>
        <v/>
      </c>
      <c r="Y310" s="14">
        <f>IF(Operations!Y308&gt;0,Operations!Y309/Operations!Y308,0)</f>
        <v/>
      </c>
      <c r="Z310" s="14">
        <f>IF(Operations!Z308&gt;0,Operations!Z309/Operations!Z308,0)</f>
        <v/>
      </c>
      <c r="AA310" s="14">
        <f>IF(Operations!AA308&gt;0,Operations!AA309/Operations!AA308,0)</f>
        <v/>
      </c>
      <c r="AB310" s="14">
        <f>IF(Operations!AB308&gt;0,Operations!AB309/Operations!AB308,0)</f>
        <v/>
      </c>
      <c r="AC310" s="14">
        <f>IF(Operations!AC308&gt;0,Operations!AC309/Operations!AC308,0)</f>
        <v/>
      </c>
      <c r="AD310" s="14">
        <f>IF(Operations!AD308&gt;0,Operations!AD309/Operations!AD308,0)</f>
        <v/>
      </c>
      <c r="AE310" s="14">
        <f>IF(Operations!AE308&gt;0,Operations!AE309/Operations!AE308,0)</f>
        <v/>
      </c>
      <c r="AF310" s="14">
        <f>IF(Operations!AF308&gt;0,Operations!AF309/Operations!AF308,0)</f>
        <v/>
      </c>
      <c r="AG310" s="14">
        <f>IF(Operations!AG308&gt;0,Operations!AG309/Operations!AG308,0)</f>
        <v/>
      </c>
      <c r="AH310" s="14">
        <f>IF(Operations!AH308&gt;0,Operations!AH309/Operations!AH308,0)</f>
        <v/>
      </c>
      <c r="AI310" s="14">
        <f>IF(Operations!AI308&gt;0,Operations!AI309/Operations!AI308,0)</f>
        <v/>
      </c>
      <c r="AJ310" s="14">
        <f>IF(Operations!AJ308&gt;0,Operations!AJ309/Operations!AJ308,0)</f>
        <v/>
      </c>
      <c r="AK310" s="14">
        <f>IF(Operations!AK308&gt;0,Operations!AK309/Operations!AK308,0)</f>
        <v/>
      </c>
      <c r="AL310" s="14">
        <f>IF(Operations!AL308&gt;0,Operations!AL309/Operations!AL308,0)</f>
        <v/>
      </c>
      <c r="AM310" s="14">
        <f>IF(Operations!AM308&gt;0,Operations!AM309/Operations!AM308,0)</f>
        <v/>
      </c>
      <c r="AN310" s="14">
        <f>IF(Operations!AN308&gt;0,Operations!AN309/Operations!AN308,0)</f>
        <v/>
      </c>
      <c r="AO310" s="14">
        <f>IF(Operations!AO308&gt;0,Operations!AO309/Operations!AO308,0)</f>
        <v/>
      </c>
      <c r="AP310" s="14">
        <f>IF(Operations!AP308&gt;0,Operations!AP309/Operations!AP308,0)</f>
        <v/>
      </c>
      <c r="AQ310" s="14">
        <f>IF(Operations!AQ308&gt;0,Operations!AQ309/Operations!AQ308,0)</f>
        <v/>
      </c>
      <c r="AR310" s="14">
        <f>IF(Operations!AR308&gt;0,Operations!AR309/Operations!AR308,0)</f>
        <v/>
      </c>
      <c r="AS310" s="14">
        <f>IF(Operations!AS308&gt;0,Operations!AS309/Operations!AS308,0)</f>
        <v/>
      </c>
      <c r="AT310" s="14">
        <f>IF(Operations!AT308&gt;0,Operations!AT309/Operations!AT308,0)</f>
        <v/>
      </c>
      <c r="AU310" s="14">
        <f>IF(Operations!AU308&gt;0,Operations!AU309/Operations!AU308,0)</f>
        <v/>
      </c>
    </row>
    <row r="311">
      <c r="D311" t="inlineStr">
        <is>
          <t>R7 own hub ATC</t>
        </is>
      </c>
      <c r="E311" t="inlineStr">
        <is>
          <t>USD/MWh</t>
        </is>
      </c>
      <c r="J311" s="18">
        <f>Operations!J55</f>
        <v/>
      </c>
      <c r="K311" s="18">
        <f>Operations!K55</f>
        <v/>
      </c>
      <c r="L311" s="18">
        <f>Operations!L55</f>
        <v/>
      </c>
      <c r="M311" s="18">
        <f>Operations!M55</f>
        <v/>
      </c>
      <c r="N311" s="18">
        <f>Operations!N55</f>
        <v/>
      </c>
      <c r="O311" s="18">
        <f>Operations!O55</f>
        <v/>
      </c>
      <c r="P311" s="18">
        <f>Operations!P55</f>
        <v/>
      </c>
      <c r="Q311" s="18">
        <f>Operations!Q55</f>
        <v/>
      </c>
      <c r="R311" s="18">
        <f>Operations!R55</f>
        <v/>
      </c>
      <c r="S311" s="18">
        <f>Operations!S55</f>
        <v/>
      </c>
      <c r="T311" s="18">
        <f>Operations!T55</f>
        <v/>
      </c>
      <c r="U311" s="18">
        <f>Operations!U55</f>
        <v/>
      </c>
      <c r="V311" s="18">
        <f>Operations!V55</f>
        <v/>
      </c>
      <c r="W311" s="18">
        <f>Operations!W55</f>
        <v/>
      </c>
      <c r="X311" s="18">
        <f>Operations!X55</f>
        <v/>
      </c>
      <c r="Y311" s="18">
        <f>Operations!Y55</f>
        <v/>
      </c>
      <c r="Z311" s="18">
        <f>Operations!Z55</f>
        <v/>
      </c>
      <c r="AA311" s="18">
        <f>Operations!AA55</f>
        <v/>
      </c>
      <c r="AB311" s="18">
        <f>Operations!AB55</f>
        <v/>
      </c>
      <c r="AC311" s="18">
        <f>Operations!AC55</f>
        <v/>
      </c>
      <c r="AD311" s="18">
        <f>Operations!AD55</f>
        <v/>
      </c>
      <c r="AE311" s="18">
        <f>Operations!AE55</f>
        <v/>
      </c>
      <c r="AF311" s="18">
        <f>Operations!AF55</f>
        <v/>
      </c>
      <c r="AG311" s="18">
        <f>Operations!AG55</f>
        <v/>
      </c>
      <c r="AH311" s="18">
        <f>Operations!AH55</f>
        <v/>
      </c>
      <c r="AI311" s="18">
        <f>Operations!AI55</f>
        <v/>
      </c>
      <c r="AJ311" s="18">
        <f>Operations!AJ55</f>
        <v/>
      </c>
      <c r="AK311" s="18">
        <f>Operations!AK55</f>
        <v/>
      </c>
      <c r="AL311" s="18">
        <f>Operations!AL55</f>
        <v/>
      </c>
      <c r="AM311" s="18">
        <f>Operations!AM55</f>
        <v/>
      </c>
      <c r="AN311" s="18">
        <f>Operations!AN55</f>
        <v/>
      </c>
      <c r="AO311" s="18">
        <f>Operations!AO55</f>
        <v/>
      </c>
      <c r="AP311" s="18">
        <f>Operations!AP55</f>
        <v/>
      </c>
      <c r="AQ311" s="18">
        <f>Operations!AQ55</f>
        <v/>
      </c>
      <c r="AR311" s="18">
        <f>Operations!AR55</f>
        <v/>
      </c>
      <c r="AS311" s="18">
        <f>Operations!AS55</f>
        <v/>
      </c>
      <c r="AT311" s="18">
        <f>Operations!AT55</f>
        <v/>
      </c>
      <c r="AU311" s="18">
        <f>Operations!AU55</f>
        <v/>
      </c>
    </row>
    <row r="312">
      <c r="D312" t="inlineStr">
        <is>
          <t>R7 floor term fraction</t>
        </is>
      </c>
      <c r="E312" t="inlineStr">
        <is>
          <t>fraction</t>
        </is>
      </c>
      <c r="J312" s="14">
        <f>MAX(0,MIN(Inputs!$F$216,Time!J$6)-MAX(Inputs!$F$215,Time!J$5))/Time!J$7</f>
        <v/>
      </c>
      <c r="K312" s="14">
        <f>MAX(0,MIN(Inputs!$F$216,Time!K$6)-MAX(Inputs!$F$215,Time!K$5))/Time!K$7</f>
        <v/>
      </c>
      <c r="L312" s="14">
        <f>MAX(0,MIN(Inputs!$F$216,Time!L$6)-MAX(Inputs!$F$215,Time!L$5))/Time!L$7</f>
        <v/>
      </c>
      <c r="M312" s="14">
        <f>MAX(0,MIN(Inputs!$F$216,Time!M$6)-MAX(Inputs!$F$215,Time!M$5))/Time!M$7</f>
        <v/>
      </c>
      <c r="N312" s="14">
        <f>MAX(0,MIN(Inputs!$F$216,Time!N$6)-MAX(Inputs!$F$215,Time!N$5))/Time!N$7</f>
        <v/>
      </c>
      <c r="O312" s="14">
        <f>MAX(0,MIN(Inputs!$F$216,Time!O$6)-MAX(Inputs!$F$215,Time!O$5))/Time!O$7</f>
        <v/>
      </c>
      <c r="P312" s="14">
        <f>MAX(0,MIN(Inputs!$F$216,Time!P$6)-MAX(Inputs!$F$215,Time!P$5))/Time!P$7</f>
        <v/>
      </c>
      <c r="Q312" s="14">
        <f>MAX(0,MIN(Inputs!$F$216,Time!Q$6)-MAX(Inputs!$F$215,Time!Q$5))/Time!Q$7</f>
        <v/>
      </c>
      <c r="R312" s="14">
        <f>MAX(0,MIN(Inputs!$F$216,Time!R$6)-MAX(Inputs!$F$215,Time!R$5))/Time!R$7</f>
        <v/>
      </c>
      <c r="S312" s="14">
        <f>MAX(0,MIN(Inputs!$F$216,Time!S$6)-MAX(Inputs!$F$215,Time!S$5))/Time!S$7</f>
        <v/>
      </c>
      <c r="T312" s="14">
        <f>MAX(0,MIN(Inputs!$F$216,Time!T$6)-MAX(Inputs!$F$215,Time!T$5))/Time!T$7</f>
        <v/>
      </c>
      <c r="U312" s="14">
        <f>MAX(0,MIN(Inputs!$F$216,Time!U$6)-MAX(Inputs!$F$215,Time!U$5))/Time!U$7</f>
        <v/>
      </c>
      <c r="V312" s="14">
        <f>MAX(0,MIN(Inputs!$F$216,Time!V$6)-MAX(Inputs!$F$215,Time!V$5))/Time!V$7</f>
        <v/>
      </c>
      <c r="W312" s="14">
        <f>MAX(0,MIN(Inputs!$F$216,Time!W$6)-MAX(Inputs!$F$215,Time!W$5))/Time!W$7</f>
        <v/>
      </c>
      <c r="X312" s="14">
        <f>MAX(0,MIN(Inputs!$F$216,Time!X$6)-MAX(Inputs!$F$215,Time!X$5))/Time!X$7</f>
        <v/>
      </c>
      <c r="Y312" s="14">
        <f>MAX(0,MIN(Inputs!$F$216,Time!Y$6)-MAX(Inputs!$F$215,Time!Y$5))/Time!Y$7</f>
        <v/>
      </c>
      <c r="Z312" s="14">
        <f>MAX(0,MIN(Inputs!$F$216,Time!Z$6)-MAX(Inputs!$F$215,Time!Z$5))/Time!Z$7</f>
        <v/>
      </c>
      <c r="AA312" s="14">
        <f>MAX(0,MIN(Inputs!$F$216,Time!AA$6)-MAX(Inputs!$F$215,Time!AA$5))/Time!AA$7</f>
        <v/>
      </c>
      <c r="AB312" s="14">
        <f>MAX(0,MIN(Inputs!$F$216,Time!AB$6)-MAX(Inputs!$F$215,Time!AB$5))/Time!AB$7</f>
        <v/>
      </c>
      <c r="AC312" s="14">
        <f>MAX(0,MIN(Inputs!$F$216,Time!AC$6)-MAX(Inputs!$F$215,Time!AC$5))/Time!AC$7</f>
        <v/>
      </c>
      <c r="AD312" s="14">
        <f>MAX(0,MIN(Inputs!$F$216,Time!AD$6)-MAX(Inputs!$F$215,Time!AD$5))/Time!AD$7</f>
        <v/>
      </c>
      <c r="AE312" s="14">
        <f>MAX(0,MIN(Inputs!$F$216,Time!AE$6)-MAX(Inputs!$F$215,Time!AE$5))/Time!AE$7</f>
        <v/>
      </c>
      <c r="AF312" s="14">
        <f>MAX(0,MIN(Inputs!$F$216,Time!AF$6)-MAX(Inputs!$F$215,Time!AF$5))/Time!AF$7</f>
        <v/>
      </c>
      <c r="AG312" s="14">
        <f>MAX(0,MIN(Inputs!$F$216,Time!AG$6)-MAX(Inputs!$F$215,Time!AG$5))/Time!AG$7</f>
        <v/>
      </c>
      <c r="AH312" s="14">
        <f>MAX(0,MIN(Inputs!$F$216,Time!AH$6)-MAX(Inputs!$F$215,Time!AH$5))/Time!AH$7</f>
        <v/>
      </c>
      <c r="AI312" s="14">
        <f>MAX(0,MIN(Inputs!$F$216,Time!AI$6)-MAX(Inputs!$F$215,Time!AI$5))/Time!AI$7</f>
        <v/>
      </c>
      <c r="AJ312" s="14">
        <f>MAX(0,MIN(Inputs!$F$216,Time!AJ$6)-MAX(Inputs!$F$215,Time!AJ$5))/Time!AJ$7</f>
        <v/>
      </c>
      <c r="AK312" s="14">
        <f>MAX(0,MIN(Inputs!$F$216,Time!AK$6)-MAX(Inputs!$F$215,Time!AK$5))/Time!AK$7</f>
        <v/>
      </c>
      <c r="AL312" s="14">
        <f>MAX(0,MIN(Inputs!$F$216,Time!AL$6)-MAX(Inputs!$F$215,Time!AL$5))/Time!AL$7</f>
        <v/>
      </c>
      <c r="AM312" s="14">
        <f>MAX(0,MIN(Inputs!$F$216,Time!AM$6)-MAX(Inputs!$F$215,Time!AM$5))/Time!AM$7</f>
        <v/>
      </c>
      <c r="AN312" s="14">
        <f>MAX(0,MIN(Inputs!$F$216,Time!AN$6)-MAX(Inputs!$F$215,Time!AN$5))/Time!AN$7</f>
        <v/>
      </c>
      <c r="AO312" s="14">
        <f>MAX(0,MIN(Inputs!$F$216,Time!AO$6)-MAX(Inputs!$F$215,Time!AO$5))/Time!AO$7</f>
        <v/>
      </c>
      <c r="AP312" s="14">
        <f>MAX(0,MIN(Inputs!$F$216,Time!AP$6)-MAX(Inputs!$F$215,Time!AP$5))/Time!AP$7</f>
        <v/>
      </c>
      <c r="AQ312" s="14">
        <f>MAX(0,MIN(Inputs!$F$216,Time!AQ$6)-MAX(Inputs!$F$215,Time!AQ$5))/Time!AQ$7</f>
        <v/>
      </c>
      <c r="AR312" s="14">
        <f>MAX(0,MIN(Inputs!$F$216,Time!AR$6)-MAX(Inputs!$F$215,Time!AR$5))/Time!AR$7</f>
        <v/>
      </c>
      <c r="AS312" s="14">
        <f>MAX(0,MIN(Inputs!$F$216,Time!AS$6)-MAX(Inputs!$F$215,Time!AS$5))/Time!AS$7</f>
        <v/>
      </c>
      <c r="AT312" s="14">
        <f>MAX(0,MIN(Inputs!$F$216,Time!AT$6)-MAX(Inputs!$F$215,Time!AT$5))/Time!AT$7</f>
        <v/>
      </c>
      <c r="AU312" s="14">
        <f>MAX(0,MIN(Inputs!$F$216,Time!AU$6)-MAX(Inputs!$F$215,Time!AU$5))/Time!AU$7</f>
        <v/>
      </c>
    </row>
    <row r="313">
      <c r="D313" t="inlineStr">
        <is>
          <t>R7 merchant revenue, availability-adjusted</t>
        </is>
      </c>
      <c r="E313" t="inlineStr">
        <is>
          <t>USD/kW-yr</t>
        </is>
      </c>
      <c r="J313" s="18">
        <f>Operations!J56*Inputs!$F$162/100</f>
        <v/>
      </c>
      <c r="K313" s="18">
        <f>Operations!K56*Inputs!$F$162/100</f>
        <v/>
      </c>
      <c r="L313" s="18">
        <f>Operations!L56*Inputs!$F$162/100</f>
        <v/>
      </c>
      <c r="M313" s="18">
        <f>Operations!M56*Inputs!$F$162/100</f>
        <v/>
      </c>
      <c r="N313" s="18">
        <f>Operations!N56*Inputs!$F$162/100</f>
        <v/>
      </c>
      <c r="O313" s="18">
        <f>Operations!O56*Inputs!$F$162/100</f>
        <v/>
      </c>
      <c r="P313" s="18">
        <f>Operations!P56*Inputs!$F$162/100</f>
        <v/>
      </c>
      <c r="Q313" s="18">
        <f>Operations!Q56*Inputs!$F$162/100</f>
        <v/>
      </c>
      <c r="R313" s="18">
        <f>Operations!R56*Inputs!$F$162/100</f>
        <v/>
      </c>
      <c r="S313" s="18">
        <f>Operations!S56*Inputs!$F$162/100</f>
        <v/>
      </c>
      <c r="T313" s="18">
        <f>Operations!T56*Inputs!$F$162/100</f>
        <v/>
      </c>
      <c r="U313" s="18">
        <f>Operations!U56*Inputs!$F$162/100</f>
        <v/>
      </c>
      <c r="V313" s="18">
        <f>Operations!V56*Inputs!$F$162/100</f>
        <v/>
      </c>
      <c r="W313" s="18">
        <f>Operations!W56*Inputs!$F$162/100</f>
        <v/>
      </c>
      <c r="X313" s="18">
        <f>Operations!X56*Inputs!$F$162/100</f>
        <v/>
      </c>
      <c r="Y313" s="18">
        <f>Operations!Y56*Inputs!$F$162/100</f>
        <v/>
      </c>
      <c r="Z313" s="18">
        <f>Operations!Z56*Inputs!$F$162/100</f>
        <v/>
      </c>
      <c r="AA313" s="18">
        <f>Operations!AA56*Inputs!$F$162/100</f>
        <v/>
      </c>
      <c r="AB313" s="18">
        <f>Operations!AB56*Inputs!$F$162/100</f>
        <v/>
      </c>
      <c r="AC313" s="18">
        <f>Operations!AC56*Inputs!$F$162/100</f>
        <v/>
      </c>
      <c r="AD313" s="18">
        <f>Operations!AD56*Inputs!$F$162/100</f>
        <v/>
      </c>
      <c r="AE313" s="18">
        <f>Operations!AE56*Inputs!$F$162/100</f>
        <v/>
      </c>
      <c r="AF313" s="18">
        <f>Operations!AF56*Inputs!$F$162/100</f>
        <v/>
      </c>
      <c r="AG313" s="18">
        <f>Operations!AG56*Inputs!$F$162/100</f>
        <v/>
      </c>
      <c r="AH313" s="18">
        <f>Operations!AH56*Inputs!$F$162/100</f>
        <v/>
      </c>
      <c r="AI313" s="18">
        <f>Operations!AI56*Inputs!$F$162/100</f>
        <v/>
      </c>
      <c r="AJ313" s="18">
        <f>Operations!AJ56*Inputs!$F$162/100</f>
        <v/>
      </c>
      <c r="AK313" s="18">
        <f>Operations!AK56*Inputs!$F$162/100</f>
        <v/>
      </c>
      <c r="AL313" s="18">
        <f>Operations!AL56*Inputs!$F$162/100</f>
        <v/>
      </c>
      <c r="AM313" s="18">
        <f>Operations!AM56*Inputs!$F$162/100</f>
        <v/>
      </c>
      <c r="AN313" s="18">
        <f>Operations!AN56*Inputs!$F$162/100</f>
        <v/>
      </c>
      <c r="AO313" s="18">
        <f>Operations!AO56*Inputs!$F$162/100</f>
        <v/>
      </c>
      <c r="AP313" s="18">
        <f>Operations!AP56*Inputs!$F$162/100</f>
        <v/>
      </c>
      <c r="AQ313" s="18">
        <f>Operations!AQ56*Inputs!$F$162/100</f>
        <v/>
      </c>
      <c r="AR313" s="18">
        <f>Operations!AR56*Inputs!$F$162/100</f>
        <v/>
      </c>
      <c r="AS313" s="18">
        <f>Operations!AS56*Inputs!$F$162/100</f>
        <v/>
      </c>
      <c r="AT313" s="18">
        <f>Operations!AT56*Inputs!$F$162/100</f>
        <v/>
      </c>
      <c r="AU313" s="18">
        <f>Operations!AU56*Inputs!$F$162/100</f>
        <v/>
      </c>
    </row>
    <row r="314">
      <c r="D314" t="inlineStr">
        <is>
          <t>R7 revenue under floor contract (max of floor, less premium and upside share)</t>
        </is>
      </c>
      <c r="E314" t="inlineStr">
        <is>
          <t>USD m</t>
        </is>
      </c>
      <c r="G314" s="20">
        <f>SUM(J314:AU314)</f>
        <v/>
      </c>
      <c r="J314" s="20">
        <f>(MAX(Operations!J313,Inputs!$F$211)-Inputs!$F$212-Inputs!$F$213/100*MAX(0,Operations!J313-Inputs!$F$214))*Inputs!$F$155/1000*Operations!J312</f>
        <v/>
      </c>
      <c r="K314" s="20">
        <f>(MAX(Operations!K313,Inputs!$F$211)-Inputs!$F$212-Inputs!$F$213/100*MAX(0,Operations!K313-Inputs!$F$214))*Inputs!$F$155/1000*Operations!K312</f>
        <v/>
      </c>
      <c r="L314" s="20">
        <f>(MAX(Operations!L313,Inputs!$F$211)-Inputs!$F$212-Inputs!$F$213/100*MAX(0,Operations!L313-Inputs!$F$214))*Inputs!$F$155/1000*Operations!L312</f>
        <v/>
      </c>
      <c r="M314" s="20">
        <f>(MAX(Operations!M313,Inputs!$F$211)-Inputs!$F$212-Inputs!$F$213/100*MAX(0,Operations!M313-Inputs!$F$214))*Inputs!$F$155/1000*Operations!M312</f>
        <v/>
      </c>
      <c r="N314" s="20">
        <f>(MAX(Operations!N313,Inputs!$F$211)-Inputs!$F$212-Inputs!$F$213/100*MAX(0,Operations!N313-Inputs!$F$214))*Inputs!$F$155/1000*Operations!N312</f>
        <v/>
      </c>
      <c r="O314" s="20">
        <f>(MAX(Operations!O313,Inputs!$F$211)-Inputs!$F$212-Inputs!$F$213/100*MAX(0,Operations!O313-Inputs!$F$214))*Inputs!$F$155/1000*Operations!O312</f>
        <v/>
      </c>
      <c r="P314" s="20">
        <f>(MAX(Operations!P313,Inputs!$F$211)-Inputs!$F$212-Inputs!$F$213/100*MAX(0,Operations!P313-Inputs!$F$214))*Inputs!$F$155/1000*Operations!P312</f>
        <v/>
      </c>
      <c r="Q314" s="20">
        <f>(MAX(Operations!Q313,Inputs!$F$211)-Inputs!$F$212-Inputs!$F$213/100*MAX(0,Operations!Q313-Inputs!$F$214))*Inputs!$F$155/1000*Operations!Q312</f>
        <v/>
      </c>
      <c r="R314" s="20">
        <f>(MAX(Operations!R313,Inputs!$F$211)-Inputs!$F$212-Inputs!$F$213/100*MAX(0,Operations!R313-Inputs!$F$214))*Inputs!$F$155/1000*Operations!R312</f>
        <v/>
      </c>
      <c r="S314" s="20">
        <f>(MAX(Operations!S313,Inputs!$F$211)-Inputs!$F$212-Inputs!$F$213/100*MAX(0,Operations!S313-Inputs!$F$214))*Inputs!$F$155/1000*Operations!S312</f>
        <v/>
      </c>
      <c r="T314" s="20">
        <f>(MAX(Operations!T313,Inputs!$F$211)-Inputs!$F$212-Inputs!$F$213/100*MAX(0,Operations!T313-Inputs!$F$214))*Inputs!$F$155/1000*Operations!T312</f>
        <v/>
      </c>
      <c r="U314" s="20">
        <f>(MAX(Operations!U313,Inputs!$F$211)-Inputs!$F$212-Inputs!$F$213/100*MAX(0,Operations!U313-Inputs!$F$214))*Inputs!$F$155/1000*Operations!U312</f>
        <v/>
      </c>
      <c r="V314" s="20">
        <f>(MAX(Operations!V313,Inputs!$F$211)-Inputs!$F$212-Inputs!$F$213/100*MAX(0,Operations!V313-Inputs!$F$214))*Inputs!$F$155/1000*Operations!V312</f>
        <v/>
      </c>
      <c r="W314" s="20">
        <f>(MAX(Operations!W313,Inputs!$F$211)-Inputs!$F$212-Inputs!$F$213/100*MAX(0,Operations!W313-Inputs!$F$214))*Inputs!$F$155/1000*Operations!W312</f>
        <v/>
      </c>
      <c r="X314" s="20">
        <f>(MAX(Operations!X313,Inputs!$F$211)-Inputs!$F$212-Inputs!$F$213/100*MAX(0,Operations!X313-Inputs!$F$214))*Inputs!$F$155/1000*Operations!X312</f>
        <v/>
      </c>
      <c r="Y314" s="20">
        <f>(MAX(Operations!Y313,Inputs!$F$211)-Inputs!$F$212-Inputs!$F$213/100*MAX(0,Operations!Y313-Inputs!$F$214))*Inputs!$F$155/1000*Operations!Y312</f>
        <v/>
      </c>
      <c r="Z314" s="20">
        <f>(MAX(Operations!Z313,Inputs!$F$211)-Inputs!$F$212-Inputs!$F$213/100*MAX(0,Operations!Z313-Inputs!$F$214))*Inputs!$F$155/1000*Operations!Z312</f>
        <v/>
      </c>
      <c r="AA314" s="20">
        <f>(MAX(Operations!AA313,Inputs!$F$211)-Inputs!$F$212-Inputs!$F$213/100*MAX(0,Operations!AA313-Inputs!$F$214))*Inputs!$F$155/1000*Operations!AA312</f>
        <v/>
      </c>
      <c r="AB314" s="20">
        <f>(MAX(Operations!AB313,Inputs!$F$211)-Inputs!$F$212-Inputs!$F$213/100*MAX(0,Operations!AB313-Inputs!$F$214))*Inputs!$F$155/1000*Operations!AB312</f>
        <v/>
      </c>
      <c r="AC314" s="20">
        <f>(MAX(Operations!AC313,Inputs!$F$211)-Inputs!$F$212-Inputs!$F$213/100*MAX(0,Operations!AC313-Inputs!$F$214))*Inputs!$F$155/1000*Operations!AC312</f>
        <v/>
      </c>
      <c r="AD314" s="20">
        <f>(MAX(Operations!AD313,Inputs!$F$211)-Inputs!$F$212-Inputs!$F$213/100*MAX(0,Operations!AD313-Inputs!$F$214))*Inputs!$F$155/1000*Operations!AD312</f>
        <v/>
      </c>
      <c r="AE314" s="20">
        <f>(MAX(Operations!AE313,Inputs!$F$211)-Inputs!$F$212-Inputs!$F$213/100*MAX(0,Operations!AE313-Inputs!$F$214))*Inputs!$F$155/1000*Operations!AE312</f>
        <v/>
      </c>
      <c r="AF314" s="20">
        <f>(MAX(Operations!AF313,Inputs!$F$211)-Inputs!$F$212-Inputs!$F$213/100*MAX(0,Operations!AF313-Inputs!$F$214))*Inputs!$F$155/1000*Operations!AF312</f>
        <v/>
      </c>
      <c r="AG314" s="20">
        <f>(MAX(Operations!AG313,Inputs!$F$211)-Inputs!$F$212-Inputs!$F$213/100*MAX(0,Operations!AG313-Inputs!$F$214))*Inputs!$F$155/1000*Operations!AG312</f>
        <v/>
      </c>
      <c r="AH314" s="20">
        <f>(MAX(Operations!AH313,Inputs!$F$211)-Inputs!$F$212-Inputs!$F$213/100*MAX(0,Operations!AH313-Inputs!$F$214))*Inputs!$F$155/1000*Operations!AH312</f>
        <v/>
      </c>
      <c r="AI314" s="20">
        <f>(MAX(Operations!AI313,Inputs!$F$211)-Inputs!$F$212-Inputs!$F$213/100*MAX(0,Operations!AI313-Inputs!$F$214))*Inputs!$F$155/1000*Operations!AI312</f>
        <v/>
      </c>
      <c r="AJ314" s="20">
        <f>(MAX(Operations!AJ313,Inputs!$F$211)-Inputs!$F$212-Inputs!$F$213/100*MAX(0,Operations!AJ313-Inputs!$F$214))*Inputs!$F$155/1000*Operations!AJ312</f>
        <v/>
      </c>
      <c r="AK314" s="20">
        <f>(MAX(Operations!AK313,Inputs!$F$211)-Inputs!$F$212-Inputs!$F$213/100*MAX(0,Operations!AK313-Inputs!$F$214))*Inputs!$F$155/1000*Operations!AK312</f>
        <v/>
      </c>
      <c r="AL314" s="20">
        <f>(MAX(Operations!AL313,Inputs!$F$211)-Inputs!$F$212-Inputs!$F$213/100*MAX(0,Operations!AL313-Inputs!$F$214))*Inputs!$F$155/1000*Operations!AL312</f>
        <v/>
      </c>
      <c r="AM314" s="20">
        <f>(MAX(Operations!AM313,Inputs!$F$211)-Inputs!$F$212-Inputs!$F$213/100*MAX(0,Operations!AM313-Inputs!$F$214))*Inputs!$F$155/1000*Operations!AM312</f>
        <v/>
      </c>
      <c r="AN314" s="20">
        <f>(MAX(Operations!AN313,Inputs!$F$211)-Inputs!$F$212-Inputs!$F$213/100*MAX(0,Operations!AN313-Inputs!$F$214))*Inputs!$F$155/1000*Operations!AN312</f>
        <v/>
      </c>
      <c r="AO314" s="20">
        <f>(MAX(Operations!AO313,Inputs!$F$211)-Inputs!$F$212-Inputs!$F$213/100*MAX(0,Operations!AO313-Inputs!$F$214))*Inputs!$F$155/1000*Operations!AO312</f>
        <v/>
      </c>
      <c r="AP314" s="20">
        <f>(MAX(Operations!AP313,Inputs!$F$211)-Inputs!$F$212-Inputs!$F$213/100*MAX(0,Operations!AP313-Inputs!$F$214))*Inputs!$F$155/1000*Operations!AP312</f>
        <v/>
      </c>
      <c r="AQ314" s="20">
        <f>(MAX(Operations!AQ313,Inputs!$F$211)-Inputs!$F$212-Inputs!$F$213/100*MAX(0,Operations!AQ313-Inputs!$F$214))*Inputs!$F$155/1000*Operations!AQ312</f>
        <v/>
      </c>
      <c r="AR314" s="20">
        <f>(MAX(Operations!AR313,Inputs!$F$211)-Inputs!$F$212-Inputs!$F$213/100*MAX(0,Operations!AR313-Inputs!$F$214))*Inputs!$F$155/1000*Operations!AR312</f>
        <v/>
      </c>
      <c r="AS314" s="20">
        <f>(MAX(Operations!AS313,Inputs!$F$211)-Inputs!$F$212-Inputs!$F$213/100*MAX(0,Operations!AS313-Inputs!$F$214))*Inputs!$F$155/1000*Operations!AS312</f>
        <v/>
      </c>
      <c r="AT314" s="20">
        <f>(MAX(Operations!AT313,Inputs!$F$211)-Inputs!$F$212-Inputs!$F$213/100*MAX(0,Operations!AT313-Inputs!$F$214))*Inputs!$F$155/1000*Operations!AT312</f>
        <v/>
      </c>
      <c r="AU314" s="20">
        <f>(MAX(Operations!AU313,Inputs!$F$211)-Inputs!$F$212-Inputs!$F$213/100*MAX(0,Operations!AU313-Inputs!$F$214))*Inputs!$F$155/1000*Operations!AU312</f>
        <v/>
      </c>
    </row>
    <row r="315">
      <c r="D315" t="inlineStr">
        <is>
          <t>R7 merchant revenue outside floor term</t>
        </is>
      </c>
      <c r="E315" t="inlineStr">
        <is>
          <t>USD m</t>
        </is>
      </c>
      <c r="G315" s="20">
        <f>SUM(J315:AU315)</f>
        <v/>
      </c>
      <c r="J315" s="20">
        <f>Operations!J313*Inputs!$F$155/1000*(Operations!J308-Operations!J312)</f>
        <v/>
      </c>
      <c r="K315" s="20">
        <f>Operations!K313*Inputs!$F$155/1000*(Operations!K308-Operations!K312)</f>
        <v/>
      </c>
      <c r="L315" s="20">
        <f>Operations!L313*Inputs!$F$155/1000*(Operations!L308-Operations!L312)</f>
        <v/>
      </c>
      <c r="M315" s="20">
        <f>Operations!M313*Inputs!$F$155/1000*(Operations!M308-Operations!M312)</f>
        <v/>
      </c>
      <c r="N315" s="20">
        <f>Operations!N313*Inputs!$F$155/1000*(Operations!N308-Operations!N312)</f>
        <v/>
      </c>
      <c r="O315" s="20">
        <f>Operations!O313*Inputs!$F$155/1000*(Operations!O308-Operations!O312)</f>
        <v/>
      </c>
      <c r="P315" s="20">
        <f>Operations!P313*Inputs!$F$155/1000*(Operations!P308-Operations!P312)</f>
        <v/>
      </c>
      <c r="Q315" s="20">
        <f>Operations!Q313*Inputs!$F$155/1000*(Operations!Q308-Operations!Q312)</f>
        <v/>
      </c>
      <c r="R315" s="20">
        <f>Operations!R313*Inputs!$F$155/1000*(Operations!R308-Operations!R312)</f>
        <v/>
      </c>
      <c r="S315" s="20">
        <f>Operations!S313*Inputs!$F$155/1000*(Operations!S308-Operations!S312)</f>
        <v/>
      </c>
      <c r="T315" s="20">
        <f>Operations!T313*Inputs!$F$155/1000*(Operations!T308-Operations!T312)</f>
        <v/>
      </c>
      <c r="U315" s="20">
        <f>Operations!U313*Inputs!$F$155/1000*(Operations!U308-Operations!U312)</f>
        <v/>
      </c>
      <c r="V315" s="20">
        <f>Operations!V313*Inputs!$F$155/1000*(Operations!V308-Operations!V312)</f>
        <v/>
      </c>
      <c r="W315" s="20">
        <f>Operations!W313*Inputs!$F$155/1000*(Operations!W308-Operations!W312)</f>
        <v/>
      </c>
      <c r="X315" s="20">
        <f>Operations!X313*Inputs!$F$155/1000*(Operations!X308-Operations!X312)</f>
        <v/>
      </c>
      <c r="Y315" s="20">
        <f>Operations!Y313*Inputs!$F$155/1000*(Operations!Y308-Operations!Y312)</f>
        <v/>
      </c>
      <c r="Z315" s="20">
        <f>Operations!Z313*Inputs!$F$155/1000*(Operations!Z308-Operations!Z312)</f>
        <v/>
      </c>
      <c r="AA315" s="20">
        <f>Operations!AA313*Inputs!$F$155/1000*(Operations!AA308-Operations!AA312)</f>
        <v/>
      </c>
      <c r="AB315" s="20">
        <f>Operations!AB313*Inputs!$F$155/1000*(Operations!AB308-Operations!AB312)</f>
        <v/>
      </c>
      <c r="AC315" s="20">
        <f>Operations!AC313*Inputs!$F$155/1000*(Operations!AC308-Operations!AC312)</f>
        <v/>
      </c>
      <c r="AD315" s="20">
        <f>Operations!AD313*Inputs!$F$155/1000*(Operations!AD308-Operations!AD312)</f>
        <v/>
      </c>
      <c r="AE315" s="20">
        <f>Operations!AE313*Inputs!$F$155/1000*(Operations!AE308-Operations!AE312)</f>
        <v/>
      </c>
      <c r="AF315" s="20">
        <f>Operations!AF313*Inputs!$F$155/1000*(Operations!AF308-Operations!AF312)</f>
        <v/>
      </c>
      <c r="AG315" s="20">
        <f>Operations!AG313*Inputs!$F$155/1000*(Operations!AG308-Operations!AG312)</f>
        <v/>
      </c>
      <c r="AH315" s="20">
        <f>Operations!AH313*Inputs!$F$155/1000*(Operations!AH308-Operations!AH312)</f>
        <v/>
      </c>
      <c r="AI315" s="20">
        <f>Operations!AI313*Inputs!$F$155/1000*(Operations!AI308-Operations!AI312)</f>
        <v/>
      </c>
      <c r="AJ315" s="20">
        <f>Operations!AJ313*Inputs!$F$155/1000*(Operations!AJ308-Operations!AJ312)</f>
        <v/>
      </c>
      <c r="AK315" s="20">
        <f>Operations!AK313*Inputs!$F$155/1000*(Operations!AK308-Operations!AK312)</f>
        <v/>
      </c>
      <c r="AL315" s="20">
        <f>Operations!AL313*Inputs!$F$155/1000*(Operations!AL308-Operations!AL312)</f>
        <v/>
      </c>
      <c r="AM315" s="20">
        <f>Operations!AM313*Inputs!$F$155/1000*(Operations!AM308-Operations!AM312)</f>
        <v/>
      </c>
      <c r="AN315" s="20">
        <f>Operations!AN313*Inputs!$F$155/1000*(Operations!AN308-Operations!AN312)</f>
        <v/>
      </c>
      <c r="AO315" s="20">
        <f>Operations!AO313*Inputs!$F$155/1000*(Operations!AO308-Operations!AO312)</f>
        <v/>
      </c>
      <c r="AP315" s="20">
        <f>Operations!AP313*Inputs!$F$155/1000*(Operations!AP308-Operations!AP312)</f>
        <v/>
      </c>
      <c r="AQ315" s="20">
        <f>Operations!AQ313*Inputs!$F$155/1000*(Operations!AQ308-Operations!AQ312)</f>
        <v/>
      </c>
      <c r="AR315" s="20">
        <f>Operations!AR313*Inputs!$F$155/1000*(Operations!AR308-Operations!AR312)</f>
        <v/>
      </c>
      <c r="AS315" s="20">
        <f>Operations!AS313*Inputs!$F$155/1000*(Operations!AS308-Operations!AS312)</f>
        <v/>
      </c>
      <c r="AT315" s="20">
        <f>Operations!AT313*Inputs!$F$155/1000*(Operations!AT308-Operations!AT312)</f>
        <v/>
      </c>
      <c r="AU315" s="20">
        <f>Operations!AU313*Inputs!$F$155/1000*(Operations!AU308-Operations!AU312)</f>
        <v/>
      </c>
    </row>
    <row r="316">
      <c r="D316" t="inlineStr">
        <is>
          <t>R7 contracted revenue (floor less premium)</t>
        </is>
      </c>
      <c r="E316" t="inlineStr">
        <is>
          <t>USD m</t>
        </is>
      </c>
      <c r="J316" s="20">
        <f>(Inputs!$F$211-Inputs!$F$212)*Inputs!$F$155/1000*Operations!J312</f>
        <v/>
      </c>
      <c r="K316" s="20">
        <f>(Inputs!$F$211-Inputs!$F$212)*Inputs!$F$155/1000*Operations!K312</f>
        <v/>
      </c>
      <c r="L316" s="20">
        <f>(Inputs!$F$211-Inputs!$F$212)*Inputs!$F$155/1000*Operations!L312</f>
        <v/>
      </c>
      <c r="M316" s="20">
        <f>(Inputs!$F$211-Inputs!$F$212)*Inputs!$F$155/1000*Operations!M312</f>
        <v/>
      </c>
      <c r="N316" s="20">
        <f>(Inputs!$F$211-Inputs!$F$212)*Inputs!$F$155/1000*Operations!N312</f>
        <v/>
      </c>
      <c r="O316" s="20">
        <f>(Inputs!$F$211-Inputs!$F$212)*Inputs!$F$155/1000*Operations!O312</f>
        <v/>
      </c>
      <c r="P316" s="20">
        <f>(Inputs!$F$211-Inputs!$F$212)*Inputs!$F$155/1000*Operations!P312</f>
        <v/>
      </c>
      <c r="Q316" s="20">
        <f>(Inputs!$F$211-Inputs!$F$212)*Inputs!$F$155/1000*Operations!Q312</f>
        <v/>
      </c>
      <c r="R316" s="20">
        <f>(Inputs!$F$211-Inputs!$F$212)*Inputs!$F$155/1000*Operations!R312</f>
        <v/>
      </c>
      <c r="S316" s="20">
        <f>(Inputs!$F$211-Inputs!$F$212)*Inputs!$F$155/1000*Operations!S312</f>
        <v/>
      </c>
      <c r="T316" s="20">
        <f>(Inputs!$F$211-Inputs!$F$212)*Inputs!$F$155/1000*Operations!T312</f>
        <v/>
      </c>
      <c r="U316" s="20">
        <f>(Inputs!$F$211-Inputs!$F$212)*Inputs!$F$155/1000*Operations!U312</f>
        <v/>
      </c>
      <c r="V316" s="20">
        <f>(Inputs!$F$211-Inputs!$F$212)*Inputs!$F$155/1000*Operations!V312</f>
        <v/>
      </c>
      <c r="W316" s="20">
        <f>(Inputs!$F$211-Inputs!$F$212)*Inputs!$F$155/1000*Operations!W312</f>
        <v/>
      </c>
      <c r="X316" s="20">
        <f>(Inputs!$F$211-Inputs!$F$212)*Inputs!$F$155/1000*Operations!X312</f>
        <v/>
      </c>
      <c r="Y316" s="20">
        <f>(Inputs!$F$211-Inputs!$F$212)*Inputs!$F$155/1000*Operations!Y312</f>
        <v/>
      </c>
      <c r="Z316" s="20">
        <f>(Inputs!$F$211-Inputs!$F$212)*Inputs!$F$155/1000*Operations!Z312</f>
        <v/>
      </c>
      <c r="AA316" s="20">
        <f>(Inputs!$F$211-Inputs!$F$212)*Inputs!$F$155/1000*Operations!AA312</f>
        <v/>
      </c>
      <c r="AB316" s="20">
        <f>(Inputs!$F$211-Inputs!$F$212)*Inputs!$F$155/1000*Operations!AB312</f>
        <v/>
      </c>
      <c r="AC316" s="20">
        <f>(Inputs!$F$211-Inputs!$F$212)*Inputs!$F$155/1000*Operations!AC312</f>
        <v/>
      </c>
      <c r="AD316" s="20">
        <f>(Inputs!$F$211-Inputs!$F$212)*Inputs!$F$155/1000*Operations!AD312</f>
        <v/>
      </c>
      <c r="AE316" s="20">
        <f>(Inputs!$F$211-Inputs!$F$212)*Inputs!$F$155/1000*Operations!AE312</f>
        <v/>
      </c>
      <c r="AF316" s="20">
        <f>(Inputs!$F$211-Inputs!$F$212)*Inputs!$F$155/1000*Operations!AF312</f>
        <v/>
      </c>
      <c r="AG316" s="20">
        <f>(Inputs!$F$211-Inputs!$F$212)*Inputs!$F$155/1000*Operations!AG312</f>
        <v/>
      </c>
      <c r="AH316" s="20">
        <f>(Inputs!$F$211-Inputs!$F$212)*Inputs!$F$155/1000*Operations!AH312</f>
        <v/>
      </c>
      <c r="AI316" s="20">
        <f>(Inputs!$F$211-Inputs!$F$212)*Inputs!$F$155/1000*Operations!AI312</f>
        <v/>
      </c>
      <c r="AJ316" s="20">
        <f>(Inputs!$F$211-Inputs!$F$212)*Inputs!$F$155/1000*Operations!AJ312</f>
        <v/>
      </c>
      <c r="AK316" s="20">
        <f>(Inputs!$F$211-Inputs!$F$212)*Inputs!$F$155/1000*Operations!AK312</f>
        <v/>
      </c>
      <c r="AL316" s="20">
        <f>(Inputs!$F$211-Inputs!$F$212)*Inputs!$F$155/1000*Operations!AL312</f>
        <v/>
      </c>
      <c r="AM316" s="20">
        <f>(Inputs!$F$211-Inputs!$F$212)*Inputs!$F$155/1000*Operations!AM312</f>
        <v/>
      </c>
      <c r="AN316" s="20">
        <f>(Inputs!$F$211-Inputs!$F$212)*Inputs!$F$155/1000*Operations!AN312</f>
        <v/>
      </c>
      <c r="AO316" s="20">
        <f>(Inputs!$F$211-Inputs!$F$212)*Inputs!$F$155/1000*Operations!AO312</f>
        <v/>
      </c>
      <c r="AP316" s="20">
        <f>(Inputs!$F$211-Inputs!$F$212)*Inputs!$F$155/1000*Operations!AP312</f>
        <v/>
      </c>
      <c r="AQ316" s="20">
        <f>(Inputs!$F$211-Inputs!$F$212)*Inputs!$F$155/1000*Operations!AQ312</f>
        <v/>
      </c>
      <c r="AR316" s="20">
        <f>(Inputs!$F$211-Inputs!$F$212)*Inputs!$F$155/1000*Operations!AR312</f>
        <v/>
      </c>
      <c r="AS316" s="20">
        <f>(Inputs!$F$211-Inputs!$F$212)*Inputs!$F$155/1000*Operations!AS312</f>
        <v/>
      </c>
      <c r="AT316" s="20">
        <f>(Inputs!$F$211-Inputs!$F$212)*Inputs!$F$155/1000*Operations!AT312</f>
        <v/>
      </c>
      <c r="AU316" s="20">
        <f>(Inputs!$F$211-Inputs!$F$212)*Inputs!$F$155/1000*Operations!AU312</f>
        <v/>
      </c>
    </row>
    <row r="317">
      <c r="D317" t="inlineStr">
        <is>
          <t>R7 hedged revenue</t>
        </is>
      </c>
      <c r="E317" t="inlineStr">
        <is>
          <t>USD m</t>
        </is>
      </c>
      <c r="J317" s="20">
        <f>0</f>
        <v/>
      </c>
      <c r="K317" s="20">
        <f>0</f>
        <v/>
      </c>
      <c r="L317" s="20">
        <f>0</f>
        <v/>
      </c>
      <c r="M317" s="20">
        <f>0</f>
        <v/>
      </c>
      <c r="N317" s="20">
        <f>0</f>
        <v/>
      </c>
      <c r="O317" s="20">
        <f>0</f>
        <v/>
      </c>
      <c r="P317" s="20">
        <f>0</f>
        <v/>
      </c>
      <c r="Q317" s="20">
        <f>0</f>
        <v/>
      </c>
      <c r="R317" s="20">
        <f>0</f>
        <v/>
      </c>
      <c r="S317" s="20">
        <f>0</f>
        <v/>
      </c>
      <c r="T317" s="20">
        <f>0</f>
        <v/>
      </c>
      <c r="U317" s="20">
        <f>0</f>
        <v/>
      </c>
      <c r="V317" s="20">
        <f>0</f>
        <v/>
      </c>
      <c r="W317" s="20">
        <f>0</f>
        <v/>
      </c>
      <c r="X317" s="20">
        <f>0</f>
        <v/>
      </c>
      <c r="Y317" s="20">
        <f>0</f>
        <v/>
      </c>
      <c r="Z317" s="20">
        <f>0</f>
        <v/>
      </c>
      <c r="AA317" s="20">
        <f>0</f>
        <v/>
      </c>
      <c r="AB317" s="20">
        <f>0</f>
        <v/>
      </c>
      <c r="AC317" s="20">
        <f>0</f>
        <v/>
      </c>
      <c r="AD317" s="20">
        <f>0</f>
        <v/>
      </c>
      <c r="AE317" s="20">
        <f>0</f>
        <v/>
      </c>
      <c r="AF317" s="20">
        <f>0</f>
        <v/>
      </c>
      <c r="AG317" s="20">
        <f>0</f>
        <v/>
      </c>
      <c r="AH317" s="20">
        <f>0</f>
        <v/>
      </c>
      <c r="AI317" s="20">
        <f>0</f>
        <v/>
      </c>
      <c r="AJ317" s="20">
        <f>0</f>
        <v/>
      </c>
      <c r="AK317" s="20">
        <f>0</f>
        <v/>
      </c>
      <c r="AL317" s="20">
        <f>0</f>
        <v/>
      </c>
      <c r="AM317" s="20">
        <f>0</f>
        <v/>
      </c>
      <c r="AN317" s="20">
        <f>0</f>
        <v/>
      </c>
      <c r="AO317" s="20">
        <f>0</f>
        <v/>
      </c>
      <c r="AP317" s="20">
        <f>0</f>
        <v/>
      </c>
      <c r="AQ317" s="20">
        <f>0</f>
        <v/>
      </c>
      <c r="AR317" s="20">
        <f>0</f>
        <v/>
      </c>
      <c r="AS317" s="20">
        <f>0</f>
        <v/>
      </c>
      <c r="AT317" s="20">
        <f>0</f>
        <v/>
      </c>
      <c r="AU317" s="20">
        <f>0</f>
        <v/>
      </c>
    </row>
    <row r="318">
      <c r="D318" t="inlineStr">
        <is>
          <t>R7 total revenue</t>
        </is>
      </c>
      <c r="E318" t="inlineStr">
        <is>
          <t>USD m</t>
        </is>
      </c>
      <c r="G318" s="20">
        <f>SUM(J318:AU318)</f>
        <v/>
      </c>
      <c r="J318" s="20">
        <f>Operations!J314+Operations!J315</f>
        <v/>
      </c>
      <c r="K318" s="20">
        <f>Operations!K314+Operations!K315</f>
        <v/>
      </c>
      <c r="L318" s="20">
        <f>Operations!L314+Operations!L315</f>
        <v/>
      </c>
      <c r="M318" s="20">
        <f>Operations!M314+Operations!M315</f>
        <v/>
      </c>
      <c r="N318" s="20">
        <f>Operations!N314+Operations!N315</f>
        <v/>
      </c>
      <c r="O318" s="20">
        <f>Operations!O314+Operations!O315</f>
        <v/>
      </c>
      <c r="P318" s="20">
        <f>Operations!P314+Operations!P315</f>
        <v/>
      </c>
      <c r="Q318" s="20">
        <f>Operations!Q314+Operations!Q315</f>
        <v/>
      </c>
      <c r="R318" s="20">
        <f>Operations!R314+Operations!R315</f>
        <v/>
      </c>
      <c r="S318" s="20">
        <f>Operations!S314+Operations!S315</f>
        <v/>
      </c>
      <c r="T318" s="20">
        <f>Operations!T314+Operations!T315</f>
        <v/>
      </c>
      <c r="U318" s="20">
        <f>Operations!U314+Operations!U315</f>
        <v/>
      </c>
      <c r="V318" s="20">
        <f>Operations!V314+Operations!V315</f>
        <v/>
      </c>
      <c r="W318" s="20">
        <f>Operations!W314+Operations!W315</f>
        <v/>
      </c>
      <c r="X318" s="20">
        <f>Operations!X314+Operations!X315</f>
        <v/>
      </c>
      <c r="Y318" s="20">
        <f>Operations!Y314+Operations!Y315</f>
        <v/>
      </c>
      <c r="Z318" s="20">
        <f>Operations!Z314+Operations!Z315</f>
        <v/>
      </c>
      <c r="AA318" s="20">
        <f>Operations!AA314+Operations!AA315</f>
        <v/>
      </c>
      <c r="AB318" s="20">
        <f>Operations!AB314+Operations!AB315</f>
        <v/>
      </c>
      <c r="AC318" s="20">
        <f>Operations!AC314+Operations!AC315</f>
        <v/>
      </c>
      <c r="AD318" s="20">
        <f>Operations!AD314+Operations!AD315</f>
        <v/>
      </c>
      <c r="AE318" s="20">
        <f>Operations!AE314+Operations!AE315</f>
        <v/>
      </c>
      <c r="AF318" s="20">
        <f>Operations!AF314+Operations!AF315</f>
        <v/>
      </c>
      <c r="AG318" s="20">
        <f>Operations!AG314+Operations!AG315</f>
        <v/>
      </c>
      <c r="AH318" s="20">
        <f>Operations!AH314+Operations!AH315</f>
        <v/>
      </c>
      <c r="AI318" s="20">
        <f>Operations!AI314+Operations!AI315</f>
        <v/>
      </c>
      <c r="AJ318" s="20">
        <f>Operations!AJ314+Operations!AJ315</f>
        <v/>
      </c>
      <c r="AK318" s="20">
        <f>Operations!AK314+Operations!AK315</f>
        <v/>
      </c>
      <c r="AL318" s="20">
        <f>Operations!AL314+Operations!AL315</f>
        <v/>
      </c>
      <c r="AM318" s="20">
        <f>Operations!AM314+Operations!AM315</f>
        <v/>
      </c>
      <c r="AN318" s="20">
        <f>Operations!AN314+Operations!AN315</f>
        <v/>
      </c>
      <c r="AO318" s="20">
        <f>Operations!AO314+Operations!AO315</f>
        <v/>
      </c>
      <c r="AP318" s="20">
        <f>Operations!AP314+Operations!AP315</f>
        <v/>
      </c>
      <c r="AQ318" s="20">
        <f>Operations!AQ314+Operations!AQ315</f>
        <v/>
      </c>
      <c r="AR318" s="20">
        <f>Operations!AR314+Operations!AR315</f>
        <v/>
      </c>
      <c r="AS318" s="20">
        <f>Operations!AS314+Operations!AS315</f>
        <v/>
      </c>
      <c r="AT318" s="20">
        <f>Operations!AT314+Operations!AT315</f>
        <v/>
      </c>
      <c r="AU318" s="20">
        <f>Operations!AU314+Operations!AU315</f>
        <v/>
      </c>
    </row>
    <row r="319">
      <c r="D319" t="inlineStr">
        <is>
          <t>R7 merchant revenue (total less contracted and hedged)</t>
        </is>
      </c>
      <c r="E319" t="inlineStr">
        <is>
          <t>USD m</t>
        </is>
      </c>
      <c r="J319" s="20">
        <f>Operations!J318-Operations!J316-Operations!J317</f>
        <v/>
      </c>
      <c r="K319" s="20">
        <f>Operations!K318-Operations!K316-Operations!K317</f>
        <v/>
      </c>
      <c r="L319" s="20">
        <f>Operations!L318-Operations!L316-Operations!L317</f>
        <v/>
      </c>
      <c r="M319" s="20">
        <f>Operations!M318-Operations!M316-Operations!M317</f>
        <v/>
      </c>
      <c r="N319" s="20">
        <f>Operations!N318-Operations!N316-Operations!N317</f>
        <v/>
      </c>
      <c r="O319" s="20">
        <f>Operations!O318-Operations!O316-Operations!O317</f>
        <v/>
      </c>
      <c r="P319" s="20">
        <f>Operations!P318-Operations!P316-Operations!P317</f>
        <v/>
      </c>
      <c r="Q319" s="20">
        <f>Operations!Q318-Operations!Q316-Operations!Q317</f>
        <v/>
      </c>
      <c r="R319" s="20">
        <f>Operations!R318-Operations!R316-Operations!R317</f>
        <v/>
      </c>
      <c r="S319" s="20">
        <f>Operations!S318-Operations!S316-Operations!S317</f>
        <v/>
      </c>
      <c r="T319" s="20">
        <f>Operations!T318-Operations!T316-Operations!T317</f>
        <v/>
      </c>
      <c r="U319" s="20">
        <f>Operations!U318-Operations!U316-Operations!U317</f>
        <v/>
      </c>
      <c r="V319" s="20">
        <f>Operations!V318-Operations!V316-Operations!V317</f>
        <v/>
      </c>
      <c r="W319" s="20">
        <f>Operations!W318-Operations!W316-Operations!W317</f>
        <v/>
      </c>
      <c r="X319" s="20">
        <f>Operations!X318-Operations!X316-Operations!X317</f>
        <v/>
      </c>
      <c r="Y319" s="20">
        <f>Operations!Y318-Operations!Y316-Operations!Y317</f>
        <v/>
      </c>
      <c r="Z319" s="20">
        <f>Operations!Z318-Operations!Z316-Operations!Z317</f>
        <v/>
      </c>
      <c r="AA319" s="20">
        <f>Operations!AA318-Operations!AA316-Operations!AA317</f>
        <v/>
      </c>
      <c r="AB319" s="20">
        <f>Operations!AB318-Operations!AB316-Operations!AB317</f>
        <v/>
      </c>
      <c r="AC319" s="20">
        <f>Operations!AC318-Operations!AC316-Operations!AC317</f>
        <v/>
      </c>
      <c r="AD319" s="20">
        <f>Operations!AD318-Operations!AD316-Operations!AD317</f>
        <v/>
      </c>
      <c r="AE319" s="20">
        <f>Operations!AE318-Operations!AE316-Operations!AE317</f>
        <v/>
      </c>
      <c r="AF319" s="20">
        <f>Operations!AF318-Operations!AF316-Operations!AF317</f>
        <v/>
      </c>
      <c r="AG319" s="20">
        <f>Operations!AG318-Operations!AG316-Operations!AG317</f>
        <v/>
      </c>
      <c r="AH319" s="20">
        <f>Operations!AH318-Operations!AH316-Operations!AH317</f>
        <v/>
      </c>
      <c r="AI319" s="20">
        <f>Operations!AI318-Operations!AI316-Operations!AI317</f>
        <v/>
      </c>
      <c r="AJ319" s="20">
        <f>Operations!AJ318-Operations!AJ316-Operations!AJ317</f>
        <v/>
      </c>
      <c r="AK319" s="20">
        <f>Operations!AK318-Operations!AK316-Operations!AK317</f>
        <v/>
      </c>
      <c r="AL319" s="20">
        <f>Operations!AL318-Operations!AL316-Operations!AL317</f>
        <v/>
      </c>
      <c r="AM319" s="20">
        <f>Operations!AM318-Operations!AM316-Operations!AM317</f>
        <v/>
      </c>
      <c r="AN319" s="20">
        <f>Operations!AN318-Operations!AN316-Operations!AN317</f>
        <v/>
      </c>
      <c r="AO319" s="20">
        <f>Operations!AO318-Operations!AO316-Operations!AO317</f>
        <v/>
      </c>
      <c r="AP319" s="20">
        <f>Operations!AP318-Operations!AP316-Operations!AP317</f>
        <v/>
      </c>
      <c r="AQ319" s="20">
        <f>Operations!AQ318-Operations!AQ316-Operations!AQ317</f>
        <v/>
      </c>
      <c r="AR319" s="20">
        <f>Operations!AR318-Operations!AR316-Operations!AR317</f>
        <v/>
      </c>
      <c r="AS319" s="20">
        <f>Operations!AS318-Operations!AS316-Operations!AS317</f>
        <v/>
      </c>
      <c r="AT319" s="20">
        <f>Operations!AT318-Operations!AT316-Operations!AT317</f>
        <v/>
      </c>
      <c r="AU319" s="20">
        <f>Operations!AU318-Operations!AU316-Operations!AU317</f>
        <v/>
      </c>
    </row>
    <row r="320">
      <c r="D320" t="inlineStr">
        <is>
          <t>R7 opex (O&amp;M, land, insurance, property tax, site)</t>
        </is>
      </c>
      <c r="E320" t="inlineStr">
        <is>
          <t>USD m</t>
        </is>
      </c>
      <c r="J320" s="20">
        <f>Inputs!$F$159*Inputs!$F$155/1000*Time!J$9*Time!J$10*Operations!J308*Operations!$F$50</f>
        <v/>
      </c>
      <c r="K320" s="20">
        <f>Inputs!$F$159*Inputs!$F$155/1000*Time!K$9*Time!K$10*Operations!K308*Operations!$F$50</f>
        <v/>
      </c>
      <c r="L320" s="20">
        <f>Inputs!$F$159*Inputs!$F$155/1000*Time!L$9*Time!L$10*Operations!L308*Operations!$F$50</f>
        <v/>
      </c>
      <c r="M320" s="20">
        <f>Inputs!$F$159*Inputs!$F$155/1000*Time!M$9*Time!M$10*Operations!M308*Operations!$F$50</f>
        <v/>
      </c>
      <c r="N320" s="20">
        <f>Inputs!$F$159*Inputs!$F$155/1000*Time!N$9*Time!N$10*Operations!N308*Operations!$F$50</f>
        <v/>
      </c>
      <c r="O320" s="20">
        <f>Inputs!$F$159*Inputs!$F$155/1000*Time!O$9*Time!O$10*Operations!O308*Operations!$F$50</f>
        <v/>
      </c>
      <c r="P320" s="20">
        <f>Inputs!$F$159*Inputs!$F$155/1000*Time!P$9*Time!P$10*Operations!P308*Operations!$F$50</f>
        <v/>
      </c>
      <c r="Q320" s="20">
        <f>Inputs!$F$159*Inputs!$F$155/1000*Time!Q$9*Time!Q$10*Operations!Q308*Operations!$F$50</f>
        <v/>
      </c>
      <c r="R320" s="20">
        <f>Inputs!$F$159*Inputs!$F$155/1000*Time!R$9*Time!R$10*Operations!R308*Operations!$F$50</f>
        <v/>
      </c>
      <c r="S320" s="20">
        <f>Inputs!$F$159*Inputs!$F$155/1000*Time!S$9*Time!S$10*Operations!S308*Operations!$F$50</f>
        <v/>
      </c>
      <c r="T320" s="20">
        <f>Inputs!$F$159*Inputs!$F$155/1000*Time!T$9*Time!T$10*Operations!T308*Operations!$F$50</f>
        <v/>
      </c>
      <c r="U320" s="20">
        <f>Inputs!$F$159*Inputs!$F$155/1000*Time!U$9*Time!U$10*Operations!U308*Operations!$F$50</f>
        <v/>
      </c>
      <c r="V320" s="20">
        <f>Inputs!$F$159*Inputs!$F$155/1000*Time!V$9*Time!V$10*Operations!V308*Operations!$F$50</f>
        <v/>
      </c>
      <c r="W320" s="20">
        <f>Inputs!$F$159*Inputs!$F$155/1000*Time!W$9*Time!W$10*Operations!W308*Operations!$F$50</f>
        <v/>
      </c>
      <c r="X320" s="20">
        <f>Inputs!$F$159*Inputs!$F$155/1000*Time!X$9*Time!X$10*Operations!X308*Operations!$F$50</f>
        <v/>
      </c>
      <c r="Y320" s="20">
        <f>Inputs!$F$159*Inputs!$F$155/1000*Time!Y$9*Time!Y$10*Operations!Y308*Operations!$F$50</f>
        <v/>
      </c>
      <c r="Z320" s="20">
        <f>Inputs!$F$159*Inputs!$F$155/1000*Time!Z$9*Time!Z$10*Operations!Z308*Operations!$F$50</f>
        <v/>
      </c>
      <c r="AA320" s="20">
        <f>Inputs!$F$159*Inputs!$F$155/1000*Time!AA$9*Time!AA$10*Operations!AA308*Operations!$F$50</f>
        <v/>
      </c>
      <c r="AB320" s="20">
        <f>Inputs!$F$159*Inputs!$F$155/1000*Time!AB$9*Time!AB$10*Operations!AB308*Operations!$F$50</f>
        <v/>
      </c>
      <c r="AC320" s="20">
        <f>Inputs!$F$159*Inputs!$F$155/1000*Time!AC$9*Time!AC$10*Operations!AC308*Operations!$F$50</f>
        <v/>
      </c>
      <c r="AD320" s="20">
        <f>Inputs!$F$159*Inputs!$F$155/1000*Time!AD$9*Time!AD$10*Operations!AD308*Operations!$F$50</f>
        <v/>
      </c>
      <c r="AE320" s="20">
        <f>Inputs!$F$159*Inputs!$F$155/1000*Time!AE$9*Time!AE$10*Operations!AE308*Operations!$F$50</f>
        <v/>
      </c>
      <c r="AF320" s="20">
        <f>Inputs!$F$159*Inputs!$F$155/1000*Time!AF$9*Time!AF$10*Operations!AF308*Operations!$F$50</f>
        <v/>
      </c>
      <c r="AG320" s="20">
        <f>Inputs!$F$159*Inputs!$F$155/1000*Time!AG$9*Time!AG$10*Operations!AG308*Operations!$F$50</f>
        <v/>
      </c>
      <c r="AH320" s="20">
        <f>Inputs!$F$159*Inputs!$F$155/1000*Time!AH$9*Time!AH$10*Operations!AH308*Operations!$F$50</f>
        <v/>
      </c>
      <c r="AI320" s="20">
        <f>Inputs!$F$159*Inputs!$F$155/1000*Time!AI$9*Time!AI$10*Operations!AI308*Operations!$F$50</f>
        <v/>
      </c>
      <c r="AJ320" s="20">
        <f>Inputs!$F$159*Inputs!$F$155/1000*Time!AJ$9*Time!AJ$10*Operations!AJ308*Operations!$F$50</f>
        <v/>
      </c>
      <c r="AK320" s="20">
        <f>Inputs!$F$159*Inputs!$F$155/1000*Time!AK$9*Time!AK$10*Operations!AK308*Operations!$F$50</f>
        <v/>
      </c>
      <c r="AL320" s="20">
        <f>Inputs!$F$159*Inputs!$F$155/1000*Time!AL$9*Time!AL$10*Operations!AL308*Operations!$F$50</f>
        <v/>
      </c>
      <c r="AM320" s="20">
        <f>Inputs!$F$159*Inputs!$F$155/1000*Time!AM$9*Time!AM$10*Operations!AM308*Operations!$F$50</f>
        <v/>
      </c>
      <c r="AN320" s="20">
        <f>Inputs!$F$159*Inputs!$F$155/1000*Time!AN$9*Time!AN$10*Operations!AN308*Operations!$F$50</f>
        <v/>
      </c>
      <c r="AO320" s="20">
        <f>Inputs!$F$159*Inputs!$F$155/1000*Time!AO$9*Time!AO$10*Operations!AO308*Operations!$F$50</f>
        <v/>
      </c>
      <c r="AP320" s="20">
        <f>Inputs!$F$159*Inputs!$F$155/1000*Time!AP$9*Time!AP$10*Operations!AP308*Operations!$F$50</f>
        <v/>
      </c>
      <c r="AQ320" s="20">
        <f>Inputs!$F$159*Inputs!$F$155/1000*Time!AQ$9*Time!AQ$10*Operations!AQ308*Operations!$F$50</f>
        <v/>
      </c>
      <c r="AR320" s="20">
        <f>Inputs!$F$159*Inputs!$F$155/1000*Time!AR$9*Time!AR$10*Operations!AR308*Operations!$F$50</f>
        <v/>
      </c>
      <c r="AS320" s="20">
        <f>Inputs!$F$159*Inputs!$F$155/1000*Time!AS$9*Time!AS$10*Operations!AS308*Operations!$F$50</f>
        <v/>
      </c>
      <c r="AT320" s="20">
        <f>Inputs!$F$159*Inputs!$F$155/1000*Time!AT$9*Time!AT$10*Operations!AT308*Operations!$F$50</f>
        <v/>
      </c>
      <c r="AU320" s="20">
        <f>Inputs!$F$159*Inputs!$F$155/1000*Time!AU$9*Time!AU$10*Operations!AU308*Operations!$F$50</f>
        <v/>
      </c>
    </row>
    <row r="321">
      <c r="D321" t="inlineStr">
        <is>
          <t>R7 land lease (in opex)</t>
        </is>
      </c>
      <c r="E321" t="inlineStr">
        <is>
          <t>USD m</t>
        </is>
      </c>
      <c r="J321" s="20">
        <f>0</f>
        <v/>
      </c>
      <c r="K321" s="20">
        <f>0</f>
        <v/>
      </c>
      <c r="L321" s="20">
        <f>0</f>
        <v/>
      </c>
      <c r="M321" s="20">
        <f>0</f>
        <v/>
      </c>
      <c r="N321" s="20">
        <f>0</f>
        <v/>
      </c>
      <c r="O321" s="20">
        <f>0</f>
        <v/>
      </c>
      <c r="P321" s="20">
        <f>0</f>
        <v/>
      </c>
      <c r="Q321" s="20">
        <f>0</f>
        <v/>
      </c>
      <c r="R321" s="20">
        <f>0</f>
        <v/>
      </c>
      <c r="S321" s="20">
        <f>0</f>
        <v/>
      </c>
      <c r="T321" s="20">
        <f>0</f>
        <v/>
      </c>
      <c r="U321" s="20">
        <f>0</f>
        <v/>
      </c>
      <c r="V321" s="20">
        <f>0</f>
        <v/>
      </c>
      <c r="W321" s="20">
        <f>0</f>
        <v/>
      </c>
      <c r="X321" s="20">
        <f>0</f>
        <v/>
      </c>
      <c r="Y321" s="20">
        <f>0</f>
        <v/>
      </c>
      <c r="Z321" s="20">
        <f>0</f>
        <v/>
      </c>
      <c r="AA321" s="20">
        <f>0</f>
        <v/>
      </c>
      <c r="AB321" s="20">
        <f>0</f>
        <v/>
      </c>
      <c r="AC321" s="20">
        <f>0</f>
        <v/>
      </c>
      <c r="AD321" s="20">
        <f>0</f>
        <v/>
      </c>
      <c r="AE321" s="20">
        <f>0</f>
        <v/>
      </c>
      <c r="AF321" s="20">
        <f>0</f>
        <v/>
      </c>
      <c r="AG321" s="20">
        <f>0</f>
        <v/>
      </c>
      <c r="AH321" s="20">
        <f>0</f>
        <v/>
      </c>
      <c r="AI321" s="20">
        <f>0</f>
        <v/>
      </c>
      <c r="AJ321" s="20">
        <f>0</f>
        <v/>
      </c>
      <c r="AK321" s="20">
        <f>0</f>
        <v/>
      </c>
      <c r="AL321" s="20">
        <f>0</f>
        <v/>
      </c>
      <c r="AM321" s="20">
        <f>0</f>
        <v/>
      </c>
      <c r="AN321" s="20">
        <f>0</f>
        <v/>
      </c>
      <c r="AO321" s="20">
        <f>0</f>
        <v/>
      </c>
      <c r="AP321" s="20">
        <f>0</f>
        <v/>
      </c>
      <c r="AQ321" s="20">
        <f>0</f>
        <v/>
      </c>
      <c r="AR321" s="20">
        <f>0</f>
        <v/>
      </c>
      <c r="AS321" s="20">
        <f>0</f>
        <v/>
      </c>
      <c r="AT321" s="20">
        <f>0</f>
        <v/>
      </c>
      <c r="AU321" s="20">
        <f>0</f>
        <v/>
      </c>
    </row>
    <row r="322">
      <c r="D322" t="inlineStr">
        <is>
          <t>R7 decommissioning surety cost</t>
        </is>
      </c>
      <c r="E322" t="inlineStr">
        <is>
          <t>USD m</t>
        </is>
      </c>
      <c r="J322" s="20">
        <f>Inputs!$F$236/100*Inputs!$F$160*Inputs!$F$155/1000*Time!J$9*Operations!J308</f>
        <v/>
      </c>
      <c r="K322" s="20">
        <f>Inputs!$F$236/100*Inputs!$F$160*Inputs!$F$155/1000*Time!K$9*Operations!K308</f>
        <v/>
      </c>
      <c r="L322" s="20">
        <f>Inputs!$F$236/100*Inputs!$F$160*Inputs!$F$155/1000*Time!L$9*Operations!L308</f>
        <v/>
      </c>
      <c r="M322" s="20">
        <f>Inputs!$F$236/100*Inputs!$F$160*Inputs!$F$155/1000*Time!M$9*Operations!M308</f>
        <v/>
      </c>
      <c r="N322" s="20">
        <f>Inputs!$F$236/100*Inputs!$F$160*Inputs!$F$155/1000*Time!N$9*Operations!N308</f>
        <v/>
      </c>
      <c r="O322" s="20">
        <f>Inputs!$F$236/100*Inputs!$F$160*Inputs!$F$155/1000*Time!O$9*Operations!O308</f>
        <v/>
      </c>
      <c r="P322" s="20">
        <f>Inputs!$F$236/100*Inputs!$F$160*Inputs!$F$155/1000*Time!P$9*Operations!P308</f>
        <v/>
      </c>
      <c r="Q322" s="20">
        <f>Inputs!$F$236/100*Inputs!$F$160*Inputs!$F$155/1000*Time!Q$9*Operations!Q308</f>
        <v/>
      </c>
      <c r="R322" s="20">
        <f>Inputs!$F$236/100*Inputs!$F$160*Inputs!$F$155/1000*Time!R$9*Operations!R308</f>
        <v/>
      </c>
      <c r="S322" s="20">
        <f>Inputs!$F$236/100*Inputs!$F$160*Inputs!$F$155/1000*Time!S$9*Operations!S308</f>
        <v/>
      </c>
      <c r="T322" s="20">
        <f>Inputs!$F$236/100*Inputs!$F$160*Inputs!$F$155/1000*Time!T$9*Operations!T308</f>
        <v/>
      </c>
      <c r="U322" s="20">
        <f>Inputs!$F$236/100*Inputs!$F$160*Inputs!$F$155/1000*Time!U$9*Operations!U308</f>
        <v/>
      </c>
      <c r="V322" s="20">
        <f>Inputs!$F$236/100*Inputs!$F$160*Inputs!$F$155/1000*Time!V$9*Operations!V308</f>
        <v/>
      </c>
      <c r="W322" s="20">
        <f>Inputs!$F$236/100*Inputs!$F$160*Inputs!$F$155/1000*Time!W$9*Operations!W308</f>
        <v/>
      </c>
      <c r="X322" s="20">
        <f>Inputs!$F$236/100*Inputs!$F$160*Inputs!$F$155/1000*Time!X$9*Operations!X308</f>
        <v/>
      </c>
      <c r="Y322" s="20">
        <f>Inputs!$F$236/100*Inputs!$F$160*Inputs!$F$155/1000*Time!Y$9*Operations!Y308</f>
        <v/>
      </c>
      <c r="Z322" s="20">
        <f>Inputs!$F$236/100*Inputs!$F$160*Inputs!$F$155/1000*Time!Z$9*Operations!Z308</f>
        <v/>
      </c>
      <c r="AA322" s="20">
        <f>Inputs!$F$236/100*Inputs!$F$160*Inputs!$F$155/1000*Time!AA$9*Operations!AA308</f>
        <v/>
      </c>
      <c r="AB322" s="20">
        <f>Inputs!$F$236/100*Inputs!$F$160*Inputs!$F$155/1000*Time!AB$9*Operations!AB308</f>
        <v/>
      </c>
      <c r="AC322" s="20">
        <f>Inputs!$F$236/100*Inputs!$F$160*Inputs!$F$155/1000*Time!AC$9*Operations!AC308</f>
        <v/>
      </c>
      <c r="AD322" s="20">
        <f>Inputs!$F$236/100*Inputs!$F$160*Inputs!$F$155/1000*Time!AD$9*Operations!AD308</f>
        <v/>
      </c>
      <c r="AE322" s="20">
        <f>Inputs!$F$236/100*Inputs!$F$160*Inputs!$F$155/1000*Time!AE$9*Operations!AE308</f>
        <v/>
      </c>
      <c r="AF322" s="20">
        <f>Inputs!$F$236/100*Inputs!$F$160*Inputs!$F$155/1000*Time!AF$9*Operations!AF308</f>
        <v/>
      </c>
      <c r="AG322" s="20">
        <f>Inputs!$F$236/100*Inputs!$F$160*Inputs!$F$155/1000*Time!AG$9*Operations!AG308</f>
        <v/>
      </c>
      <c r="AH322" s="20">
        <f>Inputs!$F$236/100*Inputs!$F$160*Inputs!$F$155/1000*Time!AH$9*Operations!AH308</f>
        <v/>
      </c>
      <c r="AI322" s="20">
        <f>Inputs!$F$236/100*Inputs!$F$160*Inputs!$F$155/1000*Time!AI$9*Operations!AI308</f>
        <v/>
      </c>
      <c r="AJ322" s="20">
        <f>Inputs!$F$236/100*Inputs!$F$160*Inputs!$F$155/1000*Time!AJ$9*Operations!AJ308</f>
        <v/>
      </c>
      <c r="AK322" s="20">
        <f>Inputs!$F$236/100*Inputs!$F$160*Inputs!$F$155/1000*Time!AK$9*Operations!AK308</f>
        <v/>
      </c>
      <c r="AL322" s="20">
        <f>Inputs!$F$236/100*Inputs!$F$160*Inputs!$F$155/1000*Time!AL$9*Operations!AL308</f>
        <v/>
      </c>
      <c r="AM322" s="20">
        <f>Inputs!$F$236/100*Inputs!$F$160*Inputs!$F$155/1000*Time!AM$9*Operations!AM308</f>
        <v/>
      </c>
      <c r="AN322" s="20">
        <f>Inputs!$F$236/100*Inputs!$F$160*Inputs!$F$155/1000*Time!AN$9*Operations!AN308</f>
        <v/>
      </c>
      <c r="AO322" s="20">
        <f>Inputs!$F$236/100*Inputs!$F$160*Inputs!$F$155/1000*Time!AO$9*Operations!AO308</f>
        <v/>
      </c>
      <c r="AP322" s="20">
        <f>Inputs!$F$236/100*Inputs!$F$160*Inputs!$F$155/1000*Time!AP$9*Operations!AP308</f>
        <v/>
      </c>
      <c r="AQ322" s="20">
        <f>Inputs!$F$236/100*Inputs!$F$160*Inputs!$F$155/1000*Time!AQ$9*Operations!AQ308</f>
        <v/>
      </c>
      <c r="AR322" s="20">
        <f>Inputs!$F$236/100*Inputs!$F$160*Inputs!$F$155/1000*Time!AR$9*Operations!AR308</f>
        <v/>
      </c>
      <c r="AS322" s="20">
        <f>Inputs!$F$236/100*Inputs!$F$160*Inputs!$F$155/1000*Time!AS$9*Operations!AS308</f>
        <v/>
      </c>
      <c r="AT322" s="20">
        <f>Inputs!$F$236/100*Inputs!$F$160*Inputs!$F$155/1000*Time!AT$9*Operations!AT308</f>
        <v/>
      </c>
      <c r="AU322" s="20">
        <f>Inputs!$F$236/100*Inputs!$F$160*Inputs!$F$155/1000*Time!AU$9*Operations!AU308</f>
        <v/>
      </c>
    </row>
    <row r="323">
      <c r="D323" t="inlineStr">
        <is>
          <t>R7 Texas margin tax</t>
        </is>
      </c>
      <c r="E323" t="inlineStr">
        <is>
          <t>USD m</t>
        </is>
      </c>
      <c r="J323" s="20">
        <f>Inputs!$F$237/100*Inputs!$F$238/100*Operations!J318</f>
        <v/>
      </c>
      <c r="K323" s="20">
        <f>Inputs!$F$237/100*Inputs!$F$238/100*Operations!K318</f>
        <v/>
      </c>
      <c r="L323" s="20">
        <f>Inputs!$F$237/100*Inputs!$F$238/100*Operations!L318</f>
        <v/>
      </c>
      <c r="M323" s="20">
        <f>Inputs!$F$237/100*Inputs!$F$238/100*Operations!M318</f>
        <v/>
      </c>
      <c r="N323" s="20">
        <f>Inputs!$F$237/100*Inputs!$F$238/100*Operations!N318</f>
        <v/>
      </c>
      <c r="O323" s="20">
        <f>Inputs!$F$237/100*Inputs!$F$238/100*Operations!O318</f>
        <v/>
      </c>
      <c r="P323" s="20">
        <f>Inputs!$F$237/100*Inputs!$F$238/100*Operations!P318</f>
        <v/>
      </c>
      <c r="Q323" s="20">
        <f>Inputs!$F$237/100*Inputs!$F$238/100*Operations!Q318</f>
        <v/>
      </c>
      <c r="R323" s="20">
        <f>Inputs!$F$237/100*Inputs!$F$238/100*Operations!R318</f>
        <v/>
      </c>
      <c r="S323" s="20">
        <f>Inputs!$F$237/100*Inputs!$F$238/100*Operations!S318</f>
        <v/>
      </c>
      <c r="T323" s="20">
        <f>Inputs!$F$237/100*Inputs!$F$238/100*Operations!T318</f>
        <v/>
      </c>
      <c r="U323" s="20">
        <f>Inputs!$F$237/100*Inputs!$F$238/100*Operations!U318</f>
        <v/>
      </c>
      <c r="V323" s="20">
        <f>Inputs!$F$237/100*Inputs!$F$238/100*Operations!V318</f>
        <v/>
      </c>
      <c r="W323" s="20">
        <f>Inputs!$F$237/100*Inputs!$F$238/100*Operations!W318</f>
        <v/>
      </c>
      <c r="X323" s="20">
        <f>Inputs!$F$237/100*Inputs!$F$238/100*Operations!X318</f>
        <v/>
      </c>
      <c r="Y323" s="20">
        <f>Inputs!$F$237/100*Inputs!$F$238/100*Operations!Y318</f>
        <v/>
      </c>
      <c r="Z323" s="20">
        <f>Inputs!$F$237/100*Inputs!$F$238/100*Operations!Z318</f>
        <v/>
      </c>
      <c r="AA323" s="20">
        <f>Inputs!$F$237/100*Inputs!$F$238/100*Operations!AA318</f>
        <v/>
      </c>
      <c r="AB323" s="20">
        <f>Inputs!$F$237/100*Inputs!$F$238/100*Operations!AB318</f>
        <v/>
      </c>
      <c r="AC323" s="20">
        <f>Inputs!$F$237/100*Inputs!$F$238/100*Operations!AC318</f>
        <v/>
      </c>
      <c r="AD323" s="20">
        <f>Inputs!$F$237/100*Inputs!$F$238/100*Operations!AD318</f>
        <v/>
      </c>
      <c r="AE323" s="20">
        <f>Inputs!$F$237/100*Inputs!$F$238/100*Operations!AE318</f>
        <v/>
      </c>
      <c r="AF323" s="20">
        <f>Inputs!$F$237/100*Inputs!$F$238/100*Operations!AF318</f>
        <v/>
      </c>
      <c r="AG323" s="20">
        <f>Inputs!$F$237/100*Inputs!$F$238/100*Operations!AG318</f>
        <v/>
      </c>
      <c r="AH323" s="20">
        <f>Inputs!$F$237/100*Inputs!$F$238/100*Operations!AH318</f>
        <v/>
      </c>
      <c r="AI323" s="20">
        <f>Inputs!$F$237/100*Inputs!$F$238/100*Operations!AI318</f>
        <v/>
      </c>
      <c r="AJ323" s="20">
        <f>Inputs!$F$237/100*Inputs!$F$238/100*Operations!AJ318</f>
        <v/>
      </c>
      <c r="AK323" s="20">
        <f>Inputs!$F$237/100*Inputs!$F$238/100*Operations!AK318</f>
        <v/>
      </c>
      <c r="AL323" s="20">
        <f>Inputs!$F$237/100*Inputs!$F$238/100*Operations!AL318</f>
        <v/>
      </c>
      <c r="AM323" s="20">
        <f>Inputs!$F$237/100*Inputs!$F$238/100*Operations!AM318</f>
        <v/>
      </c>
      <c r="AN323" s="20">
        <f>Inputs!$F$237/100*Inputs!$F$238/100*Operations!AN318</f>
        <v/>
      </c>
      <c r="AO323" s="20">
        <f>Inputs!$F$237/100*Inputs!$F$238/100*Operations!AO318</f>
        <v/>
      </c>
      <c r="AP323" s="20">
        <f>Inputs!$F$237/100*Inputs!$F$238/100*Operations!AP318</f>
        <v/>
      </c>
      <c r="AQ323" s="20">
        <f>Inputs!$F$237/100*Inputs!$F$238/100*Operations!AQ318</f>
        <v/>
      </c>
      <c r="AR323" s="20">
        <f>Inputs!$F$237/100*Inputs!$F$238/100*Operations!AR318</f>
        <v/>
      </c>
      <c r="AS323" s="20">
        <f>Inputs!$F$237/100*Inputs!$F$238/100*Operations!AS318</f>
        <v/>
      </c>
      <c r="AT323" s="20">
        <f>Inputs!$F$237/100*Inputs!$F$238/100*Operations!AT318</f>
        <v/>
      </c>
      <c r="AU323" s="20">
        <f>Inputs!$F$237/100*Inputs!$F$238/100*Operations!AU318</f>
        <v/>
      </c>
    </row>
    <row r="324">
      <c r="D324" t="inlineStr">
        <is>
          <t>R7 EBITDA</t>
        </is>
      </c>
      <c r="E324" t="inlineStr">
        <is>
          <t>USD m</t>
        </is>
      </c>
      <c r="G324" s="20">
        <f>SUM(J324:AU324)</f>
        <v/>
      </c>
      <c r="J324" s="20">
        <f>Operations!J318-Operations!J320-Operations!J321-Operations!J322-Operations!J323</f>
        <v/>
      </c>
      <c r="K324" s="20">
        <f>Operations!K318-Operations!K320-Operations!K321-Operations!K322-Operations!K323</f>
        <v/>
      </c>
      <c r="L324" s="20">
        <f>Operations!L318-Operations!L320-Operations!L321-Operations!L322-Operations!L323</f>
        <v/>
      </c>
      <c r="M324" s="20">
        <f>Operations!M318-Operations!M320-Operations!M321-Operations!M322-Operations!M323</f>
        <v/>
      </c>
      <c r="N324" s="20">
        <f>Operations!N318-Operations!N320-Operations!N321-Operations!N322-Operations!N323</f>
        <v/>
      </c>
      <c r="O324" s="20">
        <f>Operations!O318-Operations!O320-Operations!O321-Operations!O322-Operations!O323</f>
        <v/>
      </c>
      <c r="P324" s="20">
        <f>Operations!P318-Operations!P320-Operations!P321-Operations!P322-Operations!P323</f>
        <v/>
      </c>
      <c r="Q324" s="20">
        <f>Operations!Q318-Operations!Q320-Operations!Q321-Operations!Q322-Operations!Q323</f>
        <v/>
      </c>
      <c r="R324" s="20">
        <f>Operations!R318-Operations!R320-Operations!R321-Operations!R322-Operations!R323</f>
        <v/>
      </c>
      <c r="S324" s="20">
        <f>Operations!S318-Operations!S320-Operations!S321-Operations!S322-Operations!S323</f>
        <v/>
      </c>
      <c r="T324" s="20">
        <f>Operations!T318-Operations!T320-Operations!T321-Operations!T322-Operations!T323</f>
        <v/>
      </c>
      <c r="U324" s="20">
        <f>Operations!U318-Operations!U320-Operations!U321-Operations!U322-Operations!U323</f>
        <v/>
      </c>
      <c r="V324" s="20">
        <f>Operations!V318-Operations!V320-Operations!V321-Operations!V322-Operations!V323</f>
        <v/>
      </c>
      <c r="W324" s="20">
        <f>Operations!W318-Operations!W320-Operations!W321-Operations!W322-Operations!W323</f>
        <v/>
      </c>
      <c r="X324" s="20">
        <f>Operations!X318-Operations!X320-Operations!X321-Operations!X322-Operations!X323</f>
        <v/>
      </c>
      <c r="Y324" s="20">
        <f>Operations!Y318-Operations!Y320-Operations!Y321-Operations!Y322-Operations!Y323</f>
        <v/>
      </c>
      <c r="Z324" s="20">
        <f>Operations!Z318-Operations!Z320-Operations!Z321-Operations!Z322-Operations!Z323</f>
        <v/>
      </c>
      <c r="AA324" s="20">
        <f>Operations!AA318-Operations!AA320-Operations!AA321-Operations!AA322-Operations!AA323</f>
        <v/>
      </c>
      <c r="AB324" s="20">
        <f>Operations!AB318-Operations!AB320-Operations!AB321-Operations!AB322-Operations!AB323</f>
        <v/>
      </c>
      <c r="AC324" s="20">
        <f>Operations!AC318-Operations!AC320-Operations!AC321-Operations!AC322-Operations!AC323</f>
        <v/>
      </c>
      <c r="AD324" s="20">
        <f>Operations!AD318-Operations!AD320-Operations!AD321-Operations!AD322-Operations!AD323</f>
        <v/>
      </c>
      <c r="AE324" s="20">
        <f>Operations!AE318-Operations!AE320-Operations!AE321-Operations!AE322-Operations!AE323</f>
        <v/>
      </c>
      <c r="AF324" s="20">
        <f>Operations!AF318-Operations!AF320-Operations!AF321-Operations!AF322-Operations!AF323</f>
        <v/>
      </c>
      <c r="AG324" s="20">
        <f>Operations!AG318-Operations!AG320-Operations!AG321-Operations!AG322-Operations!AG323</f>
        <v/>
      </c>
      <c r="AH324" s="20">
        <f>Operations!AH318-Operations!AH320-Operations!AH321-Operations!AH322-Operations!AH323</f>
        <v/>
      </c>
      <c r="AI324" s="20">
        <f>Operations!AI318-Operations!AI320-Operations!AI321-Operations!AI322-Operations!AI323</f>
        <v/>
      </c>
      <c r="AJ324" s="20">
        <f>Operations!AJ318-Operations!AJ320-Operations!AJ321-Operations!AJ322-Operations!AJ323</f>
        <v/>
      </c>
      <c r="AK324" s="20">
        <f>Operations!AK318-Operations!AK320-Operations!AK321-Operations!AK322-Operations!AK323</f>
        <v/>
      </c>
      <c r="AL324" s="20">
        <f>Operations!AL318-Operations!AL320-Operations!AL321-Operations!AL322-Operations!AL323</f>
        <v/>
      </c>
      <c r="AM324" s="20">
        <f>Operations!AM318-Operations!AM320-Operations!AM321-Operations!AM322-Operations!AM323</f>
        <v/>
      </c>
      <c r="AN324" s="20">
        <f>Operations!AN318-Operations!AN320-Operations!AN321-Operations!AN322-Operations!AN323</f>
        <v/>
      </c>
      <c r="AO324" s="20">
        <f>Operations!AO318-Operations!AO320-Operations!AO321-Operations!AO322-Operations!AO323</f>
        <v/>
      </c>
      <c r="AP324" s="20">
        <f>Operations!AP318-Operations!AP320-Operations!AP321-Operations!AP322-Operations!AP323</f>
        <v/>
      </c>
      <c r="AQ324" s="20">
        <f>Operations!AQ318-Operations!AQ320-Operations!AQ321-Operations!AQ322-Operations!AQ323</f>
        <v/>
      </c>
      <c r="AR324" s="20">
        <f>Operations!AR318-Operations!AR320-Operations!AR321-Operations!AR322-Operations!AR323</f>
        <v/>
      </c>
      <c r="AS324" s="20">
        <f>Operations!AS318-Operations!AS320-Operations!AS321-Operations!AS322-Operations!AS323</f>
        <v/>
      </c>
      <c r="AT324" s="20">
        <f>Operations!AT318-Operations!AT320-Operations!AT321-Operations!AT322-Operations!AT323</f>
        <v/>
      </c>
      <c r="AU324" s="20">
        <f>Operations!AU318-Operations!AU320-Operations!AU321-Operations!AU322-Operations!AU323</f>
        <v/>
      </c>
    </row>
    <row r="325">
      <c r="D325" t="inlineStr">
        <is>
          <t>R7 augmentation capex</t>
        </is>
      </c>
      <c r="E325" t="inlineStr">
        <is>
          <t>USD m</t>
        </is>
      </c>
      <c r="J325" s="20">
        <f>IF(OR(Time!J$4=YEAR(Inputs!$F$156)+Inputs!$F$163,Time!J$4=YEAR(Inputs!$F$156)+Inputs!$F$164),Inputs!$F$165/100*Inputs!$F$161*Inputs!$F$166/1000*(1+Inputs!$F$187/100)^(Time!J$4-Inputs!$F$186),0)</f>
        <v/>
      </c>
      <c r="K325" s="20">
        <f>IF(OR(Time!K$4=YEAR(Inputs!$F$156)+Inputs!$F$163,Time!K$4=YEAR(Inputs!$F$156)+Inputs!$F$164),Inputs!$F$165/100*Inputs!$F$161*Inputs!$F$166/1000*(1+Inputs!$F$187/100)^(Time!K$4-Inputs!$F$186),0)</f>
        <v/>
      </c>
      <c r="L325" s="20">
        <f>IF(OR(Time!L$4=YEAR(Inputs!$F$156)+Inputs!$F$163,Time!L$4=YEAR(Inputs!$F$156)+Inputs!$F$164),Inputs!$F$165/100*Inputs!$F$161*Inputs!$F$166/1000*(1+Inputs!$F$187/100)^(Time!L$4-Inputs!$F$186),0)</f>
        <v/>
      </c>
      <c r="M325" s="20">
        <f>IF(OR(Time!M$4=YEAR(Inputs!$F$156)+Inputs!$F$163,Time!M$4=YEAR(Inputs!$F$156)+Inputs!$F$164),Inputs!$F$165/100*Inputs!$F$161*Inputs!$F$166/1000*(1+Inputs!$F$187/100)^(Time!M$4-Inputs!$F$186),0)</f>
        <v/>
      </c>
      <c r="N325" s="20">
        <f>IF(OR(Time!N$4=YEAR(Inputs!$F$156)+Inputs!$F$163,Time!N$4=YEAR(Inputs!$F$156)+Inputs!$F$164),Inputs!$F$165/100*Inputs!$F$161*Inputs!$F$166/1000*(1+Inputs!$F$187/100)^(Time!N$4-Inputs!$F$186),0)</f>
        <v/>
      </c>
      <c r="O325" s="20">
        <f>IF(OR(Time!O$4=YEAR(Inputs!$F$156)+Inputs!$F$163,Time!O$4=YEAR(Inputs!$F$156)+Inputs!$F$164),Inputs!$F$165/100*Inputs!$F$161*Inputs!$F$166/1000*(1+Inputs!$F$187/100)^(Time!O$4-Inputs!$F$186),0)</f>
        <v/>
      </c>
      <c r="P325" s="20">
        <f>IF(OR(Time!P$4=YEAR(Inputs!$F$156)+Inputs!$F$163,Time!P$4=YEAR(Inputs!$F$156)+Inputs!$F$164),Inputs!$F$165/100*Inputs!$F$161*Inputs!$F$166/1000*(1+Inputs!$F$187/100)^(Time!P$4-Inputs!$F$186),0)</f>
        <v/>
      </c>
      <c r="Q325" s="20">
        <f>IF(OR(Time!Q$4=YEAR(Inputs!$F$156)+Inputs!$F$163,Time!Q$4=YEAR(Inputs!$F$156)+Inputs!$F$164),Inputs!$F$165/100*Inputs!$F$161*Inputs!$F$166/1000*(1+Inputs!$F$187/100)^(Time!Q$4-Inputs!$F$186),0)</f>
        <v/>
      </c>
      <c r="R325" s="20">
        <f>IF(OR(Time!R$4=YEAR(Inputs!$F$156)+Inputs!$F$163,Time!R$4=YEAR(Inputs!$F$156)+Inputs!$F$164),Inputs!$F$165/100*Inputs!$F$161*Inputs!$F$166/1000*(1+Inputs!$F$187/100)^(Time!R$4-Inputs!$F$186),0)</f>
        <v/>
      </c>
      <c r="S325" s="20">
        <f>IF(OR(Time!S$4=YEAR(Inputs!$F$156)+Inputs!$F$163,Time!S$4=YEAR(Inputs!$F$156)+Inputs!$F$164),Inputs!$F$165/100*Inputs!$F$161*Inputs!$F$166/1000*(1+Inputs!$F$187/100)^(Time!S$4-Inputs!$F$186),0)</f>
        <v/>
      </c>
      <c r="T325" s="20">
        <f>IF(OR(Time!T$4=YEAR(Inputs!$F$156)+Inputs!$F$163,Time!T$4=YEAR(Inputs!$F$156)+Inputs!$F$164),Inputs!$F$165/100*Inputs!$F$161*Inputs!$F$166/1000*(1+Inputs!$F$187/100)^(Time!T$4-Inputs!$F$186),0)</f>
        <v/>
      </c>
      <c r="U325" s="20">
        <f>IF(OR(Time!U$4=YEAR(Inputs!$F$156)+Inputs!$F$163,Time!U$4=YEAR(Inputs!$F$156)+Inputs!$F$164),Inputs!$F$165/100*Inputs!$F$161*Inputs!$F$166/1000*(1+Inputs!$F$187/100)^(Time!U$4-Inputs!$F$186),0)</f>
        <v/>
      </c>
      <c r="V325" s="20">
        <f>IF(OR(Time!V$4=YEAR(Inputs!$F$156)+Inputs!$F$163,Time!V$4=YEAR(Inputs!$F$156)+Inputs!$F$164),Inputs!$F$165/100*Inputs!$F$161*Inputs!$F$166/1000*(1+Inputs!$F$187/100)^(Time!V$4-Inputs!$F$186),0)</f>
        <v/>
      </c>
      <c r="W325" s="20">
        <f>IF(OR(Time!W$4=YEAR(Inputs!$F$156)+Inputs!$F$163,Time!W$4=YEAR(Inputs!$F$156)+Inputs!$F$164),Inputs!$F$165/100*Inputs!$F$161*Inputs!$F$166/1000*(1+Inputs!$F$187/100)^(Time!W$4-Inputs!$F$186),0)</f>
        <v/>
      </c>
      <c r="X325" s="20">
        <f>IF(OR(Time!X$4=YEAR(Inputs!$F$156)+Inputs!$F$163,Time!X$4=YEAR(Inputs!$F$156)+Inputs!$F$164),Inputs!$F$165/100*Inputs!$F$161*Inputs!$F$166/1000*(1+Inputs!$F$187/100)^(Time!X$4-Inputs!$F$186),0)</f>
        <v/>
      </c>
      <c r="Y325" s="20">
        <f>IF(OR(Time!Y$4=YEAR(Inputs!$F$156)+Inputs!$F$163,Time!Y$4=YEAR(Inputs!$F$156)+Inputs!$F$164),Inputs!$F$165/100*Inputs!$F$161*Inputs!$F$166/1000*(1+Inputs!$F$187/100)^(Time!Y$4-Inputs!$F$186),0)</f>
        <v/>
      </c>
      <c r="Z325" s="20">
        <f>IF(OR(Time!Z$4=YEAR(Inputs!$F$156)+Inputs!$F$163,Time!Z$4=YEAR(Inputs!$F$156)+Inputs!$F$164),Inputs!$F$165/100*Inputs!$F$161*Inputs!$F$166/1000*(1+Inputs!$F$187/100)^(Time!Z$4-Inputs!$F$186),0)</f>
        <v/>
      </c>
      <c r="AA325" s="20">
        <f>IF(OR(Time!AA$4=YEAR(Inputs!$F$156)+Inputs!$F$163,Time!AA$4=YEAR(Inputs!$F$156)+Inputs!$F$164),Inputs!$F$165/100*Inputs!$F$161*Inputs!$F$166/1000*(1+Inputs!$F$187/100)^(Time!AA$4-Inputs!$F$186),0)</f>
        <v/>
      </c>
      <c r="AB325" s="20">
        <f>IF(OR(Time!AB$4=YEAR(Inputs!$F$156)+Inputs!$F$163,Time!AB$4=YEAR(Inputs!$F$156)+Inputs!$F$164),Inputs!$F$165/100*Inputs!$F$161*Inputs!$F$166/1000*(1+Inputs!$F$187/100)^(Time!AB$4-Inputs!$F$186),0)</f>
        <v/>
      </c>
      <c r="AC325" s="20">
        <f>IF(OR(Time!AC$4=YEAR(Inputs!$F$156)+Inputs!$F$163,Time!AC$4=YEAR(Inputs!$F$156)+Inputs!$F$164),Inputs!$F$165/100*Inputs!$F$161*Inputs!$F$166/1000*(1+Inputs!$F$187/100)^(Time!AC$4-Inputs!$F$186),0)</f>
        <v/>
      </c>
      <c r="AD325" s="20">
        <f>IF(OR(Time!AD$4=YEAR(Inputs!$F$156)+Inputs!$F$163,Time!AD$4=YEAR(Inputs!$F$156)+Inputs!$F$164),Inputs!$F$165/100*Inputs!$F$161*Inputs!$F$166/1000*(1+Inputs!$F$187/100)^(Time!AD$4-Inputs!$F$186),0)</f>
        <v/>
      </c>
      <c r="AE325" s="20">
        <f>IF(OR(Time!AE$4=YEAR(Inputs!$F$156)+Inputs!$F$163,Time!AE$4=YEAR(Inputs!$F$156)+Inputs!$F$164),Inputs!$F$165/100*Inputs!$F$161*Inputs!$F$166/1000*(1+Inputs!$F$187/100)^(Time!AE$4-Inputs!$F$186),0)</f>
        <v/>
      </c>
      <c r="AF325" s="20">
        <f>IF(OR(Time!AF$4=YEAR(Inputs!$F$156)+Inputs!$F$163,Time!AF$4=YEAR(Inputs!$F$156)+Inputs!$F$164),Inputs!$F$165/100*Inputs!$F$161*Inputs!$F$166/1000*(1+Inputs!$F$187/100)^(Time!AF$4-Inputs!$F$186),0)</f>
        <v/>
      </c>
      <c r="AG325" s="20">
        <f>IF(OR(Time!AG$4=YEAR(Inputs!$F$156)+Inputs!$F$163,Time!AG$4=YEAR(Inputs!$F$156)+Inputs!$F$164),Inputs!$F$165/100*Inputs!$F$161*Inputs!$F$166/1000*(1+Inputs!$F$187/100)^(Time!AG$4-Inputs!$F$186),0)</f>
        <v/>
      </c>
      <c r="AH325" s="20">
        <f>IF(OR(Time!AH$4=YEAR(Inputs!$F$156)+Inputs!$F$163,Time!AH$4=YEAR(Inputs!$F$156)+Inputs!$F$164),Inputs!$F$165/100*Inputs!$F$161*Inputs!$F$166/1000*(1+Inputs!$F$187/100)^(Time!AH$4-Inputs!$F$186),0)</f>
        <v/>
      </c>
      <c r="AI325" s="20">
        <f>IF(OR(Time!AI$4=YEAR(Inputs!$F$156)+Inputs!$F$163,Time!AI$4=YEAR(Inputs!$F$156)+Inputs!$F$164),Inputs!$F$165/100*Inputs!$F$161*Inputs!$F$166/1000*(1+Inputs!$F$187/100)^(Time!AI$4-Inputs!$F$186),0)</f>
        <v/>
      </c>
      <c r="AJ325" s="20">
        <f>IF(OR(Time!AJ$4=YEAR(Inputs!$F$156)+Inputs!$F$163,Time!AJ$4=YEAR(Inputs!$F$156)+Inputs!$F$164),Inputs!$F$165/100*Inputs!$F$161*Inputs!$F$166/1000*(1+Inputs!$F$187/100)^(Time!AJ$4-Inputs!$F$186),0)</f>
        <v/>
      </c>
      <c r="AK325" s="20">
        <f>IF(OR(Time!AK$4=YEAR(Inputs!$F$156)+Inputs!$F$163,Time!AK$4=YEAR(Inputs!$F$156)+Inputs!$F$164),Inputs!$F$165/100*Inputs!$F$161*Inputs!$F$166/1000*(1+Inputs!$F$187/100)^(Time!AK$4-Inputs!$F$186),0)</f>
        <v/>
      </c>
      <c r="AL325" s="20">
        <f>IF(OR(Time!AL$4=YEAR(Inputs!$F$156)+Inputs!$F$163,Time!AL$4=YEAR(Inputs!$F$156)+Inputs!$F$164),Inputs!$F$165/100*Inputs!$F$161*Inputs!$F$166/1000*(1+Inputs!$F$187/100)^(Time!AL$4-Inputs!$F$186),0)</f>
        <v/>
      </c>
      <c r="AM325" s="20">
        <f>IF(OR(Time!AM$4=YEAR(Inputs!$F$156)+Inputs!$F$163,Time!AM$4=YEAR(Inputs!$F$156)+Inputs!$F$164),Inputs!$F$165/100*Inputs!$F$161*Inputs!$F$166/1000*(1+Inputs!$F$187/100)^(Time!AM$4-Inputs!$F$186),0)</f>
        <v/>
      </c>
      <c r="AN325" s="20">
        <f>IF(OR(Time!AN$4=YEAR(Inputs!$F$156)+Inputs!$F$163,Time!AN$4=YEAR(Inputs!$F$156)+Inputs!$F$164),Inputs!$F$165/100*Inputs!$F$161*Inputs!$F$166/1000*(1+Inputs!$F$187/100)^(Time!AN$4-Inputs!$F$186),0)</f>
        <v/>
      </c>
      <c r="AO325" s="20">
        <f>IF(OR(Time!AO$4=YEAR(Inputs!$F$156)+Inputs!$F$163,Time!AO$4=YEAR(Inputs!$F$156)+Inputs!$F$164),Inputs!$F$165/100*Inputs!$F$161*Inputs!$F$166/1000*(1+Inputs!$F$187/100)^(Time!AO$4-Inputs!$F$186),0)</f>
        <v/>
      </c>
      <c r="AP325" s="20">
        <f>IF(OR(Time!AP$4=YEAR(Inputs!$F$156)+Inputs!$F$163,Time!AP$4=YEAR(Inputs!$F$156)+Inputs!$F$164),Inputs!$F$165/100*Inputs!$F$161*Inputs!$F$166/1000*(1+Inputs!$F$187/100)^(Time!AP$4-Inputs!$F$186),0)</f>
        <v/>
      </c>
      <c r="AQ325" s="20">
        <f>IF(OR(Time!AQ$4=YEAR(Inputs!$F$156)+Inputs!$F$163,Time!AQ$4=YEAR(Inputs!$F$156)+Inputs!$F$164),Inputs!$F$165/100*Inputs!$F$161*Inputs!$F$166/1000*(1+Inputs!$F$187/100)^(Time!AQ$4-Inputs!$F$186),0)</f>
        <v/>
      </c>
      <c r="AR325" s="20">
        <f>IF(OR(Time!AR$4=YEAR(Inputs!$F$156)+Inputs!$F$163,Time!AR$4=YEAR(Inputs!$F$156)+Inputs!$F$164),Inputs!$F$165/100*Inputs!$F$161*Inputs!$F$166/1000*(1+Inputs!$F$187/100)^(Time!AR$4-Inputs!$F$186),0)</f>
        <v/>
      </c>
      <c r="AS325" s="20">
        <f>IF(OR(Time!AS$4=YEAR(Inputs!$F$156)+Inputs!$F$163,Time!AS$4=YEAR(Inputs!$F$156)+Inputs!$F$164),Inputs!$F$165/100*Inputs!$F$161*Inputs!$F$166/1000*(1+Inputs!$F$187/100)^(Time!AS$4-Inputs!$F$186),0)</f>
        <v/>
      </c>
      <c r="AT325" s="20">
        <f>IF(OR(Time!AT$4=YEAR(Inputs!$F$156)+Inputs!$F$163,Time!AT$4=YEAR(Inputs!$F$156)+Inputs!$F$164),Inputs!$F$165/100*Inputs!$F$161*Inputs!$F$166/1000*(1+Inputs!$F$187/100)^(Time!AT$4-Inputs!$F$186),0)</f>
        <v/>
      </c>
      <c r="AU325" s="20">
        <f>IF(OR(Time!AU$4=YEAR(Inputs!$F$156)+Inputs!$F$163,Time!AU$4=YEAR(Inputs!$F$156)+Inputs!$F$164),Inputs!$F$165/100*Inputs!$F$161*Inputs!$F$166/1000*(1+Inputs!$F$187/100)^(Time!AU$4-Inputs!$F$186),0)</f>
        <v/>
      </c>
    </row>
    <row r="326">
      <c r="D326" t="inlineStr">
        <is>
          <t>R7 decommissioning at end of life</t>
        </is>
      </c>
      <c r="E326" t="inlineStr">
        <is>
          <t>USD m</t>
        </is>
      </c>
      <c r="J326" s="20">
        <f>IF(Time!J$4=YEAR(Inputs!$F$157),Inputs!$F$160*Inputs!$F$155/1000*Time!J$9,0)</f>
        <v/>
      </c>
      <c r="K326" s="20">
        <f>IF(Time!K$4=YEAR(Inputs!$F$157),Inputs!$F$160*Inputs!$F$155/1000*Time!K$9,0)</f>
        <v/>
      </c>
      <c r="L326" s="20">
        <f>IF(Time!L$4=YEAR(Inputs!$F$157),Inputs!$F$160*Inputs!$F$155/1000*Time!L$9,0)</f>
        <v/>
      </c>
      <c r="M326" s="20">
        <f>IF(Time!M$4=YEAR(Inputs!$F$157),Inputs!$F$160*Inputs!$F$155/1000*Time!M$9,0)</f>
        <v/>
      </c>
      <c r="N326" s="20">
        <f>IF(Time!N$4=YEAR(Inputs!$F$157),Inputs!$F$160*Inputs!$F$155/1000*Time!N$9,0)</f>
        <v/>
      </c>
      <c r="O326" s="20">
        <f>IF(Time!O$4=YEAR(Inputs!$F$157),Inputs!$F$160*Inputs!$F$155/1000*Time!O$9,0)</f>
        <v/>
      </c>
      <c r="P326" s="20">
        <f>IF(Time!P$4=YEAR(Inputs!$F$157),Inputs!$F$160*Inputs!$F$155/1000*Time!P$9,0)</f>
        <v/>
      </c>
      <c r="Q326" s="20">
        <f>IF(Time!Q$4=YEAR(Inputs!$F$157),Inputs!$F$160*Inputs!$F$155/1000*Time!Q$9,0)</f>
        <v/>
      </c>
      <c r="R326" s="20">
        <f>IF(Time!R$4=YEAR(Inputs!$F$157),Inputs!$F$160*Inputs!$F$155/1000*Time!R$9,0)</f>
        <v/>
      </c>
      <c r="S326" s="20">
        <f>IF(Time!S$4=YEAR(Inputs!$F$157),Inputs!$F$160*Inputs!$F$155/1000*Time!S$9,0)</f>
        <v/>
      </c>
      <c r="T326" s="20">
        <f>IF(Time!T$4=YEAR(Inputs!$F$157),Inputs!$F$160*Inputs!$F$155/1000*Time!T$9,0)</f>
        <v/>
      </c>
      <c r="U326" s="20">
        <f>IF(Time!U$4=YEAR(Inputs!$F$157),Inputs!$F$160*Inputs!$F$155/1000*Time!U$9,0)</f>
        <v/>
      </c>
      <c r="V326" s="20">
        <f>IF(Time!V$4=YEAR(Inputs!$F$157),Inputs!$F$160*Inputs!$F$155/1000*Time!V$9,0)</f>
        <v/>
      </c>
      <c r="W326" s="20">
        <f>IF(Time!W$4=YEAR(Inputs!$F$157),Inputs!$F$160*Inputs!$F$155/1000*Time!W$9,0)</f>
        <v/>
      </c>
      <c r="X326" s="20">
        <f>IF(Time!X$4=YEAR(Inputs!$F$157),Inputs!$F$160*Inputs!$F$155/1000*Time!X$9,0)</f>
        <v/>
      </c>
      <c r="Y326" s="20">
        <f>IF(Time!Y$4=YEAR(Inputs!$F$157),Inputs!$F$160*Inputs!$F$155/1000*Time!Y$9,0)</f>
        <v/>
      </c>
      <c r="Z326" s="20">
        <f>IF(Time!Z$4=YEAR(Inputs!$F$157),Inputs!$F$160*Inputs!$F$155/1000*Time!Z$9,0)</f>
        <v/>
      </c>
      <c r="AA326" s="20">
        <f>IF(Time!AA$4=YEAR(Inputs!$F$157),Inputs!$F$160*Inputs!$F$155/1000*Time!AA$9,0)</f>
        <v/>
      </c>
      <c r="AB326" s="20">
        <f>IF(Time!AB$4=YEAR(Inputs!$F$157),Inputs!$F$160*Inputs!$F$155/1000*Time!AB$9,0)</f>
        <v/>
      </c>
      <c r="AC326" s="20">
        <f>IF(Time!AC$4=YEAR(Inputs!$F$157),Inputs!$F$160*Inputs!$F$155/1000*Time!AC$9,0)</f>
        <v/>
      </c>
      <c r="AD326" s="20">
        <f>IF(Time!AD$4=YEAR(Inputs!$F$157),Inputs!$F$160*Inputs!$F$155/1000*Time!AD$9,0)</f>
        <v/>
      </c>
      <c r="AE326" s="20">
        <f>IF(Time!AE$4=YEAR(Inputs!$F$157),Inputs!$F$160*Inputs!$F$155/1000*Time!AE$9,0)</f>
        <v/>
      </c>
      <c r="AF326" s="20">
        <f>IF(Time!AF$4=YEAR(Inputs!$F$157),Inputs!$F$160*Inputs!$F$155/1000*Time!AF$9,0)</f>
        <v/>
      </c>
      <c r="AG326" s="20">
        <f>IF(Time!AG$4=YEAR(Inputs!$F$157),Inputs!$F$160*Inputs!$F$155/1000*Time!AG$9,0)</f>
        <v/>
      </c>
      <c r="AH326" s="20">
        <f>IF(Time!AH$4=YEAR(Inputs!$F$157),Inputs!$F$160*Inputs!$F$155/1000*Time!AH$9,0)</f>
        <v/>
      </c>
      <c r="AI326" s="20">
        <f>IF(Time!AI$4=YEAR(Inputs!$F$157),Inputs!$F$160*Inputs!$F$155/1000*Time!AI$9,0)</f>
        <v/>
      </c>
      <c r="AJ326" s="20">
        <f>IF(Time!AJ$4=YEAR(Inputs!$F$157),Inputs!$F$160*Inputs!$F$155/1000*Time!AJ$9,0)</f>
        <v/>
      </c>
      <c r="AK326" s="20">
        <f>IF(Time!AK$4=YEAR(Inputs!$F$157),Inputs!$F$160*Inputs!$F$155/1000*Time!AK$9,0)</f>
        <v/>
      </c>
      <c r="AL326" s="20">
        <f>IF(Time!AL$4=YEAR(Inputs!$F$157),Inputs!$F$160*Inputs!$F$155/1000*Time!AL$9,0)</f>
        <v/>
      </c>
      <c r="AM326" s="20">
        <f>IF(Time!AM$4=YEAR(Inputs!$F$157),Inputs!$F$160*Inputs!$F$155/1000*Time!AM$9,0)</f>
        <v/>
      </c>
      <c r="AN326" s="20">
        <f>IF(Time!AN$4=YEAR(Inputs!$F$157),Inputs!$F$160*Inputs!$F$155/1000*Time!AN$9,0)</f>
        <v/>
      </c>
      <c r="AO326" s="20">
        <f>IF(Time!AO$4=YEAR(Inputs!$F$157),Inputs!$F$160*Inputs!$F$155/1000*Time!AO$9,0)</f>
        <v/>
      </c>
      <c r="AP326" s="20">
        <f>IF(Time!AP$4=YEAR(Inputs!$F$157),Inputs!$F$160*Inputs!$F$155/1000*Time!AP$9,0)</f>
        <v/>
      </c>
      <c r="AQ326" s="20">
        <f>IF(Time!AQ$4=YEAR(Inputs!$F$157),Inputs!$F$160*Inputs!$F$155/1000*Time!AQ$9,0)</f>
        <v/>
      </c>
      <c r="AR326" s="20">
        <f>IF(Time!AR$4=YEAR(Inputs!$F$157),Inputs!$F$160*Inputs!$F$155/1000*Time!AR$9,0)</f>
        <v/>
      </c>
      <c r="AS326" s="20">
        <f>IF(Time!AS$4=YEAR(Inputs!$F$157),Inputs!$F$160*Inputs!$F$155/1000*Time!AS$9,0)</f>
        <v/>
      </c>
      <c r="AT326" s="20">
        <f>IF(Time!AT$4=YEAR(Inputs!$F$157),Inputs!$F$160*Inputs!$F$155/1000*Time!AT$9,0)</f>
        <v/>
      </c>
      <c r="AU326" s="20">
        <f>IF(Time!AU$4=YEAR(Inputs!$F$157),Inputs!$F$160*Inputs!$F$155/1000*Time!AU$9,0)</f>
        <v/>
      </c>
    </row>
    <row r="327">
      <c r="D327" t="inlineStr">
        <is>
          <t>R7 pre-tax cash flow, 100% of asset</t>
        </is>
      </c>
      <c r="E327" t="inlineStr">
        <is>
          <t>USD m</t>
        </is>
      </c>
      <c r="G327" s="20">
        <f>SUM(J327:AU327)</f>
        <v/>
      </c>
      <c r="J327" s="20">
        <f>Operations!J324-Operations!J325-Operations!J326</f>
        <v/>
      </c>
      <c r="K327" s="20">
        <f>Operations!K324-Operations!K325-Operations!K326</f>
        <v/>
      </c>
      <c r="L327" s="20">
        <f>Operations!L324-Operations!L325-Operations!L326</f>
        <v/>
      </c>
      <c r="M327" s="20">
        <f>Operations!M324-Operations!M325-Operations!M326</f>
        <v/>
      </c>
      <c r="N327" s="20">
        <f>Operations!N324-Operations!N325-Operations!N326</f>
        <v/>
      </c>
      <c r="O327" s="20">
        <f>Operations!O324-Operations!O325-Operations!O326</f>
        <v/>
      </c>
      <c r="P327" s="20">
        <f>Operations!P324-Operations!P325-Operations!P326</f>
        <v/>
      </c>
      <c r="Q327" s="20">
        <f>Operations!Q324-Operations!Q325-Operations!Q326</f>
        <v/>
      </c>
      <c r="R327" s="20">
        <f>Operations!R324-Operations!R325-Operations!R326</f>
        <v/>
      </c>
      <c r="S327" s="20">
        <f>Operations!S324-Operations!S325-Operations!S326</f>
        <v/>
      </c>
      <c r="T327" s="20">
        <f>Operations!T324-Operations!T325-Operations!T326</f>
        <v/>
      </c>
      <c r="U327" s="20">
        <f>Operations!U324-Operations!U325-Operations!U326</f>
        <v/>
      </c>
      <c r="V327" s="20">
        <f>Operations!V324-Operations!V325-Operations!V326</f>
        <v/>
      </c>
      <c r="W327" s="20">
        <f>Operations!W324-Operations!W325-Operations!W326</f>
        <v/>
      </c>
      <c r="X327" s="20">
        <f>Operations!X324-Operations!X325-Operations!X326</f>
        <v/>
      </c>
      <c r="Y327" s="20">
        <f>Operations!Y324-Operations!Y325-Operations!Y326</f>
        <v/>
      </c>
      <c r="Z327" s="20">
        <f>Operations!Z324-Operations!Z325-Operations!Z326</f>
        <v/>
      </c>
      <c r="AA327" s="20">
        <f>Operations!AA324-Operations!AA325-Operations!AA326</f>
        <v/>
      </c>
      <c r="AB327" s="20">
        <f>Operations!AB324-Operations!AB325-Operations!AB326</f>
        <v/>
      </c>
      <c r="AC327" s="20">
        <f>Operations!AC324-Operations!AC325-Operations!AC326</f>
        <v/>
      </c>
      <c r="AD327" s="20">
        <f>Operations!AD324-Operations!AD325-Operations!AD326</f>
        <v/>
      </c>
      <c r="AE327" s="20">
        <f>Operations!AE324-Operations!AE325-Operations!AE326</f>
        <v/>
      </c>
      <c r="AF327" s="20">
        <f>Operations!AF324-Operations!AF325-Operations!AF326</f>
        <v/>
      </c>
      <c r="AG327" s="20">
        <f>Operations!AG324-Operations!AG325-Operations!AG326</f>
        <v/>
      </c>
      <c r="AH327" s="20">
        <f>Operations!AH324-Operations!AH325-Operations!AH326</f>
        <v/>
      </c>
      <c r="AI327" s="20">
        <f>Operations!AI324-Operations!AI325-Operations!AI326</f>
        <v/>
      </c>
      <c r="AJ327" s="20">
        <f>Operations!AJ324-Operations!AJ325-Operations!AJ326</f>
        <v/>
      </c>
      <c r="AK327" s="20">
        <f>Operations!AK324-Operations!AK325-Operations!AK326</f>
        <v/>
      </c>
      <c r="AL327" s="20">
        <f>Operations!AL324-Operations!AL325-Operations!AL326</f>
        <v/>
      </c>
      <c r="AM327" s="20">
        <f>Operations!AM324-Operations!AM325-Operations!AM326</f>
        <v/>
      </c>
      <c r="AN327" s="20">
        <f>Operations!AN324-Operations!AN325-Operations!AN326</f>
        <v/>
      </c>
      <c r="AO327" s="20">
        <f>Operations!AO324-Operations!AO325-Operations!AO326</f>
        <v/>
      </c>
      <c r="AP327" s="20">
        <f>Operations!AP324-Operations!AP325-Operations!AP326</f>
        <v/>
      </c>
      <c r="AQ327" s="20">
        <f>Operations!AQ324-Operations!AQ325-Operations!AQ326</f>
        <v/>
      </c>
      <c r="AR327" s="20">
        <f>Operations!AR324-Operations!AR325-Operations!AR326</f>
        <v/>
      </c>
      <c r="AS327" s="20">
        <f>Operations!AS324-Operations!AS325-Operations!AS326</f>
        <v/>
      </c>
      <c r="AT327" s="20">
        <f>Operations!AT324-Operations!AT325-Operations!AT326</f>
        <v/>
      </c>
      <c r="AU327" s="20">
        <f>Operations!AU324-Operations!AU325-Operations!AU326</f>
        <v/>
      </c>
    </row>
    <row r="328">
      <c r="D328" t="inlineStr">
        <is>
          <t>R7 tax equity cash share</t>
        </is>
      </c>
      <c r="E328" t="inlineStr">
        <is>
          <t>fraction</t>
        </is>
      </c>
      <c r="J328" s="14">
        <f>0</f>
        <v/>
      </c>
      <c r="K328" s="14">
        <f>0</f>
        <v/>
      </c>
      <c r="L328" s="14">
        <f>0</f>
        <v/>
      </c>
      <c r="M328" s="14">
        <f>0</f>
        <v/>
      </c>
      <c r="N328" s="14">
        <f>0</f>
        <v/>
      </c>
      <c r="O328" s="14">
        <f>0</f>
        <v/>
      </c>
      <c r="P328" s="14">
        <f>0</f>
        <v/>
      </c>
      <c r="Q328" s="14">
        <f>0</f>
        <v/>
      </c>
      <c r="R328" s="14">
        <f>0</f>
        <v/>
      </c>
      <c r="S328" s="14">
        <f>0</f>
        <v/>
      </c>
      <c r="T328" s="14">
        <f>0</f>
        <v/>
      </c>
      <c r="U328" s="14">
        <f>0</f>
        <v/>
      </c>
      <c r="V328" s="14">
        <f>0</f>
        <v/>
      </c>
      <c r="W328" s="14">
        <f>0</f>
        <v/>
      </c>
      <c r="X328" s="14">
        <f>0</f>
        <v/>
      </c>
      <c r="Y328" s="14">
        <f>0</f>
        <v/>
      </c>
      <c r="Z328" s="14">
        <f>0</f>
        <v/>
      </c>
      <c r="AA328" s="14">
        <f>0</f>
        <v/>
      </c>
      <c r="AB328" s="14">
        <f>0</f>
        <v/>
      </c>
      <c r="AC328" s="14">
        <f>0</f>
        <v/>
      </c>
      <c r="AD328" s="14">
        <f>0</f>
        <v/>
      </c>
      <c r="AE328" s="14">
        <f>0</f>
        <v/>
      </c>
      <c r="AF328" s="14">
        <f>0</f>
        <v/>
      </c>
      <c r="AG328" s="14">
        <f>0</f>
        <v/>
      </c>
      <c r="AH328" s="14">
        <f>0</f>
        <v/>
      </c>
      <c r="AI328" s="14">
        <f>0</f>
        <v/>
      </c>
      <c r="AJ328" s="14">
        <f>0</f>
        <v/>
      </c>
      <c r="AK328" s="14">
        <f>0</f>
        <v/>
      </c>
      <c r="AL328" s="14">
        <f>0</f>
        <v/>
      </c>
      <c r="AM328" s="14">
        <f>0</f>
        <v/>
      </c>
      <c r="AN328" s="14">
        <f>0</f>
        <v/>
      </c>
      <c r="AO328" s="14">
        <f>0</f>
        <v/>
      </c>
      <c r="AP328" s="14">
        <f>0</f>
        <v/>
      </c>
      <c r="AQ328" s="14">
        <f>0</f>
        <v/>
      </c>
      <c r="AR328" s="14">
        <f>0</f>
        <v/>
      </c>
      <c r="AS328" s="14">
        <f>0</f>
        <v/>
      </c>
      <c r="AT328" s="14">
        <f>0</f>
        <v/>
      </c>
      <c r="AU328" s="14">
        <f>0</f>
        <v/>
      </c>
    </row>
    <row r="329">
      <c r="D329" t="inlineStr">
        <is>
          <t>R7 Mesa share of taxable income</t>
        </is>
      </c>
      <c r="E329" t="inlineStr">
        <is>
          <t>fraction</t>
        </is>
      </c>
      <c r="J329" s="14">
        <f>1</f>
        <v/>
      </c>
      <c r="K329" s="14">
        <f>1</f>
        <v/>
      </c>
      <c r="L329" s="14">
        <f>1</f>
        <v/>
      </c>
      <c r="M329" s="14">
        <f>1</f>
        <v/>
      </c>
      <c r="N329" s="14">
        <f>1</f>
        <v/>
      </c>
      <c r="O329" s="14">
        <f>1</f>
        <v/>
      </c>
      <c r="P329" s="14">
        <f>1</f>
        <v/>
      </c>
      <c r="Q329" s="14">
        <f>1</f>
        <v/>
      </c>
      <c r="R329" s="14">
        <f>1</f>
        <v/>
      </c>
      <c r="S329" s="14">
        <f>1</f>
        <v/>
      </c>
      <c r="T329" s="14">
        <f>1</f>
        <v/>
      </c>
      <c r="U329" s="14">
        <f>1</f>
        <v/>
      </c>
      <c r="V329" s="14">
        <f>1</f>
        <v/>
      </c>
      <c r="W329" s="14">
        <f>1</f>
        <v/>
      </c>
      <c r="X329" s="14">
        <f>1</f>
        <v/>
      </c>
      <c r="Y329" s="14">
        <f>1</f>
        <v/>
      </c>
      <c r="Z329" s="14">
        <f>1</f>
        <v/>
      </c>
      <c r="AA329" s="14">
        <f>1</f>
        <v/>
      </c>
      <c r="AB329" s="14">
        <f>1</f>
        <v/>
      </c>
      <c r="AC329" s="14">
        <f>1</f>
        <v/>
      </c>
      <c r="AD329" s="14">
        <f>1</f>
        <v/>
      </c>
      <c r="AE329" s="14">
        <f>1</f>
        <v/>
      </c>
      <c r="AF329" s="14">
        <f>1</f>
        <v/>
      </c>
      <c r="AG329" s="14">
        <f>1</f>
        <v/>
      </c>
      <c r="AH329" s="14">
        <f>1</f>
        <v/>
      </c>
      <c r="AI329" s="14">
        <f>1</f>
        <v/>
      </c>
      <c r="AJ329" s="14">
        <f>1</f>
        <v/>
      </c>
      <c r="AK329" s="14">
        <f>1</f>
        <v/>
      </c>
      <c r="AL329" s="14">
        <f>1</f>
        <v/>
      </c>
      <c r="AM329" s="14">
        <f>1</f>
        <v/>
      </c>
      <c r="AN329" s="14">
        <f>1</f>
        <v/>
      </c>
      <c r="AO329" s="14">
        <f>1</f>
        <v/>
      </c>
      <c r="AP329" s="14">
        <f>1</f>
        <v/>
      </c>
      <c r="AQ329" s="14">
        <f>1</f>
        <v/>
      </c>
      <c r="AR329" s="14">
        <f>1</f>
        <v/>
      </c>
      <c r="AS329" s="14">
        <f>1</f>
        <v/>
      </c>
      <c r="AT329" s="14">
        <f>1</f>
        <v/>
      </c>
      <c r="AU329" s="14">
        <f>1</f>
        <v/>
      </c>
    </row>
    <row r="330">
      <c r="D330" t="inlineStr">
        <is>
          <t>R7 Mesa share of cash flow</t>
        </is>
      </c>
      <c r="E330" t="inlineStr">
        <is>
          <t>USD m</t>
        </is>
      </c>
      <c r="G330" s="20">
        <f>SUM(J330:AU330)</f>
        <v/>
      </c>
      <c r="J330" s="20">
        <f>Operations!J327*(1-Operations!J328)*Operations!J310</f>
        <v/>
      </c>
      <c r="K330" s="20">
        <f>Operations!K327*(1-Operations!K328)*Operations!K310</f>
        <v/>
      </c>
      <c r="L330" s="20">
        <f>Operations!L327*(1-Operations!L328)*Operations!L310</f>
        <v/>
      </c>
      <c r="M330" s="20">
        <f>Operations!M327*(1-Operations!M328)*Operations!M310</f>
        <v/>
      </c>
      <c r="N330" s="20">
        <f>Operations!N327*(1-Operations!N328)*Operations!N310</f>
        <v/>
      </c>
      <c r="O330" s="20">
        <f>Operations!O327*(1-Operations!O328)*Operations!O310</f>
        <v/>
      </c>
      <c r="P330" s="20">
        <f>Operations!P327*(1-Operations!P328)*Operations!P310</f>
        <v/>
      </c>
      <c r="Q330" s="20">
        <f>Operations!Q327*(1-Operations!Q328)*Operations!Q310</f>
        <v/>
      </c>
      <c r="R330" s="20">
        <f>Operations!R327*(1-Operations!R328)*Operations!R310</f>
        <v/>
      </c>
      <c r="S330" s="20">
        <f>Operations!S327*(1-Operations!S328)*Operations!S310</f>
        <v/>
      </c>
      <c r="T330" s="20">
        <f>Operations!T327*(1-Operations!T328)*Operations!T310</f>
        <v/>
      </c>
      <c r="U330" s="20">
        <f>Operations!U327*(1-Operations!U328)*Operations!U310</f>
        <v/>
      </c>
      <c r="V330" s="20">
        <f>Operations!V327*(1-Operations!V328)*Operations!V310</f>
        <v/>
      </c>
      <c r="W330" s="20">
        <f>Operations!W327*(1-Operations!W328)*Operations!W310</f>
        <v/>
      </c>
      <c r="X330" s="20">
        <f>Operations!X327*(1-Operations!X328)*Operations!X310</f>
        <v/>
      </c>
      <c r="Y330" s="20">
        <f>Operations!Y327*(1-Operations!Y328)*Operations!Y310</f>
        <v/>
      </c>
      <c r="Z330" s="20">
        <f>Operations!Z327*(1-Operations!Z328)*Operations!Z310</f>
        <v/>
      </c>
      <c r="AA330" s="20">
        <f>Operations!AA327*(1-Operations!AA328)*Operations!AA310</f>
        <v/>
      </c>
      <c r="AB330" s="20">
        <f>Operations!AB327*(1-Operations!AB328)*Operations!AB310</f>
        <v/>
      </c>
      <c r="AC330" s="20">
        <f>Operations!AC327*(1-Operations!AC328)*Operations!AC310</f>
        <v/>
      </c>
      <c r="AD330" s="20">
        <f>Operations!AD327*(1-Operations!AD328)*Operations!AD310</f>
        <v/>
      </c>
      <c r="AE330" s="20">
        <f>Operations!AE327*(1-Operations!AE328)*Operations!AE310</f>
        <v/>
      </c>
      <c r="AF330" s="20">
        <f>Operations!AF327*(1-Operations!AF328)*Operations!AF310</f>
        <v/>
      </c>
      <c r="AG330" s="20">
        <f>Operations!AG327*(1-Operations!AG328)*Operations!AG310</f>
        <v/>
      </c>
      <c r="AH330" s="20">
        <f>Operations!AH327*(1-Operations!AH328)*Operations!AH310</f>
        <v/>
      </c>
      <c r="AI330" s="20">
        <f>Operations!AI327*(1-Operations!AI328)*Operations!AI310</f>
        <v/>
      </c>
      <c r="AJ330" s="20">
        <f>Operations!AJ327*(1-Operations!AJ328)*Operations!AJ310</f>
        <v/>
      </c>
      <c r="AK330" s="20">
        <f>Operations!AK327*(1-Operations!AK328)*Operations!AK310</f>
        <v/>
      </c>
      <c r="AL330" s="20">
        <f>Operations!AL327*(1-Operations!AL328)*Operations!AL310</f>
        <v/>
      </c>
      <c r="AM330" s="20">
        <f>Operations!AM327*(1-Operations!AM328)*Operations!AM310</f>
        <v/>
      </c>
      <c r="AN330" s="20">
        <f>Operations!AN327*(1-Operations!AN328)*Operations!AN310</f>
        <v/>
      </c>
      <c r="AO330" s="20">
        <f>Operations!AO327*(1-Operations!AO328)*Operations!AO310</f>
        <v/>
      </c>
      <c r="AP330" s="20">
        <f>Operations!AP327*(1-Operations!AP328)*Operations!AP310</f>
        <v/>
      </c>
      <c r="AQ330" s="20">
        <f>Operations!AQ327*(1-Operations!AQ328)*Operations!AQ310</f>
        <v/>
      </c>
      <c r="AR330" s="20">
        <f>Operations!AR327*(1-Operations!AR328)*Operations!AR310</f>
        <v/>
      </c>
      <c r="AS330" s="20">
        <f>Operations!AS327*(1-Operations!AS328)*Operations!AS310</f>
        <v/>
      </c>
      <c r="AT330" s="20">
        <f>Operations!AT327*(1-Operations!AT328)*Operations!AT310</f>
        <v/>
      </c>
      <c r="AU330" s="20">
        <f>Operations!AU327*(1-Operations!AU328)*Operations!AU310</f>
        <v/>
      </c>
    </row>
    <row r="331">
      <c r="D331" t="inlineStr">
        <is>
          <t>R7 Mesa taxable operating income</t>
        </is>
      </c>
      <c r="E331" t="inlineStr">
        <is>
          <t>USD m</t>
        </is>
      </c>
      <c r="J331" s="20">
        <f>Operations!J327*Operations!J329*Operations!J310</f>
        <v/>
      </c>
      <c r="K331" s="20">
        <f>Operations!K327*Operations!K329*Operations!K310</f>
        <v/>
      </c>
      <c r="L331" s="20">
        <f>Operations!L327*Operations!L329*Operations!L310</f>
        <v/>
      </c>
      <c r="M331" s="20">
        <f>Operations!M327*Operations!M329*Operations!M310</f>
        <v/>
      </c>
      <c r="N331" s="20">
        <f>Operations!N327*Operations!N329*Operations!N310</f>
        <v/>
      </c>
      <c r="O331" s="20">
        <f>Operations!O327*Operations!O329*Operations!O310</f>
        <v/>
      </c>
      <c r="P331" s="20">
        <f>Operations!P327*Operations!P329*Operations!P310</f>
        <v/>
      </c>
      <c r="Q331" s="20">
        <f>Operations!Q327*Operations!Q329*Operations!Q310</f>
        <v/>
      </c>
      <c r="R331" s="20">
        <f>Operations!R327*Operations!R329*Operations!R310</f>
        <v/>
      </c>
      <c r="S331" s="20">
        <f>Operations!S327*Operations!S329*Operations!S310</f>
        <v/>
      </c>
      <c r="T331" s="20">
        <f>Operations!T327*Operations!T329*Operations!T310</f>
        <v/>
      </c>
      <c r="U331" s="20">
        <f>Operations!U327*Operations!U329*Operations!U310</f>
        <v/>
      </c>
      <c r="V331" s="20">
        <f>Operations!V327*Operations!V329*Operations!V310</f>
        <v/>
      </c>
      <c r="W331" s="20">
        <f>Operations!W327*Operations!W329*Operations!W310</f>
        <v/>
      </c>
      <c r="X331" s="20">
        <f>Operations!X327*Operations!X329*Operations!X310</f>
        <v/>
      </c>
      <c r="Y331" s="20">
        <f>Operations!Y327*Operations!Y329*Operations!Y310</f>
        <v/>
      </c>
      <c r="Z331" s="20">
        <f>Operations!Z327*Operations!Z329*Operations!Z310</f>
        <v/>
      </c>
      <c r="AA331" s="20">
        <f>Operations!AA327*Operations!AA329*Operations!AA310</f>
        <v/>
      </c>
      <c r="AB331" s="20">
        <f>Operations!AB327*Operations!AB329*Operations!AB310</f>
        <v/>
      </c>
      <c r="AC331" s="20">
        <f>Operations!AC327*Operations!AC329*Operations!AC310</f>
        <v/>
      </c>
      <c r="AD331" s="20">
        <f>Operations!AD327*Operations!AD329*Operations!AD310</f>
        <v/>
      </c>
      <c r="AE331" s="20">
        <f>Operations!AE327*Operations!AE329*Operations!AE310</f>
        <v/>
      </c>
      <c r="AF331" s="20">
        <f>Operations!AF327*Operations!AF329*Operations!AF310</f>
        <v/>
      </c>
      <c r="AG331" s="20">
        <f>Operations!AG327*Operations!AG329*Operations!AG310</f>
        <v/>
      </c>
      <c r="AH331" s="20">
        <f>Operations!AH327*Operations!AH329*Operations!AH310</f>
        <v/>
      </c>
      <c r="AI331" s="20">
        <f>Operations!AI327*Operations!AI329*Operations!AI310</f>
        <v/>
      </c>
      <c r="AJ331" s="20">
        <f>Operations!AJ327*Operations!AJ329*Operations!AJ310</f>
        <v/>
      </c>
      <c r="AK331" s="20">
        <f>Operations!AK327*Operations!AK329*Operations!AK310</f>
        <v/>
      </c>
      <c r="AL331" s="20">
        <f>Operations!AL327*Operations!AL329*Operations!AL310</f>
        <v/>
      </c>
      <c r="AM331" s="20">
        <f>Operations!AM327*Operations!AM329*Operations!AM310</f>
        <v/>
      </c>
      <c r="AN331" s="20">
        <f>Operations!AN327*Operations!AN329*Operations!AN310</f>
        <v/>
      </c>
      <c r="AO331" s="20">
        <f>Operations!AO327*Operations!AO329*Operations!AO310</f>
        <v/>
      </c>
      <c r="AP331" s="20">
        <f>Operations!AP327*Operations!AP329*Operations!AP310</f>
        <v/>
      </c>
      <c r="AQ331" s="20">
        <f>Operations!AQ327*Operations!AQ329*Operations!AQ310</f>
        <v/>
      </c>
      <c r="AR331" s="20">
        <f>Operations!AR327*Operations!AR329*Operations!AR310</f>
        <v/>
      </c>
      <c r="AS331" s="20">
        <f>Operations!AS327*Operations!AS329*Operations!AS310</f>
        <v/>
      </c>
      <c r="AT331" s="20">
        <f>Operations!AT327*Operations!AT329*Operations!AT310</f>
        <v/>
      </c>
      <c r="AU331" s="20">
        <f>Operations!AU327*Operations!AU329*Operations!AU310</f>
        <v/>
      </c>
    </row>
    <row r="332">
      <c r="D332" t="inlineStr">
        <is>
          <t>R7 Mesa unlevered post-tax cash flow (before price shield)</t>
        </is>
      </c>
      <c r="E332" t="inlineStr">
        <is>
          <t>USD m</t>
        </is>
      </c>
      <c r="J332" s="20">
        <f>Operations!J330-Inputs!$F$241/100*Operations!J331</f>
        <v/>
      </c>
      <c r="K332" s="20">
        <f>Operations!K330-Inputs!$F$241/100*Operations!K331</f>
        <v/>
      </c>
      <c r="L332" s="20">
        <f>Operations!L330-Inputs!$F$241/100*Operations!L331</f>
        <v/>
      </c>
      <c r="M332" s="20">
        <f>Operations!M330-Inputs!$F$241/100*Operations!M331</f>
        <v/>
      </c>
      <c r="N332" s="20">
        <f>Operations!N330-Inputs!$F$241/100*Operations!N331</f>
        <v/>
      </c>
      <c r="O332" s="20">
        <f>Operations!O330-Inputs!$F$241/100*Operations!O331</f>
        <v/>
      </c>
      <c r="P332" s="20">
        <f>Operations!P330-Inputs!$F$241/100*Operations!P331</f>
        <v/>
      </c>
      <c r="Q332" s="20">
        <f>Operations!Q330-Inputs!$F$241/100*Operations!Q331</f>
        <v/>
      </c>
      <c r="R332" s="20">
        <f>Operations!R330-Inputs!$F$241/100*Operations!R331</f>
        <v/>
      </c>
      <c r="S332" s="20">
        <f>Operations!S330-Inputs!$F$241/100*Operations!S331</f>
        <v/>
      </c>
      <c r="T332" s="20">
        <f>Operations!T330-Inputs!$F$241/100*Operations!T331</f>
        <v/>
      </c>
      <c r="U332" s="20">
        <f>Operations!U330-Inputs!$F$241/100*Operations!U331</f>
        <v/>
      </c>
      <c r="V332" s="20">
        <f>Operations!V330-Inputs!$F$241/100*Operations!V331</f>
        <v/>
      </c>
      <c r="W332" s="20">
        <f>Operations!W330-Inputs!$F$241/100*Operations!W331</f>
        <v/>
      </c>
      <c r="X332" s="20">
        <f>Operations!X330-Inputs!$F$241/100*Operations!X331</f>
        <v/>
      </c>
      <c r="Y332" s="20">
        <f>Operations!Y330-Inputs!$F$241/100*Operations!Y331</f>
        <v/>
      </c>
      <c r="Z332" s="20">
        <f>Operations!Z330-Inputs!$F$241/100*Operations!Z331</f>
        <v/>
      </c>
      <c r="AA332" s="20">
        <f>Operations!AA330-Inputs!$F$241/100*Operations!AA331</f>
        <v/>
      </c>
      <c r="AB332" s="20">
        <f>Operations!AB330-Inputs!$F$241/100*Operations!AB331</f>
        <v/>
      </c>
      <c r="AC332" s="20">
        <f>Operations!AC330-Inputs!$F$241/100*Operations!AC331</f>
        <v/>
      </c>
      <c r="AD332" s="20">
        <f>Operations!AD330-Inputs!$F$241/100*Operations!AD331</f>
        <v/>
      </c>
      <c r="AE332" s="20">
        <f>Operations!AE330-Inputs!$F$241/100*Operations!AE331</f>
        <v/>
      </c>
      <c r="AF332" s="20">
        <f>Operations!AF330-Inputs!$F$241/100*Operations!AF331</f>
        <v/>
      </c>
      <c r="AG332" s="20">
        <f>Operations!AG330-Inputs!$F$241/100*Operations!AG331</f>
        <v/>
      </c>
      <c r="AH332" s="20">
        <f>Operations!AH330-Inputs!$F$241/100*Operations!AH331</f>
        <v/>
      </c>
      <c r="AI332" s="20">
        <f>Operations!AI330-Inputs!$F$241/100*Operations!AI331</f>
        <v/>
      </c>
      <c r="AJ332" s="20">
        <f>Operations!AJ330-Inputs!$F$241/100*Operations!AJ331</f>
        <v/>
      </c>
      <c r="AK332" s="20">
        <f>Operations!AK330-Inputs!$F$241/100*Operations!AK331</f>
        <v/>
      </c>
      <c r="AL332" s="20">
        <f>Operations!AL330-Inputs!$F$241/100*Operations!AL331</f>
        <v/>
      </c>
      <c r="AM332" s="20">
        <f>Operations!AM330-Inputs!$F$241/100*Operations!AM331</f>
        <v/>
      </c>
      <c r="AN332" s="20">
        <f>Operations!AN330-Inputs!$F$241/100*Operations!AN331</f>
        <v/>
      </c>
      <c r="AO332" s="20">
        <f>Operations!AO330-Inputs!$F$241/100*Operations!AO331</f>
        <v/>
      </c>
      <c r="AP332" s="20">
        <f>Operations!AP330-Inputs!$F$241/100*Operations!AP331</f>
        <v/>
      </c>
      <c r="AQ332" s="20">
        <f>Operations!AQ330-Inputs!$F$241/100*Operations!AQ331</f>
        <v/>
      </c>
      <c r="AR332" s="20">
        <f>Operations!AR330-Inputs!$F$241/100*Operations!AR331</f>
        <v/>
      </c>
      <c r="AS332" s="20">
        <f>Operations!AS330-Inputs!$F$241/100*Operations!AS331</f>
        <v/>
      </c>
      <c r="AT332" s="20">
        <f>Operations!AT330-Inputs!$F$241/100*Operations!AT331</f>
        <v/>
      </c>
      <c r="AU332" s="20">
        <f>Operations!AU330-Inputs!$F$241/100*Operations!AU331</f>
        <v/>
      </c>
    </row>
    <row r="333">
      <c r="D333" t="inlineStr">
        <is>
          <t>R7 contracted share of revenue</t>
        </is>
      </c>
      <c r="E333" t="inlineStr">
        <is>
          <t>fraction</t>
        </is>
      </c>
      <c r="J333" s="14">
        <f>IF(Operations!J318=0,0,Operations!J316/Operations!J318)</f>
        <v/>
      </c>
      <c r="K333" s="14">
        <f>IF(Operations!K318=0,0,Operations!K316/Operations!K318)</f>
        <v/>
      </c>
      <c r="L333" s="14">
        <f>IF(Operations!L318=0,0,Operations!L316/Operations!L318)</f>
        <v/>
      </c>
      <c r="M333" s="14">
        <f>IF(Operations!M318=0,0,Operations!M316/Operations!M318)</f>
        <v/>
      </c>
      <c r="N333" s="14">
        <f>IF(Operations!N318=0,0,Operations!N316/Operations!N318)</f>
        <v/>
      </c>
      <c r="O333" s="14">
        <f>IF(Operations!O318=0,0,Operations!O316/Operations!O318)</f>
        <v/>
      </c>
      <c r="P333" s="14">
        <f>IF(Operations!P318=0,0,Operations!P316/Operations!P318)</f>
        <v/>
      </c>
      <c r="Q333" s="14">
        <f>IF(Operations!Q318=0,0,Operations!Q316/Operations!Q318)</f>
        <v/>
      </c>
      <c r="R333" s="14">
        <f>IF(Operations!R318=0,0,Operations!R316/Operations!R318)</f>
        <v/>
      </c>
      <c r="S333" s="14">
        <f>IF(Operations!S318=0,0,Operations!S316/Operations!S318)</f>
        <v/>
      </c>
      <c r="T333" s="14">
        <f>IF(Operations!T318=0,0,Operations!T316/Operations!T318)</f>
        <v/>
      </c>
      <c r="U333" s="14">
        <f>IF(Operations!U318=0,0,Operations!U316/Operations!U318)</f>
        <v/>
      </c>
      <c r="V333" s="14">
        <f>IF(Operations!V318=0,0,Operations!V316/Operations!V318)</f>
        <v/>
      </c>
      <c r="W333" s="14">
        <f>IF(Operations!W318=0,0,Operations!W316/Operations!W318)</f>
        <v/>
      </c>
      <c r="X333" s="14">
        <f>IF(Operations!X318=0,0,Operations!X316/Operations!X318)</f>
        <v/>
      </c>
      <c r="Y333" s="14">
        <f>IF(Operations!Y318=0,0,Operations!Y316/Operations!Y318)</f>
        <v/>
      </c>
      <c r="Z333" s="14">
        <f>IF(Operations!Z318=0,0,Operations!Z316/Operations!Z318)</f>
        <v/>
      </c>
      <c r="AA333" s="14">
        <f>IF(Operations!AA318=0,0,Operations!AA316/Operations!AA318)</f>
        <v/>
      </c>
      <c r="AB333" s="14">
        <f>IF(Operations!AB318=0,0,Operations!AB316/Operations!AB318)</f>
        <v/>
      </c>
      <c r="AC333" s="14">
        <f>IF(Operations!AC318=0,0,Operations!AC316/Operations!AC318)</f>
        <v/>
      </c>
      <c r="AD333" s="14">
        <f>IF(Operations!AD318=0,0,Operations!AD316/Operations!AD318)</f>
        <v/>
      </c>
      <c r="AE333" s="14">
        <f>IF(Operations!AE318=0,0,Operations!AE316/Operations!AE318)</f>
        <v/>
      </c>
      <c r="AF333" s="14">
        <f>IF(Operations!AF318=0,0,Operations!AF316/Operations!AF318)</f>
        <v/>
      </c>
      <c r="AG333" s="14">
        <f>IF(Operations!AG318=0,0,Operations!AG316/Operations!AG318)</f>
        <v/>
      </c>
      <c r="AH333" s="14">
        <f>IF(Operations!AH318=0,0,Operations!AH316/Operations!AH318)</f>
        <v/>
      </c>
      <c r="AI333" s="14">
        <f>IF(Operations!AI318=0,0,Operations!AI316/Operations!AI318)</f>
        <v/>
      </c>
      <c r="AJ333" s="14">
        <f>IF(Operations!AJ318=0,0,Operations!AJ316/Operations!AJ318)</f>
        <v/>
      </c>
      <c r="AK333" s="14">
        <f>IF(Operations!AK318=0,0,Operations!AK316/Operations!AK318)</f>
        <v/>
      </c>
      <c r="AL333" s="14">
        <f>IF(Operations!AL318=0,0,Operations!AL316/Operations!AL318)</f>
        <v/>
      </c>
      <c r="AM333" s="14">
        <f>IF(Operations!AM318=0,0,Operations!AM316/Operations!AM318)</f>
        <v/>
      </c>
      <c r="AN333" s="14">
        <f>IF(Operations!AN318=0,0,Operations!AN316/Operations!AN318)</f>
        <v/>
      </c>
      <c r="AO333" s="14">
        <f>IF(Operations!AO318=0,0,Operations!AO316/Operations!AO318)</f>
        <v/>
      </c>
      <c r="AP333" s="14">
        <f>IF(Operations!AP318=0,0,Operations!AP316/Operations!AP318)</f>
        <v/>
      </c>
      <c r="AQ333" s="14">
        <f>IF(Operations!AQ318=0,0,Operations!AQ316/Operations!AQ318)</f>
        <v/>
      </c>
      <c r="AR333" s="14">
        <f>IF(Operations!AR318=0,0,Operations!AR316/Operations!AR318)</f>
        <v/>
      </c>
      <c r="AS333" s="14">
        <f>IF(Operations!AS318=0,0,Operations!AS316/Operations!AS318)</f>
        <v/>
      </c>
      <c r="AT333" s="14">
        <f>IF(Operations!AT318=0,0,Operations!AT316/Operations!AT318)</f>
        <v/>
      </c>
      <c r="AU333" s="14">
        <f>IF(Operations!AU318=0,0,Operations!AU316/Operations!AU318)</f>
        <v/>
      </c>
    </row>
    <row r="334">
      <c r="D334" t="inlineStr">
        <is>
          <t>R7 hedged share of revenue</t>
        </is>
      </c>
      <c r="E334" t="inlineStr">
        <is>
          <t>fraction</t>
        </is>
      </c>
      <c r="J334" s="14">
        <f>IF(Operations!J318=0,0,Operations!J317/Operations!J318)</f>
        <v/>
      </c>
      <c r="K334" s="14">
        <f>IF(Operations!K318=0,0,Operations!K317/Operations!K318)</f>
        <v/>
      </c>
      <c r="L334" s="14">
        <f>IF(Operations!L318=0,0,Operations!L317/Operations!L318)</f>
        <v/>
      </c>
      <c r="M334" s="14">
        <f>IF(Operations!M318=0,0,Operations!M317/Operations!M318)</f>
        <v/>
      </c>
      <c r="N334" s="14">
        <f>IF(Operations!N318=0,0,Operations!N317/Operations!N318)</f>
        <v/>
      </c>
      <c r="O334" s="14">
        <f>IF(Operations!O318=0,0,Operations!O317/Operations!O318)</f>
        <v/>
      </c>
      <c r="P334" s="14">
        <f>IF(Operations!P318=0,0,Operations!P317/Operations!P318)</f>
        <v/>
      </c>
      <c r="Q334" s="14">
        <f>IF(Operations!Q318=0,0,Operations!Q317/Operations!Q318)</f>
        <v/>
      </c>
      <c r="R334" s="14">
        <f>IF(Operations!R318=0,0,Operations!R317/Operations!R318)</f>
        <v/>
      </c>
      <c r="S334" s="14">
        <f>IF(Operations!S318=0,0,Operations!S317/Operations!S318)</f>
        <v/>
      </c>
      <c r="T334" s="14">
        <f>IF(Operations!T318=0,0,Operations!T317/Operations!T318)</f>
        <v/>
      </c>
      <c r="U334" s="14">
        <f>IF(Operations!U318=0,0,Operations!U317/Operations!U318)</f>
        <v/>
      </c>
      <c r="V334" s="14">
        <f>IF(Operations!V318=0,0,Operations!V317/Operations!V318)</f>
        <v/>
      </c>
      <c r="W334" s="14">
        <f>IF(Operations!W318=0,0,Operations!W317/Operations!W318)</f>
        <v/>
      </c>
      <c r="X334" s="14">
        <f>IF(Operations!X318=0,0,Operations!X317/Operations!X318)</f>
        <v/>
      </c>
      <c r="Y334" s="14">
        <f>IF(Operations!Y318=0,0,Operations!Y317/Operations!Y318)</f>
        <v/>
      </c>
      <c r="Z334" s="14">
        <f>IF(Operations!Z318=0,0,Operations!Z317/Operations!Z318)</f>
        <v/>
      </c>
      <c r="AA334" s="14">
        <f>IF(Operations!AA318=0,0,Operations!AA317/Operations!AA318)</f>
        <v/>
      </c>
      <c r="AB334" s="14">
        <f>IF(Operations!AB318=0,0,Operations!AB317/Operations!AB318)</f>
        <v/>
      </c>
      <c r="AC334" s="14">
        <f>IF(Operations!AC318=0,0,Operations!AC317/Operations!AC318)</f>
        <v/>
      </c>
      <c r="AD334" s="14">
        <f>IF(Operations!AD318=0,0,Operations!AD317/Operations!AD318)</f>
        <v/>
      </c>
      <c r="AE334" s="14">
        <f>IF(Operations!AE318=0,0,Operations!AE317/Operations!AE318)</f>
        <v/>
      </c>
      <c r="AF334" s="14">
        <f>IF(Operations!AF318=0,0,Operations!AF317/Operations!AF318)</f>
        <v/>
      </c>
      <c r="AG334" s="14">
        <f>IF(Operations!AG318=0,0,Operations!AG317/Operations!AG318)</f>
        <v/>
      </c>
      <c r="AH334" s="14">
        <f>IF(Operations!AH318=0,0,Operations!AH317/Operations!AH318)</f>
        <v/>
      </c>
      <c r="AI334" s="14">
        <f>IF(Operations!AI318=0,0,Operations!AI317/Operations!AI318)</f>
        <v/>
      </c>
      <c r="AJ334" s="14">
        <f>IF(Operations!AJ318=0,0,Operations!AJ317/Operations!AJ318)</f>
        <v/>
      </c>
      <c r="AK334" s="14">
        <f>IF(Operations!AK318=0,0,Operations!AK317/Operations!AK318)</f>
        <v/>
      </c>
      <c r="AL334" s="14">
        <f>IF(Operations!AL318=0,0,Operations!AL317/Operations!AL318)</f>
        <v/>
      </c>
      <c r="AM334" s="14">
        <f>IF(Operations!AM318=0,0,Operations!AM317/Operations!AM318)</f>
        <v/>
      </c>
      <c r="AN334" s="14">
        <f>IF(Operations!AN318=0,0,Operations!AN317/Operations!AN318)</f>
        <v/>
      </c>
      <c r="AO334" s="14">
        <f>IF(Operations!AO318=0,0,Operations!AO317/Operations!AO318)</f>
        <v/>
      </c>
      <c r="AP334" s="14">
        <f>IF(Operations!AP318=0,0,Operations!AP317/Operations!AP318)</f>
        <v/>
      </c>
      <c r="AQ334" s="14">
        <f>IF(Operations!AQ318=0,0,Operations!AQ317/Operations!AQ318)</f>
        <v/>
      </c>
      <c r="AR334" s="14">
        <f>IF(Operations!AR318=0,0,Operations!AR317/Operations!AR318)</f>
        <v/>
      </c>
      <c r="AS334" s="14">
        <f>IF(Operations!AS318=0,0,Operations!AS317/Operations!AS318)</f>
        <v/>
      </c>
      <c r="AT334" s="14">
        <f>IF(Operations!AT318=0,0,Operations!AT317/Operations!AT318)</f>
        <v/>
      </c>
      <c r="AU334" s="14">
        <f>IF(Operations!AU318=0,0,Operations!AU317/Operations!AU318)</f>
        <v/>
      </c>
    </row>
    <row r="335">
      <c r="D335" t="inlineStr">
        <is>
          <t>R7 merchant share of revenue</t>
        </is>
      </c>
      <c r="E335" t="inlineStr">
        <is>
          <t>fraction</t>
        </is>
      </c>
      <c r="J335" s="14">
        <f>1-Operations!J333-Operations!J334</f>
        <v/>
      </c>
      <c r="K335" s="14">
        <f>1-Operations!K333-Operations!K334</f>
        <v/>
      </c>
      <c r="L335" s="14">
        <f>1-Operations!L333-Operations!L334</f>
        <v/>
      </c>
      <c r="M335" s="14">
        <f>1-Operations!M333-Operations!M334</f>
        <v/>
      </c>
      <c r="N335" s="14">
        <f>1-Operations!N333-Operations!N334</f>
        <v/>
      </c>
      <c r="O335" s="14">
        <f>1-Operations!O333-Operations!O334</f>
        <v/>
      </c>
      <c r="P335" s="14">
        <f>1-Operations!P333-Operations!P334</f>
        <v/>
      </c>
      <c r="Q335" s="14">
        <f>1-Operations!Q333-Operations!Q334</f>
        <v/>
      </c>
      <c r="R335" s="14">
        <f>1-Operations!R333-Operations!R334</f>
        <v/>
      </c>
      <c r="S335" s="14">
        <f>1-Operations!S333-Operations!S334</f>
        <v/>
      </c>
      <c r="T335" s="14">
        <f>1-Operations!T333-Operations!T334</f>
        <v/>
      </c>
      <c r="U335" s="14">
        <f>1-Operations!U333-Operations!U334</f>
        <v/>
      </c>
      <c r="V335" s="14">
        <f>1-Operations!V333-Operations!V334</f>
        <v/>
      </c>
      <c r="W335" s="14">
        <f>1-Operations!W333-Operations!W334</f>
        <v/>
      </c>
      <c r="X335" s="14">
        <f>1-Operations!X333-Operations!X334</f>
        <v/>
      </c>
      <c r="Y335" s="14">
        <f>1-Operations!Y333-Operations!Y334</f>
        <v/>
      </c>
      <c r="Z335" s="14">
        <f>1-Operations!Z333-Operations!Z334</f>
        <v/>
      </c>
      <c r="AA335" s="14">
        <f>1-Operations!AA333-Operations!AA334</f>
        <v/>
      </c>
      <c r="AB335" s="14">
        <f>1-Operations!AB333-Operations!AB334</f>
        <v/>
      </c>
      <c r="AC335" s="14">
        <f>1-Operations!AC333-Operations!AC334</f>
        <v/>
      </c>
      <c r="AD335" s="14">
        <f>1-Operations!AD333-Operations!AD334</f>
        <v/>
      </c>
      <c r="AE335" s="14">
        <f>1-Operations!AE333-Operations!AE334</f>
        <v/>
      </c>
      <c r="AF335" s="14">
        <f>1-Operations!AF333-Operations!AF334</f>
        <v/>
      </c>
      <c r="AG335" s="14">
        <f>1-Operations!AG333-Operations!AG334</f>
        <v/>
      </c>
      <c r="AH335" s="14">
        <f>1-Operations!AH333-Operations!AH334</f>
        <v/>
      </c>
      <c r="AI335" s="14">
        <f>1-Operations!AI333-Operations!AI334</f>
        <v/>
      </c>
      <c r="AJ335" s="14">
        <f>1-Operations!AJ333-Operations!AJ334</f>
        <v/>
      </c>
      <c r="AK335" s="14">
        <f>1-Operations!AK333-Operations!AK334</f>
        <v/>
      </c>
      <c r="AL335" s="14">
        <f>1-Operations!AL333-Operations!AL334</f>
        <v/>
      </c>
      <c r="AM335" s="14">
        <f>1-Operations!AM333-Operations!AM334</f>
        <v/>
      </c>
      <c r="AN335" s="14">
        <f>1-Operations!AN333-Operations!AN334</f>
        <v/>
      </c>
      <c r="AO335" s="14">
        <f>1-Operations!AO333-Operations!AO334</f>
        <v/>
      </c>
      <c r="AP335" s="14">
        <f>1-Operations!AP333-Operations!AP334</f>
        <v/>
      </c>
      <c r="AQ335" s="14">
        <f>1-Operations!AQ333-Operations!AQ334</f>
        <v/>
      </c>
      <c r="AR335" s="14">
        <f>1-Operations!AR333-Operations!AR334</f>
        <v/>
      </c>
      <c r="AS335" s="14">
        <f>1-Operations!AS333-Operations!AS334</f>
        <v/>
      </c>
      <c r="AT335" s="14">
        <f>1-Operations!AT333-Operations!AT334</f>
        <v/>
      </c>
      <c r="AU335" s="14">
        <f>1-Operations!AU333-Operations!AU334</f>
        <v/>
      </c>
    </row>
    <row r="336">
      <c r="D336" t="inlineStr">
        <is>
          <t>R7 Mesa-share contracted revenue</t>
        </is>
      </c>
      <c r="E336" t="inlineStr">
        <is>
          <t>USD m</t>
        </is>
      </c>
      <c r="J336" s="20">
        <f>Operations!J316*Operations!J310*(1-Operations!J328)</f>
        <v/>
      </c>
      <c r="K336" s="20">
        <f>Operations!K316*Operations!K310*(1-Operations!K328)</f>
        <v/>
      </c>
      <c r="L336" s="20">
        <f>Operations!L316*Operations!L310*(1-Operations!L328)</f>
        <v/>
      </c>
      <c r="M336" s="20">
        <f>Operations!M316*Operations!M310*(1-Operations!M328)</f>
        <v/>
      </c>
      <c r="N336" s="20">
        <f>Operations!N316*Operations!N310*(1-Operations!N328)</f>
        <v/>
      </c>
      <c r="O336" s="20">
        <f>Operations!O316*Operations!O310*(1-Operations!O328)</f>
        <v/>
      </c>
      <c r="P336" s="20">
        <f>Operations!P316*Operations!P310*(1-Operations!P328)</f>
        <v/>
      </c>
      <c r="Q336" s="20">
        <f>Operations!Q316*Operations!Q310*(1-Operations!Q328)</f>
        <v/>
      </c>
      <c r="R336" s="20">
        <f>Operations!R316*Operations!R310*(1-Operations!R328)</f>
        <v/>
      </c>
      <c r="S336" s="20">
        <f>Operations!S316*Operations!S310*(1-Operations!S328)</f>
        <v/>
      </c>
      <c r="T336" s="20">
        <f>Operations!T316*Operations!T310*(1-Operations!T328)</f>
        <v/>
      </c>
      <c r="U336" s="20">
        <f>Operations!U316*Operations!U310*(1-Operations!U328)</f>
        <v/>
      </c>
      <c r="V336" s="20">
        <f>Operations!V316*Operations!V310*(1-Operations!V328)</f>
        <v/>
      </c>
      <c r="W336" s="20">
        <f>Operations!W316*Operations!W310*(1-Operations!W328)</f>
        <v/>
      </c>
      <c r="X336" s="20">
        <f>Operations!X316*Operations!X310*(1-Operations!X328)</f>
        <v/>
      </c>
      <c r="Y336" s="20">
        <f>Operations!Y316*Operations!Y310*(1-Operations!Y328)</f>
        <v/>
      </c>
      <c r="Z336" s="20">
        <f>Operations!Z316*Operations!Z310*(1-Operations!Z328)</f>
        <v/>
      </c>
      <c r="AA336" s="20">
        <f>Operations!AA316*Operations!AA310*(1-Operations!AA328)</f>
        <v/>
      </c>
      <c r="AB336" s="20">
        <f>Operations!AB316*Operations!AB310*(1-Operations!AB328)</f>
        <v/>
      </c>
      <c r="AC336" s="20">
        <f>Operations!AC316*Operations!AC310*(1-Operations!AC328)</f>
        <v/>
      </c>
      <c r="AD336" s="20">
        <f>Operations!AD316*Operations!AD310*(1-Operations!AD328)</f>
        <v/>
      </c>
      <c r="AE336" s="20">
        <f>Operations!AE316*Operations!AE310*(1-Operations!AE328)</f>
        <v/>
      </c>
      <c r="AF336" s="20">
        <f>Operations!AF316*Operations!AF310*(1-Operations!AF328)</f>
        <v/>
      </c>
      <c r="AG336" s="20">
        <f>Operations!AG316*Operations!AG310*(1-Operations!AG328)</f>
        <v/>
      </c>
      <c r="AH336" s="20">
        <f>Operations!AH316*Operations!AH310*(1-Operations!AH328)</f>
        <v/>
      </c>
      <c r="AI336" s="20">
        <f>Operations!AI316*Operations!AI310*(1-Operations!AI328)</f>
        <v/>
      </c>
      <c r="AJ336" s="20">
        <f>Operations!AJ316*Operations!AJ310*(1-Operations!AJ328)</f>
        <v/>
      </c>
      <c r="AK336" s="20">
        <f>Operations!AK316*Operations!AK310*(1-Operations!AK328)</f>
        <v/>
      </c>
      <c r="AL336" s="20">
        <f>Operations!AL316*Operations!AL310*(1-Operations!AL328)</f>
        <v/>
      </c>
      <c r="AM336" s="20">
        <f>Operations!AM316*Operations!AM310*(1-Operations!AM328)</f>
        <v/>
      </c>
      <c r="AN336" s="20">
        <f>Operations!AN316*Operations!AN310*(1-Operations!AN328)</f>
        <v/>
      </c>
      <c r="AO336" s="20">
        <f>Operations!AO316*Operations!AO310*(1-Operations!AO328)</f>
        <v/>
      </c>
      <c r="AP336" s="20">
        <f>Operations!AP316*Operations!AP310*(1-Operations!AP328)</f>
        <v/>
      </c>
      <c r="AQ336" s="20">
        <f>Operations!AQ316*Operations!AQ310*(1-Operations!AQ328)</f>
        <v/>
      </c>
      <c r="AR336" s="20">
        <f>Operations!AR316*Operations!AR310*(1-Operations!AR328)</f>
        <v/>
      </c>
      <c r="AS336" s="20">
        <f>Operations!AS316*Operations!AS310*(1-Operations!AS328)</f>
        <v/>
      </c>
      <c r="AT336" s="20">
        <f>Operations!AT316*Operations!AT310*(1-Operations!AT328)</f>
        <v/>
      </c>
      <c r="AU336" s="20">
        <f>Operations!AU316*Operations!AU310*(1-Operations!AU328)</f>
        <v/>
      </c>
    </row>
    <row r="337">
      <c r="D337" t="inlineStr">
        <is>
          <t>R7 Mesa-share hedged revenue</t>
        </is>
      </c>
      <c r="E337" t="inlineStr">
        <is>
          <t>USD m</t>
        </is>
      </c>
      <c r="J337" s="20">
        <f>Operations!J317*Operations!J310*(1-Operations!J328)</f>
        <v/>
      </c>
      <c r="K337" s="20">
        <f>Operations!K317*Operations!K310*(1-Operations!K328)</f>
        <v/>
      </c>
      <c r="L337" s="20">
        <f>Operations!L317*Operations!L310*(1-Operations!L328)</f>
        <v/>
      </c>
      <c r="M337" s="20">
        <f>Operations!M317*Operations!M310*(1-Operations!M328)</f>
        <v/>
      </c>
      <c r="N337" s="20">
        <f>Operations!N317*Operations!N310*(1-Operations!N328)</f>
        <v/>
      </c>
      <c r="O337" s="20">
        <f>Operations!O317*Operations!O310*(1-Operations!O328)</f>
        <v/>
      </c>
      <c r="P337" s="20">
        <f>Operations!P317*Operations!P310*(1-Operations!P328)</f>
        <v/>
      </c>
      <c r="Q337" s="20">
        <f>Operations!Q317*Operations!Q310*(1-Operations!Q328)</f>
        <v/>
      </c>
      <c r="R337" s="20">
        <f>Operations!R317*Operations!R310*(1-Operations!R328)</f>
        <v/>
      </c>
      <c r="S337" s="20">
        <f>Operations!S317*Operations!S310*(1-Operations!S328)</f>
        <v/>
      </c>
      <c r="T337" s="20">
        <f>Operations!T317*Operations!T310*(1-Operations!T328)</f>
        <v/>
      </c>
      <c r="U337" s="20">
        <f>Operations!U317*Operations!U310*(1-Operations!U328)</f>
        <v/>
      </c>
      <c r="V337" s="20">
        <f>Operations!V317*Operations!V310*(1-Operations!V328)</f>
        <v/>
      </c>
      <c r="W337" s="20">
        <f>Operations!W317*Operations!W310*(1-Operations!W328)</f>
        <v/>
      </c>
      <c r="X337" s="20">
        <f>Operations!X317*Operations!X310*(1-Operations!X328)</f>
        <v/>
      </c>
      <c r="Y337" s="20">
        <f>Operations!Y317*Operations!Y310*(1-Operations!Y328)</f>
        <v/>
      </c>
      <c r="Z337" s="20">
        <f>Operations!Z317*Operations!Z310*(1-Operations!Z328)</f>
        <v/>
      </c>
      <c r="AA337" s="20">
        <f>Operations!AA317*Operations!AA310*(1-Operations!AA328)</f>
        <v/>
      </c>
      <c r="AB337" s="20">
        <f>Operations!AB317*Operations!AB310*(1-Operations!AB328)</f>
        <v/>
      </c>
      <c r="AC337" s="20">
        <f>Operations!AC317*Operations!AC310*(1-Operations!AC328)</f>
        <v/>
      </c>
      <c r="AD337" s="20">
        <f>Operations!AD317*Operations!AD310*(1-Operations!AD328)</f>
        <v/>
      </c>
      <c r="AE337" s="20">
        <f>Operations!AE317*Operations!AE310*(1-Operations!AE328)</f>
        <v/>
      </c>
      <c r="AF337" s="20">
        <f>Operations!AF317*Operations!AF310*(1-Operations!AF328)</f>
        <v/>
      </c>
      <c r="AG337" s="20">
        <f>Operations!AG317*Operations!AG310*(1-Operations!AG328)</f>
        <v/>
      </c>
      <c r="AH337" s="20">
        <f>Operations!AH317*Operations!AH310*(1-Operations!AH328)</f>
        <v/>
      </c>
      <c r="AI337" s="20">
        <f>Operations!AI317*Operations!AI310*(1-Operations!AI328)</f>
        <v/>
      </c>
      <c r="AJ337" s="20">
        <f>Operations!AJ317*Operations!AJ310*(1-Operations!AJ328)</f>
        <v/>
      </c>
      <c r="AK337" s="20">
        <f>Operations!AK317*Operations!AK310*(1-Operations!AK328)</f>
        <v/>
      </c>
      <c r="AL337" s="20">
        <f>Operations!AL317*Operations!AL310*(1-Operations!AL328)</f>
        <v/>
      </c>
      <c r="AM337" s="20">
        <f>Operations!AM317*Operations!AM310*(1-Operations!AM328)</f>
        <v/>
      </c>
      <c r="AN337" s="20">
        <f>Operations!AN317*Operations!AN310*(1-Operations!AN328)</f>
        <v/>
      </c>
      <c r="AO337" s="20">
        <f>Operations!AO317*Operations!AO310*(1-Operations!AO328)</f>
        <v/>
      </c>
      <c r="AP337" s="20">
        <f>Operations!AP317*Operations!AP310*(1-Operations!AP328)</f>
        <v/>
      </c>
      <c r="AQ337" s="20">
        <f>Operations!AQ317*Operations!AQ310*(1-Operations!AQ328)</f>
        <v/>
      </c>
      <c r="AR337" s="20">
        <f>Operations!AR317*Operations!AR310*(1-Operations!AR328)</f>
        <v/>
      </c>
      <c r="AS337" s="20">
        <f>Operations!AS317*Operations!AS310*(1-Operations!AS328)</f>
        <v/>
      </c>
      <c r="AT337" s="20">
        <f>Operations!AT317*Operations!AT310*(1-Operations!AT328)</f>
        <v/>
      </c>
      <c r="AU337" s="20">
        <f>Operations!AU317*Operations!AU310*(1-Operations!AU328)</f>
        <v/>
      </c>
    </row>
    <row r="338">
      <c r="D338" t="inlineStr">
        <is>
          <t>R7 Mesa-share merchant revenue</t>
        </is>
      </c>
      <c r="E338" t="inlineStr">
        <is>
          <t>USD m</t>
        </is>
      </c>
      <c r="J338" s="20">
        <f>Operations!J319*Operations!J310*(1-Operations!J328)</f>
        <v/>
      </c>
      <c r="K338" s="20">
        <f>Operations!K319*Operations!K310*(1-Operations!K328)</f>
        <v/>
      </c>
      <c r="L338" s="20">
        <f>Operations!L319*Operations!L310*(1-Operations!L328)</f>
        <v/>
      </c>
      <c r="M338" s="20">
        <f>Operations!M319*Operations!M310*(1-Operations!M328)</f>
        <v/>
      </c>
      <c r="N338" s="20">
        <f>Operations!N319*Operations!N310*(1-Operations!N328)</f>
        <v/>
      </c>
      <c r="O338" s="20">
        <f>Operations!O319*Operations!O310*(1-Operations!O328)</f>
        <v/>
      </c>
      <c r="P338" s="20">
        <f>Operations!P319*Operations!P310*(1-Operations!P328)</f>
        <v/>
      </c>
      <c r="Q338" s="20">
        <f>Operations!Q319*Operations!Q310*(1-Operations!Q328)</f>
        <v/>
      </c>
      <c r="R338" s="20">
        <f>Operations!R319*Operations!R310*(1-Operations!R328)</f>
        <v/>
      </c>
      <c r="S338" s="20">
        <f>Operations!S319*Operations!S310*(1-Operations!S328)</f>
        <v/>
      </c>
      <c r="T338" s="20">
        <f>Operations!T319*Operations!T310*(1-Operations!T328)</f>
        <v/>
      </c>
      <c r="U338" s="20">
        <f>Operations!U319*Operations!U310*(1-Operations!U328)</f>
        <v/>
      </c>
      <c r="V338" s="20">
        <f>Operations!V319*Operations!V310*(1-Operations!V328)</f>
        <v/>
      </c>
      <c r="W338" s="20">
        <f>Operations!W319*Operations!W310*(1-Operations!W328)</f>
        <v/>
      </c>
      <c r="X338" s="20">
        <f>Operations!X319*Operations!X310*(1-Operations!X328)</f>
        <v/>
      </c>
      <c r="Y338" s="20">
        <f>Operations!Y319*Operations!Y310*(1-Operations!Y328)</f>
        <v/>
      </c>
      <c r="Z338" s="20">
        <f>Operations!Z319*Operations!Z310*(1-Operations!Z328)</f>
        <v/>
      </c>
      <c r="AA338" s="20">
        <f>Operations!AA319*Operations!AA310*(1-Operations!AA328)</f>
        <v/>
      </c>
      <c r="AB338" s="20">
        <f>Operations!AB319*Operations!AB310*(1-Operations!AB328)</f>
        <v/>
      </c>
      <c r="AC338" s="20">
        <f>Operations!AC319*Operations!AC310*(1-Operations!AC328)</f>
        <v/>
      </c>
      <c r="AD338" s="20">
        <f>Operations!AD319*Operations!AD310*(1-Operations!AD328)</f>
        <v/>
      </c>
      <c r="AE338" s="20">
        <f>Operations!AE319*Operations!AE310*(1-Operations!AE328)</f>
        <v/>
      </c>
      <c r="AF338" s="20">
        <f>Operations!AF319*Operations!AF310*(1-Operations!AF328)</f>
        <v/>
      </c>
      <c r="AG338" s="20">
        <f>Operations!AG319*Operations!AG310*(1-Operations!AG328)</f>
        <v/>
      </c>
      <c r="AH338" s="20">
        <f>Operations!AH319*Operations!AH310*(1-Operations!AH328)</f>
        <v/>
      </c>
      <c r="AI338" s="20">
        <f>Operations!AI319*Operations!AI310*(1-Operations!AI328)</f>
        <v/>
      </c>
      <c r="AJ338" s="20">
        <f>Operations!AJ319*Operations!AJ310*(1-Operations!AJ328)</f>
        <v/>
      </c>
      <c r="AK338" s="20">
        <f>Operations!AK319*Operations!AK310*(1-Operations!AK328)</f>
        <v/>
      </c>
      <c r="AL338" s="20">
        <f>Operations!AL319*Operations!AL310*(1-Operations!AL328)</f>
        <v/>
      </c>
      <c r="AM338" s="20">
        <f>Operations!AM319*Operations!AM310*(1-Operations!AM328)</f>
        <v/>
      </c>
      <c r="AN338" s="20">
        <f>Operations!AN319*Operations!AN310*(1-Operations!AN328)</f>
        <v/>
      </c>
      <c r="AO338" s="20">
        <f>Operations!AO319*Operations!AO310*(1-Operations!AO328)</f>
        <v/>
      </c>
      <c r="AP338" s="20">
        <f>Operations!AP319*Operations!AP310*(1-Operations!AP328)</f>
        <v/>
      </c>
      <c r="AQ338" s="20">
        <f>Operations!AQ319*Operations!AQ310*(1-Operations!AQ328)</f>
        <v/>
      </c>
      <c r="AR338" s="20">
        <f>Operations!AR319*Operations!AR310*(1-Operations!AR328)</f>
        <v/>
      </c>
      <c r="AS338" s="20">
        <f>Operations!AS319*Operations!AS310*(1-Operations!AS328)</f>
        <v/>
      </c>
      <c r="AT338" s="20">
        <f>Operations!AT319*Operations!AT310*(1-Operations!AT328)</f>
        <v/>
      </c>
      <c r="AU338" s="20">
        <f>Operations!AU319*Operations!AU310*(1-Operations!AU328)</f>
        <v/>
      </c>
    </row>
    <row r="339">
      <c r="D339" t="inlineStr">
        <is>
          <t>R7 Mesa-share revenue</t>
        </is>
      </c>
      <c r="E339" t="inlineStr">
        <is>
          <t>USD m</t>
        </is>
      </c>
      <c r="J339" s="20">
        <f>Operations!J318*Operations!J310*(1-Operations!J328)</f>
        <v/>
      </c>
      <c r="K339" s="20">
        <f>Operations!K318*Operations!K310*(1-Operations!K328)</f>
        <v/>
      </c>
      <c r="L339" s="20">
        <f>Operations!L318*Operations!L310*(1-Operations!L328)</f>
        <v/>
      </c>
      <c r="M339" s="20">
        <f>Operations!M318*Operations!M310*(1-Operations!M328)</f>
        <v/>
      </c>
      <c r="N339" s="20">
        <f>Operations!N318*Operations!N310*(1-Operations!N328)</f>
        <v/>
      </c>
      <c r="O339" s="20">
        <f>Operations!O318*Operations!O310*(1-Operations!O328)</f>
        <v/>
      </c>
      <c r="P339" s="20">
        <f>Operations!P318*Operations!P310*(1-Operations!P328)</f>
        <v/>
      </c>
      <c r="Q339" s="20">
        <f>Operations!Q318*Operations!Q310*(1-Operations!Q328)</f>
        <v/>
      </c>
      <c r="R339" s="20">
        <f>Operations!R318*Operations!R310*(1-Operations!R328)</f>
        <v/>
      </c>
      <c r="S339" s="20">
        <f>Operations!S318*Operations!S310*(1-Operations!S328)</f>
        <v/>
      </c>
      <c r="T339" s="20">
        <f>Operations!T318*Operations!T310*(1-Operations!T328)</f>
        <v/>
      </c>
      <c r="U339" s="20">
        <f>Operations!U318*Operations!U310*(1-Operations!U328)</f>
        <v/>
      </c>
      <c r="V339" s="20">
        <f>Operations!V318*Operations!V310*(1-Operations!V328)</f>
        <v/>
      </c>
      <c r="W339" s="20">
        <f>Operations!W318*Operations!W310*(1-Operations!W328)</f>
        <v/>
      </c>
      <c r="X339" s="20">
        <f>Operations!X318*Operations!X310*(1-Operations!X328)</f>
        <v/>
      </c>
      <c r="Y339" s="20">
        <f>Operations!Y318*Operations!Y310*(1-Operations!Y328)</f>
        <v/>
      </c>
      <c r="Z339" s="20">
        <f>Operations!Z318*Operations!Z310*(1-Operations!Z328)</f>
        <v/>
      </c>
      <c r="AA339" s="20">
        <f>Operations!AA318*Operations!AA310*(1-Operations!AA328)</f>
        <v/>
      </c>
      <c r="AB339" s="20">
        <f>Operations!AB318*Operations!AB310*(1-Operations!AB328)</f>
        <v/>
      </c>
      <c r="AC339" s="20">
        <f>Operations!AC318*Operations!AC310*(1-Operations!AC328)</f>
        <v/>
      </c>
      <c r="AD339" s="20">
        <f>Operations!AD318*Operations!AD310*(1-Operations!AD328)</f>
        <v/>
      </c>
      <c r="AE339" s="20">
        <f>Operations!AE318*Operations!AE310*(1-Operations!AE328)</f>
        <v/>
      </c>
      <c r="AF339" s="20">
        <f>Operations!AF318*Operations!AF310*(1-Operations!AF328)</f>
        <v/>
      </c>
      <c r="AG339" s="20">
        <f>Operations!AG318*Operations!AG310*(1-Operations!AG328)</f>
        <v/>
      </c>
      <c r="AH339" s="20">
        <f>Operations!AH318*Operations!AH310*(1-Operations!AH328)</f>
        <v/>
      </c>
      <c r="AI339" s="20">
        <f>Operations!AI318*Operations!AI310*(1-Operations!AI328)</f>
        <v/>
      </c>
      <c r="AJ339" s="20">
        <f>Operations!AJ318*Operations!AJ310*(1-Operations!AJ328)</f>
        <v/>
      </c>
      <c r="AK339" s="20">
        <f>Operations!AK318*Operations!AK310*(1-Operations!AK328)</f>
        <v/>
      </c>
      <c r="AL339" s="20">
        <f>Operations!AL318*Operations!AL310*(1-Operations!AL328)</f>
        <v/>
      </c>
      <c r="AM339" s="20">
        <f>Operations!AM318*Operations!AM310*(1-Operations!AM328)</f>
        <v/>
      </c>
      <c r="AN339" s="20">
        <f>Operations!AN318*Operations!AN310*(1-Operations!AN328)</f>
        <v/>
      </c>
      <c r="AO339" s="20">
        <f>Operations!AO318*Operations!AO310*(1-Operations!AO328)</f>
        <v/>
      </c>
      <c r="AP339" s="20">
        <f>Operations!AP318*Operations!AP310*(1-Operations!AP328)</f>
        <v/>
      </c>
      <c r="AQ339" s="20">
        <f>Operations!AQ318*Operations!AQ310*(1-Operations!AQ328)</f>
        <v/>
      </c>
      <c r="AR339" s="20">
        <f>Operations!AR318*Operations!AR310*(1-Operations!AR328)</f>
        <v/>
      </c>
      <c r="AS339" s="20">
        <f>Operations!AS318*Operations!AS310*(1-Operations!AS328)</f>
        <v/>
      </c>
      <c r="AT339" s="20">
        <f>Operations!AT318*Operations!AT310*(1-Operations!AT328)</f>
        <v/>
      </c>
      <c r="AU339" s="20">
        <f>Operations!AU318*Operations!AU310*(1-Operations!AU328)</f>
        <v/>
      </c>
    </row>
    <row r="340">
      <c r="D340" s="19" t="inlineStr">
        <is>
          <t>R8 Barlow Gap Solar (single-axis tracking PV)</t>
        </is>
      </c>
    </row>
    <row r="341">
      <c r="D341" t="inlineStr">
        <is>
          <t>R8 operating fraction</t>
        </is>
      </c>
      <c r="E341" t="inlineStr">
        <is>
          <t>fraction</t>
        </is>
      </c>
      <c r="J341" s="14">
        <f>MAX(0,MIN(Inputs!$F$169,Time!J$6)-MAX(Inputs!$F$168,Time!J$5))/Time!J$7</f>
        <v/>
      </c>
      <c r="K341" s="14">
        <f>MAX(0,MIN(Inputs!$F$169,Time!K$6)-MAX(Inputs!$F$168,Time!K$5))/Time!K$7</f>
        <v/>
      </c>
      <c r="L341" s="14">
        <f>MAX(0,MIN(Inputs!$F$169,Time!L$6)-MAX(Inputs!$F$168,Time!L$5))/Time!L$7</f>
        <v/>
      </c>
      <c r="M341" s="14">
        <f>MAX(0,MIN(Inputs!$F$169,Time!M$6)-MAX(Inputs!$F$168,Time!M$5))/Time!M$7</f>
        <v/>
      </c>
      <c r="N341" s="14">
        <f>MAX(0,MIN(Inputs!$F$169,Time!N$6)-MAX(Inputs!$F$168,Time!N$5))/Time!N$7</f>
        <v/>
      </c>
      <c r="O341" s="14">
        <f>MAX(0,MIN(Inputs!$F$169,Time!O$6)-MAX(Inputs!$F$168,Time!O$5))/Time!O$7</f>
        <v/>
      </c>
      <c r="P341" s="14">
        <f>MAX(0,MIN(Inputs!$F$169,Time!P$6)-MAX(Inputs!$F$168,Time!P$5))/Time!P$7</f>
        <v/>
      </c>
      <c r="Q341" s="14">
        <f>MAX(0,MIN(Inputs!$F$169,Time!Q$6)-MAX(Inputs!$F$168,Time!Q$5))/Time!Q$7</f>
        <v/>
      </c>
      <c r="R341" s="14">
        <f>MAX(0,MIN(Inputs!$F$169,Time!R$6)-MAX(Inputs!$F$168,Time!R$5))/Time!R$7</f>
        <v/>
      </c>
      <c r="S341" s="14">
        <f>MAX(0,MIN(Inputs!$F$169,Time!S$6)-MAX(Inputs!$F$168,Time!S$5))/Time!S$7</f>
        <v/>
      </c>
      <c r="T341" s="14">
        <f>MAX(0,MIN(Inputs!$F$169,Time!T$6)-MAX(Inputs!$F$168,Time!T$5))/Time!T$7</f>
        <v/>
      </c>
      <c r="U341" s="14">
        <f>MAX(0,MIN(Inputs!$F$169,Time!U$6)-MAX(Inputs!$F$168,Time!U$5))/Time!U$7</f>
        <v/>
      </c>
      <c r="V341" s="14">
        <f>MAX(0,MIN(Inputs!$F$169,Time!V$6)-MAX(Inputs!$F$168,Time!V$5))/Time!V$7</f>
        <v/>
      </c>
      <c r="W341" s="14">
        <f>MAX(0,MIN(Inputs!$F$169,Time!W$6)-MAX(Inputs!$F$168,Time!W$5))/Time!W$7</f>
        <v/>
      </c>
      <c r="X341" s="14">
        <f>MAX(0,MIN(Inputs!$F$169,Time!X$6)-MAX(Inputs!$F$168,Time!X$5))/Time!X$7</f>
        <v/>
      </c>
      <c r="Y341" s="14">
        <f>MAX(0,MIN(Inputs!$F$169,Time!Y$6)-MAX(Inputs!$F$168,Time!Y$5))/Time!Y$7</f>
        <v/>
      </c>
      <c r="Z341" s="14">
        <f>MAX(0,MIN(Inputs!$F$169,Time!Z$6)-MAX(Inputs!$F$168,Time!Z$5))/Time!Z$7</f>
        <v/>
      </c>
      <c r="AA341" s="14">
        <f>MAX(0,MIN(Inputs!$F$169,Time!AA$6)-MAX(Inputs!$F$168,Time!AA$5))/Time!AA$7</f>
        <v/>
      </c>
      <c r="AB341" s="14">
        <f>MAX(0,MIN(Inputs!$F$169,Time!AB$6)-MAX(Inputs!$F$168,Time!AB$5))/Time!AB$7</f>
        <v/>
      </c>
      <c r="AC341" s="14">
        <f>MAX(0,MIN(Inputs!$F$169,Time!AC$6)-MAX(Inputs!$F$168,Time!AC$5))/Time!AC$7</f>
        <v/>
      </c>
      <c r="AD341" s="14">
        <f>MAX(0,MIN(Inputs!$F$169,Time!AD$6)-MAX(Inputs!$F$168,Time!AD$5))/Time!AD$7</f>
        <v/>
      </c>
      <c r="AE341" s="14">
        <f>MAX(0,MIN(Inputs!$F$169,Time!AE$6)-MAX(Inputs!$F$168,Time!AE$5))/Time!AE$7</f>
        <v/>
      </c>
      <c r="AF341" s="14">
        <f>MAX(0,MIN(Inputs!$F$169,Time!AF$6)-MAX(Inputs!$F$168,Time!AF$5))/Time!AF$7</f>
        <v/>
      </c>
      <c r="AG341" s="14">
        <f>MAX(0,MIN(Inputs!$F$169,Time!AG$6)-MAX(Inputs!$F$168,Time!AG$5))/Time!AG$7</f>
        <v/>
      </c>
      <c r="AH341" s="14">
        <f>MAX(0,MIN(Inputs!$F$169,Time!AH$6)-MAX(Inputs!$F$168,Time!AH$5))/Time!AH$7</f>
        <v/>
      </c>
      <c r="AI341" s="14">
        <f>MAX(0,MIN(Inputs!$F$169,Time!AI$6)-MAX(Inputs!$F$168,Time!AI$5))/Time!AI$7</f>
        <v/>
      </c>
      <c r="AJ341" s="14">
        <f>MAX(0,MIN(Inputs!$F$169,Time!AJ$6)-MAX(Inputs!$F$168,Time!AJ$5))/Time!AJ$7</f>
        <v/>
      </c>
      <c r="AK341" s="14">
        <f>MAX(0,MIN(Inputs!$F$169,Time!AK$6)-MAX(Inputs!$F$168,Time!AK$5))/Time!AK$7</f>
        <v/>
      </c>
      <c r="AL341" s="14">
        <f>MAX(0,MIN(Inputs!$F$169,Time!AL$6)-MAX(Inputs!$F$168,Time!AL$5))/Time!AL$7</f>
        <v/>
      </c>
      <c r="AM341" s="14">
        <f>MAX(0,MIN(Inputs!$F$169,Time!AM$6)-MAX(Inputs!$F$168,Time!AM$5))/Time!AM$7</f>
        <v/>
      </c>
      <c r="AN341" s="14">
        <f>MAX(0,MIN(Inputs!$F$169,Time!AN$6)-MAX(Inputs!$F$168,Time!AN$5))/Time!AN$7</f>
        <v/>
      </c>
      <c r="AO341" s="14">
        <f>MAX(0,MIN(Inputs!$F$169,Time!AO$6)-MAX(Inputs!$F$168,Time!AO$5))/Time!AO$7</f>
        <v/>
      </c>
      <c r="AP341" s="14">
        <f>MAX(0,MIN(Inputs!$F$169,Time!AP$6)-MAX(Inputs!$F$168,Time!AP$5))/Time!AP$7</f>
        <v/>
      </c>
      <c r="AQ341" s="14">
        <f>MAX(0,MIN(Inputs!$F$169,Time!AQ$6)-MAX(Inputs!$F$168,Time!AQ$5))/Time!AQ$7</f>
        <v/>
      </c>
      <c r="AR341" s="14">
        <f>MAX(0,MIN(Inputs!$F$169,Time!AR$6)-MAX(Inputs!$F$168,Time!AR$5))/Time!AR$7</f>
        <v/>
      </c>
      <c r="AS341" s="14">
        <f>MAX(0,MIN(Inputs!$F$169,Time!AS$6)-MAX(Inputs!$F$168,Time!AS$5))/Time!AS$7</f>
        <v/>
      </c>
      <c r="AT341" s="14">
        <f>MAX(0,MIN(Inputs!$F$169,Time!AT$6)-MAX(Inputs!$F$168,Time!AT$5))/Time!AT$7</f>
        <v/>
      </c>
      <c r="AU341" s="14">
        <f>MAX(0,MIN(Inputs!$F$169,Time!AU$6)-MAX(Inputs!$F$168,Time!AU$5))/Time!AU$7</f>
        <v/>
      </c>
    </row>
    <row r="342">
      <c r="D342" t="inlineStr">
        <is>
          <t>R8 owned fraction</t>
        </is>
      </c>
      <c r="E342" t="inlineStr">
        <is>
          <t>fraction</t>
        </is>
      </c>
      <c r="J342" s="14">
        <f>MAX(0,MIN(Inputs!$F$169,Time!J$6)-MAX(MAX(Inputs!$F$170,Inputs!$F$168),Time!J$5))/Time!J$7</f>
        <v/>
      </c>
      <c r="K342" s="14">
        <f>MAX(0,MIN(Inputs!$F$169,Time!K$6)-MAX(MAX(Inputs!$F$170,Inputs!$F$168),Time!K$5))/Time!K$7</f>
        <v/>
      </c>
      <c r="L342" s="14">
        <f>MAX(0,MIN(Inputs!$F$169,Time!L$6)-MAX(MAX(Inputs!$F$170,Inputs!$F$168),Time!L$5))/Time!L$7</f>
        <v/>
      </c>
      <c r="M342" s="14">
        <f>MAX(0,MIN(Inputs!$F$169,Time!M$6)-MAX(MAX(Inputs!$F$170,Inputs!$F$168),Time!M$5))/Time!M$7</f>
        <v/>
      </c>
      <c r="N342" s="14">
        <f>MAX(0,MIN(Inputs!$F$169,Time!N$6)-MAX(MAX(Inputs!$F$170,Inputs!$F$168),Time!N$5))/Time!N$7</f>
        <v/>
      </c>
      <c r="O342" s="14">
        <f>MAX(0,MIN(Inputs!$F$169,Time!O$6)-MAX(MAX(Inputs!$F$170,Inputs!$F$168),Time!O$5))/Time!O$7</f>
        <v/>
      </c>
      <c r="P342" s="14">
        <f>MAX(0,MIN(Inputs!$F$169,Time!P$6)-MAX(MAX(Inputs!$F$170,Inputs!$F$168),Time!P$5))/Time!P$7</f>
        <v/>
      </c>
      <c r="Q342" s="14">
        <f>MAX(0,MIN(Inputs!$F$169,Time!Q$6)-MAX(MAX(Inputs!$F$170,Inputs!$F$168),Time!Q$5))/Time!Q$7</f>
        <v/>
      </c>
      <c r="R342" s="14">
        <f>MAX(0,MIN(Inputs!$F$169,Time!R$6)-MAX(MAX(Inputs!$F$170,Inputs!$F$168),Time!R$5))/Time!R$7</f>
        <v/>
      </c>
      <c r="S342" s="14">
        <f>MAX(0,MIN(Inputs!$F$169,Time!S$6)-MAX(MAX(Inputs!$F$170,Inputs!$F$168),Time!S$5))/Time!S$7</f>
        <v/>
      </c>
      <c r="T342" s="14">
        <f>MAX(0,MIN(Inputs!$F$169,Time!T$6)-MAX(MAX(Inputs!$F$170,Inputs!$F$168),Time!T$5))/Time!T$7</f>
        <v/>
      </c>
      <c r="U342" s="14">
        <f>MAX(0,MIN(Inputs!$F$169,Time!U$6)-MAX(MAX(Inputs!$F$170,Inputs!$F$168),Time!U$5))/Time!U$7</f>
        <v/>
      </c>
      <c r="V342" s="14">
        <f>MAX(0,MIN(Inputs!$F$169,Time!V$6)-MAX(MAX(Inputs!$F$170,Inputs!$F$168),Time!V$5))/Time!V$7</f>
        <v/>
      </c>
      <c r="W342" s="14">
        <f>MAX(0,MIN(Inputs!$F$169,Time!W$6)-MAX(MAX(Inputs!$F$170,Inputs!$F$168),Time!W$5))/Time!W$7</f>
        <v/>
      </c>
      <c r="X342" s="14">
        <f>MAX(0,MIN(Inputs!$F$169,Time!X$6)-MAX(MAX(Inputs!$F$170,Inputs!$F$168),Time!X$5))/Time!X$7</f>
        <v/>
      </c>
      <c r="Y342" s="14">
        <f>MAX(0,MIN(Inputs!$F$169,Time!Y$6)-MAX(MAX(Inputs!$F$170,Inputs!$F$168),Time!Y$5))/Time!Y$7</f>
        <v/>
      </c>
      <c r="Z342" s="14">
        <f>MAX(0,MIN(Inputs!$F$169,Time!Z$6)-MAX(MAX(Inputs!$F$170,Inputs!$F$168),Time!Z$5))/Time!Z$7</f>
        <v/>
      </c>
      <c r="AA342" s="14">
        <f>MAX(0,MIN(Inputs!$F$169,Time!AA$6)-MAX(MAX(Inputs!$F$170,Inputs!$F$168),Time!AA$5))/Time!AA$7</f>
        <v/>
      </c>
      <c r="AB342" s="14">
        <f>MAX(0,MIN(Inputs!$F$169,Time!AB$6)-MAX(MAX(Inputs!$F$170,Inputs!$F$168),Time!AB$5))/Time!AB$7</f>
        <v/>
      </c>
      <c r="AC342" s="14">
        <f>MAX(0,MIN(Inputs!$F$169,Time!AC$6)-MAX(MAX(Inputs!$F$170,Inputs!$F$168),Time!AC$5))/Time!AC$7</f>
        <v/>
      </c>
      <c r="AD342" s="14">
        <f>MAX(0,MIN(Inputs!$F$169,Time!AD$6)-MAX(MAX(Inputs!$F$170,Inputs!$F$168),Time!AD$5))/Time!AD$7</f>
        <v/>
      </c>
      <c r="AE342" s="14">
        <f>MAX(0,MIN(Inputs!$F$169,Time!AE$6)-MAX(MAX(Inputs!$F$170,Inputs!$F$168),Time!AE$5))/Time!AE$7</f>
        <v/>
      </c>
      <c r="AF342" s="14">
        <f>MAX(0,MIN(Inputs!$F$169,Time!AF$6)-MAX(MAX(Inputs!$F$170,Inputs!$F$168),Time!AF$5))/Time!AF$7</f>
        <v/>
      </c>
      <c r="AG342" s="14">
        <f>MAX(0,MIN(Inputs!$F$169,Time!AG$6)-MAX(MAX(Inputs!$F$170,Inputs!$F$168),Time!AG$5))/Time!AG$7</f>
        <v/>
      </c>
      <c r="AH342" s="14">
        <f>MAX(0,MIN(Inputs!$F$169,Time!AH$6)-MAX(MAX(Inputs!$F$170,Inputs!$F$168),Time!AH$5))/Time!AH$7</f>
        <v/>
      </c>
      <c r="AI342" s="14">
        <f>MAX(0,MIN(Inputs!$F$169,Time!AI$6)-MAX(MAX(Inputs!$F$170,Inputs!$F$168),Time!AI$5))/Time!AI$7</f>
        <v/>
      </c>
      <c r="AJ342" s="14">
        <f>MAX(0,MIN(Inputs!$F$169,Time!AJ$6)-MAX(MAX(Inputs!$F$170,Inputs!$F$168),Time!AJ$5))/Time!AJ$7</f>
        <v/>
      </c>
      <c r="AK342" s="14">
        <f>MAX(0,MIN(Inputs!$F$169,Time!AK$6)-MAX(MAX(Inputs!$F$170,Inputs!$F$168),Time!AK$5))/Time!AK$7</f>
        <v/>
      </c>
      <c r="AL342" s="14">
        <f>MAX(0,MIN(Inputs!$F$169,Time!AL$6)-MAX(MAX(Inputs!$F$170,Inputs!$F$168),Time!AL$5))/Time!AL$7</f>
        <v/>
      </c>
      <c r="AM342" s="14">
        <f>MAX(0,MIN(Inputs!$F$169,Time!AM$6)-MAX(MAX(Inputs!$F$170,Inputs!$F$168),Time!AM$5))/Time!AM$7</f>
        <v/>
      </c>
      <c r="AN342" s="14">
        <f>MAX(0,MIN(Inputs!$F$169,Time!AN$6)-MAX(MAX(Inputs!$F$170,Inputs!$F$168),Time!AN$5))/Time!AN$7</f>
        <v/>
      </c>
      <c r="AO342" s="14">
        <f>MAX(0,MIN(Inputs!$F$169,Time!AO$6)-MAX(MAX(Inputs!$F$170,Inputs!$F$168),Time!AO$5))/Time!AO$7</f>
        <v/>
      </c>
      <c r="AP342" s="14">
        <f>MAX(0,MIN(Inputs!$F$169,Time!AP$6)-MAX(MAX(Inputs!$F$170,Inputs!$F$168),Time!AP$5))/Time!AP$7</f>
        <v/>
      </c>
      <c r="AQ342" s="14">
        <f>MAX(0,MIN(Inputs!$F$169,Time!AQ$6)-MAX(MAX(Inputs!$F$170,Inputs!$F$168),Time!AQ$5))/Time!AQ$7</f>
        <v/>
      </c>
      <c r="AR342" s="14">
        <f>MAX(0,MIN(Inputs!$F$169,Time!AR$6)-MAX(MAX(Inputs!$F$170,Inputs!$F$168),Time!AR$5))/Time!AR$7</f>
        <v/>
      </c>
      <c r="AS342" s="14">
        <f>MAX(0,MIN(Inputs!$F$169,Time!AS$6)-MAX(MAX(Inputs!$F$170,Inputs!$F$168),Time!AS$5))/Time!AS$7</f>
        <v/>
      </c>
      <c r="AT342" s="14">
        <f>MAX(0,MIN(Inputs!$F$169,Time!AT$6)-MAX(MAX(Inputs!$F$170,Inputs!$F$168),Time!AT$5))/Time!AT$7</f>
        <v/>
      </c>
      <c r="AU342" s="14">
        <f>MAX(0,MIN(Inputs!$F$169,Time!AU$6)-MAX(MAX(Inputs!$F$170,Inputs!$F$168),Time!AU$5))/Time!AU$7</f>
        <v/>
      </c>
    </row>
    <row r="343">
      <c r="D343" t="inlineStr">
        <is>
          <t>R8 owned share of operating period</t>
        </is>
      </c>
      <c r="E343" t="inlineStr">
        <is>
          <t>fraction</t>
        </is>
      </c>
      <c r="J343" s="14">
        <f>IF(Operations!J341&gt;0,Operations!J342/Operations!J341,0)</f>
        <v/>
      </c>
      <c r="K343" s="14">
        <f>IF(Operations!K341&gt;0,Operations!K342/Operations!K341,0)</f>
        <v/>
      </c>
      <c r="L343" s="14">
        <f>IF(Operations!L341&gt;0,Operations!L342/Operations!L341,0)</f>
        <v/>
      </c>
      <c r="M343" s="14">
        <f>IF(Operations!M341&gt;0,Operations!M342/Operations!M341,0)</f>
        <v/>
      </c>
      <c r="N343" s="14">
        <f>IF(Operations!N341&gt;0,Operations!N342/Operations!N341,0)</f>
        <v/>
      </c>
      <c r="O343" s="14">
        <f>IF(Operations!O341&gt;0,Operations!O342/Operations!O341,0)</f>
        <v/>
      </c>
      <c r="P343" s="14">
        <f>IF(Operations!P341&gt;0,Operations!P342/Operations!P341,0)</f>
        <v/>
      </c>
      <c r="Q343" s="14">
        <f>IF(Operations!Q341&gt;0,Operations!Q342/Operations!Q341,0)</f>
        <v/>
      </c>
      <c r="R343" s="14">
        <f>IF(Operations!R341&gt;0,Operations!R342/Operations!R341,0)</f>
        <v/>
      </c>
      <c r="S343" s="14">
        <f>IF(Operations!S341&gt;0,Operations!S342/Operations!S341,0)</f>
        <v/>
      </c>
      <c r="T343" s="14">
        <f>IF(Operations!T341&gt;0,Operations!T342/Operations!T341,0)</f>
        <v/>
      </c>
      <c r="U343" s="14">
        <f>IF(Operations!U341&gt;0,Operations!U342/Operations!U341,0)</f>
        <v/>
      </c>
      <c r="V343" s="14">
        <f>IF(Operations!V341&gt;0,Operations!V342/Operations!V341,0)</f>
        <v/>
      </c>
      <c r="W343" s="14">
        <f>IF(Operations!W341&gt;0,Operations!W342/Operations!W341,0)</f>
        <v/>
      </c>
      <c r="X343" s="14">
        <f>IF(Operations!X341&gt;0,Operations!X342/Operations!X341,0)</f>
        <v/>
      </c>
      <c r="Y343" s="14">
        <f>IF(Operations!Y341&gt;0,Operations!Y342/Operations!Y341,0)</f>
        <v/>
      </c>
      <c r="Z343" s="14">
        <f>IF(Operations!Z341&gt;0,Operations!Z342/Operations!Z341,0)</f>
        <v/>
      </c>
      <c r="AA343" s="14">
        <f>IF(Operations!AA341&gt;0,Operations!AA342/Operations!AA341,0)</f>
        <v/>
      </c>
      <c r="AB343" s="14">
        <f>IF(Operations!AB341&gt;0,Operations!AB342/Operations!AB341,0)</f>
        <v/>
      </c>
      <c r="AC343" s="14">
        <f>IF(Operations!AC341&gt;0,Operations!AC342/Operations!AC341,0)</f>
        <v/>
      </c>
      <c r="AD343" s="14">
        <f>IF(Operations!AD341&gt;0,Operations!AD342/Operations!AD341,0)</f>
        <v/>
      </c>
      <c r="AE343" s="14">
        <f>IF(Operations!AE341&gt;0,Operations!AE342/Operations!AE341,0)</f>
        <v/>
      </c>
      <c r="AF343" s="14">
        <f>IF(Operations!AF341&gt;0,Operations!AF342/Operations!AF341,0)</f>
        <v/>
      </c>
      <c r="AG343" s="14">
        <f>IF(Operations!AG341&gt;0,Operations!AG342/Operations!AG341,0)</f>
        <v/>
      </c>
      <c r="AH343" s="14">
        <f>IF(Operations!AH341&gt;0,Operations!AH342/Operations!AH341,0)</f>
        <v/>
      </c>
      <c r="AI343" s="14">
        <f>IF(Operations!AI341&gt;0,Operations!AI342/Operations!AI341,0)</f>
        <v/>
      </c>
      <c r="AJ343" s="14">
        <f>IF(Operations!AJ341&gt;0,Operations!AJ342/Operations!AJ341,0)</f>
        <v/>
      </c>
      <c r="AK343" s="14">
        <f>IF(Operations!AK341&gt;0,Operations!AK342/Operations!AK341,0)</f>
        <v/>
      </c>
      <c r="AL343" s="14">
        <f>IF(Operations!AL341&gt;0,Operations!AL342/Operations!AL341,0)</f>
        <v/>
      </c>
      <c r="AM343" s="14">
        <f>IF(Operations!AM341&gt;0,Operations!AM342/Operations!AM341,0)</f>
        <v/>
      </c>
      <c r="AN343" s="14">
        <f>IF(Operations!AN341&gt;0,Operations!AN342/Operations!AN341,0)</f>
        <v/>
      </c>
      <c r="AO343" s="14">
        <f>IF(Operations!AO341&gt;0,Operations!AO342/Operations!AO341,0)</f>
        <v/>
      </c>
      <c r="AP343" s="14">
        <f>IF(Operations!AP341&gt;0,Operations!AP342/Operations!AP341,0)</f>
        <v/>
      </c>
      <c r="AQ343" s="14">
        <f>IF(Operations!AQ341&gt;0,Operations!AQ342/Operations!AQ341,0)</f>
        <v/>
      </c>
      <c r="AR343" s="14">
        <f>IF(Operations!AR341&gt;0,Operations!AR342/Operations!AR341,0)</f>
        <v/>
      </c>
      <c r="AS343" s="14">
        <f>IF(Operations!AS341&gt;0,Operations!AS342/Operations!AS341,0)</f>
        <v/>
      </c>
      <c r="AT343" s="14">
        <f>IF(Operations!AT341&gt;0,Operations!AT342/Operations!AT341,0)</f>
        <v/>
      </c>
      <c r="AU343" s="14">
        <f>IF(Operations!AU341&gt;0,Operations!AU342/Operations!AU341,0)</f>
        <v/>
      </c>
    </row>
    <row r="344">
      <c r="D344" t="inlineStr">
        <is>
          <t>R8 own hub ATC</t>
        </is>
      </c>
      <c r="E344" t="inlineStr">
        <is>
          <t>USD/MWh</t>
        </is>
      </c>
      <c r="J344" s="18">
        <f>Operations!J54</f>
        <v/>
      </c>
      <c r="K344" s="18">
        <f>Operations!K54</f>
        <v/>
      </c>
      <c r="L344" s="18">
        <f>Operations!L54</f>
        <v/>
      </c>
      <c r="M344" s="18">
        <f>Operations!M54</f>
        <v/>
      </c>
      <c r="N344" s="18">
        <f>Operations!N54</f>
        <v/>
      </c>
      <c r="O344" s="18">
        <f>Operations!O54</f>
        <v/>
      </c>
      <c r="P344" s="18">
        <f>Operations!P54</f>
        <v/>
      </c>
      <c r="Q344" s="18">
        <f>Operations!Q54</f>
        <v/>
      </c>
      <c r="R344" s="18">
        <f>Operations!R54</f>
        <v/>
      </c>
      <c r="S344" s="18">
        <f>Operations!S54</f>
        <v/>
      </c>
      <c r="T344" s="18">
        <f>Operations!T54</f>
        <v/>
      </c>
      <c r="U344" s="18">
        <f>Operations!U54</f>
        <v/>
      </c>
      <c r="V344" s="18">
        <f>Operations!V54</f>
        <v/>
      </c>
      <c r="W344" s="18">
        <f>Operations!W54</f>
        <v/>
      </c>
      <c r="X344" s="18">
        <f>Operations!X54</f>
        <v/>
      </c>
      <c r="Y344" s="18">
        <f>Operations!Y54</f>
        <v/>
      </c>
      <c r="Z344" s="18">
        <f>Operations!Z54</f>
        <v/>
      </c>
      <c r="AA344" s="18">
        <f>Operations!AA54</f>
        <v/>
      </c>
      <c r="AB344" s="18">
        <f>Operations!AB54</f>
        <v/>
      </c>
      <c r="AC344" s="18">
        <f>Operations!AC54</f>
        <v/>
      </c>
      <c r="AD344" s="18">
        <f>Operations!AD54</f>
        <v/>
      </c>
      <c r="AE344" s="18">
        <f>Operations!AE54</f>
        <v/>
      </c>
      <c r="AF344" s="18">
        <f>Operations!AF54</f>
        <v/>
      </c>
      <c r="AG344" s="18">
        <f>Operations!AG54</f>
        <v/>
      </c>
      <c r="AH344" s="18">
        <f>Operations!AH54</f>
        <v/>
      </c>
      <c r="AI344" s="18">
        <f>Operations!AI54</f>
        <v/>
      </c>
      <c r="AJ344" s="18">
        <f>Operations!AJ54</f>
        <v/>
      </c>
      <c r="AK344" s="18">
        <f>Operations!AK54</f>
        <v/>
      </c>
      <c r="AL344" s="18">
        <f>Operations!AL54</f>
        <v/>
      </c>
      <c r="AM344" s="18">
        <f>Operations!AM54</f>
        <v/>
      </c>
      <c r="AN344" s="18">
        <f>Operations!AN54</f>
        <v/>
      </c>
      <c r="AO344" s="18">
        <f>Operations!AO54</f>
        <v/>
      </c>
      <c r="AP344" s="18">
        <f>Operations!AP54</f>
        <v/>
      </c>
      <c r="AQ344" s="18">
        <f>Operations!AQ54</f>
        <v/>
      </c>
      <c r="AR344" s="18">
        <f>Operations!AR54</f>
        <v/>
      </c>
      <c r="AS344" s="18">
        <f>Operations!AS54</f>
        <v/>
      </c>
      <c r="AT344" s="18">
        <f>Operations!AT54</f>
        <v/>
      </c>
      <c r="AU344" s="18">
        <f>Operations!AU54</f>
        <v/>
      </c>
    </row>
    <row r="345">
      <c r="D345" t="inlineStr">
        <is>
          <t>R8 volume factor</t>
        </is>
      </c>
      <c r="E345" t="inlineStr">
        <is>
          <t>factor</t>
        </is>
      </c>
      <c r="J345" s="14">
        <f>CHOOSE(Operations!$F$47,1,Inputs!$F$174/100,Inputs!$F$175/100,Operations!$F$42/100)</f>
        <v/>
      </c>
      <c r="K345" s="14">
        <f>CHOOSE(Operations!$F$47,1,Inputs!$F$174/100,Inputs!$F$175/100,Operations!$F$42/100)</f>
        <v/>
      </c>
      <c r="L345" s="14">
        <f>CHOOSE(Operations!$F$47,1,Inputs!$F$174/100,Inputs!$F$175/100,Operations!$F$42/100)</f>
        <v/>
      </c>
      <c r="M345" s="14">
        <f>CHOOSE(Operations!$F$47,1,Inputs!$F$174/100,Inputs!$F$175/100,Operations!$F$42/100)</f>
        <v/>
      </c>
      <c r="N345" s="14">
        <f>CHOOSE(Operations!$F$47,1,Inputs!$F$174/100,Inputs!$F$175/100,Operations!$F$42/100)</f>
        <v/>
      </c>
      <c r="O345" s="14">
        <f>CHOOSE(Operations!$F$47,1,Inputs!$F$174/100,Inputs!$F$175/100,Operations!$F$42/100)</f>
        <v/>
      </c>
      <c r="P345" s="14">
        <f>CHOOSE(Operations!$F$47,1,Inputs!$F$174/100,Inputs!$F$175/100,Operations!$F$42/100)</f>
        <v/>
      </c>
      <c r="Q345" s="14">
        <f>CHOOSE(Operations!$F$47,1,Inputs!$F$174/100,Inputs!$F$175/100,Operations!$F$42/100)</f>
        <v/>
      </c>
      <c r="R345" s="14">
        <f>CHOOSE(Operations!$F$47,1,Inputs!$F$174/100,Inputs!$F$175/100,Operations!$F$42/100)</f>
        <v/>
      </c>
      <c r="S345" s="14">
        <f>CHOOSE(Operations!$F$47,1,Inputs!$F$174/100,Inputs!$F$175/100,Operations!$F$42/100)</f>
        <v/>
      </c>
      <c r="T345" s="14">
        <f>CHOOSE(Operations!$F$47,1,Inputs!$F$174/100,Inputs!$F$175/100,Operations!$F$42/100)</f>
        <v/>
      </c>
      <c r="U345" s="14">
        <f>CHOOSE(Operations!$F$47,1,Inputs!$F$174/100,Inputs!$F$175/100,Operations!$F$42/100)</f>
        <v/>
      </c>
      <c r="V345" s="14">
        <f>CHOOSE(Operations!$F$47,1,Inputs!$F$174/100,Inputs!$F$175/100,Operations!$F$42/100)</f>
        <v/>
      </c>
      <c r="W345" s="14">
        <f>CHOOSE(Operations!$F$47,1,Inputs!$F$174/100,Inputs!$F$175/100,Operations!$F$42/100)</f>
        <v/>
      </c>
      <c r="X345" s="14">
        <f>CHOOSE(Operations!$F$47,1,Inputs!$F$174/100,Inputs!$F$175/100,Operations!$F$42/100)</f>
        <v/>
      </c>
      <c r="Y345" s="14">
        <f>CHOOSE(Operations!$F$47,1,Inputs!$F$174/100,Inputs!$F$175/100,Operations!$F$42/100)</f>
        <v/>
      </c>
      <c r="Z345" s="14">
        <f>CHOOSE(Operations!$F$47,1,Inputs!$F$174/100,Inputs!$F$175/100,Operations!$F$42/100)</f>
        <v/>
      </c>
      <c r="AA345" s="14">
        <f>CHOOSE(Operations!$F$47,1,Inputs!$F$174/100,Inputs!$F$175/100,Operations!$F$42/100)</f>
        <v/>
      </c>
      <c r="AB345" s="14">
        <f>CHOOSE(Operations!$F$47,1,Inputs!$F$174/100,Inputs!$F$175/100,Operations!$F$42/100)</f>
        <v/>
      </c>
      <c r="AC345" s="14">
        <f>CHOOSE(Operations!$F$47,1,Inputs!$F$174/100,Inputs!$F$175/100,Operations!$F$42/100)</f>
        <v/>
      </c>
      <c r="AD345" s="14">
        <f>CHOOSE(Operations!$F$47,1,Inputs!$F$174/100,Inputs!$F$175/100,Operations!$F$42/100)</f>
        <v/>
      </c>
      <c r="AE345" s="14">
        <f>CHOOSE(Operations!$F$47,1,Inputs!$F$174/100,Inputs!$F$175/100,Operations!$F$42/100)</f>
        <v/>
      </c>
      <c r="AF345" s="14">
        <f>CHOOSE(Operations!$F$47,1,Inputs!$F$174/100,Inputs!$F$175/100,Operations!$F$42/100)</f>
        <v/>
      </c>
      <c r="AG345" s="14">
        <f>CHOOSE(Operations!$F$47,1,Inputs!$F$174/100,Inputs!$F$175/100,Operations!$F$42/100)</f>
        <v/>
      </c>
      <c r="AH345" s="14">
        <f>CHOOSE(Operations!$F$47,1,Inputs!$F$174/100,Inputs!$F$175/100,Operations!$F$42/100)</f>
        <v/>
      </c>
      <c r="AI345" s="14">
        <f>CHOOSE(Operations!$F$47,1,Inputs!$F$174/100,Inputs!$F$175/100,Operations!$F$42/100)</f>
        <v/>
      </c>
      <c r="AJ345" s="14">
        <f>CHOOSE(Operations!$F$47,1,Inputs!$F$174/100,Inputs!$F$175/100,Operations!$F$42/100)</f>
        <v/>
      </c>
      <c r="AK345" s="14">
        <f>CHOOSE(Operations!$F$47,1,Inputs!$F$174/100,Inputs!$F$175/100,Operations!$F$42/100)</f>
        <v/>
      </c>
      <c r="AL345" s="14">
        <f>CHOOSE(Operations!$F$47,1,Inputs!$F$174/100,Inputs!$F$175/100,Operations!$F$42/100)</f>
        <v/>
      </c>
      <c r="AM345" s="14">
        <f>CHOOSE(Operations!$F$47,1,Inputs!$F$174/100,Inputs!$F$175/100,Operations!$F$42/100)</f>
        <v/>
      </c>
      <c r="AN345" s="14">
        <f>CHOOSE(Operations!$F$47,1,Inputs!$F$174/100,Inputs!$F$175/100,Operations!$F$42/100)</f>
        <v/>
      </c>
      <c r="AO345" s="14">
        <f>CHOOSE(Operations!$F$47,1,Inputs!$F$174/100,Inputs!$F$175/100,Operations!$F$42/100)</f>
        <v/>
      </c>
      <c r="AP345" s="14">
        <f>CHOOSE(Operations!$F$47,1,Inputs!$F$174/100,Inputs!$F$175/100,Operations!$F$42/100)</f>
        <v/>
      </c>
      <c r="AQ345" s="14">
        <f>CHOOSE(Operations!$F$47,1,Inputs!$F$174/100,Inputs!$F$175/100,Operations!$F$42/100)</f>
        <v/>
      </c>
      <c r="AR345" s="14">
        <f>CHOOSE(Operations!$F$47,1,Inputs!$F$174/100,Inputs!$F$175/100,Operations!$F$42/100)</f>
        <v/>
      </c>
      <c r="AS345" s="14">
        <f>CHOOSE(Operations!$F$47,1,Inputs!$F$174/100,Inputs!$F$175/100,Operations!$F$42/100)</f>
        <v/>
      </c>
      <c r="AT345" s="14">
        <f>CHOOSE(Operations!$F$47,1,Inputs!$F$174/100,Inputs!$F$175/100,Operations!$F$42/100)</f>
        <v/>
      </c>
      <c r="AU345" s="14">
        <f>CHOOSE(Operations!$F$47,1,Inputs!$F$174/100,Inputs!$F$175/100,Operations!$F$42/100)</f>
        <v/>
      </c>
    </row>
    <row r="346">
      <c r="D346" t="inlineStr">
        <is>
          <t>R8 degradation factor</t>
        </is>
      </c>
      <c r="E346" t="inlineStr">
        <is>
          <t>factor</t>
        </is>
      </c>
      <c r="J346" s="14">
        <f>(1-Inputs!$F$176/100)^MAX(0,Time!J$4-Inputs!$F$177)</f>
        <v/>
      </c>
      <c r="K346" s="14">
        <f>(1-Inputs!$F$176/100)^MAX(0,Time!K$4-Inputs!$F$177)</f>
        <v/>
      </c>
      <c r="L346" s="14">
        <f>(1-Inputs!$F$176/100)^MAX(0,Time!L$4-Inputs!$F$177)</f>
        <v/>
      </c>
      <c r="M346" s="14">
        <f>(1-Inputs!$F$176/100)^MAX(0,Time!M$4-Inputs!$F$177)</f>
        <v/>
      </c>
      <c r="N346" s="14">
        <f>(1-Inputs!$F$176/100)^MAX(0,Time!N$4-Inputs!$F$177)</f>
        <v/>
      </c>
      <c r="O346" s="14">
        <f>(1-Inputs!$F$176/100)^MAX(0,Time!O$4-Inputs!$F$177)</f>
        <v/>
      </c>
      <c r="P346" s="14">
        <f>(1-Inputs!$F$176/100)^MAX(0,Time!P$4-Inputs!$F$177)</f>
        <v/>
      </c>
      <c r="Q346" s="14">
        <f>(1-Inputs!$F$176/100)^MAX(0,Time!Q$4-Inputs!$F$177)</f>
        <v/>
      </c>
      <c r="R346" s="14">
        <f>(1-Inputs!$F$176/100)^MAX(0,Time!R$4-Inputs!$F$177)</f>
        <v/>
      </c>
      <c r="S346" s="14">
        <f>(1-Inputs!$F$176/100)^MAX(0,Time!S$4-Inputs!$F$177)</f>
        <v/>
      </c>
      <c r="T346" s="14">
        <f>(1-Inputs!$F$176/100)^MAX(0,Time!T$4-Inputs!$F$177)</f>
        <v/>
      </c>
      <c r="U346" s="14">
        <f>(1-Inputs!$F$176/100)^MAX(0,Time!U$4-Inputs!$F$177)</f>
        <v/>
      </c>
      <c r="V346" s="14">
        <f>(1-Inputs!$F$176/100)^MAX(0,Time!V$4-Inputs!$F$177)</f>
        <v/>
      </c>
      <c r="W346" s="14">
        <f>(1-Inputs!$F$176/100)^MAX(0,Time!W$4-Inputs!$F$177)</f>
        <v/>
      </c>
      <c r="X346" s="14">
        <f>(1-Inputs!$F$176/100)^MAX(0,Time!X$4-Inputs!$F$177)</f>
        <v/>
      </c>
      <c r="Y346" s="14">
        <f>(1-Inputs!$F$176/100)^MAX(0,Time!Y$4-Inputs!$F$177)</f>
        <v/>
      </c>
      <c r="Z346" s="14">
        <f>(1-Inputs!$F$176/100)^MAX(0,Time!Z$4-Inputs!$F$177)</f>
        <v/>
      </c>
      <c r="AA346" s="14">
        <f>(1-Inputs!$F$176/100)^MAX(0,Time!AA$4-Inputs!$F$177)</f>
        <v/>
      </c>
      <c r="AB346" s="14">
        <f>(1-Inputs!$F$176/100)^MAX(0,Time!AB$4-Inputs!$F$177)</f>
        <v/>
      </c>
      <c r="AC346" s="14">
        <f>(1-Inputs!$F$176/100)^MAX(0,Time!AC$4-Inputs!$F$177)</f>
        <v/>
      </c>
      <c r="AD346" s="14">
        <f>(1-Inputs!$F$176/100)^MAX(0,Time!AD$4-Inputs!$F$177)</f>
        <v/>
      </c>
      <c r="AE346" s="14">
        <f>(1-Inputs!$F$176/100)^MAX(0,Time!AE$4-Inputs!$F$177)</f>
        <v/>
      </c>
      <c r="AF346" s="14">
        <f>(1-Inputs!$F$176/100)^MAX(0,Time!AF$4-Inputs!$F$177)</f>
        <v/>
      </c>
      <c r="AG346" s="14">
        <f>(1-Inputs!$F$176/100)^MAX(0,Time!AG$4-Inputs!$F$177)</f>
        <v/>
      </c>
      <c r="AH346" s="14">
        <f>(1-Inputs!$F$176/100)^MAX(0,Time!AH$4-Inputs!$F$177)</f>
        <v/>
      </c>
      <c r="AI346" s="14">
        <f>(1-Inputs!$F$176/100)^MAX(0,Time!AI$4-Inputs!$F$177)</f>
        <v/>
      </c>
      <c r="AJ346" s="14">
        <f>(1-Inputs!$F$176/100)^MAX(0,Time!AJ$4-Inputs!$F$177)</f>
        <v/>
      </c>
      <c r="AK346" s="14">
        <f>(1-Inputs!$F$176/100)^MAX(0,Time!AK$4-Inputs!$F$177)</f>
        <v/>
      </c>
      <c r="AL346" s="14">
        <f>(1-Inputs!$F$176/100)^MAX(0,Time!AL$4-Inputs!$F$177)</f>
        <v/>
      </c>
      <c r="AM346" s="14">
        <f>(1-Inputs!$F$176/100)^MAX(0,Time!AM$4-Inputs!$F$177)</f>
        <v/>
      </c>
      <c r="AN346" s="14">
        <f>(1-Inputs!$F$176/100)^MAX(0,Time!AN$4-Inputs!$F$177)</f>
        <v/>
      </c>
      <c r="AO346" s="14">
        <f>(1-Inputs!$F$176/100)^MAX(0,Time!AO$4-Inputs!$F$177)</f>
        <v/>
      </c>
      <c r="AP346" s="14">
        <f>(1-Inputs!$F$176/100)^MAX(0,Time!AP$4-Inputs!$F$177)</f>
        <v/>
      </c>
      <c r="AQ346" s="14">
        <f>(1-Inputs!$F$176/100)^MAX(0,Time!AQ$4-Inputs!$F$177)</f>
        <v/>
      </c>
      <c r="AR346" s="14">
        <f>(1-Inputs!$F$176/100)^MAX(0,Time!AR$4-Inputs!$F$177)</f>
        <v/>
      </c>
      <c r="AS346" s="14">
        <f>(1-Inputs!$F$176/100)^MAX(0,Time!AS$4-Inputs!$F$177)</f>
        <v/>
      </c>
      <c r="AT346" s="14">
        <f>(1-Inputs!$F$176/100)^MAX(0,Time!AT$4-Inputs!$F$177)</f>
        <v/>
      </c>
      <c r="AU346" s="14">
        <f>(1-Inputs!$F$176/100)^MAX(0,Time!AU$4-Inputs!$F$177)</f>
        <v/>
      </c>
    </row>
    <row r="347">
      <c r="D347" t="inlineStr">
        <is>
          <t>R8 curtailment</t>
        </is>
      </c>
      <c r="E347" t="inlineStr">
        <is>
          <t>fraction</t>
        </is>
      </c>
      <c r="J347" s="14">
        <f>(IF(Time!J$4&gt;=Inputs!$F$61,Inputs!$F$69,Inputs!$F$68+(Inputs!$F$69-Inputs!$F$68)*(Time!J$4-Inputs!$F$23)/(Inputs!$F$61-Inputs!$F$23))+Operations!$F$49)/100</f>
        <v/>
      </c>
      <c r="K347" s="14">
        <f>(IF(Time!K$4&gt;=Inputs!$F$61,Inputs!$F$69,Inputs!$F$68+(Inputs!$F$69-Inputs!$F$68)*(Time!K$4-Inputs!$F$23)/(Inputs!$F$61-Inputs!$F$23))+Operations!$F$49)/100</f>
        <v/>
      </c>
      <c r="L347" s="14">
        <f>(IF(Time!L$4&gt;=Inputs!$F$61,Inputs!$F$69,Inputs!$F$68+(Inputs!$F$69-Inputs!$F$68)*(Time!L$4-Inputs!$F$23)/(Inputs!$F$61-Inputs!$F$23))+Operations!$F$49)/100</f>
        <v/>
      </c>
      <c r="M347" s="14">
        <f>(IF(Time!M$4&gt;=Inputs!$F$61,Inputs!$F$69,Inputs!$F$68+(Inputs!$F$69-Inputs!$F$68)*(Time!M$4-Inputs!$F$23)/(Inputs!$F$61-Inputs!$F$23))+Operations!$F$49)/100</f>
        <v/>
      </c>
      <c r="N347" s="14">
        <f>(IF(Time!N$4&gt;=Inputs!$F$61,Inputs!$F$69,Inputs!$F$68+(Inputs!$F$69-Inputs!$F$68)*(Time!N$4-Inputs!$F$23)/(Inputs!$F$61-Inputs!$F$23))+Operations!$F$49)/100</f>
        <v/>
      </c>
      <c r="O347" s="14">
        <f>(IF(Time!O$4&gt;=Inputs!$F$61,Inputs!$F$69,Inputs!$F$68+(Inputs!$F$69-Inputs!$F$68)*(Time!O$4-Inputs!$F$23)/(Inputs!$F$61-Inputs!$F$23))+Operations!$F$49)/100</f>
        <v/>
      </c>
      <c r="P347" s="14">
        <f>(IF(Time!P$4&gt;=Inputs!$F$61,Inputs!$F$69,Inputs!$F$68+(Inputs!$F$69-Inputs!$F$68)*(Time!P$4-Inputs!$F$23)/(Inputs!$F$61-Inputs!$F$23))+Operations!$F$49)/100</f>
        <v/>
      </c>
      <c r="Q347" s="14">
        <f>(IF(Time!Q$4&gt;=Inputs!$F$61,Inputs!$F$69,Inputs!$F$68+(Inputs!$F$69-Inputs!$F$68)*(Time!Q$4-Inputs!$F$23)/(Inputs!$F$61-Inputs!$F$23))+Operations!$F$49)/100</f>
        <v/>
      </c>
      <c r="R347" s="14">
        <f>(IF(Time!R$4&gt;=Inputs!$F$61,Inputs!$F$69,Inputs!$F$68+(Inputs!$F$69-Inputs!$F$68)*(Time!R$4-Inputs!$F$23)/(Inputs!$F$61-Inputs!$F$23))+Operations!$F$49)/100</f>
        <v/>
      </c>
      <c r="S347" s="14">
        <f>(IF(Time!S$4&gt;=Inputs!$F$61,Inputs!$F$69,Inputs!$F$68+(Inputs!$F$69-Inputs!$F$68)*(Time!S$4-Inputs!$F$23)/(Inputs!$F$61-Inputs!$F$23))+Operations!$F$49)/100</f>
        <v/>
      </c>
      <c r="T347" s="14">
        <f>(IF(Time!T$4&gt;=Inputs!$F$61,Inputs!$F$69,Inputs!$F$68+(Inputs!$F$69-Inputs!$F$68)*(Time!T$4-Inputs!$F$23)/(Inputs!$F$61-Inputs!$F$23))+Operations!$F$49)/100</f>
        <v/>
      </c>
      <c r="U347" s="14">
        <f>(IF(Time!U$4&gt;=Inputs!$F$61,Inputs!$F$69,Inputs!$F$68+(Inputs!$F$69-Inputs!$F$68)*(Time!U$4-Inputs!$F$23)/(Inputs!$F$61-Inputs!$F$23))+Operations!$F$49)/100</f>
        <v/>
      </c>
      <c r="V347" s="14">
        <f>(IF(Time!V$4&gt;=Inputs!$F$61,Inputs!$F$69,Inputs!$F$68+(Inputs!$F$69-Inputs!$F$68)*(Time!V$4-Inputs!$F$23)/(Inputs!$F$61-Inputs!$F$23))+Operations!$F$49)/100</f>
        <v/>
      </c>
      <c r="W347" s="14">
        <f>(IF(Time!W$4&gt;=Inputs!$F$61,Inputs!$F$69,Inputs!$F$68+(Inputs!$F$69-Inputs!$F$68)*(Time!W$4-Inputs!$F$23)/(Inputs!$F$61-Inputs!$F$23))+Operations!$F$49)/100</f>
        <v/>
      </c>
      <c r="X347" s="14">
        <f>(IF(Time!X$4&gt;=Inputs!$F$61,Inputs!$F$69,Inputs!$F$68+(Inputs!$F$69-Inputs!$F$68)*(Time!X$4-Inputs!$F$23)/(Inputs!$F$61-Inputs!$F$23))+Operations!$F$49)/100</f>
        <v/>
      </c>
      <c r="Y347" s="14">
        <f>(IF(Time!Y$4&gt;=Inputs!$F$61,Inputs!$F$69,Inputs!$F$68+(Inputs!$F$69-Inputs!$F$68)*(Time!Y$4-Inputs!$F$23)/(Inputs!$F$61-Inputs!$F$23))+Operations!$F$49)/100</f>
        <v/>
      </c>
      <c r="Z347" s="14">
        <f>(IF(Time!Z$4&gt;=Inputs!$F$61,Inputs!$F$69,Inputs!$F$68+(Inputs!$F$69-Inputs!$F$68)*(Time!Z$4-Inputs!$F$23)/(Inputs!$F$61-Inputs!$F$23))+Operations!$F$49)/100</f>
        <v/>
      </c>
      <c r="AA347" s="14">
        <f>(IF(Time!AA$4&gt;=Inputs!$F$61,Inputs!$F$69,Inputs!$F$68+(Inputs!$F$69-Inputs!$F$68)*(Time!AA$4-Inputs!$F$23)/(Inputs!$F$61-Inputs!$F$23))+Operations!$F$49)/100</f>
        <v/>
      </c>
      <c r="AB347" s="14">
        <f>(IF(Time!AB$4&gt;=Inputs!$F$61,Inputs!$F$69,Inputs!$F$68+(Inputs!$F$69-Inputs!$F$68)*(Time!AB$4-Inputs!$F$23)/(Inputs!$F$61-Inputs!$F$23))+Operations!$F$49)/100</f>
        <v/>
      </c>
      <c r="AC347" s="14">
        <f>(IF(Time!AC$4&gt;=Inputs!$F$61,Inputs!$F$69,Inputs!$F$68+(Inputs!$F$69-Inputs!$F$68)*(Time!AC$4-Inputs!$F$23)/(Inputs!$F$61-Inputs!$F$23))+Operations!$F$49)/100</f>
        <v/>
      </c>
      <c r="AD347" s="14">
        <f>(IF(Time!AD$4&gt;=Inputs!$F$61,Inputs!$F$69,Inputs!$F$68+(Inputs!$F$69-Inputs!$F$68)*(Time!AD$4-Inputs!$F$23)/(Inputs!$F$61-Inputs!$F$23))+Operations!$F$49)/100</f>
        <v/>
      </c>
      <c r="AE347" s="14">
        <f>(IF(Time!AE$4&gt;=Inputs!$F$61,Inputs!$F$69,Inputs!$F$68+(Inputs!$F$69-Inputs!$F$68)*(Time!AE$4-Inputs!$F$23)/(Inputs!$F$61-Inputs!$F$23))+Operations!$F$49)/100</f>
        <v/>
      </c>
      <c r="AF347" s="14">
        <f>(IF(Time!AF$4&gt;=Inputs!$F$61,Inputs!$F$69,Inputs!$F$68+(Inputs!$F$69-Inputs!$F$68)*(Time!AF$4-Inputs!$F$23)/(Inputs!$F$61-Inputs!$F$23))+Operations!$F$49)/100</f>
        <v/>
      </c>
      <c r="AG347" s="14">
        <f>(IF(Time!AG$4&gt;=Inputs!$F$61,Inputs!$F$69,Inputs!$F$68+(Inputs!$F$69-Inputs!$F$68)*(Time!AG$4-Inputs!$F$23)/(Inputs!$F$61-Inputs!$F$23))+Operations!$F$49)/100</f>
        <v/>
      </c>
      <c r="AH347" s="14">
        <f>(IF(Time!AH$4&gt;=Inputs!$F$61,Inputs!$F$69,Inputs!$F$68+(Inputs!$F$69-Inputs!$F$68)*(Time!AH$4-Inputs!$F$23)/(Inputs!$F$61-Inputs!$F$23))+Operations!$F$49)/100</f>
        <v/>
      </c>
      <c r="AI347" s="14">
        <f>(IF(Time!AI$4&gt;=Inputs!$F$61,Inputs!$F$69,Inputs!$F$68+(Inputs!$F$69-Inputs!$F$68)*(Time!AI$4-Inputs!$F$23)/(Inputs!$F$61-Inputs!$F$23))+Operations!$F$49)/100</f>
        <v/>
      </c>
      <c r="AJ347" s="14">
        <f>(IF(Time!AJ$4&gt;=Inputs!$F$61,Inputs!$F$69,Inputs!$F$68+(Inputs!$F$69-Inputs!$F$68)*(Time!AJ$4-Inputs!$F$23)/(Inputs!$F$61-Inputs!$F$23))+Operations!$F$49)/100</f>
        <v/>
      </c>
      <c r="AK347" s="14">
        <f>(IF(Time!AK$4&gt;=Inputs!$F$61,Inputs!$F$69,Inputs!$F$68+(Inputs!$F$69-Inputs!$F$68)*(Time!AK$4-Inputs!$F$23)/(Inputs!$F$61-Inputs!$F$23))+Operations!$F$49)/100</f>
        <v/>
      </c>
      <c r="AL347" s="14">
        <f>(IF(Time!AL$4&gt;=Inputs!$F$61,Inputs!$F$69,Inputs!$F$68+(Inputs!$F$69-Inputs!$F$68)*(Time!AL$4-Inputs!$F$23)/(Inputs!$F$61-Inputs!$F$23))+Operations!$F$49)/100</f>
        <v/>
      </c>
      <c r="AM347" s="14">
        <f>(IF(Time!AM$4&gt;=Inputs!$F$61,Inputs!$F$69,Inputs!$F$68+(Inputs!$F$69-Inputs!$F$68)*(Time!AM$4-Inputs!$F$23)/(Inputs!$F$61-Inputs!$F$23))+Operations!$F$49)/100</f>
        <v/>
      </c>
      <c r="AN347" s="14">
        <f>(IF(Time!AN$4&gt;=Inputs!$F$61,Inputs!$F$69,Inputs!$F$68+(Inputs!$F$69-Inputs!$F$68)*(Time!AN$4-Inputs!$F$23)/(Inputs!$F$61-Inputs!$F$23))+Operations!$F$49)/100</f>
        <v/>
      </c>
      <c r="AO347" s="14">
        <f>(IF(Time!AO$4&gt;=Inputs!$F$61,Inputs!$F$69,Inputs!$F$68+(Inputs!$F$69-Inputs!$F$68)*(Time!AO$4-Inputs!$F$23)/(Inputs!$F$61-Inputs!$F$23))+Operations!$F$49)/100</f>
        <v/>
      </c>
      <c r="AP347" s="14">
        <f>(IF(Time!AP$4&gt;=Inputs!$F$61,Inputs!$F$69,Inputs!$F$68+(Inputs!$F$69-Inputs!$F$68)*(Time!AP$4-Inputs!$F$23)/(Inputs!$F$61-Inputs!$F$23))+Operations!$F$49)/100</f>
        <v/>
      </c>
      <c r="AQ347" s="14">
        <f>(IF(Time!AQ$4&gt;=Inputs!$F$61,Inputs!$F$69,Inputs!$F$68+(Inputs!$F$69-Inputs!$F$68)*(Time!AQ$4-Inputs!$F$23)/(Inputs!$F$61-Inputs!$F$23))+Operations!$F$49)/100</f>
        <v/>
      </c>
      <c r="AR347" s="14">
        <f>(IF(Time!AR$4&gt;=Inputs!$F$61,Inputs!$F$69,Inputs!$F$68+(Inputs!$F$69-Inputs!$F$68)*(Time!AR$4-Inputs!$F$23)/(Inputs!$F$61-Inputs!$F$23))+Operations!$F$49)/100</f>
        <v/>
      </c>
      <c r="AS347" s="14">
        <f>(IF(Time!AS$4&gt;=Inputs!$F$61,Inputs!$F$69,Inputs!$F$68+(Inputs!$F$69-Inputs!$F$68)*(Time!AS$4-Inputs!$F$23)/(Inputs!$F$61-Inputs!$F$23))+Operations!$F$49)/100</f>
        <v/>
      </c>
      <c r="AT347" s="14">
        <f>(IF(Time!AT$4&gt;=Inputs!$F$61,Inputs!$F$69,Inputs!$F$68+(Inputs!$F$69-Inputs!$F$68)*(Time!AT$4-Inputs!$F$23)/(Inputs!$F$61-Inputs!$F$23))+Operations!$F$49)/100</f>
        <v/>
      </c>
      <c r="AU347" s="14">
        <f>(IF(Time!AU$4&gt;=Inputs!$F$61,Inputs!$F$69,Inputs!$F$68+(Inputs!$F$69-Inputs!$F$68)*(Time!AU$4-Inputs!$F$23)/(Inputs!$F$61-Inputs!$F$23))+Operations!$F$49)/100</f>
        <v/>
      </c>
    </row>
    <row r="348">
      <c r="D348" t="inlineStr">
        <is>
          <t>R8 net generation, full year</t>
        </is>
      </c>
      <c r="E348" t="inlineStr">
        <is>
          <t>GWh</t>
        </is>
      </c>
      <c r="J348" s="20">
        <f>Inputs!$F$173*Operations!J345*Inputs!$F$185/100*Operations!J346*(1-Operations!J347)</f>
        <v/>
      </c>
      <c r="K348" s="20">
        <f>Inputs!$F$173*Operations!K345*Inputs!$F$185/100*Operations!K346*(1-Operations!K347)</f>
        <v/>
      </c>
      <c r="L348" s="20">
        <f>Inputs!$F$173*Operations!L345*Inputs!$F$185/100*Operations!L346*(1-Operations!L347)</f>
        <v/>
      </c>
      <c r="M348" s="20">
        <f>Inputs!$F$173*Operations!M345*Inputs!$F$185/100*Operations!M346*(1-Operations!M347)</f>
        <v/>
      </c>
      <c r="N348" s="20">
        <f>Inputs!$F$173*Operations!N345*Inputs!$F$185/100*Operations!N346*(1-Operations!N347)</f>
        <v/>
      </c>
      <c r="O348" s="20">
        <f>Inputs!$F$173*Operations!O345*Inputs!$F$185/100*Operations!O346*(1-Operations!O347)</f>
        <v/>
      </c>
      <c r="P348" s="20">
        <f>Inputs!$F$173*Operations!P345*Inputs!$F$185/100*Operations!P346*(1-Operations!P347)</f>
        <v/>
      </c>
      <c r="Q348" s="20">
        <f>Inputs!$F$173*Operations!Q345*Inputs!$F$185/100*Operations!Q346*(1-Operations!Q347)</f>
        <v/>
      </c>
      <c r="R348" s="20">
        <f>Inputs!$F$173*Operations!R345*Inputs!$F$185/100*Operations!R346*(1-Operations!R347)</f>
        <v/>
      </c>
      <c r="S348" s="20">
        <f>Inputs!$F$173*Operations!S345*Inputs!$F$185/100*Operations!S346*(1-Operations!S347)</f>
        <v/>
      </c>
      <c r="T348" s="20">
        <f>Inputs!$F$173*Operations!T345*Inputs!$F$185/100*Operations!T346*(1-Operations!T347)</f>
        <v/>
      </c>
      <c r="U348" s="20">
        <f>Inputs!$F$173*Operations!U345*Inputs!$F$185/100*Operations!U346*(1-Operations!U347)</f>
        <v/>
      </c>
      <c r="V348" s="20">
        <f>Inputs!$F$173*Operations!V345*Inputs!$F$185/100*Operations!V346*(1-Operations!V347)</f>
        <v/>
      </c>
      <c r="W348" s="20">
        <f>Inputs!$F$173*Operations!W345*Inputs!$F$185/100*Operations!W346*(1-Operations!W347)</f>
        <v/>
      </c>
      <c r="X348" s="20">
        <f>Inputs!$F$173*Operations!X345*Inputs!$F$185/100*Operations!X346*(1-Operations!X347)</f>
        <v/>
      </c>
      <c r="Y348" s="20">
        <f>Inputs!$F$173*Operations!Y345*Inputs!$F$185/100*Operations!Y346*(1-Operations!Y347)</f>
        <v/>
      </c>
      <c r="Z348" s="20">
        <f>Inputs!$F$173*Operations!Z345*Inputs!$F$185/100*Operations!Z346*(1-Operations!Z347)</f>
        <v/>
      </c>
      <c r="AA348" s="20">
        <f>Inputs!$F$173*Operations!AA345*Inputs!$F$185/100*Operations!AA346*(1-Operations!AA347)</f>
        <v/>
      </c>
      <c r="AB348" s="20">
        <f>Inputs!$F$173*Operations!AB345*Inputs!$F$185/100*Operations!AB346*(1-Operations!AB347)</f>
        <v/>
      </c>
      <c r="AC348" s="20">
        <f>Inputs!$F$173*Operations!AC345*Inputs!$F$185/100*Operations!AC346*(1-Operations!AC347)</f>
        <v/>
      </c>
      <c r="AD348" s="20">
        <f>Inputs!$F$173*Operations!AD345*Inputs!$F$185/100*Operations!AD346*(1-Operations!AD347)</f>
        <v/>
      </c>
      <c r="AE348" s="20">
        <f>Inputs!$F$173*Operations!AE345*Inputs!$F$185/100*Operations!AE346*(1-Operations!AE347)</f>
        <v/>
      </c>
      <c r="AF348" s="20">
        <f>Inputs!$F$173*Operations!AF345*Inputs!$F$185/100*Operations!AF346*(1-Operations!AF347)</f>
        <v/>
      </c>
      <c r="AG348" s="20">
        <f>Inputs!$F$173*Operations!AG345*Inputs!$F$185/100*Operations!AG346*(1-Operations!AG347)</f>
        <v/>
      </c>
      <c r="AH348" s="20">
        <f>Inputs!$F$173*Operations!AH345*Inputs!$F$185/100*Operations!AH346*(1-Operations!AH347)</f>
        <v/>
      </c>
      <c r="AI348" s="20">
        <f>Inputs!$F$173*Operations!AI345*Inputs!$F$185/100*Operations!AI346*(1-Operations!AI347)</f>
        <v/>
      </c>
      <c r="AJ348" s="20">
        <f>Inputs!$F$173*Operations!AJ345*Inputs!$F$185/100*Operations!AJ346*(1-Operations!AJ347)</f>
        <v/>
      </c>
      <c r="AK348" s="20">
        <f>Inputs!$F$173*Operations!AK345*Inputs!$F$185/100*Operations!AK346*(1-Operations!AK347)</f>
        <v/>
      </c>
      <c r="AL348" s="20">
        <f>Inputs!$F$173*Operations!AL345*Inputs!$F$185/100*Operations!AL346*(1-Operations!AL347)</f>
        <v/>
      </c>
      <c r="AM348" s="20">
        <f>Inputs!$F$173*Operations!AM345*Inputs!$F$185/100*Operations!AM346*(1-Operations!AM347)</f>
        <v/>
      </c>
      <c r="AN348" s="20">
        <f>Inputs!$F$173*Operations!AN345*Inputs!$F$185/100*Operations!AN346*(1-Operations!AN347)</f>
        <v/>
      </c>
      <c r="AO348" s="20">
        <f>Inputs!$F$173*Operations!AO345*Inputs!$F$185/100*Operations!AO346*(1-Operations!AO347)</f>
        <v/>
      </c>
      <c r="AP348" s="20">
        <f>Inputs!$F$173*Operations!AP345*Inputs!$F$185/100*Operations!AP346*(1-Operations!AP347)</f>
        <v/>
      </c>
      <c r="AQ348" s="20">
        <f>Inputs!$F$173*Operations!AQ345*Inputs!$F$185/100*Operations!AQ346*(1-Operations!AQ347)</f>
        <v/>
      </c>
      <c r="AR348" s="20">
        <f>Inputs!$F$173*Operations!AR345*Inputs!$F$185/100*Operations!AR346*(1-Operations!AR347)</f>
        <v/>
      </c>
      <c r="AS348" s="20">
        <f>Inputs!$F$173*Operations!AS345*Inputs!$F$185/100*Operations!AS346*(1-Operations!AS347)</f>
        <v/>
      </c>
      <c r="AT348" s="20">
        <f>Inputs!$F$173*Operations!AT345*Inputs!$F$185/100*Operations!AT346*(1-Operations!AT347)</f>
        <v/>
      </c>
      <c r="AU348" s="20">
        <f>Inputs!$F$173*Operations!AU345*Inputs!$F$185/100*Operations!AU346*(1-Operations!AU347)</f>
        <v/>
      </c>
    </row>
    <row r="349">
      <c r="D349" t="inlineStr">
        <is>
          <t>R8 net generation</t>
        </is>
      </c>
      <c r="E349" t="inlineStr">
        <is>
          <t>GWh</t>
        </is>
      </c>
      <c r="G349" s="20">
        <f>SUM(J349:AU349)</f>
        <v/>
      </c>
      <c r="J349" s="20">
        <f>Operations!J348*Operations!J341</f>
        <v/>
      </c>
      <c r="K349" s="20">
        <f>Operations!K348*Operations!K341</f>
        <v/>
      </c>
      <c r="L349" s="20">
        <f>Operations!L348*Operations!L341</f>
        <v/>
      </c>
      <c r="M349" s="20">
        <f>Operations!M348*Operations!M341</f>
        <v/>
      </c>
      <c r="N349" s="20">
        <f>Operations!N348*Operations!N341</f>
        <v/>
      </c>
      <c r="O349" s="20">
        <f>Operations!O348*Operations!O341</f>
        <v/>
      </c>
      <c r="P349" s="20">
        <f>Operations!P348*Operations!P341</f>
        <v/>
      </c>
      <c r="Q349" s="20">
        <f>Operations!Q348*Operations!Q341</f>
        <v/>
      </c>
      <c r="R349" s="20">
        <f>Operations!R348*Operations!R341</f>
        <v/>
      </c>
      <c r="S349" s="20">
        <f>Operations!S348*Operations!S341</f>
        <v/>
      </c>
      <c r="T349" s="20">
        <f>Operations!T348*Operations!T341</f>
        <v/>
      </c>
      <c r="U349" s="20">
        <f>Operations!U348*Operations!U341</f>
        <v/>
      </c>
      <c r="V349" s="20">
        <f>Operations!V348*Operations!V341</f>
        <v/>
      </c>
      <c r="W349" s="20">
        <f>Operations!W348*Operations!W341</f>
        <v/>
      </c>
      <c r="X349" s="20">
        <f>Operations!X348*Operations!X341</f>
        <v/>
      </c>
      <c r="Y349" s="20">
        <f>Operations!Y348*Operations!Y341</f>
        <v/>
      </c>
      <c r="Z349" s="20">
        <f>Operations!Z348*Operations!Z341</f>
        <v/>
      </c>
      <c r="AA349" s="20">
        <f>Operations!AA348*Operations!AA341</f>
        <v/>
      </c>
      <c r="AB349" s="20">
        <f>Operations!AB348*Operations!AB341</f>
        <v/>
      </c>
      <c r="AC349" s="20">
        <f>Operations!AC348*Operations!AC341</f>
        <v/>
      </c>
      <c r="AD349" s="20">
        <f>Operations!AD348*Operations!AD341</f>
        <v/>
      </c>
      <c r="AE349" s="20">
        <f>Operations!AE348*Operations!AE341</f>
        <v/>
      </c>
      <c r="AF349" s="20">
        <f>Operations!AF348*Operations!AF341</f>
        <v/>
      </c>
      <c r="AG349" s="20">
        <f>Operations!AG348*Operations!AG341</f>
        <v/>
      </c>
      <c r="AH349" s="20">
        <f>Operations!AH348*Operations!AH341</f>
        <v/>
      </c>
      <c r="AI349" s="20">
        <f>Operations!AI348*Operations!AI341</f>
        <v/>
      </c>
      <c r="AJ349" s="20">
        <f>Operations!AJ348*Operations!AJ341</f>
        <v/>
      </c>
      <c r="AK349" s="20">
        <f>Operations!AK348*Operations!AK341</f>
        <v/>
      </c>
      <c r="AL349" s="20">
        <f>Operations!AL348*Operations!AL341</f>
        <v/>
      </c>
      <c r="AM349" s="20">
        <f>Operations!AM348*Operations!AM341</f>
        <v/>
      </c>
      <c r="AN349" s="20">
        <f>Operations!AN348*Operations!AN341</f>
        <v/>
      </c>
      <c r="AO349" s="20">
        <f>Operations!AO348*Operations!AO341</f>
        <v/>
      </c>
      <c r="AP349" s="20">
        <f>Operations!AP348*Operations!AP341</f>
        <v/>
      </c>
      <c r="AQ349" s="20">
        <f>Operations!AQ348*Operations!AQ341</f>
        <v/>
      </c>
      <c r="AR349" s="20">
        <f>Operations!AR348*Operations!AR341</f>
        <v/>
      </c>
      <c r="AS349" s="20">
        <f>Operations!AS348*Operations!AS341</f>
        <v/>
      </c>
      <c r="AT349" s="20">
        <f>Operations!AT348*Operations!AT341</f>
        <v/>
      </c>
      <c r="AU349" s="20">
        <f>Operations!AU348*Operations!AU341</f>
        <v/>
      </c>
    </row>
    <row r="350">
      <c r="D350" t="inlineStr">
        <is>
          <t>R8 hub capture ratio</t>
        </is>
      </c>
      <c r="E350" t="inlineStr">
        <is>
          <t>ratio</t>
        </is>
      </c>
      <c r="J350" s="14">
        <f>Operations!J60</f>
        <v/>
      </c>
      <c r="K350" s="14">
        <f>Operations!K60</f>
        <v/>
      </c>
      <c r="L350" s="14">
        <f>Operations!L60</f>
        <v/>
      </c>
      <c r="M350" s="14">
        <f>Operations!M60</f>
        <v/>
      </c>
      <c r="N350" s="14">
        <f>Operations!N60</f>
        <v/>
      </c>
      <c r="O350" s="14">
        <f>Operations!O60</f>
        <v/>
      </c>
      <c r="P350" s="14">
        <f>Operations!P60</f>
        <v/>
      </c>
      <c r="Q350" s="14">
        <f>Operations!Q60</f>
        <v/>
      </c>
      <c r="R350" s="14">
        <f>Operations!R60</f>
        <v/>
      </c>
      <c r="S350" s="14">
        <f>Operations!S60</f>
        <v/>
      </c>
      <c r="T350" s="14">
        <f>Operations!T60</f>
        <v/>
      </c>
      <c r="U350" s="14">
        <f>Operations!U60</f>
        <v/>
      </c>
      <c r="V350" s="14">
        <f>Operations!V60</f>
        <v/>
      </c>
      <c r="W350" s="14">
        <f>Operations!W60</f>
        <v/>
      </c>
      <c r="X350" s="14">
        <f>Operations!X60</f>
        <v/>
      </c>
      <c r="Y350" s="14">
        <f>Operations!Y60</f>
        <v/>
      </c>
      <c r="Z350" s="14">
        <f>Operations!Z60</f>
        <v/>
      </c>
      <c r="AA350" s="14">
        <f>Operations!AA60</f>
        <v/>
      </c>
      <c r="AB350" s="14">
        <f>Operations!AB60</f>
        <v/>
      </c>
      <c r="AC350" s="14">
        <f>Operations!AC60</f>
        <v/>
      </c>
      <c r="AD350" s="14">
        <f>Operations!AD60</f>
        <v/>
      </c>
      <c r="AE350" s="14">
        <f>Operations!AE60</f>
        <v/>
      </c>
      <c r="AF350" s="14">
        <f>Operations!AF60</f>
        <v/>
      </c>
      <c r="AG350" s="14">
        <f>Operations!AG60</f>
        <v/>
      </c>
      <c r="AH350" s="14">
        <f>Operations!AH60</f>
        <v/>
      </c>
      <c r="AI350" s="14">
        <f>Operations!AI60</f>
        <v/>
      </c>
      <c r="AJ350" s="14">
        <f>Operations!AJ60</f>
        <v/>
      </c>
      <c r="AK350" s="14">
        <f>Operations!AK60</f>
        <v/>
      </c>
      <c r="AL350" s="14">
        <f>Operations!AL60</f>
        <v/>
      </c>
      <c r="AM350" s="14">
        <f>Operations!AM60</f>
        <v/>
      </c>
      <c r="AN350" s="14">
        <f>Operations!AN60</f>
        <v/>
      </c>
      <c r="AO350" s="14">
        <f>Operations!AO60</f>
        <v/>
      </c>
      <c r="AP350" s="14">
        <f>Operations!AP60</f>
        <v/>
      </c>
      <c r="AQ350" s="14">
        <f>Operations!AQ60</f>
        <v/>
      </c>
      <c r="AR350" s="14">
        <f>Operations!AR60</f>
        <v/>
      </c>
      <c r="AS350" s="14">
        <f>Operations!AS60</f>
        <v/>
      </c>
      <c r="AT350" s="14">
        <f>Operations!AT60</f>
        <v/>
      </c>
      <c r="AU350" s="14">
        <f>Operations!AU60</f>
        <v/>
      </c>
    </row>
    <row r="351">
      <c r="D351" t="inlineStr">
        <is>
          <t>R8 node capture ratio</t>
        </is>
      </c>
      <c r="E351" t="inlineStr">
        <is>
          <t>ratio</t>
        </is>
      </c>
      <c r="J351" s="14">
        <f>Operations!J350-Inputs!$F$56</f>
        <v/>
      </c>
      <c r="K351" s="14">
        <f>Operations!K350-Inputs!$F$56</f>
        <v/>
      </c>
      <c r="L351" s="14">
        <f>Operations!L350-Inputs!$F$56</f>
        <v/>
      </c>
      <c r="M351" s="14">
        <f>Operations!M350-Inputs!$F$56</f>
        <v/>
      </c>
      <c r="N351" s="14">
        <f>Operations!N350-Inputs!$F$56</f>
        <v/>
      </c>
      <c r="O351" s="14">
        <f>Operations!O350-Inputs!$F$56</f>
        <v/>
      </c>
      <c r="P351" s="14">
        <f>Operations!P350-Inputs!$F$56</f>
        <v/>
      </c>
      <c r="Q351" s="14">
        <f>Operations!Q350-Inputs!$F$56</f>
        <v/>
      </c>
      <c r="R351" s="14">
        <f>Operations!R350-Inputs!$F$56</f>
        <v/>
      </c>
      <c r="S351" s="14">
        <f>Operations!S350-Inputs!$F$56</f>
        <v/>
      </c>
      <c r="T351" s="14">
        <f>Operations!T350-Inputs!$F$56</f>
        <v/>
      </c>
      <c r="U351" s="14">
        <f>Operations!U350-Inputs!$F$56</f>
        <v/>
      </c>
      <c r="V351" s="14">
        <f>Operations!V350-Inputs!$F$56</f>
        <v/>
      </c>
      <c r="W351" s="14">
        <f>Operations!W350-Inputs!$F$56</f>
        <v/>
      </c>
      <c r="X351" s="14">
        <f>Operations!X350-Inputs!$F$56</f>
        <v/>
      </c>
      <c r="Y351" s="14">
        <f>Operations!Y350-Inputs!$F$56</f>
        <v/>
      </c>
      <c r="Z351" s="14">
        <f>Operations!Z350-Inputs!$F$56</f>
        <v/>
      </c>
      <c r="AA351" s="14">
        <f>Operations!AA350-Inputs!$F$56</f>
        <v/>
      </c>
      <c r="AB351" s="14">
        <f>Operations!AB350-Inputs!$F$56</f>
        <v/>
      </c>
      <c r="AC351" s="14">
        <f>Operations!AC350-Inputs!$F$56</f>
        <v/>
      </c>
      <c r="AD351" s="14">
        <f>Operations!AD350-Inputs!$F$56</f>
        <v/>
      </c>
      <c r="AE351" s="14">
        <f>Operations!AE350-Inputs!$F$56</f>
        <v/>
      </c>
      <c r="AF351" s="14">
        <f>Operations!AF350-Inputs!$F$56</f>
        <v/>
      </c>
      <c r="AG351" s="14">
        <f>Operations!AG350-Inputs!$F$56</f>
        <v/>
      </c>
      <c r="AH351" s="14">
        <f>Operations!AH350-Inputs!$F$56</f>
        <v/>
      </c>
      <c r="AI351" s="14">
        <f>Operations!AI350-Inputs!$F$56</f>
        <v/>
      </c>
      <c r="AJ351" s="14">
        <f>Operations!AJ350-Inputs!$F$56</f>
        <v/>
      </c>
      <c r="AK351" s="14">
        <f>Operations!AK350-Inputs!$F$56</f>
        <v/>
      </c>
      <c r="AL351" s="14">
        <f>Operations!AL350-Inputs!$F$56</f>
        <v/>
      </c>
      <c r="AM351" s="14">
        <f>Operations!AM350-Inputs!$F$56</f>
        <v/>
      </c>
      <c r="AN351" s="14">
        <f>Operations!AN350-Inputs!$F$56</f>
        <v/>
      </c>
      <c r="AO351" s="14">
        <f>Operations!AO350-Inputs!$F$56</f>
        <v/>
      </c>
      <c r="AP351" s="14">
        <f>Operations!AP350-Inputs!$F$56</f>
        <v/>
      </c>
      <c r="AQ351" s="14">
        <f>Operations!AQ350-Inputs!$F$56</f>
        <v/>
      </c>
      <c r="AR351" s="14">
        <f>Operations!AR350-Inputs!$F$56</f>
        <v/>
      </c>
      <c r="AS351" s="14">
        <f>Operations!AS350-Inputs!$F$56</f>
        <v/>
      </c>
      <c r="AT351" s="14">
        <f>Operations!AT350-Inputs!$F$56</f>
        <v/>
      </c>
      <c r="AU351" s="14">
        <f>Operations!AU350-Inputs!$F$56</f>
        <v/>
      </c>
    </row>
    <row r="352">
      <c r="D352" t="inlineStr">
        <is>
          <t>R8 realized node price</t>
        </is>
      </c>
      <c r="E352" t="inlineStr">
        <is>
          <t>USD/MWh</t>
        </is>
      </c>
      <c r="J352" s="18">
        <f>Operations!J344*Operations!J351</f>
        <v/>
      </c>
      <c r="K352" s="18">
        <f>Operations!K344*Operations!K351</f>
        <v/>
      </c>
      <c r="L352" s="18">
        <f>Operations!L344*Operations!L351</f>
        <v/>
      </c>
      <c r="M352" s="18">
        <f>Operations!M344*Operations!M351</f>
        <v/>
      </c>
      <c r="N352" s="18">
        <f>Operations!N344*Operations!N351</f>
        <v/>
      </c>
      <c r="O352" s="18">
        <f>Operations!O344*Operations!O351</f>
        <v/>
      </c>
      <c r="P352" s="18">
        <f>Operations!P344*Operations!P351</f>
        <v/>
      </c>
      <c r="Q352" s="18">
        <f>Operations!Q344*Operations!Q351</f>
        <v/>
      </c>
      <c r="R352" s="18">
        <f>Operations!R344*Operations!R351</f>
        <v/>
      </c>
      <c r="S352" s="18">
        <f>Operations!S344*Operations!S351</f>
        <v/>
      </c>
      <c r="T352" s="18">
        <f>Operations!T344*Operations!T351</f>
        <v/>
      </c>
      <c r="U352" s="18">
        <f>Operations!U344*Operations!U351</f>
        <v/>
      </c>
      <c r="V352" s="18">
        <f>Operations!V344*Operations!V351</f>
        <v/>
      </c>
      <c r="W352" s="18">
        <f>Operations!W344*Operations!W351</f>
        <v/>
      </c>
      <c r="X352" s="18">
        <f>Operations!X344*Operations!X351</f>
        <v/>
      </c>
      <c r="Y352" s="18">
        <f>Operations!Y344*Operations!Y351</f>
        <v/>
      </c>
      <c r="Z352" s="18">
        <f>Operations!Z344*Operations!Z351</f>
        <v/>
      </c>
      <c r="AA352" s="18">
        <f>Operations!AA344*Operations!AA351</f>
        <v/>
      </c>
      <c r="AB352" s="18">
        <f>Operations!AB344*Operations!AB351</f>
        <v/>
      </c>
      <c r="AC352" s="18">
        <f>Operations!AC344*Operations!AC351</f>
        <v/>
      </c>
      <c r="AD352" s="18">
        <f>Operations!AD344*Operations!AD351</f>
        <v/>
      </c>
      <c r="AE352" s="18">
        <f>Operations!AE344*Operations!AE351</f>
        <v/>
      </c>
      <c r="AF352" s="18">
        <f>Operations!AF344*Operations!AF351</f>
        <v/>
      </c>
      <c r="AG352" s="18">
        <f>Operations!AG344*Operations!AG351</f>
        <v/>
      </c>
      <c r="AH352" s="18">
        <f>Operations!AH344*Operations!AH351</f>
        <v/>
      </c>
      <c r="AI352" s="18">
        <f>Operations!AI344*Operations!AI351</f>
        <v/>
      </c>
      <c r="AJ352" s="18">
        <f>Operations!AJ344*Operations!AJ351</f>
        <v/>
      </c>
      <c r="AK352" s="18">
        <f>Operations!AK344*Operations!AK351</f>
        <v/>
      </c>
      <c r="AL352" s="18">
        <f>Operations!AL344*Operations!AL351</f>
        <v/>
      </c>
      <c r="AM352" s="18">
        <f>Operations!AM344*Operations!AM351</f>
        <v/>
      </c>
      <c r="AN352" s="18">
        <f>Operations!AN344*Operations!AN351</f>
        <v/>
      </c>
      <c r="AO352" s="18">
        <f>Operations!AO344*Operations!AO351</f>
        <v/>
      </c>
      <c r="AP352" s="18">
        <f>Operations!AP344*Operations!AP351</f>
        <v/>
      </c>
      <c r="AQ352" s="18">
        <f>Operations!AQ344*Operations!AQ351</f>
        <v/>
      </c>
      <c r="AR352" s="18">
        <f>Operations!AR344*Operations!AR351</f>
        <v/>
      </c>
      <c r="AS352" s="18">
        <f>Operations!AS344*Operations!AS351</f>
        <v/>
      </c>
      <c r="AT352" s="18">
        <f>Operations!AT344*Operations!AT351</f>
        <v/>
      </c>
      <c r="AU352" s="18">
        <f>Operations!AU344*Operations!AU351</f>
        <v/>
      </c>
    </row>
    <row r="353">
      <c r="D353" t="inlineStr">
        <is>
          <t>R8 shape hedge term fraction</t>
        </is>
      </c>
      <c r="E353" t="inlineStr">
        <is>
          <t>fraction</t>
        </is>
      </c>
      <c r="J353" s="14">
        <f>MAX(0,MIN(Inputs!$F$220,Time!J$6)-MAX(Inputs!$F$219-1,Time!J$5))/Time!J$7</f>
        <v/>
      </c>
      <c r="K353" s="14">
        <f>MAX(0,MIN(Inputs!$F$220,Time!K$6)-MAX(Inputs!$F$219-1,Time!K$5))/Time!K$7</f>
        <v/>
      </c>
      <c r="L353" s="14">
        <f>MAX(0,MIN(Inputs!$F$220,Time!L$6)-MAX(Inputs!$F$219-1,Time!L$5))/Time!L$7</f>
        <v/>
      </c>
      <c r="M353" s="14">
        <f>MAX(0,MIN(Inputs!$F$220,Time!M$6)-MAX(Inputs!$F$219-1,Time!M$5))/Time!M$7</f>
        <v/>
      </c>
      <c r="N353" s="14">
        <f>MAX(0,MIN(Inputs!$F$220,Time!N$6)-MAX(Inputs!$F$219-1,Time!N$5))/Time!N$7</f>
        <v/>
      </c>
      <c r="O353" s="14">
        <f>MAX(0,MIN(Inputs!$F$220,Time!O$6)-MAX(Inputs!$F$219-1,Time!O$5))/Time!O$7</f>
        <v/>
      </c>
      <c r="P353" s="14">
        <f>MAX(0,MIN(Inputs!$F$220,Time!P$6)-MAX(Inputs!$F$219-1,Time!P$5))/Time!P$7</f>
        <v/>
      </c>
      <c r="Q353" s="14">
        <f>MAX(0,MIN(Inputs!$F$220,Time!Q$6)-MAX(Inputs!$F$219-1,Time!Q$5))/Time!Q$7</f>
        <v/>
      </c>
      <c r="R353" s="14">
        <f>MAX(0,MIN(Inputs!$F$220,Time!R$6)-MAX(Inputs!$F$219-1,Time!R$5))/Time!R$7</f>
        <v/>
      </c>
      <c r="S353" s="14">
        <f>MAX(0,MIN(Inputs!$F$220,Time!S$6)-MAX(Inputs!$F$219-1,Time!S$5))/Time!S$7</f>
        <v/>
      </c>
      <c r="T353" s="14">
        <f>MAX(0,MIN(Inputs!$F$220,Time!T$6)-MAX(Inputs!$F$219-1,Time!T$5))/Time!T$7</f>
        <v/>
      </c>
      <c r="U353" s="14">
        <f>MAX(0,MIN(Inputs!$F$220,Time!U$6)-MAX(Inputs!$F$219-1,Time!U$5))/Time!U$7</f>
        <v/>
      </c>
      <c r="V353" s="14">
        <f>MAX(0,MIN(Inputs!$F$220,Time!V$6)-MAX(Inputs!$F$219-1,Time!V$5))/Time!V$7</f>
        <v/>
      </c>
      <c r="W353" s="14">
        <f>MAX(0,MIN(Inputs!$F$220,Time!W$6)-MAX(Inputs!$F$219-1,Time!W$5))/Time!W$7</f>
        <v/>
      </c>
      <c r="X353" s="14">
        <f>MAX(0,MIN(Inputs!$F$220,Time!X$6)-MAX(Inputs!$F$219-1,Time!X$5))/Time!X$7</f>
        <v/>
      </c>
      <c r="Y353" s="14">
        <f>MAX(0,MIN(Inputs!$F$220,Time!Y$6)-MAX(Inputs!$F$219-1,Time!Y$5))/Time!Y$7</f>
        <v/>
      </c>
      <c r="Z353" s="14">
        <f>MAX(0,MIN(Inputs!$F$220,Time!Z$6)-MAX(Inputs!$F$219-1,Time!Z$5))/Time!Z$7</f>
        <v/>
      </c>
      <c r="AA353" s="14">
        <f>MAX(0,MIN(Inputs!$F$220,Time!AA$6)-MAX(Inputs!$F$219-1,Time!AA$5))/Time!AA$7</f>
        <v/>
      </c>
      <c r="AB353" s="14">
        <f>MAX(0,MIN(Inputs!$F$220,Time!AB$6)-MAX(Inputs!$F$219-1,Time!AB$5))/Time!AB$7</f>
        <v/>
      </c>
      <c r="AC353" s="14">
        <f>MAX(0,MIN(Inputs!$F$220,Time!AC$6)-MAX(Inputs!$F$219-1,Time!AC$5))/Time!AC$7</f>
        <v/>
      </c>
      <c r="AD353" s="14">
        <f>MAX(0,MIN(Inputs!$F$220,Time!AD$6)-MAX(Inputs!$F$219-1,Time!AD$5))/Time!AD$7</f>
        <v/>
      </c>
      <c r="AE353" s="14">
        <f>MAX(0,MIN(Inputs!$F$220,Time!AE$6)-MAX(Inputs!$F$219-1,Time!AE$5))/Time!AE$7</f>
        <v/>
      </c>
      <c r="AF353" s="14">
        <f>MAX(0,MIN(Inputs!$F$220,Time!AF$6)-MAX(Inputs!$F$219-1,Time!AF$5))/Time!AF$7</f>
        <v/>
      </c>
      <c r="AG353" s="14">
        <f>MAX(0,MIN(Inputs!$F$220,Time!AG$6)-MAX(Inputs!$F$219-1,Time!AG$5))/Time!AG$7</f>
        <v/>
      </c>
      <c r="AH353" s="14">
        <f>MAX(0,MIN(Inputs!$F$220,Time!AH$6)-MAX(Inputs!$F$219-1,Time!AH$5))/Time!AH$7</f>
        <v/>
      </c>
      <c r="AI353" s="14">
        <f>MAX(0,MIN(Inputs!$F$220,Time!AI$6)-MAX(Inputs!$F$219-1,Time!AI$5))/Time!AI$7</f>
        <v/>
      </c>
      <c r="AJ353" s="14">
        <f>MAX(0,MIN(Inputs!$F$220,Time!AJ$6)-MAX(Inputs!$F$219-1,Time!AJ$5))/Time!AJ$7</f>
        <v/>
      </c>
      <c r="AK353" s="14">
        <f>MAX(0,MIN(Inputs!$F$220,Time!AK$6)-MAX(Inputs!$F$219-1,Time!AK$5))/Time!AK$7</f>
        <v/>
      </c>
      <c r="AL353" s="14">
        <f>MAX(0,MIN(Inputs!$F$220,Time!AL$6)-MAX(Inputs!$F$219-1,Time!AL$5))/Time!AL$7</f>
        <v/>
      </c>
      <c r="AM353" s="14">
        <f>MAX(0,MIN(Inputs!$F$220,Time!AM$6)-MAX(Inputs!$F$219-1,Time!AM$5))/Time!AM$7</f>
        <v/>
      </c>
      <c r="AN353" s="14">
        <f>MAX(0,MIN(Inputs!$F$220,Time!AN$6)-MAX(Inputs!$F$219-1,Time!AN$5))/Time!AN$7</f>
        <v/>
      </c>
      <c r="AO353" s="14">
        <f>MAX(0,MIN(Inputs!$F$220,Time!AO$6)-MAX(Inputs!$F$219-1,Time!AO$5))/Time!AO$7</f>
        <v/>
      </c>
      <c r="AP353" s="14">
        <f>MAX(0,MIN(Inputs!$F$220,Time!AP$6)-MAX(Inputs!$F$219-1,Time!AP$5))/Time!AP$7</f>
        <v/>
      </c>
      <c r="AQ353" s="14">
        <f>MAX(0,MIN(Inputs!$F$220,Time!AQ$6)-MAX(Inputs!$F$219-1,Time!AQ$5))/Time!AQ$7</f>
        <v/>
      </c>
      <c r="AR353" s="14">
        <f>MAX(0,MIN(Inputs!$F$220,Time!AR$6)-MAX(Inputs!$F$219-1,Time!AR$5))/Time!AR$7</f>
        <v/>
      </c>
      <c r="AS353" s="14">
        <f>MAX(0,MIN(Inputs!$F$220,Time!AS$6)-MAX(Inputs!$F$219-1,Time!AS$5))/Time!AS$7</f>
        <v/>
      </c>
      <c r="AT353" s="14">
        <f>MAX(0,MIN(Inputs!$F$220,Time!AT$6)-MAX(Inputs!$F$219-1,Time!AT$5))/Time!AT$7</f>
        <v/>
      </c>
      <c r="AU353" s="14">
        <f>MAX(0,MIN(Inputs!$F$220,Time!AU$6)-MAX(Inputs!$F$219-1,Time!AU$5))/Time!AU$7</f>
        <v/>
      </c>
    </row>
    <row r="354">
      <c r="D354" t="inlineStr">
        <is>
          <t>R8 shape hedge volume</t>
        </is>
      </c>
      <c r="E354" t="inlineStr">
        <is>
          <t>GWh</t>
        </is>
      </c>
      <c r="J354" s="20">
        <f>Inputs!$F$217*Operations!J353</f>
        <v/>
      </c>
      <c r="K354" s="20">
        <f>Inputs!$F$217*Operations!K353</f>
        <v/>
      </c>
      <c r="L354" s="20">
        <f>Inputs!$F$217*Operations!L353</f>
        <v/>
      </c>
      <c r="M354" s="20">
        <f>Inputs!$F$217*Operations!M353</f>
        <v/>
      </c>
      <c r="N354" s="20">
        <f>Inputs!$F$217*Operations!N353</f>
        <v/>
      </c>
      <c r="O354" s="20">
        <f>Inputs!$F$217*Operations!O353</f>
        <v/>
      </c>
      <c r="P354" s="20">
        <f>Inputs!$F$217*Operations!P353</f>
        <v/>
      </c>
      <c r="Q354" s="20">
        <f>Inputs!$F$217*Operations!Q353</f>
        <v/>
      </c>
      <c r="R354" s="20">
        <f>Inputs!$F$217*Operations!R353</f>
        <v/>
      </c>
      <c r="S354" s="20">
        <f>Inputs!$F$217*Operations!S353</f>
        <v/>
      </c>
      <c r="T354" s="20">
        <f>Inputs!$F$217*Operations!T353</f>
        <v/>
      </c>
      <c r="U354" s="20">
        <f>Inputs!$F$217*Operations!U353</f>
        <v/>
      </c>
      <c r="V354" s="20">
        <f>Inputs!$F$217*Operations!V353</f>
        <v/>
      </c>
      <c r="W354" s="20">
        <f>Inputs!$F$217*Operations!W353</f>
        <v/>
      </c>
      <c r="X354" s="20">
        <f>Inputs!$F$217*Operations!X353</f>
        <v/>
      </c>
      <c r="Y354" s="20">
        <f>Inputs!$F$217*Operations!Y353</f>
        <v/>
      </c>
      <c r="Z354" s="20">
        <f>Inputs!$F$217*Operations!Z353</f>
        <v/>
      </c>
      <c r="AA354" s="20">
        <f>Inputs!$F$217*Operations!AA353</f>
        <v/>
      </c>
      <c r="AB354" s="20">
        <f>Inputs!$F$217*Operations!AB353</f>
        <v/>
      </c>
      <c r="AC354" s="20">
        <f>Inputs!$F$217*Operations!AC353</f>
        <v/>
      </c>
      <c r="AD354" s="20">
        <f>Inputs!$F$217*Operations!AD353</f>
        <v/>
      </c>
      <c r="AE354" s="20">
        <f>Inputs!$F$217*Operations!AE353</f>
        <v/>
      </c>
      <c r="AF354" s="20">
        <f>Inputs!$F$217*Operations!AF353</f>
        <v/>
      </c>
      <c r="AG354" s="20">
        <f>Inputs!$F$217*Operations!AG353</f>
        <v/>
      </c>
      <c r="AH354" s="20">
        <f>Inputs!$F$217*Operations!AH353</f>
        <v/>
      </c>
      <c r="AI354" s="20">
        <f>Inputs!$F$217*Operations!AI353</f>
        <v/>
      </c>
      <c r="AJ354" s="20">
        <f>Inputs!$F$217*Operations!AJ353</f>
        <v/>
      </c>
      <c r="AK354" s="20">
        <f>Inputs!$F$217*Operations!AK353</f>
        <v/>
      </c>
      <c r="AL354" s="20">
        <f>Inputs!$F$217*Operations!AL353</f>
        <v/>
      </c>
      <c r="AM354" s="20">
        <f>Inputs!$F$217*Operations!AM353</f>
        <v/>
      </c>
      <c r="AN354" s="20">
        <f>Inputs!$F$217*Operations!AN353</f>
        <v/>
      </c>
      <c r="AO354" s="20">
        <f>Inputs!$F$217*Operations!AO353</f>
        <v/>
      </c>
      <c r="AP354" s="20">
        <f>Inputs!$F$217*Operations!AP353</f>
        <v/>
      </c>
      <c r="AQ354" s="20">
        <f>Inputs!$F$217*Operations!AQ353</f>
        <v/>
      </c>
      <c r="AR354" s="20">
        <f>Inputs!$F$217*Operations!AR353</f>
        <v/>
      </c>
      <c r="AS354" s="20">
        <f>Inputs!$F$217*Operations!AS353</f>
        <v/>
      </c>
      <c r="AT354" s="20">
        <f>Inputs!$F$217*Operations!AT353</f>
        <v/>
      </c>
      <c r="AU354" s="20">
        <f>Inputs!$F$217*Operations!AU353</f>
        <v/>
      </c>
    </row>
    <row r="355">
      <c r="D355" t="inlineStr">
        <is>
          <t>R8 shape hedge settlement (strike less hub x shape factor)</t>
        </is>
      </c>
      <c r="E355" t="inlineStr">
        <is>
          <t>USD m</t>
        </is>
      </c>
      <c r="G355" s="20">
        <f>SUM(J355:AU355)</f>
        <v/>
      </c>
      <c r="J355" s="20">
        <f>Operations!J354*(Inputs!$F$218-Operations!J344*Operations!J350)/1000</f>
        <v/>
      </c>
      <c r="K355" s="20">
        <f>Operations!K354*(Inputs!$F$218-Operations!K344*Operations!K350)/1000</f>
        <v/>
      </c>
      <c r="L355" s="20">
        <f>Operations!L354*(Inputs!$F$218-Operations!L344*Operations!L350)/1000</f>
        <v/>
      </c>
      <c r="M355" s="20">
        <f>Operations!M354*(Inputs!$F$218-Operations!M344*Operations!M350)/1000</f>
        <v/>
      </c>
      <c r="N355" s="20">
        <f>Operations!N354*(Inputs!$F$218-Operations!N344*Operations!N350)/1000</f>
        <v/>
      </c>
      <c r="O355" s="20">
        <f>Operations!O354*(Inputs!$F$218-Operations!O344*Operations!O350)/1000</f>
        <v/>
      </c>
      <c r="P355" s="20">
        <f>Operations!P354*(Inputs!$F$218-Operations!P344*Operations!P350)/1000</f>
        <v/>
      </c>
      <c r="Q355" s="20">
        <f>Operations!Q354*(Inputs!$F$218-Operations!Q344*Operations!Q350)/1000</f>
        <v/>
      </c>
      <c r="R355" s="20">
        <f>Operations!R354*(Inputs!$F$218-Operations!R344*Operations!R350)/1000</f>
        <v/>
      </c>
      <c r="S355" s="20">
        <f>Operations!S354*(Inputs!$F$218-Operations!S344*Operations!S350)/1000</f>
        <v/>
      </c>
      <c r="T355" s="20">
        <f>Operations!T354*(Inputs!$F$218-Operations!T344*Operations!T350)/1000</f>
        <v/>
      </c>
      <c r="U355" s="20">
        <f>Operations!U354*(Inputs!$F$218-Operations!U344*Operations!U350)/1000</f>
        <v/>
      </c>
      <c r="V355" s="20">
        <f>Operations!V354*(Inputs!$F$218-Operations!V344*Operations!V350)/1000</f>
        <v/>
      </c>
      <c r="W355" s="20">
        <f>Operations!W354*(Inputs!$F$218-Operations!W344*Operations!W350)/1000</f>
        <v/>
      </c>
      <c r="X355" s="20">
        <f>Operations!X354*(Inputs!$F$218-Operations!X344*Operations!X350)/1000</f>
        <v/>
      </c>
      <c r="Y355" s="20">
        <f>Operations!Y354*(Inputs!$F$218-Operations!Y344*Operations!Y350)/1000</f>
        <v/>
      </c>
      <c r="Z355" s="20">
        <f>Operations!Z354*(Inputs!$F$218-Operations!Z344*Operations!Z350)/1000</f>
        <v/>
      </c>
      <c r="AA355" s="20">
        <f>Operations!AA354*(Inputs!$F$218-Operations!AA344*Operations!AA350)/1000</f>
        <v/>
      </c>
      <c r="AB355" s="20">
        <f>Operations!AB354*(Inputs!$F$218-Operations!AB344*Operations!AB350)/1000</f>
        <v/>
      </c>
      <c r="AC355" s="20">
        <f>Operations!AC354*(Inputs!$F$218-Operations!AC344*Operations!AC350)/1000</f>
        <v/>
      </c>
      <c r="AD355" s="20">
        <f>Operations!AD354*(Inputs!$F$218-Operations!AD344*Operations!AD350)/1000</f>
        <v/>
      </c>
      <c r="AE355" s="20">
        <f>Operations!AE354*(Inputs!$F$218-Operations!AE344*Operations!AE350)/1000</f>
        <v/>
      </c>
      <c r="AF355" s="20">
        <f>Operations!AF354*(Inputs!$F$218-Operations!AF344*Operations!AF350)/1000</f>
        <v/>
      </c>
      <c r="AG355" s="20">
        <f>Operations!AG354*(Inputs!$F$218-Operations!AG344*Operations!AG350)/1000</f>
        <v/>
      </c>
      <c r="AH355" s="20">
        <f>Operations!AH354*(Inputs!$F$218-Operations!AH344*Operations!AH350)/1000</f>
        <v/>
      </c>
      <c r="AI355" s="20">
        <f>Operations!AI354*(Inputs!$F$218-Operations!AI344*Operations!AI350)/1000</f>
        <v/>
      </c>
      <c r="AJ355" s="20">
        <f>Operations!AJ354*(Inputs!$F$218-Operations!AJ344*Operations!AJ350)/1000</f>
        <v/>
      </c>
      <c r="AK355" s="20">
        <f>Operations!AK354*(Inputs!$F$218-Operations!AK344*Operations!AK350)/1000</f>
        <v/>
      </c>
      <c r="AL355" s="20">
        <f>Operations!AL354*(Inputs!$F$218-Operations!AL344*Operations!AL350)/1000</f>
        <v/>
      </c>
      <c r="AM355" s="20">
        <f>Operations!AM354*(Inputs!$F$218-Operations!AM344*Operations!AM350)/1000</f>
        <v/>
      </c>
      <c r="AN355" s="20">
        <f>Operations!AN354*(Inputs!$F$218-Operations!AN344*Operations!AN350)/1000</f>
        <v/>
      </c>
      <c r="AO355" s="20">
        <f>Operations!AO354*(Inputs!$F$218-Operations!AO344*Operations!AO350)/1000</f>
        <v/>
      </c>
      <c r="AP355" s="20">
        <f>Operations!AP354*(Inputs!$F$218-Operations!AP344*Operations!AP350)/1000</f>
        <v/>
      </c>
      <c r="AQ355" s="20">
        <f>Operations!AQ354*(Inputs!$F$218-Operations!AQ344*Operations!AQ350)/1000</f>
        <v/>
      </c>
      <c r="AR355" s="20">
        <f>Operations!AR354*(Inputs!$F$218-Operations!AR344*Operations!AR350)/1000</f>
        <v/>
      </c>
      <c r="AS355" s="20">
        <f>Operations!AS354*(Inputs!$F$218-Operations!AS344*Operations!AS350)/1000</f>
        <v/>
      </c>
      <c r="AT355" s="20">
        <f>Operations!AT354*(Inputs!$F$218-Operations!AT344*Operations!AT350)/1000</f>
        <v/>
      </c>
      <c r="AU355" s="20">
        <f>Operations!AU354*(Inputs!$F$218-Operations!AU344*Operations!AU350)/1000</f>
        <v/>
      </c>
    </row>
    <row r="356">
      <c r="D356" t="inlineStr">
        <is>
          <t>R8 generation sold at node</t>
        </is>
      </c>
      <c r="E356" t="inlineStr">
        <is>
          <t>GWh</t>
        </is>
      </c>
      <c r="J356" s="20">
        <f>Operations!J349</f>
        <v/>
      </c>
      <c r="K356" s="20">
        <f>Operations!K349</f>
        <v/>
      </c>
      <c r="L356" s="20">
        <f>Operations!L349</f>
        <v/>
      </c>
      <c r="M356" s="20">
        <f>Operations!M349</f>
        <v/>
      </c>
      <c r="N356" s="20">
        <f>Operations!N349</f>
        <v/>
      </c>
      <c r="O356" s="20">
        <f>Operations!O349</f>
        <v/>
      </c>
      <c r="P356" s="20">
        <f>Operations!P349</f>
        <v/>
      </c>
      <c r="Q356" s="20">
        <f>Operations!Q349</f>
        <v/>
      </c>
      <c r="R356" s="20">
        <f>Operations!R349</f>
        <v/>
      </c>
      <c r="S356" s="20">
        <f>Operations!S349</f>
        <v/>
      </c>
      <c r="T356" s="20">
        <f>Operations!T349</f>
        <v/>
      </c>
      <c r="U356" s="20">
        <f>Operations!U349</f>
        <v/>
      </c>
      <c r="V356" s="20">
        <f>Operations!V349</f>
        <v/>
      </c>
      <c r="W356" s="20">
        <f>Operations!W349</f>
        <v/>
      </c>
      <c r="X356" s="20">
        <f>Operations!X349</f>
        <v/>
      </c>
      <c r="Y356" s="20">
        <f>Operations!Y349</f>
        <v/>
      </c>
      <c r="Z356" s="20">
        <f>Operations!Z349</f>
        <v/>
      </c>
      <c r="AA356" s="20">
        <f>Operations!AA349</f>
        <v/>
      </c>
      <c r="AB356" s="20">
        <f>Operations!AB349</f>
        <v/>
      </c>
      <c r="AC356" s="20">
        <f>Operations!AC349</f>
        <v/>
      </c>
      <c r="AD356" s="20">
        <f>Operations!AD349</f>
        <v/>
      </c>
      <c r="AE356" s="20">
        <f>Operations!AE349</f>
        <v/>
      </c>
      <c r="AF356" s="20">
        <f>Operations!AF349</f>
        <v/>
      </c>
      <c r="AG356" s="20">
        <f>Operations!AG349</f>
        <v/>
      </c>
      <c r="AH356" s="20">
        <f>Operations!AH349</f>
        <v/>
      </c>
      <c r="AI356" s="20">
        <f>Operations!AI349</f>
        <v/>
      </c>
      <c r="AJ356" s="20">
        <f>Operations!AJ349</f>
        <v/>
      </c>
      <c r="AK356" s="20">
        <f>Operations!AK349</f>
        <v/>
      </c>
      <c r="AL356" s="20">
        <f>Operations!AL349</f>
        <v/>
      </c>
      <c r="AM356" s="20">
        <f>Operations!AM349</f>
        <v/>
      </c>
      <c r="AN356" s="20">
        <f>Operations!AN349</f>
        <v/>
      </c>
      <c r="AO356" s="20">
        <f>Operations!AO349</f>
        <v/>
      </c>
      <c r="AP356" s="20">
        <f>Operations!AP349</f>
        <v/>
      </c>
      <c r="AQ356" s="20">
        <f>Operations!AQ349</f>
        <v/>
      </c>
      <c r="AR356" s="20">
        <f>Operations!AR349</f>
        <v/>
      </c>
      <c r="AS356" s="20">
        <f>Operations!AS349</f>
        <v/>
      </c>
      <c r="AT356" s="20">
        <f>Operations!AT349</f>
        <v/>
      </c>
      <c r="AU356" s="20">
        <f>Operations!AU349</f>
        <v/>
      </c>
    </row>
    <row r="357">
      <c r="D357" t="inlineStr">
        <is>
          <t>R8 contracted revenue</t>
        </is>
      </c>
      <c r="E357" t="inlineStr">
        <is>
          <t>USD m</t>
        </is>
      </c>
      <c r="J357" s="20">
        <f>0</f>
        <v/>
      </c>
      <c r="K357" s="20">
        <f>0</f>
        <v/>
      </c>
      <c r="L357" s="20">
        <f>0</f>
        <v/>
      </c>
      <c r="M357" s="20">
        <f>0</f>
        <v/>
      </c>
      <c r="N357" s="20">
        <f>0</f>
        <v/>
      </c>
      <c r="O357" s="20">
        <f>0</f>
        <v/>
      </c>
      <c r="P357" s="20">
        <f>0</f>
        <v/>
      </c>
      <c r="Q357" s="20">
        <f>0</f>
        <v/>
      </c>
      <c r="R357" s="20">
        <f>0</f>
        <v/>
      </c>
      <c r="S357" s="20">
        <f>0</f>
        <v/>
      </c>
      <c r="T357" s="20">
        <f>0</f>
        <v/>
      </c>
      <c r="U357" s="20">
        <f>0</f>
        <v/>
      </c>
      <c r="V357" s="20">
        <f>0</f>
        <v/>
      </c>
      <c r="W357" s="20">
        <f>0</f>
        <v/>
      </c>
      <c r="X357" s="20">
        <f>0</f>
        <v/>
      </c>
      <c r="Y357" s="20">
        <f>0</f>
        <v/>
      </c>
      <c r="Z357" s="20">
        <f>0</f>
        <v/>
      </c>
      <c r="AA357" s="20">
        <f>0</f>
        <v/>
      </c>
      <c r="AB357" s="20">
        <f>0</f>
        <v/>
      </c>
      <c r="AC357" s="20">
        <f>0</f>
        <v/>
      </c>
      <c r="AD357" s="20">
        <f>0</f>
        <v/>
      </c>
      <c r="AE357" s="20">
        <f>0</f>
        <v/>
      </c>
      <c r="AF357" s="20">
        <f>0</f>
        <v/>
      </c>
      <c r="AG357" s="20">
        <f>0</f>
        <v/>
      </c>
      <c r="AH357" s="20">
        <f>0</f>
        <v/>
      </c>
      <c r="AI357" s="20">
        <f>0</f>
        <v/>
      </c>
      <c r="AJ357" s="20">
        <f>0</f>
        <v/>
      </c>
      <c r="AK357" s="20">
        <f>0</f>
        <v/>
      </c>
      <c r="AL357" s="20">
        <f>0</f>
        <v/>
      </c>
      <c r="AM357" s="20">
        <f>0</f>
        <v/>
      </c>
      <c r="AN357" s="20">
        <f>0</f>
        <v/>
      </c>
      <c r="AO357" s="20">
        <f>0</f>
        <v/>
      </c>
      <c r="AP357" s="20">
        <f>0</f>
        <v/>
      </c>
      <c r="AQ357" s="20">
        <f>0</f>
        <v/>
      </c>
      <c r="AR357" s="20">
        <f>0</f>
        <v/>
      </c>
      <c r="AS357" s="20">
        <f>0</f>
        <v/>
      </c>
      <c r="AT357" s="20">
        <f>0</f>
        <v/>
      </c>
      <c r="AU357" s="20">
        <f>0</f>
        <v/>
      </c>
    </row>
    <row r="358">
      <c r="D358" t="inlineStr">
        <is>
          <t>R8 hedged revenue (volume x strike)</t>
        </is>
      </c>
      <c r="E358" t="inlineStr">
        <is>
          <t>USD m</t>
        </is>
      </c>
      <c r="J358" s="20">
        <f>Operations!J354*Inputs!$F$218/1000</f>
        <v/>
      </c>
      <c r="K358" s="20">
        <f>Operations!K354*Inputs!$F$218/1000</f>
        <v/>
      </c>
      <c r="L358" s="20">
        <f>Operations!L354*Inputs!$F$218/1000</f>
        <v/>
      </c>
      <c r="M358" s="20">
        <f>Operations!M354*Inputs!$F$218/1000</f>
        <v/>
      </c>
      <c r="N358" s="20">
        <f>Operations!N354*Inputs!$F$218/1000</f>
        <v/>
      </c>
      <c r="O358" s="20">
        <f>Operations!O354*Inputs!$F$218/1000</f>
        <v/>
      </c>
      <c r="P358" s="20">
        <f>Operations!P354*Inputs!$F$218/1000</f>
        <v/>
      </c>
      <c r="Q358" s="20">
        <f>Operations!Q354*Inputs!$F$218/1000</f>
        <v/>
      </c>
      <c r="R358" s="20">
        <f>Operations!R354*Inputs!$F$218/1000</f>
        <v/>
      </c>
      <c r="S358" s="20">
        <f>Operations!S354*Inputs!$F$218/1000</f>
        <v/>
      </c>
      <c r="T358" s="20">
        <f>Operations!T354*Inputs!$F$218/1000</f>
        <v/>
      </c>
      <c r="U358" s="20">
        <f>Operations!U354*Inputs!$F$218/1000</f>
        <v/>
      </c>
      <c r="V358" s="20">
        <f>Operations!V354*Inputs!$F$218/1000</f>
        <v/>
      </c>
      <c r="W358" s="20">
        <f>Operations!W354*Inputs!$F$218/1000</f>
        <v/>
      </c>
      <c r="X358" s="20">
        <f>Operations!X354*Inputs!$F$218/1000</f>
        <v/>
      </c>
      <c r="Y358" s="20">
        <f>Operations!Y354*Inputs!$F$218/1000</f>
        <v/>
      </c>
      <c r="Z358" s="20">
        <f>Operations!Z354*Inputs!$F$218/1000</f>
        <v/>
      </c>
      <c r="AA358" s="20">
        <f>Operations!AA354*Inputs!$F$218/1000</f>
        <v/>
      </c>
      <c r="AB358" s="20">
        <f>Operations!AB354*Inputs!$F$218/1000</f>
        <v/>
      </c>
      <c r="AC358" s="20">
        <f>Operations!AC354*Inputs!$F$218/1000</f>
        <v/>
      </c>
      <c r="AD358" s="20">
        <f>Operations!AD354*Inputs!$F$218/1000</f>
        <v/>
      </c>
      <c r="AE358" s="20">
        <f>Operations!AE354*Inputs!$F$218/1000</f>
        <v/>
      </c>
      <c r="AF358" s="20">
        <f>Operations!AF354*Inputs!$F$218/1000</f>
        <v/>
      </c>
      <c r="AG358" s="20">
        <f>Operations!AG354*Inputs!$F$218/1000</f>
        <v/>
      </c>
      <c r="AH358" s="20">
        <f>Operations!AH354*Inputs!$F$218/1000</f>
        <v/>
      </c>
      <c r="AI358" s="20">
        <f>Operations!AI354*Inputs!$F$218/1000</f>
        <v/>
      </c>
      <c r="AJ358" s="20">
        <f>Operations!AJ354*Inputs!$F$218/1000</f>
        <v/>
      </c>
      <c r="AK358" s="20">
        <f>Operations!AK354*Inputs!$F$218/1000</f>
        <v/>
      </c>
      <c r="AL358" s="20">
        <f>Operations!AL354*Inputs!$F$218/1000</f>
        <v/>
      </c>
      <c r="AM358" s="20">
        <f>Operations!AM354*Inputs!$F$218/1000</f>
        <v/>
      </c>
      <c r="AN358" s="20">
        <f>Operations!AN354*Inputs!$F$218/1000</f>
        <v/>
      </c>
      <c r="AO358" s="20">
        <f>Operations!AO354*Inputs!$F$218/1000</f>
        <v/>
      </c>
      <c r="AP358" s="20">
        <f>Operations!AP354*Inputs!$F$218/1000</f>
        <v/>
      </c>
      <c r="AQ358" s="20">
        <f>Operations!AQ354*Inputs!$F$218/1000</f>
        <v/>
      </c>
      <c r="AR358" s="20">
        <f>Operations!AR354*Inputs!$F$218/1000</f>
        <v/>
      </c>
      <c r="AS358" s="20">
        <f>Operations!AS354*Inputs!$F$218/1000</f>
        <v/>
      </c>
      <c r="AT358" s="20">
        <f>Operations!AT354*Inputs!$F$218/1000</f>
        <v/>
      </c>
      <c r="AU358" s="20">
        <f>Operations!AU354*Inputs!$F$218/1000</f>
        <v/>
      </c>
    </row>
    <row r="359">
      <c r="D359" t="inlineStr">
        <is>
          <t>R8 market revenue at node</t>
        </is>
      </c>
      <c r="E359" t="inlineStr">
        <is>
          <t>USD m</t>
        </is>
      </c>
      <c r="G359" s="20">
        <f>SUM(J359:AU359)</f>
        <v/>
      </c>
      <c r="J359" s="20">
        <f>Operations!J356*Operations!J352/1000</f>
        <v/>
      </c>
      <c r="K359" s="20">
        <f>Operations!K356*Operations!K352/1000</f>
        <v/>
      </c>
      <c r="L359" s="20">
        <f>Operations!L356*Operations!L352/1000</f>
        <v/>
      </c>
      <c r="M359" s="20">
        <f>Operations!M356*Operations!M352/1000</f>
        <v/>
      </c>
      <c r="N359" s="20">
        <f>Operations!N356*Operations!N352/1000</f>
        <v/>
      </c>
      <c r="O359" s="20">
        <f>Operations!O356*Operations!O352/1000</f>
        <v/>
      </c>
      <c r="P359" s="20">
        <f>Operations!P356*Operations!P352/1000</f>
        <v/>
      </c>
      <c r="Q359" s="20">
        <f>Operations!Q356*Operations!Q352/1000</f>
        <v/>
      </c>
      <c r="R359" s="20">
        <f>Operations!R356*Operations!R352/1000</f>
        <v/>
      </c>
      <c r="S359" s="20">
        <f>Operations!S356*Operations!S352/1000</f>
        <v/>
      </c>
      <c r="T359" s="20">
        <f>Operations!T356*Operations!T352/1000</f>
        <v/>
      </c>
      <c r="U359" s="20">
        <f>Operations!U356*Operations!U352/1000</f>
        <v/>
      </c>
      <c r="V359" s="20">
        <f>Operations!V356*Operations!V352/1000</f>
        <v/>
      </c>
      <c r="W359" s="20">
        <f>Operations!W356*Operations!W352/1000</f>
        <v/>
      </c>
      <c r="X359" s="20">
        <f>Operations!X356*Operations!X352/1000</f>
        <v/>
      </c>
      <c r="Y359" s="20">
        <f>Operations!Y356*Operations!Y352/1000</f>
        <v/>
      </c>
      <c r="Z359" s="20">
        <f>Operations!Z356*Operations!Z352/1000</f>
        <v/>
      </c>
      <c r="AA359" s="20">
        <f>Operations!AA356*Operations!AA352/1000</f>
        <v/>
      </c>
      <c r="AB359" s="20">
        <f>Operations!AB356*Operations!AB352/1000</f>
        <v/>
      </c>
      <c r="AC359" s="20">
        <f>Operations!AC356*Operations!AC352/1000</f>
        <v/>
      </c>
      <c r="AD359" s="20">
        <f>Operations!AD356*Operations!AD352/1000</f>
        <v/>
      </c>
      <c r="AE359" s="20">
        <f>Operations!AE356*Operations!AE352/1000</f>
        <v/>
      </c>
      <c r="AF359" s="20">
        <f>Operations!AF356*Operations!AF352/1000</f>
        <v/>
      </c>
      <c r="AG359" s="20">
        <f>Operations!AG356*Operations!AG352/1000</f>
        <v/>
      </c>
      <c r="AH359" s="20">
        <f>Operations!AH356*Operations!AH352/1000</f>
        <v/>
      </c>
      <c r="AI359" s="20">
        <f>Operations!AI356*Operations!AI352/1000</f>
        <v/>
      </c>
      <c r="AJ359" s="20">
        <f>Operations!AJ356*Operations!AJ352/1000</f>
        <v/>
      </c>
      <c r="AK359" s="20">
        <f>Operations!AK356*Operations!AK352/1000</f>
        <v/>
      </c>
      <c r="AL359" s="20">
        <f>Operations!AL356*Operations!AL352/1000</f>
        <v/>
      </c>
      <c r="AM359" s="20">
        <f>Operations!AM356*Operations!AM352/1000</f>
        <v/>
      </c>
      <c r="AN359" s="20">
        <f>Operations!AN356*Operations!AN352/1000</f>
        <v/>
      </c>
      <c r="AO359" s="20">
        <f>Operations!AO356*Operations!AO352/1000</f>
        <v/>
      </c>
      <c r="AP359" s="20">
        <f>Operations!AP356*Operations!AP352/1000</f>
        <v/>
      </c>
      <c r="AQ359" s="20">
        <f>Operations!AQ356*Operations!AQ352/1000</f>
        <v/>
      </c>
      <c r="AR359" s="20">
        <f>Operations!AR356*Operations!AR352/1000</f>
        <v/>
      </c>
      <c r="AS359" s="20">
        <f>Operations!AS356*Operations!AS352/1000</f>
        <v/>
      </c>
      <c r="AT359" s="20">
        <f>Operations!AT356*Operations!AT352/1000</f>
        <v/>
      </c>
      <c r="AU359" s="20">
        <f>Operations!AU356*Operations!AU352/1000</f>
        <v/>
      </c>
    </row>
    <row r="360">
      <c r="D360" t="inlineStr">
        <is>
          <t>R8 total revenue</t>
        </is>
      </c>
      <c r="E360" t="inlineStr">
        <is>
          <t>USD m</t>
        </is>
      </c>
      <c r="G360" s="20">
        <f>SUM(J360:AU360)</f>
        <v/>
      </c>
      <c r="J360" s="20">
        <f>Operations!J359+Operations!J355</f>
        <v/>
      </c>
      <c r="K360" s="20">
        <f>Operations!K359+Operations!K355</f>
        <v/>
      </c>
      <c r="L360" s="20">
        <f>Operations!L359+Operations!L355</f>
        <v/>
      </c>
      <c r="M360" s="20">
        <f>Operations!M359+Operations!M355</f>
        <v/>
      </c>
      <c r="N360" s="20">
        <f>Operations!N359+Operations!N355</f>
        <v/>
      </c>
      <c r="O360" s="20">
        <f>Operations!O359+Operations!O355</f>
        <v/>
      </c>
      <c r="P360" s="20">
        <f>Operations!P359+Operations!P355</f>
        <v/>
      </c>
      <c r="Q360" s="20">
        <f>Operations!Q359+Operations!Q355</f>
        <v/>
      </c>
      <c r="R360" s="20">
        <f>Operations!R359+Operations!R355</f>
        <v/>
      </c>
      <c r="S360" s="20">
        <f>Operations!S359+Operations!S355</f>
        <v/>
      </c>
      <c r="T360" s="20">
        <f>Operations!T359+Operations!T355</f>
        <v/>
      </c>
      <c r="U360" s="20">
        <f>Operations!U359+Operations!U355</f>
        <v/>
      </c>
      <c r="V360" s="20">
        <f>Operations!V359+Operations!V355</f>
        <v/>
      </c>
      <c r="W360" s="20">
        <f>Operations!W359+Operations!W355</f>
        <v/>
      </c>
      <c r="X360" s="20">
        <f>Operations!X359+Operations!X355</f>
        <v/>
      </c>
      <c r="Y360" s="20">
        <f>Operations!Y359+Operations!Y355</f>
        <v/>
      </c>
      <c r="Z360" s="20">
        <f>Operations!Z359+Operations!Z355</f>
        <v/>
      </c>
      <c r="AA360" s="20">
        <f>Operations!AA359+Operations!AA355</f>
        <v/>
      </c>
      <c r="AB360" s="20">
        <f>Operations!AB359+Operations!AB355</f>
        <v/>
      </c>
      <c r="AC360" s="20">
        <f>Operations!AC359+Operations!AC355</f>
        <v/>
      </c>
      <c r="AD360" s="20">
        <f>Operations!AD359+Operations!AD355</f>
        <v/>
      </c>
      <c r="AE360" s="20">
        <f>Operations!AE359+Operations!AE355</f>
        <v/>
      </c>
      <c r="AF360" s="20">
        <f>Operations!AF359+Operations!AF355</f>
        <v/>
      </c>
      <c r="AG360" s="20">
        <f>Operations!AG359+Operations!AG355</f>
        <v/>
      </c>
      <c r="AH360" s="20">
        <f>Operations!AH359+Operations!AH355</f>
        <v/>
      </c>
      <c r="AI360" s="20">
        <f>Operations!AI359+Operations!AI355</f>
        <v/>
      </c>
      <c r="AJ360" s="20">
        <f>Operations!AJ359+Operations!AJ355</f>
        <v/>
      </c>
      <c r="AK360" s="20">
        <f>Operations!AK359+Operations!AK355</f>
        <v/>
      </c>
      <c r="AL360" s="20">
        <f>Operations!AL359+Operations!AL355</f>
        <v/>
      </c>
      <c r="AM360" s="20">
        <f>Operations!AM359+Operations!AM355</f>
        <v/>
      </c>
      <c r="AN360" s="20">
        <f>Operations!AN359+Operations!AN355</f>
        <v/>
      </c>
      <c r="AO360" s="20">
        <f>Operations!AO359+Operations!AO355</f>
        <v/>
      </c>
      <c r="AP360" s="20">
        <f>Operations!AP359+Operations!AP355</f>
        <v/>
      </c>
      <c r="AQ360" s="20">
        <f>Operations!AQ359+Operations!AQ355</f>
        <v/>
      </c>
      <c r="AR360" s="20">
        <f>Operations!AR359+Operations!AR355</f>
        <v/>
      </c>
      <c r="AS360" s="20">
        <f>Operations!AS359+Operations!AS355</f>
        <v/>
      </c>
      <c r="AT360" s="20">
        <f>Operations!AT359+Operations!AT355</f>
        <v/>
      </c>
      <c r="AU360" s="20">
        <f>Operations!AU359+Operations!AU355</f>
        <v/>
      </c>
    </row>
    <row r="361">
      <c r="D361" t="inlineStr">
        <is>
          <t>R8 merchant revenue (total less contracted and hedged)</t>
        </is>
      </c>
      <c r="E361" t="inlineStr">
        <is>
          <t>USD m</t>
        </is>
      </c>
      <c r="J361" s="20">
        <f>Operations!J360-Operations!J357-Operations!J358</f>
        <v/>
      </c>
      <c r="K361" s="20">
        <f>Operations!K360-Operations!K357-Operations!K358</f>
        <v/>
      </c>
      <c r="L361" s="20">
        <f>Operations!L360-Operations!L357-Operations!L358</f>
        <v/>
      </c>
      <c r="M361" s="20">
        <f>Operations!M360-Operations!M357-Operations!M358</f>
        <v/>
      </c>
      <c r="N361" s="20">
        <f>Operations!N360-Operations!N357-Operations!N358</f>
        <v/>
      </c>
      <c r="O361" s="20">
        <f>Operations!O360-Operations!O357-Operations!O358</f>
        <v/>
      </c>
      <c r="P361" s="20">
        <f>Operations!P360-Operations!P357-Operations!P358</f>
        <v/>
      </c>
      <c r="Q361" s="20">
        <f>Operations!Q360-Operations!Q357-Operations!Q358</f>
        <v/>
      </c>
      <c r="R361" s="20">
        <f>Operations!R360-Operations!R357-Operations!R358</f>
        <v/>
      </c>
      <c r="S361" s="20">
        <f>Operations!S360-Operations!S357-Operations!S358</f>
        <v/>
      </c>
      <c r="T361" s="20">
        <f>Operations!T360-Operations!T357-Operations!T358</f>
        <v/>
      </c>
      <c r="U361" s="20">
        <f>Operations!U360-Operations!U357-Operations!U358</f>
        <v/>
      </c>
      <c r="V361" s="20">
        <f>Operations!V360-Operations!V357-Operations!V358</f>
        <v/>
      </c>
      <c r="W361" s="20">
        <f>Operations!W360-Operations!W357-Operations!W358</f>
        <v/>
      </c>
      <c r="X361" s="20">
        <f>Operations!X360-Operations!X357-Operations!X358</f>
        <v/>
      </c>
      <c r="Y361" s="20">
        <f>Operations!Y360-Operations!Y357-Operations!Y358</f>
        <v/>
      </c>
      <c r="Z361" s="20">
        <f>Operations!Z360-Operations!Z357-Operations!Z358</f>
        <v/>
      </c>
      <c r="AA361" s="20">
        <f>Operations!AA360-Operations!AA357-Operations!AA358</f>
        <v/>
      </c>
      <c r="AB361" s="20">
        <f>Operations!AB360-Operations!AB357-Operations!AB358</f>
        <v/>
      </c>
      <c r="AC361" s="20">
        <f>Operations!AC360-Operations!AC357-Operations!AC358</f>
        <v/>
      </c>
      <c r="AD361" s="20">
        <f>Operations!AD360-Operations!AD357-Operations!AD358</f>
        <v/>
      </c>
      <c r="AE361" s="20">
        <f>Operations!AE360-Operations!AE357-Operations!AE358</f>
        <v/>
      </c>
      <c r="AF361" s="20">
        <f>Operations!AF360-Operations!AF357-Operations!AF358</f>
        <v/>
      </c>
      <c r="AG361" s="20">
        <f>Operations!AG360-Operations!AG357-Operations!AG358</f>
        <v/>
      </c>
      <c r="AH361" s="20">
        <f>Operations!AH360-Operations!AH357-Operations!AH358</f>
        <v/>
      </c>
      <c r="AI361" s="20">
        <f>Operations!AI360-Operations!AI357-Operations!AI358</f>
        <v/>
      </c>
      <c r="AJ361" s="20">
        <f>Operations!AJ360-Operations!AJ357-Operations!AJ358</f>
        <v/>
      </c>
      <c r="AK361" s="20">
        <f>Operations!AK360-Operations!AK357-Operations!AK358</f>
        <v/>
      </c>
      <c r="AL361" s="20">
        <f>Operations!AL360-Operations!AL357-Operations!AL358</f>
        <v/>
      </c>
      <c r="AM361" s="20">
        <f>Operations!AM360-Operations!AM357-Operations!AM358</f>
        <v/>
      </c>
      <c r="AN361" s="20">
        <f>Operations!AN360-Operations!AN357-Operations!AN358</f>
        <v/>
      </c>
      <c r="AO361" s="20">
        <f>Operations!AO360-Operations!AO357-Operations!AO358</f>
        <v/>
      </c>
      <c r="AP361" s="20">
        <f>Operations!AP360-Operations!AP357-Operations!AP358</f>
        <v/>
      </c>
      <c r="AQ361" s="20">
        <f>Operations!AQ360-Operations!AQ357-Operations!AQ358</f>
        <v/>
      </c>
      <c r="AR361" s="20">
        <f>Operations!AR360-Operations!AR357-Operations!AR358</f>
        <v/>
      </c>
      <c r="AS361" s="20">
        <f>Operations!AS360-Operations!AS357-Operations!AS358</f>
        <v/>
      </c>
      <c r="AT361" s="20">
        <f>Operations!AT360-Operations!AT357-Operations!AT358</f>
        <v/>
      </c>
      <c r="AU361" s="20">
        <f>Operations!AU360-Operations!AU357-Operations!AU358</f>
        <v/>
      </c>
    </row>
    <row r="362">
      <c r="D362" t="inlineStr">
        <is>
          <t>R8 opex (O&amp;M, land, insurance, property tax, site)</t>
        </is>
      </c>
      <c r="E362" t="inlineStr">
        <is>
          <t>USD m</t>
        </is>
      </c>
      <c r="J362" s="20">
        <f>Inputs!$F$171*Inputs!$F$167/1000*Time!J$9*Time!J$10*Operations!J341*Operations!$F$50</f>
        <v/>
      </c>
      <c r="K362" s="20">
        <f>Inputs!$F$171*Inputs!$F$167/1000*Time!K$9*Time!K$10*Operations!K341*Operations!$F$50</f>
        <v/>
      </c>
      <c r="L362" s="20">
        <f>Inputs!$F$171*Inputs!$F$167/1000*Time!L$9*Time!L$10*Operations!L341*Operations!$F$50</f>
        <v/>
      </c>
      <c r="M362" s="20">
        <f>Inputs!$F$171*Inputs!$F$167/1000*Time!M$9*Time!M$10*Operations!M341*Operations!$F$50</f>
        <v/>
      </c>
      <c r="N362" s="20">
        <f>Inputs!$F$171*Inputs!$F$167/1000*Time!N$9*Time!N$10*Operations!N341*Operations!$F$50</f>
        <v/>
      </c>
      <c r="O362" s="20">
        <f>Inputs!$F$171*Inputs!$F$167/1000*Time!O$9*Time!O$10*Operations!O341*Operations!$F$50</f>
        <v/>
      </c>
      <c r="P362" s="20">
        <f>Inputs!$F$171*Inputs!$F$167/1000*Time!P$9*Time!P$10*Operations!P341*Operations!$F$50</f>
        <v/>
      </c>
      <c r="Q362" s="20">
        <f>Inputs!$F$171*Inputs!$F$167/1000*Time!Q$9*Time!Q$10*Operations!Q341*Operations!$F$50</f>
        <v/>
      </c>
      <c r="R362" s="20">
        <f>Inputs!$F$171*Inputs!$F$167/1000*Time!R$9*Time!R$10*Operations!R341*Operations!$F$50</f>
        <v/>
      </c>
      <c r="S362" s="20">
        <f>Inputs!$F$171*Inputs!$F$167/1000*Time!S$9*Time!S$10*Operations!S341*Operations!$F$50</f>
        <v/>
      </c>
      <c r="T362" s="20">
        <f>Inputs!$F$171*Inputs!$F$167/1000*Time!T$9*Time!T$10*Operations!T341*Operations!$F$50</f>
        <v/>
      </c>
      <c r="U362" s="20">
        <f>Inputs!$F$171*Inputs!$F$167/1000*Time!U$9*Time!U$10*Operations!U341*Operations!$F$50</f>
        <v/>
      </c>
      <c r="V362" s="20">
        <f>Inputs!$F$171*Inputs!$F$167/1000*Time!V$9*Time!V$10*Operations!V341*Operations!$F$50</f>
        <v/>
      </c>
      <c r="W362" s="20">
        <f>Inputs!$F$171*Inputs!$F$167/1000*Time!W$9*Time!W$10*Operations!W341*Operations!$F$50</f>
        <v/>
      </c>
      <c r="X362" s="20">
        <f>Inputs!$F$171*Inputs!$F$167/1000*Time!X$9*Time!X$10*Operations!X341*Operations!$F$50</f>
        <v/>
      </c>
      <c r="Y362" s="20">
        <f>Inputs!$F$171*Inputs!$F$167/1000*Time!Y$9*Time!Y$10*Operations!Y341*Operations!$F$50</f>
        <v/>
      </c>
      <c r="Z362" s="20">
        <f>Inputs!$F$171*Inputs!$F$167/1000*Time!Z$9*Time!Z$10*Operations!Z341*Operations!$F$50</f>
        <v/>
      </c>
      <c r="AA362" s="20">
        <f>Inputs!$F$171*Inputs!$F$167/1000*Time!AA$9*Time!AA$10*Operations!AA341*Operations!$F$50</f>
        <v/>
      </c>
      <c r="AB362" s="20">
        <f>Inputs!$F$171*Inputs!$F$167/1000*Time!AB$9*Time!AB$10*Operations!AB341*Operations!$F$50</f>
        <v/>
      </c>
      <c r="AC362" s="20">
        <f>Inputs!$F$171*Inputs!$F$167/1000*Time!AC$9*Time!AC$10*Operations!AC341*Operations!$F$50</f>
        <v/>
      </c>
      <c r="AD362" s="20">
        <f>Inputs!$F$171*Inputs!$F$167/1000*Time!AD$9*Time!AD$10*Operations!AD341*Operations!$F$50</f>
        <v/>
      </c>
      <c r="AE362" s="20">
        <f>Inputs!$F$171*Inputs!$F$167/1000*Time!AE$9*Time!AE$10*Operations!AE341*Operations!$F$50</f>
        <v/>
      </c>
      <c r="AF362" s="20">
        <f>Inputs!$F$171*Inputs!$F$167/1000*Time!AF$9*Time!AF$10*Operations!AF341*Operations!$F$50</f>
        <v/>
      </c>
      <c r="AG362" s="20">
        <f>Inputs!$F$171*Inputs!$F$167/1000*Time!AG$9*Time!AG$10*Operations!AG341*Operations!$F$50</f>
        <v/>
      </c>
      <c r="AH362" s="20">
        <f>Inputs!$F$171*Inputs!$F$167/1000*Time!AH$9*Time!AH$10*Operations!AH341*Operations!$F$50</f>
        <v/>
      </c>
      <c r="AI362" s="20">
        <f>Inputs!$F$171*Inputs!$F$167/1000*Time!AI$9*Time!AI$10*Operations!AI341*Operations!$F$50</f>
        <v/>
      </c>
      <c r="AJ362" s="20">
        <f>Inputs!$F$171*Inputs!$F$167/1000*Time!AJ$9*Time!AJ$10*Operations!AJ341*Operations!$F$50</f>
        <v/>
      </c>
      <c r="AK362" s="20">
        <f>Inputs!$F$171*Inputs!$F$167/1000*Time!AK$9*Time!AK$10*Operations!AK341*Operations!$F$50</f>
        <v/>
      </c>
      <c r="AL362" s="20">
        <f>Inputs!$F$171*Inputs!$F$167/1000*Time!AL$9*Time!AL$10*Operations!AL341*Operations!$F$50</f>
        <v/>
      </c>
      <c r="AM362" s="20">
        <f>Inputs!$F$171*Inputs!$F$167/1000*Time!AM$9*Time!AM$10*Operations!AM341*Operations!$F$50</f>
        <v/>
      </c>
      <c r="AN362" s="20">
        <f>Inputs!$F$171*Inputs!$F$167/1000*Time!AN$9*Time!AN$10*Operations!AN341*Operations!$F$50</f>
        <v/>
      </c>
      <c r="AO362" s="20">
        <f>Inputs!$F$171*Inputs!$F$167/1000*Time!AO$9*Time!AO$10*Operations!AO341*Operations!$F$50</f>
        <v/>
      </c>
      <c r="AP362" s="20">
        <f>Inputs!$F$171*Inputs!$F$167/1000*Time!AP$9*Time!AP$10*Operations!AP341*Operations!$F$50</f>
        <v/>
      </c>
      <c r="AQ362" s="20">
        <f>Inputs!$F$171*Inputs!$F$167/1000*Time!AQ$9*Time!AQ$10*Operations!AQ341*Operations!$F$50</f>
        <v/>
      </c>
      <c r="AR362" s="20">
        <f>Inputs!$F$171*Inputs!$F$167/1000*Time!AR$9*Time!AR$10*Operations!AR341*Operations!$F$50</f>
        <v/>
      </c>
      <c r="AS362" s="20">
        <f>Inputs!$F$171*Inputs!$F$167/1000*Time!AS$9*Time!AS$10*Operations!AS341*Operations!$F$50</f>
        <v/>
      </c>
      <c r="AT362" s="20">
        <f>Inputs!$F$171*Inputs!$F$167/1000*Time!AT$9*Time!AT$10*Operations!AT341*Operations!$F$50</f>
        <v/>
      </c>
      <c r="AU362" s="20">
        <f>Inputs!$F$171*Inputs!$F$167/1000*Time!AU$9*Time!AU$10*Operations!AU341*Operations!$F$50</f>
        <v/>
      </c>
    </row>
    <row r="363">
      <c r="D363" t="inlineStr">
        <is>
          <t>R8 land lease (in opex)</t>
        </is>
      </c>
      <c r="E363" t="inlineStr">
        <is>
          <t>USD m</t>
        </is>
      </c>
      <c r="J363" s="20">
        <f>0</f>
        <v/>
      </c>
      <c r="K363" s="20">
        <f>0</f>
        <v/>
      </c>
      <c r="L363" s="20">
        <f>0</f>
        <v/>
      </c>
      <c r="M363" s="20">
        <f>0</f>
        <v/>
      </c>
      <c r="N363" s="20">
        <f>0</f>
        <v/>
      </c>
      <c r="O363" s="20">
        <f>0</f>
        <v/>
      </c>
      <c r="P363" s="20">
        <f>0</f>
        <v/>
      </c>
      <c r="Q363" s="20">
        <f>0</f>
        <v/>
      </c>
      <c r="R363" s="20">
        <f>0</f>
        <v/>
      </c>
      <c r="S363" s="20">
        <f>0</f>
        <v/>
      </c>
      <c r="T363" s="20">
        <f>0</f>
        <v/>
      </c>
      <c r="U363" s="20">
        <f>0</f>
        <v/>
      </c>
      <c r="V363" s="20">
        <f>0</f>
        <v/>
      </c>
      <c r="W363" s="20">
        <f>0</f>
        <v/>
      </c>
      <c r="X363" s="20">
        <f>0</f>
        <v/>
      </c>
      <c r="Y363" s="20">
        <f>0</f>
        <v/>
      </c>
      <c r="Z363" s="20">
        <f>0</f>
        <v/>
      </c>
      <c r="AA363" s="20">
        <f>0</f>
        <v/>
      </c>
      <c r="AB363" s="20">
        <f>0</f>
        <v/>
      </c>
      <c r="AC363" s="20">
        <f>0</f>
        <v/>
      </c>
      <c r="AD363" s="20">
        <f>0</f>
        <v/>
      </c>
      <c r="AE363" s="20">
        <f>0</f>
        <v/>
      </c>
      <c r="AF363" s="20">
        <f>0</f>
        <v/>
      </c>
      <c r="AG363" s="20">
        <f>0</f>
        <v/>
      </c>
      <c r="AH363" s="20">
        <f>0</f>
        <v/>
      </c>
      <c r="AI363" s="20">
        <f>0</f>
        <v/>
      </c>
      <c r="AJ363" s="20">
        <f>0</f>
        <v/>
      </c>
      <c r="AK363" s="20">
        <f>0</f>
        <v/>
      </c>
      <c r="AL363" s="20">
        <f>0</f>
        <v/>
      </c>
      <c r="AM363" s="20">
        <f>0</f>
        <v/>
      </c>
      <c r="AN363" s="20">
        <f>0</f>
        <v/>
      </c>
      <c r="AO363" s="20">
        <f>0</f>
        <v/>
      </c>
      <c r="AP363" s="20">
        <f>0</f>
        <v/>
      </c>
      <c r="AQ363" s="20">
        <f>0</f>
        <v/>
      </c>
      <c r="AR363" s="20">
        <f>0</f>
        <v/>
      </c>
      <c r="AS363" s="20">
        <f>0</f>
        <v/>
      </c>
      <c r="AT363" s="20">
        <f>0</f>
        <v/>
      </c>
      <c r="AU363" s="20">
        <f>0</f>
        <v/>
      </c>
    </row>
    <row r="364">
      <c r="D364" t="inlineStr">
        <is>
          <t>R8 decommissioning surety cost</t>
        </is>
      </c>
      <c r="E364" t="inlineStr">
        <is>
          <t>USD m</t>
        </is>
      </c>
      <c r="J364" s="20">
        <f>Inputs!$F$236/100*Inputs!$F$172*Inputs!$F$167/1000*Time!J$9*Operations!J341</f>
        <v/>
      </c>
      <c r="K364" s="20">
        <f>Inputs!$F$236/100*Inputs!$F$172*Inputs!$F$167/1000*Time!K$9*Operations!K341</f>
        <v/>
      </c>
      <c r="L364" s="20">
        <f>Inputs!$F$236/100*Inputs!$F$172*Inputs!$F$167/1000*Time!L$9*Operations!L341</f>
        <v/>
      </c>
      <c r="M364" s="20">
        <f>Inputs!$F$236/100*Inputs!$F$172*Inputs!$F$167/1000*Time!M$9*Operations!M341</f>
        <v/>
      </c>
      <c r="N364" s="20">
        <f>Inputs!$F$236/100*Inputs!$F$172*Inputs!$F$167/1000*Time!N$9*Operations!N341</f>
        <v/>
      </c>
      <c r="O364" s="20">
        <f>Inputs!$F$236/100*Inputs!$F$172*Inputs!$F$167/1000*Time!O$9*Operations!O341</f>
        <v/>
      </c>
      <c r="P364" s="20">
        <f>Inputs!$F$236/100*Inputs!$F$172*Inputs!$F$167/1000*Time!P$9*Operations!P341</f>
        <v/>
      </c>
      <c r="Q364" s="20">
        <f>Inputs!$F$236/100*Inputs!$F$172*Inputs!$F$167/1000*Time!Q$9*Operations!Q341</f>
        <v/>
      </c>
      <c r="R364" s="20">
        <f>Inputs!$F$236/100*Inputs!$F$172*Inputs!$F$167/1000*Time!R$9*Operations!R341</f>
        <v/>
      </c>
      <c r="S364" s="20">
        <f>Inputs!$F$236/100*Inputs!$F$172*Inputs!$F$167/1000*Time!S$9*Operations!S341</f>
        <v/>
      </c>
      <c r="T364" s="20">
        <f>Inputs!$F$236/100*Inputs!$F$172*Inputs!$F$167/1000*Time!T$9*Operations!T341</f>
        <v/>
      </c>
      <c r="U364" s="20">
        <f>Inputs!$F$236/100*Inputs!$F$172*Inputs!$F$167/1000*Time!U$9*Operations!U341</f>
        <v/>
      </c>
      <c r="V364" s="20">
        <f>Inputs!$F$236/100*Inputs!$F$172*Inputs!$F$167/1000*Time!V$9*Operations!V341</f>
        <v/>
      </c>
      <c r="W364" s="20">
        <f>Inputs!$F$236/100*Inputs!$F$172*Inputs!$F$167/1000*Time!W$9*Operations!W341</f>
        <v/>
      </c>
      <c r="X364" s="20">
        <f>Inputs!$F$236/100*Inputs!$F$172*Inputs!$F$167/1000*Time!X$9*Operations!X341</f>
        <v/>
      </c>
      <c r="Y364" s="20">
        <f>Inputs!$F$236/100*Inputs!$F$172*Inputs!$F$167/1000*Time!Y$9*Operations!Y341</f>
        <v/>
      </c>
      <c r="Z364" s="20">
        <f>Inputs!$F$236/100*Inputs!$F$172*Inputs!$F$167/1000*Time!Z$9*Operations!Z341</f>
        <v/>
      </c>
      <c r="AA364" s="20">
        <f>Inputs!$F$236/100*Inputs!$F$172*Inputs!$F$167/1000*Time!AA$9*Operations!AA341</f>
        <v/>
      </c>
      <c r="AB364" s="20">
        <f>Inputs!$F$236/100*Inputs!$F$172*Inputs!$F$167/1000*Time!AB$9*Operations!AB341</f>
        <v/>
      </c>
      <c r="AC364" s="20">
        <f>Inputs!$F$236/100*Inputs!$F$172*Inputs!$F$167/1000*Time!AC$9*Operations!AC341</f>
        <v/>
      </c>
      <c r="AD364" s="20">
        <f>Inputs!$F$236/100*Inputs!$F$172*Inputs!$F$167/1000*Time!AD$9*Operations!AD341</f>
        <v/>
      </c>
      <c r="AE364" s="20">
        <f>Inputs!$F$236/100*Inputs!$F$172*Inputs!$F$167/1000*Time!AE$9*Operations!AE341</f>
        <v/>
      </c>
      <c r="AF364" s="20">
        <f>Inputs!$F$236/100*Inputs!$F$172*Inputs!$F$167/1000*Time!AF$9*Operations!AF341</f>
        <v/>
      </c>
      <c r="AG364" s="20">
        <f>Inputs!$F$236/100*Inputs!$F$172*Inputs!$F$167/1000*Time!AG$9*Operations!AG341</f>
        <v/>
      </c>
      <c r="AH364" s="20">
        <f>Inputs!$F$236/100*Inputs!$F$172*Inputs!$F$167/1000*Time!AH$9*Operations!AH341</f>
        <v/>
      </c>
      <c r="AI364" s="20">
        <f>Inputs!$F$236/100*Inputs!$F$172*Inputs!$F$167/1000*Time!AI$9*Operations!AI341</f>
        <v/>
      </c>
      <c r="AJ364" s="20">
        <f>Inputs!$F$236/100*Inputs!$F$172*Inputs!$F$167/1000*Time!AJ$9*Operations!AJ341</f>
        <v/>
      </c>
      <c r="AK364" s="20">
        <f>Inputs!$F$236/100*Inputs!$F$172*Inputs!$F$167/1000*Time!AK$9*Operations!AK341</f>
        <v/>
      </c>
      <c r="AL364" s="20">
        <f>Inputs!$F$236/100*Inputs!$F$172*Inputs!$F$167/1000*Time!AL$9*Operations!AL341</f>
        <v/>
      </c>
      <c r="AM364" s="20">
        <f>Inputs!$F$236/100*Inputs!$F$172*Inputs!$F$167/1000*Time!AM$9*Operations!AM341</f>
        <v/>
      </c>
      <c r="AN364" s="20">
        <f>Inputs!$F$236/100*Inputs!$F$172*Inputs!$F$167/1000*Time!AN$9*Operations!AN341</f>
        <v/>
      </c>
      <c r="AO364" s="20">
        <f>Inputs!$F$236/100*Inputs!$F$172*Inputs!$F$167/1000*Time!AO$9*Operations!AO341</f>
        <v/>
      </c>
      <c r="AP364" s="20">
        <f>Inputs!$F$236/100*Inputs!$F$172*Inputs!$F$167/1000*Time!AP$9*Operations!AP341</f>
        <v/>
      </c>
      <c r="AQ364" s="20">
        <f>Inputs!$F$236/100*Inputs!$F$172*Inputs!$F$167/1000*Time!AQ$9*Operations!AQ341</f>
        <v/>
      </c>
      <c r="AR364" s="20">
        <f>Inputs!$F$236/100*Inputs!$F$172*Inputs!$F$167/1000*Time!AR$9*Operations!AR341</f>
        <v/>
      </c>
      <c r="AS364" s="20">
        <f>Inputs!$F$236/100*Inputs!$F$172*Inputs!$F$167/1000*Time!AS$9*Operations!AS341</f>
        <v/>
      </c>
      <c r="AT364" s="20">
        <f>Inputs!$F$236/100*Inputs!$F$172*Inputs!$F$167/1000*Time!AT$9*Operations!AT341</f>
        <v/>
      </c>
      <c r="AU364" s="20">
        <f>Inputs!$F$236/100*Inputs!$F$172*Inputs!$F$167/1000*Time!AU$9*Operations!AU341</f>
        <v/>
      </c>
    </row>
    <row r="365">
      <c r="D365" t="inlineStr">
        <is>
          <t>R8 Texas margin tax</t>
        </is>
      </c>
      <c r="E365" t="inlineStr">
        <is>
          <t>USD m</t>
        </is>
      </c>
      <c r="J365" s="20">
        <f>Inputs!$F$237/100*Inputs!$F$238/100*Operations!J360</f>
        <v/>
      </c>
      <c r="K365" s="20">
        <f>Inputs!$F$237/100*Inputs!$F$238/100*Operations!K360</f>
        <v/>
      </c>
      <c r="L365" s="20">
        <f>Inputs!$F$237/100*Inputs!$F$238/100*Operations!L360</f>
        <v/>
      </c>
      <c r="M365" s="20">
        <f>Inputs!$F$237/100*Inputs!$F$238/100*Operations!M360</f>
        <v/>
      </c>
      <c r="N365" s="20">
        <f>Inputs!$F$237/100*Inputs!$F$238/100*Operations!N360</f>
        <v/>
      </c>
      <c r="O365" s="20">
        <f>Inputs!$F$237/100*Inputs!$F$238/100*Operations!O360</f>
        <v/>
      </c>
      <c r="P365" s="20">
        <f>Inputs!$F$237/100*Inputs!$F$238/100*Operations!P360</f>
        <v/>
      </c>
      <c r="Q365" s="20">
        <f>Inputs!$F$237/100*Inputs!$F$238/100*Operations!Q360</f>
        <v/>
      </c>
      <c r="R365" s="20">
        <f>Inputs!$F$237/100*Inputs!$F$238/100*Operations!R360</f>
        <v/>
      </c>
      <c r="S365" s="20">
        <f>Inputs!$F$237/100*Inputs!$F$238/100*Operations!S360</f>
        <v/>
      </c>
      <c r="T365" s="20">
        <f>Inputs!$F$237/100*Inputs!$F$238/100*Operations!T360</f>
        <v/>
      </c>
      <c r="U365" s="20">
        <f>Inputs!$F$237/100*Inputs!$F$238/100*Operations!U360</f>
        <v/>
      </c>
      <c r="V365" s="20">
        <f>Inputs!$F$237/100*Inputs!$F$238/100*Operations!V360</f>
        <v/>
      </c>
      <c r="W365" s="20">
        <f>Inputs!$F$237/100*Inputs!$F$238/100*Operations!W360</f>
        <v/>
      </c>
      <c r="X365" s="20">
        <f>Inputs!$F$237/100*Inputs!$F$238/100*Operations!X360</f>
        <v/>
      </c>
      <c r="Y365" s="20">
        <f>Inputs!$F$237/100*Inputs!$F$238/100*Operations!Y360</f>
        <v/>
      </c>
      <c r="Z365" s="20">
        <f>Inputs!$F$237/100*Inputs!$F$238/100*Operations!Z360</f>
        <v/>
      </c>
      <c r="AA365" s="20">
        <f>Inputs!$F$237/100*Inputs!$F$238/100*Operations!AA360</f>
        <v/>
      </c>
      <c r="AB365" s="20">
        <f>Inputs!$F$237/100*Inputs!$F$238/100*Operations!AB360</f>
        <v/>
      </c>
      <c r="AC365" s="20">
        <f>Inputs!$F$237/100*Inputs!$F$238/100*Operations!AC360</f>
        <v/>
      </c>
      <c r="AD365" s="20">
        <f>Inputs!$F$237/100*Inputs!$F$238/100*Operations!AD360</f>
        <v/>
      </c>
      <c r="AE365" s="20">
        <f>Inputs!$F$237/100*Inputs!$F$238/100*Operations!AE360</f>
        <v/>
      </c>
      <c r="AF365" s="20">
        <f>Inputs!$F$237/100*Inputs!$F$238/100*Operations!AF360</f>
        <v/>
      </c>
      <c r="AG365" s="20">
        <f>Inputs!$F$237/100*Inputs!$F$238/100*Operations!AG360</f>
        <v/>
      </c>
      <c r="AH365" s="20">
        <f>Inputs!$F$237/100*Inputs!$F$238/100*Operations!AH360</f>
        <v/>
      </c>
      <c r="AI365" s="20">
        <f>Inputs!$F$237/100*Inputs!$F$238/100*Operations!AI360</f>
        <v/>
      </c>
      <c r="AJ365" s="20">
        <f>Inputs!$F$237/100*Inputs!$F$238/100*Operations!AJ360</f>
        <v/>
      </c>
      <c r="AK365" s="20">
        <f>Inputs!$F$237/100*Inputs!$F$238/100*Operations!AK360</f>
        <v/>
      </c>
      <c r="AL365" s="20">
        <f>Inputs!$F$237/100*Inputs!$F$238/100*Operations!AL360</f>
        <v/>
      </c>
      <c r="AM365" s="20">
        <f>Inputs!$F$237/100*Inputs!$F$238/100*Operations!AM360</f>
        <v/>
      </c>
      <c r="AN365" s="20">
        <f>Inputs!$F$237/100*Inputs!$F$238/100*Operations!AN360</f>
        <v/>
      </c>
      <c r="AO365" s="20">
        <f>Inputs!$F$237/100*Inputs!$F$238/100*Operations!AO360</f>
        <v/>
      </c>
      <c r="AP365" s="20">
        <f>Inputs!$F$237/100*Inputs!$F$238/100*Operations!AP360</f>
        <v/>
      </c>
      <c r="AQ365" s="20">
        <f>Inputs!$F$237/100*Inputs!$F$238/100*Operations!AQ360</f>
        <v/>
      </c>
      <c r="AR365" s="20">
        <f>Inputs!$F$237/100*Inputs!$F$238/100*Operations!AR360</f>
        <v/>
      </c>
      <c r="AS365" s="20">
        <f>Inputs!$F$237/100*Inputs!$F$238/100*Operations!AS360</f>
        <v/>
      </c>
      <c r="AT365" s="20">
        <f>Inputs!$F$237/100*Inputs!$F$238/100*Operations!AT360</f>
        <v/>
      </c>
      <c r="AU365" s="20">
        <f>Inputs!$F$237/100*Inputs!$F$238/100*Operations!AU360</f>
        <v/>
      </c>
    </row>
    <row r="366">
      <c r="D366" t="inlineStr">
        <is>
          <t>R8 EBITDA</t>
        </is>
      </c>
      <c r="E366" t="inlineStr">
        <is>
          <t>USD m</t>
        </is>
      </c>
      <c r="G366" s="20">
        <f>SUM(J366:AU366)</f>
        <v/>
      </c>
      <c r="J366" s="20">
        <f>Operations!J360-Operations!J362-Operations!J363-Operations!J364-Operations!J365</f>
        <v/>
      </c>
      <c r="K366" s="20">
        <f>Operations!K360-Operations!K362-Operations!K363-Operations!K364-Operations!K365</f>
        <v/>
      </c>
      <c r="L366" s="20">
        <f>Operations!L360-Operations!L362-Operations!L363-Operations!L364-Operations!L365</f>
        <v/>
      </c>
      <c r="M366" s="20">
        <f>Operations!M360-Operations!M362-Operations!M363-Operations!M364-Operations!M365</f>
        <v/>
      </c>
      <c r="N366" s="20">
        <f>Operations!N360-Operations!N362-Operations!N363-Operations!N364-Operations!N365</f>
        <v/>
      </c>
      <c r="O366" s="20">
        <f>Operations!O360-Operations!O362-Operations!O363-Operations!O364-Operations!O365</f>
        <v/>
      </c>
      <c r="P366" s="20">
        <f>Operations!P360-Operations!P362-Operations!P363-Operations!P364-Operations!P365</f>
        <v/>
      </c>
      <c r="Q366" s="20">
        <f>Operations!Q360-Operations!Q362-Operations!Q363-Operations!Q364-Operations!Q365</f>
        <v/>
      </c>
      <c r="R366" s="20">
        <f>Operations!R360-Operations!R362-Operations!R363-Operations!R364-Operations!R365</f>
        <v/>
      </c>
      <c r="S366" s="20">
        <f>Operations!S360-Operations!S362-Operations!S363-Operations!S364-Operations!S365</f>
        <v/>
      </c>
      <c r="T366" s="20">
        <f>Operations!T360-Operations!T362-Operations!T363-Operations!T364-Operations!T365</f>
        <v/>
      </c>
      <c r="U366" s="20">
        <f>Operations!U360-Operations!U362-Operations!U363-Operations!U364-Operations!U365</f>
        <v/>
      </c>
      <c r="V366" s="20">
        <f>Operations!V360-Operations!V362-Operations!V363-Operations!V364-Operations!V365</f>
        <v/>
      </c>
      <c r="W366" s="20">
        <f>Operations!W360-Operations!W362-Operations!W363-Operations!W364-Operations!W365</f>
        <v/>
      </c>
      <c r="X366" s="20">
        <f>Operations!X360-Operations!X362-Operations!X363-Operations!X364-Operations!X365</f>
        <v/>
      </c>
      <c r="Y366" s="20">
        <f>Operations!Y360-Operations!Y362-Operations!Y363-Operations!Y364-Operations!Y365</f>
        <v/>
      </c>
      <c r="Z366" s="20">
        <f>Operations!Z360-Operations!Z362-Operations!Z363-Operations!Z364-Operations!Z365</f>
        <v/>
      </c>
      <c r="AA366" s="20">
        <f>Operations!AA360-Operations!AA362-Operations!AA363-Operations!AA364-Operations!AA365</f>
        <v/>
      </c>
      <c r="AB366" s="20">
        <f>Operations!AB360-Operations!AB362-Operations!AB363-Operations!AB364-Operations!AB365</f>
        <v/>
      </c>
      <c r="AC366" s="20">
        <f>Operations!AC360-Operations!AC362-Operations!AC363-Operations!AC364-Operations!AC365</f>
        <v/>
      </c>
      <c r="AD366" s="20">
        <f>Operations!AD360-Operations!AD362-Operations!AD363-Operations!AD364-Operations!AD365</f>
        <v/>
      </c>
      <c r="AE366" s="20">
        <f>Operations!AE360-Operations!AE362-Operations!AE363-Operations!AE364-Operations!AE365</f>
        <v/>
      </c>
      <c r="AF366" s="20">
        <f>Operations!AF360-Operations!AF362-Operations!AF363-Operations!AF364-Operations!AF365</f>
        <v/>
      </c>
      <c r="AG366" s="20">
        <f>Operations!AG360-Operations!AG362-Operations!AG363-Operations!AG364-Operations!AG365</f>
        <v/>
      </c>
      <c r="AH366" s="20">
        <f>Operations!AH360-Operations!AH362-Operations!AH363-Operations!AH364-Operations!AH365</f>
        <v/>
      </c>
      <c r="AI366" s="20">
        <f>Operations!AI360-Operations!AI362-Operations!AI363-Operations!AI364-Operations!AI365</f>
        <v/>
      </c>
      <c r="AJ366" s="20">
        <f>Operations!AJ360-Operations!AJ362-Operations!AJ363-Operations!AJ364-Operations!AJ365</f>
        <v/>
      </c>
      <c r="AK366" s="20">
        <f>Operations!AK360-Operations!AK362-Operations!AK363-Operations!AK364-Operations!AK365</f>
        <v/>
      </c>
      <c r="AL366" s="20">
        <f>Operations!AL360-Operations!AL362-Operations!AL363-Operations!AL364-Operations!AL365</f>
        <v/>
      </c>
      <c r="AM366" s="20">
        <f>Operations!AM360-Operations!AM362-Operations!AM363-Operations!AM364-Operations!AM365</f>
        <v/>
      </c>
      <c r="AN366" s="20">
        <f>Operations!AN360-Operations!AN362-Operations!AN363-Operations!AN364-Operations!AN365</f>
        <v/>
      </c>
      <c r="AO366" s="20">
        <f>Operations!AO360-Operations!AO362-Operations!AO363-Operations!AO364-Operations!AO365</f>
        <v/>
      </c>
      <c r="AP366" s="20">
        <f>Operations!AP360-Operations!AP362-Operations!AP363-Operations!AP364-Operations!AP365</f>
        <v/>
      </c>
      <c r="AQ366" s="20">
        <f>Operations!AQ360-Operations!AQ362-Operations!AQ363-Operations!AQ364-Operations!AQ365</f>
        <v/>
      </c>
      <c r="AR366" s="20">
        <f>Operations!AR360-Operations!AR362-Operations!AR363-Operations!AR364-Operations!AR365</f>
        <v/>
      </c>
      <c r="AS366" s="20">
        <f>Operations!AS360-Operations!AS362-Operations!AS363-Operations!AS364-Operations!AS365</f>
        <v/>
      </c>
      <c r="AT366" s="20">
        <f>Operations!AT360-Operations!AT362-Operations!AT363-Operations!AT364-Operations!AT365</f>
        <v/>
      </c>
      <c r="AU366" s="20">
        <f>Operations!AU360-Operations!AU362-Operations!AU363-Operations!AU364-Operations!AU365</f>
        <v/>
      </c>
    </row>
    <row r="367">
      <c r="D367" t="inlineStr">
        <is>
          <t>R8 capex</t>
        </is>
      </c>
      <c r="E367" t="inlineStr">
        <is>
          <t>USD m</t>
        </is>
      </c>
      <c r="J367" s="20">
        <f>0</f>
        <v/>
      </c>
      <c r="K367" s="20">
        <f>0</f>
        <v/>
      </c>
      <c r="L367" s="20">
        <f>0</f>
        <v/>
      </c>
      <c r="M367" s="20">
        <f>0</f>
        <v/>
      </c>
      <c r="N367" s="20">
        <f>0</f>
        <v/>
      </c>
      <c r="O367" s="20">
        <f>0</f>
        <v/>
      </c>
      <c r="P367" s="20">
        <f>0</f>
        <v/>
      </c>
      <c r="Q367" s="20">
        <f>0</f>
        <v/>
      </c>
      <c r="R367" s="20">
        <f>0</f>
        <v/>
      </c>
      <c r="S367" s="20">
        <f>0</f>
        <v/>
      </c>
      <c r="T367" s="20">
        <f>0</f>
        <v/>
      </c>
      <c r="U367" s="20">
        <f>0</f>
        <v/>
      </c>
      <c r="V367" s="20">
        <f>0</f>
        <v/>
      </c>
      <c r="W367" s="20">
        <f>0</f>
        <v/>
      </c>
      <c r="X367" s="20">
        <f>0</f>
        <v/>
      </c>
      <c r="Y367" s="20">
        <f>0</f>
        <v/>
      </c>
      <c r="Z367" s="20">
        <f>0</f>
        <v/>
      </c>
      <c r="AA367" s="20">
        <f>0</f>
        <v/>
      </c>
      <c r="AB367" s="20">
        <f>0</f>
        <v/>
      </c>
      <c r="AC367" s="20">
        <f>0</f>
        <v/>
      </c>
      <c r="AD367" s="20">
        <f>0</f>
        <v/>
      </c>
      <c r="AE367" s="20">
        <f>0</f>
        <v/>
      </c>
      <c r="AF367" s="20">
        <f>0</f>
        <v/>
      </c>
      <c r="AG367" s="20">
        <f>0</f>
        <v/>
      </c>
      <c r="AH367" s="20">
        <f>0</f>
        <v/>
      </c>
      <c r="AI367" s="20">
        <f>0</f>
        <v/>
      </c>
      <c r="AJ367" s="20">
        <f>0</f>
        <v/>
      </c>
      <c r="AK367" s="20">
        <f>0</f>
        <v/>
      </c>
      <c r="AL367" s="20">
        <f>0</f>
        <v/>
      </c>
      <c r="AM367" s="20">
        <f>0</f>
        <v/>
      </c>
      <c r="AN367" s="20">
        <f>0</f>
        <v/>
      </c>
      <c r="AO367" s="20">
        <f>0</f>
        <v/>
      </c>
      <c r="AP367" s="20">
        <f>0</f>
        <v/>
      </c>
      <c r="AQ367" s="20">
        <f>0</f>
        <v/>
      </c>
      <c r="AR367" s="20">
        <f>0</f>
        <v/>
      </c>
      <c r="AS367" s="20">
        <f>0</f>
        <v/>
      </c>
      <c r="AT367" s="20">
        <f>0</f>
        <v/>
      </c>
      <c r="AU367" s="20">
        <f>0</f>
        <v/>
      </c>
    </row>
    <row r="368">
      <c r="D368" t="inlineStr">
        <is>
          <t>R8 decommissioning at end of life</t>
        </is>
      </c>
      <c r="E368" t="inlineStr">
        <is>
          <t>USD m</t>
        </is>
      </c>
      <c r="J368" s="20">
        <f>IF(Time!J$4=YEAR(Inputs!$F$169),Inputs!$F$172*Inputs!$F$167/1000*Time!J$9,0)</f>
        <v/>
      </c>
      <c r="K368" s="20">
        <f>IF(Time!K$4=YEAR(Inputs!$F$169),Inputs!$F$172*Inputs!$F$167/1000*Time!K$9,0)</f>
        <v/>
      </c>
      <c r="L368" s="20">
        <f>IF(Time!L$4=YEAR(Inputs!$F$169),Inputs!$F$172*Inputs!$F$167/1000*Time!L$9,0)</f>
        <v/>
      </c>
      <c r="M368" s="20">
        <f>IF(Time!M$4=YEAR(Inputs!$F$169),Inputs!$F$172*Inputs!$F$167/1000*Time!M$9,0)</f>
        <v/>
      </c>
      <c r="N368" s="20">
        <f>IF(Time!N$4=YEAR(Inputs!$F$169),Inputs!$F$172*Inputs!$F$167/1000*Time!N$9,0)</f>
        <v/>
      </c>
      <c r="O368" s="20">
        <f>IF(Time!O$4=YEAR(Inputs!$F$169),Inputs!$F$172*Inputs!$F$167/1000*Time!O$9,0)</f>
        <v/>
      </c>
      <c r="P368" s="20">
        <f>IF(Time!P$4=YEAR(Inputs!$F$169),Inputs!$F$172*Inputs!$F$167/1000*Time!P$9,0)</f>
        <v/>
      </c>
      <c r="Q368" s="20">
        <f>IF(Time!Q$4=YEAR(Inputs!$F$169),Inputs!$F$172*Inputs!$F$167/1000*Time!Q$9,0)</f>
        <v/>
      </c>
      <c r="R368" s="20">
        <f>IF(Time!R$4=YEAR(Inputs!$F$169),Inputs!$F$172*Inputs!$F$167/1000*Time!R$9,0)</f>
        <v/>
      </c>
      <c r="S368" s="20">
        <f>IF(Time!S$4=YEAR(Inputs!$F$169),Inputs!$F$172*Inputs!$F$167/1000*Time!S$9,0)</f>
        <v/>
      </c>
      <c r="T368" s="20">
        <f>IF(Time!T$4=YEAR(Inputs!$F$169),Inputs!$F$172*Inputs!$F$167/1000*Time!T$9,0)</f>
        <v/>
      </c>
      <c r="U368" s="20">
        <f>IF(Time!U$4=YEAR(Inputs!$F$169),Inputs!$F$172*Inputs!$F$167/1000*Time!U$9,0)</f>
        <v/>
      </c>
      <c r="V368" s="20">
        <f>IF(Time!V$4=YEAR(Inputs!$F$169),Inputs!$F$172*Inputs!$F$167/1000*Time!V$9,0)</f>
        <v/>
      </c>
      <c r="W368" s="20">
        <f>IF(Time!W$4=YEAR(Inputs!$F$169),Inputs!$F$172*Inputs!$F$167/1000*Time!W$9,0)</f>
        <v/>
      </c>
      <c r="X368" s="20">
        <f>IF(Time!X$4=YEAR(Inputs!$F$169),Inputs!$F$172*Inputs!$F$167/1000*Time!X$9,0)</f>
        <v/>
      </c>
      <c r="Y368" s="20">
        <f>IF(Time!Y$4=YEAR(Inputs!$F$169),Inputs!$F$172*Inputs!$F$167/1000*Time!Y$9,0)</f>
        <v/>
      </c>
      <c r="Z368" s="20">
        <f>IF(Time!Z$4=YEAR(Inputs!$F$169),Inputs!$F$172*Inputs!$F$167/1000*Time!Z$9,0)</f>
        <v/>
      </c>
      <c r="AA368" s="20">
        <f>IF(Time!AA$4=YEAR(Inputs!$F$169),Inputs!$F$172*Inputs!$F$167/1000*Time!AA$9,0)</f>
        <v/>
      </c>
      <c r="AB368" s="20">
        <f>IF(Time!AB$4=YEAR(Inputs!$F$169),Inputs!$F$172*Inputs!$F$167/1000*Time!AB$9,0)</f>
        <v/>
      </c>
      <c r="AC368" s="20">
        <f>IF(Time!AC$4=YEAR(Inputs!$F$169),Inputs!$F$172*Inputs!$F$167/1000*Time!AC$9,0)</f>
        <v/>
      </c>
      <c r="AD368" s="20">
        <f>IF(Time!AD$4=YEAR(Inputs!$F$169),Inputs!$F$172*Inputs!$F$167/1000*Time!AD$9,0)</f>
        <v/>
      </c>
      <c r="AE368" s="20">
        <f>IF(Time!AE$4=YEAR(Inputs!$F$169),Inputs!$F$172*Inputs!$F$167/1000*Time!AE$9,0)</f>
        <v/>
      </c>
      <c r="AF368" s="20">
        <f>IF(Time!AF$4=YEAR(Inputs!$F$169),Inputs!$F$172*Inputs!$F$167/1000*Time!AF$9,0)</f>
        <v/>
      </c>
      <c r="AG368" s="20">
        <f>IF(Time!AG$4=YEAR(Inputs!$F$169),Inputs!$F$172*Inputs!$F$167/1000*Time!AG$9,0)</f>
        <v/>
      </c>
      <c r="AH368" s="20">
        <f>IF(Time!AH$4=YEAR(Inputs!$F$169),Inputs!$F$172*Inputs!$F$167/1000*Time!AH$9,0)</f>
        <v/>
      </c>
      <c r="AI368" s="20">
        <f>IF(Time!AI$4=YEAR(Inputs!$F$169),Inputs!$F$172*Inputs!$F$167/1000*Time!AI$9,0)</f>
        <v/>
      </c>
      <c r="AJ368" s="20">
        <f>IF(Time!AJ$4=YEAR(Inputs!$F$169),Inputs!$F$172*Inputs!$F$167/1000*Time!AJ$9,0)</f>
        <v/>
      </c>
      <c r="AK368" s="20">
        <f>IF(Time!AK$4=YEAR(Inputs!$F$169),Inputs!$F$172*Inputs!$F$167/1000*Time!AK$9,0)</f>
        <v/>
      </c>
      <c r="AL368" s="20">
        <f>IF(Time!AL$4=YEAR(Inputs!$F$169),Inputs!$F$172*Inputs!$F$167/1000*Time!AL$9,0)</f>
        <v/>
      </c>
      <c r="AM368" s="20">
        <f>IF(Time!AM$4=YEAR(Inputs!$F$169),Inputs!$F$172*Inputs!$F$167/1000*Time!AM$9,0)</f>
        <v/>
      </c>
      <c r="AN368" s="20">
        <f>IF(Time!AN$4=YEAR(Inputs!$F$169),Inputs!$F$172*Inputs!$F$167/1000*Time!AN$9,0)</f>
        <v/>
      </c>
      <c r="AO368" s="20">
        <f>IF(Time!AO$4=YEAR(Inputs!$F$169),Inputs!$F$172*Inputs!$F$167/1000*Time!AO$9,0)</f>
        <v/>
      </c>
      <c r="AP368" s="20">
        <f>IF(Time!AP$4=YEAR(Inputs!$F$169),Inputs!$F$172*Inputs!$F$167/1000*Time!AP$9,0)</f>
        <v/>
      </c>
      <c r="AQ368" s="20">
        <f>IF(Time!AQ$4=YEAR(Inputs!$F$169),Inputs!$F$172*Inputs!$F$167/1000*Time!AQ$9,0)</f>
        <v/>
      </c>
      <c r="AR368" s="20">
        <f>IF(Time!AR$4=YEAR(Inputs!$F$169),Inputs!$F$172*Inputs!$F$167/1000*Time!AR$9,0)</f>
        <v/>
      </c>
      <c r="AS368" s="20">
        <f>IF(Time!AS$4=YEAR(Inputs!$F$169),Inputs!$F$172*Inputs!$F$167/1000*Time!AS$9,0)</f>
        <v/>
      </c>
      <c r="AT368" s="20">
        <f>IF(Time!AT$4=YEAR(Inputs!$F$169),Inputs!$F$172*Inputs!$F$167/1000*Time!AT$9,0)</f>
        <v/>
      </c>
      <c r="AU368" s="20">
        <f>IF(Time!AU$4=YEAR(Inputs!$F$169),Inputs!$F$172*Inputs!$F$167/1000*Time!AU$9,0)</f>
        <v/>
      </c>
    </row>
    <row r="369">
      <c r="D369" t="inlineStr">
        <is>
          <t>R8 pre-tax cash flow, 100% of asset</t>
        </is>
      </c>
      <c r="E369" t="inlineStr">
        <is>
          <t>USD m</t>
        </is>
      </c>
      <c r="G369" s="20">
        <f>SUM(J369:AU369)</f>
        <v/>
      </c>
      <c r="J369" s="20">
        <f>Operations!J366-Operations!J367-Operations!J368</f>
        <v/>
      </c>
      <c r="K369" s="20">
        <f>Operations!K366-Operations!K367-Operations!K368</f>
        <v/>
      </c>
      <c r="L369" s="20">
        <f>Operations!L366-Operations!L367-Operations!L368</f>
        <v/>
      </c>
      <c r="M369" s="20">
        <f>Operations!M366-Operations!M367-Operations!M368</f>
        <v/>
      </c>
      <c r="N369" s="20">
        <f>Operations!N366-Operations!N367-Operations!N368</f>
        <v/>
      </c>
      <c r="O369" s="20">
        <f>Operations!O366-Operations!O367-Operations!O368</f>
        <v/>
      </c>
      <c r="P369" s="20">
        <f>Operations!P366-Operations!P367-Operations!P368</f>
        <v/>
      </c>
      <c r="Q369" s="20">
        <f>Operations!Q366-Operations!Q367-Operations!Q368</f>
        <v/>
      </c>
      <c r="R369" s="20">
        <f>Operations!R366-Operations!R367-Operations!R368</f>
        <v/>
      </c>
      <c r="S369" s="20">
        <f>Operations!S366-Operations!S367-Operations!S368</f>
        <v/>
      </c>
      <c r="T369" s="20">
        <f>Operations!T366-Operations!T367-Operations!T368</f>
        <v/>
      </c>
      <c r="U369" s="20">
        <f>Operations!U366-Operations!U367-Operations!U368</f>
        <v/>
      </c>
      <c r="V369" s="20">
        <f>Operations!V366-Operations!V367-Operations!V368</f>
        <v/>
      </c>
      <c r="W369" s="20">
        <f>Operations!W366-Operations!W367-Operations!W368</f>
        <v/>
      </c>
      <c r="X369" s="20">
        <f>Operations!X366-Operations!X367-Operations!X368</f>
        <v/>
      </c>
      <c r="Y369" s="20">
        <f>Operations!Y366-Operations!Y367-Operations!Y368</f>
        <v/>
      </c>
      <c r="Z369" s="20">
        <f>Operations!Z366-Operations!Z367-Operations!Z368</f>
        <v/>
      </c>
      <c r="AA369" s="20">
        <f>Operations!AA366-Operations!AA367-Operations!AA368</f>
        <v/>
      </c>
      <c r="AB369" s="20">
        <f>Operations!AB366-Operations!AB367-Operations!AB368</f>
        <v/>
      </c>
      <c r="AC369" s="20">
        <f>Operations!AC366-Operations!AC367-Operations!AC368</f>
        <v/>
      </c>
      <c r="AD369" s="20">
        <f>Operations!AD366-Operations!AD367-Operations!AD368</f>
        <v/>
      </c>
      <c r="AE369" s="20">
        <f>Operations!AE366-Operations!AE367-Operations!AE368</f>
        <v/>
      </c>
      <c r="AF369" s="20">
        <f>Operations!AF366-Operations!AF367-Operations!AF368</f>
        <v/>
      </c>
      <c r="AG369" s="20">
        <f>Operations!AG366-Operations!AG367-Operations!AG368</f>
        <v/>
      </c>
      <c r="AH369" s="20">
        <f>Operations!AH366-Operations!AH367-Operations!AH368</f>
        <v/>
      </c>
      <c r="AI369" s="20">
        <f>Operations!AI366-Operations!AI367-Operations!AI368</f>
        <v/>
      </c>
      <c r="AJ369" s="20">
        <f>Operations!AJ366-Operations!AJ367-Operations!AJ368</f>
        <v/>
      </c>
      <c r="AK369" s="20">
        <f>Operations!AK366-Operations!AK367-Operations!AK368</f>
        <v/>
      </c>
      <c r="AL369" s="20">
        <f>Operations!AL366-Operations!AL367-Operations!AL368</f>
        <v/>
      </c>
      <c r="AM369" s="20">
        <f>Operations!AM366-Operations!AM367-Operations!AM368</f>
        <v/>
      </c>
      <c r="AN369" s="20">
        <f>Operations!AN366-Operations!AN367-Operations!AN368</f>
        <v/>
      </c>
      <c r="AO369" s="20">
        <f>Operations!AO366-Operations!AO367-Operations!AO368</f>
        <v/>
      </c>
      <c r="AP369" s="20">
        <f>Operations!AP366-Operations!AP367-Operations!AP368</f>
        <v/>
      </c>
      <c r="AQ369" s="20">
        <f>Operations!AQ366-Operations!AQ367-Operations!AQ368</f>
        <v/>
      </c>
      <c r="AR369" s="20">
        <f>Operations!AR366-Operations!AR367-Operations!AR368</f>
        <v/>
      </c>
      <c r="AS369" s="20">
        <f>Operations!AS366-Operations!AS367-Operations!AS368</f>
        <v/>
      </c>
      <c r="AT369" s="20">
        <f>Operations!AT366-Operations!AT367-Operations!AT368</f>
        <v/>
      </c>
      <c r="AU369" s="20">
        <f>Operations!AU366-Operations!AU367-Operations!AU368</f>
        <v/>
      </c>
    </row>
    <row r="370">
      <c r="D370" t="inlineStr">
        <is>
          <t>R8 tax equity cash share</t>
        </is>
      </c>
      <c r="E370" t="inlineStr">
        <is>
          <t>fraction</t>
        </is>
      </c>
      <c r="J370" s="14">
        <f>0</f>
        <v/>
      </c>
      <c r="K370" s="14">
        <f>0</f>
        <v/>
      </c>
      <c r="L370" s="14">
        <f>0</f>
        <v/>
      </c>
      <c r="M370" s="14">
        <f>0</f>
        <v/>
      </c>
      <c r="N370" s="14">
        <f>0</f>
        <v/>
      </c>
      <c r="O370" s="14">
        <f>0</f>
        <v/>
      </c>
      <c r="P370" s="14">
        <f>0</f>
        <v/>
      </c>
      <c r="Q370" s="14">
        <f>0</f>
        <v/>
      </c>
      <c r="R370" s="14">
        <f>0</f>
        <v/>
      </c>
      <c r="S370" s="14">
        <f>0</f>
        <v/>
      </c>
      <c r="T370" s="14">
        <f>0</f>
        <v/>
      </c>
      <c r="U370" s="14">
        <f>0</f>
        <v/>
      </c>
      <c r="V370" s="14">
        <f>0</f>
        <v/>
      </c>
      <c r="W370" s="14">
        <f>0</f>
        <v/>
      </c>
      <c r="X370" s="14">
        <f>0</f>
        <v/>
      </c>
      <c r="Y370" s="14">
        <f>0</f>
        <v/>
      </c>
      <c r="Z370" s="14">
        <f>0</f>
        <v/>
      </c>
      <c r="AA370" s="14">
        <f>0</f>
        <v/>
      </c>
      <c r="AB370" s="14">
        <f>0</f>
        <v/>
      </c>
      <c r="AC370" s="14">
        <f>0</f>
        <v/>
      </c>
      <c r="AD370" s="14">
        <f>0</f>
        <v/>
      </c>
      <c r="AE370" s="14">
        <f>0</f>
        <v/>
      </c>
      <c r="AF370" s="14">
        <f>0</f>
        <v/>
      </c>
      <c r="AG370" s="14">
        <f>0</f>
        <v/>
      </c>
      <c r="AH370" s="14">
        <f>0</f>
        <v/>
      </c>
      <c r="AI370" s="14">
        <f>0</f>
        <v/>
      </c>
      <c r="AJ370" s="14">
        <f>0</f>
        <v/>
      </c>
      <c r="AK370" s="14">
        <f>0</f>
        <v/>
      </c>
      <c r="AL370" s="14">
        <f>0</f>
        <v/>
      </c>
      <c r="AM370" s="14">
        <f>0</f>
        <v/>
      </c>
      <c r="AN370" s="14">
        <f>0</f>
        <v/>
      </c>
      <c r="AO370" s="14">
        <f>0</f>
        <v/>
      </c>
      <c r="AP370" s="14">
        <f>0</f>
        <v/>
      </c>
      <c r="AQ370" s="14">
        <f>0</f>
        <v/>
      </c>
      <c r="AR370" s="14">
        <f>0</f>
        <v/>
      </c>
      <c r="AS370" s="14">
        <f>0</f>
        <v/>
      </c>
      <c r="AT370" s="14">
        <f>0</f>
        <v/>
      </c>
      <c r="AU370" s="14">
        <f>0</f>
        <v/>
      </c>
    </row>
    <row r="371">
      <c r="D371" t="inlineStr">
        <is>
          <t>R8 Mesa share of taxable income</t>
        </is>
      </c>
      <c r="E371" t="inlineStr">
        <is>
          <t>fraction</t>
        </is>
      </c>
      <c r="J371" s="14">
        <f>1</f>
        <v/>
      </c>
      <c r="K371" s="14">
        <f>1</f>
        <v/>
      </c>
      <c r="L371" s="14">
        <f>1</f>
        <v/>
      </c>
      <c r="M371" s="14">
        <f>1</f>
        <v/>
      </c>
      <c r="N371" s="14">
        <f>1</f>
        <v/>
      </c>
      <c r="O371" s="14">
        <f>1</f>
        <v/>
      </c>
      <c r="P371" s="14">
        <f>1</f>
        <v/>
      </c>
      <c r="Q371" s="14">
        <f>1</f>
        <v/>
      </c>
      <c r="R371" s="14">
        <f>1</f>
        <v/>
      </c>
      <c r="S371" s="14">
        <f>1</f>
        <v/>
      </c>
      <c r="T371" s="14">
        <f>1</f>
        <v/>
      </c>
      <c r="U371" s="14">
        <f>1</f>
        <v/>
      </c>
      <c r="V371" s="14">
        <f>1</f>
        <v/>
      </c>
      <c r="W371" s="14">
        <f>1</f>
        <v/>
      </c>
      <c r="X371" s="14">
        <f>1</f>
        <v/>
      </c>
      <c r="Y371" s="14">
        <f>1</f>
        <v/>
      </c>
      <c r="Z371" s="14">
        <f>1</f>
        <v/>
      </c>
      <c r="AA371" s="14">
        <f>1</f>
        <v/>
      </c>
      <c r="AB371" s="14">
        <f>1</f>
        <v/>
      </c>
      <c r="AC371" s="14">
        <f>1</f>
        <v/>
      </c>
      <c r="AD371" s="14">
        <f>1</f>
        <v/>
      </c>
      <c r="AE371" s="14">
        <f>1</f>
        <v/>
      </c>
      <c r="AF371" s="14">
        <f>1</f>
        <v/>
      </c>
      <c r="AG371" s="14">
        <f>1</f>
        <v/>
      </c>
      <c r="AH371" s="14">
        <f>1</f>
        <v/>
      </c>
      <c r="AI371" s="14">
        <f>1</f>
        <v/>
      </c>
      <c r="AJ371" s="14">
        <f>1</f>
        <v/>
      </c>
      <c r="AK371" s="14">
        <f>1</f>
        <v/>
      </c>
      <c r="AL371" s="14">
        <f>1</f>
        <v/>
      </c>
      <c r="AM371" s="14">
        <f>1</f>
        <v/>
      </c>
      <c r="AN371" s="14">
        <f>1</f>
        <v/>
      </c>
      <c r="AO371" s="14">
        <f>1</f>
        <v/>
      </c>
      <c r="AP371" s="14">
        <f>1</f>
        <v/>
      </c>
      <c r="AQ371" s="14">
        <f>1</f>
        <v/>
      </c>
      <c r="AR371" s="14">
        <f>1</f>
        <v/>
      </c>
      <c r="AS371" s="14">
        <f>1</f>
        <v/>
      </c>
      <c r="AT371" s="14">
        <f>1</f>
        <v/>
      </c>
      <c r="AU371" s="14">
        <f>1</f>
        <v/>
      </c>
    </row>
    <row r="372">
      <c r="D372" t="inlineStr">
        <is>
          <t>R8 Mesa share of cash flow</t>
        </is>
      </c>
      <c r="E372" t="inlineStr">
        <is>
          <t>USD m</t>
        </is>
      </c>
      <c r="G372" s="20">
        <f>SUM(J372:AU372)</f>
        <v/>
      </c>
      <c r="J372" s="20">
        <f>Operations!J369*(1-Operations!J370)*Operations!J343</f>
        <v/>
      </c>
      <c r="K372" s="20">
        <f>Operations!K369*(1-Operations!K370)*Operations!K343</f>
        <v/>
      </c>
      <c r="L372" s="20">
        <f>Operations!L369*(1-Operations!L370)*Operations!L343</f>
        <v/>
      </c>
      <c r="M372" s="20">
        <f>Operations!M369*(1-Operations!M370)*Operations!M343</f>
        <v/>
      </c>
      <c r="N372" s="20">
        <f>Operations!N369*(1-Operations!N370)*Operations!N343</f>
        <v/>
      </c>
      <c r="O372" s="20">
        <f>Operations!O369*(1-Operations!O370)*Operations!O343</f>
        <v/>
      </c>
      <c r="P372" s="20">
        <f>Operations!P369*(1-Operations!P370)*Operations!P343</f>
        <v/>
      </c>
      <c r="Q372" s="20">
        <f>Operations!Q369*(1-Operations!Q370)*Operations!Q343</f>
        <v/>
      </c>
      <c r="R372" s="20">
        <f>Operations!R369*(1-Operations!R370)*Operations!R343</f>
        <v/>
      </c>
      <c r="S372" s="20">
        <f>Operations!S369*(1-Operations!S370)*Operations!S343</f>
        <v/>
      </c>
      <c r="T372" s="20">
        <f>Operations!T369*(1-Operations!T370)*Operations!T343</f>
        <v/>
      </c>
      <c r="U372" s="20">
        <f>Operations!U369*(1-Operations!U370)*Operations!U343</f>
        <v/>
      </c>
      <c r="V372" s="20">
        <f>Operations!V369*(1-Operations!V370)*Operations!V343</f>
        <v/>
      </c>
      <c r="W372" s="20">
        <f>Operations!W369*(1-Operations!W370)*Operations!W343</f>
        <v/>
      </c>
      <c r="X372" s="20">
        <f>Operations!X369*(1-Operations!X370)*Operations!X343</f>
        <v/>
      </c>
      <c r="Y372" s="20">
        <f>Operations!Y369*(1-Operations!Y370)*Operations!Y343</f>
        <v/>
      </c>
      <c r="Z372" s="20">
        <f>Operations!Z369*(1-Operations!Z370)*Operations!Z343</f>
        <v/>
      </c>
      <c r="AA372" s="20">
        <f>Operations!AA369*(1-Operations!AA370)*Operations!AA343</f>
        <v/>
      </c>
      <c r="AB372" s="20">
        <f>Operations!AB369*(1-Operations!AB370)*Operations!AB343</f>
        <v/>
      </c>
      <c r="AC372" s="20">
        <f>Operations!AC369*(1-Operations!AC370)*Operations!AC343</f>
        <v/>
      </c>
      <c r="AD372" s="20">
        <f>Operations!AD369*(1-Operations!AD370)*Operations!AD343</f>
        <v/>
      </c>
      <c r="AE372" s="20">
        <f>Operations!AE369*(1-Operations!AE370)*Operations!AE343</f>
        <v/>
      </c>
      <c r="AF372" s="20">
        <f>Operations!AF369*(1-Operations!AF370)*Operations!AF343</f>
        <v/>
      </c>
      <c r="AG372" s="20">
        <f>Operations!AG369*(1-Operations!AG370)*Operations!AG343</f>
        <v/>
      </c>
      <c r="AH372" s="20">
        <f>Operations!AH369*(1-Operations!AH370)*Operations!AH343</f>
        <v/>
      </c>
      <c r="AI372" s="20">
        <f>Operations!AI369*(1-Operations!AI370)*Operations!AI343</f>
        <v/>
      </c>
      <c r="AJ372" s="20">
        <f>Operations!AJ369*(1-Operations!AJ370)*Operations!AJ343</f>
        <v/>
      </c>
      <c r="AK372" s="20">
        <f>Operations!AK369*(1-Operations!AK370)*Operations!AK343</f>
        <v/>
      </c>
      <c r="AL372" s="20">
        <f>Operations!AL369*(1-Operations!AL370)*Operations!AL343</f>
        <v/>
      </c>
      <c r="AM372" s="20">
        <f>Operations!AM369*(1-Operations!AM370)*Operations!AM343</f>
        <v/>
      </c>
      <c r="AN372" s="20">
        <f>Operations!AN369*(1-Operations!AN370)*Operations!AN343</f>
        <v/>
      </c>
      <c r="AO372" s="20">
        <f>Operations!AO369*(1-Operations!AO370)*Operations!AO343</f>
        <v/>
      </c>
      <c r="AP372" s="20">
        <f>Operations!AP369*(1-Operations!AP370)*Operations!AP343</f>
        <v/>
      </c>
      <c r="AQ372" s="20">
        <f>Operations!AQ369*(1-Operations!AQ370)*Operations!AQ343</f>
        <v/>
      </c>
      <c r="AR372" s="20">
        <f>Operations!AR369*(1-Operations!AR370)*Operations!AR343</f>
        <v/>
      </c>
      <c r="AS372" s="20">
        <f>Operations!AS369*(1-Operations!AS370)*Operations!AS343</f>
        <v/>
      </c>
      <c r="AT372" s="20">
        <f>Operations!AT369*(1-Operations!AT370)*Operations!AT343</f>
        <v/>
      </c>
      <c r="AU372" s="20">
        <f>Operations!AU369*(1-Operations!AU370)*Operations!AU343</f>
        <v/>
      </c>
    </row>
    <row r="373">
      <c r="D373" t="inlineStr">
        <is>
          <t>R8 Mesa taxable operating income</t>
        </is>
      </c>
      <c r="E373" t="inlineStr">
        <is>
          <t>USD m</t>
        </is>
      </c>
      <c r="J373" s="20">
        <f>Operations!J369*Operations!J371*Operations!J343</f>
        <v/>
      </c>
      <c r="K373" s="20">
        <f>Operations!K369*Operations!K371*Operations!K343</f>
        <v/>
      </c>
      <c r="L373" s="20">
        <f>Operations!L369*Operations!L371*Operations!L343</f>
        <v/>
      </c>
      <c r="M373" s="20">
        <f>Operations!M369*Operations!M371*Operations!M343</f>
        <v/>
      </c>
      <c r="N373" s="20">
        <f>Operations!N369*Operations!N371*Operations!N343</f>
        <v/>
      </c>
      <c r="O373" s="20">
        <f>Operations!O369*Operations!O371*Operations!O343</f>
        <v/>
      </c>
      <c r="P373" s="20">
        <f>Operations!P369*Operations!P371*Operations!P343</f>
        <v/>
      </c>
      <c r="Q373" s="20">
        <f>Operations!Q369*Operations!Q371*Operations!Q343</f>
        <v/>
      </c>
      <c r="R373" s="20">
        <f>Operations!R369*Operations!R371*Operations!R343</f>
        <v/>
      </c>
      <c r="S373" s="20">
        <f>Operations!S369*Operations!S371*Operations!S343</f>
        <v/>
      </c>
      <c r="T373" s="20">
        <f>Operations!T369*Operations!T371*Operations!T343</f>
        <v/>
      </c>
      <c r="U373" s="20">
        <f>Operations!U369*Operations!U371*Operations!U343</f>
        <v/>
      </c>
      <c r="V373" s="20">
        <f>Operations!V369*Operations!V371*Operations!V343</f>
        <v/>
      </c>
      <c r="W373" s="20">
        <f>Operations!W369*Operations!W371*Operations!W343</f>
        <v/>
      </c>
      <c r="X373" s="20">
        <f>Operations!X369*Operations!X371*Operations!X343</f>
        <v/>
      </c>
      <c r="Y373" s="20">
        <f>Operations!Y369*Operations!Y371*Operations!Y343</f>
        <v/>
      </c>
      <c r="Z373" s="20">
        <f>Operations!Z369*Operations!Z371*Operations!Z343</f>
        <v/>
      </c>
      <c r="AA373" s="20">
        <f>Operations!AA369*Operations!AA371*Operations!AA343</f>
        <v/>
      </c>
      <c r="AB373" s="20">
        <f>Operations!AB369*Operations!AB371*Operations!AB343</f>
        <v/>
      </c>
      <c r="AC373" s="20">
        <f>Operations!AC369*Operations!AC371*Operations!AC343</f>
        <v/>
      </c>
      <c r="AD373" s="20">
        <f>Operations!AD369*Operations!AD371*Operations!AD343</f>
        <v/>
      </c>
      <c r="AE373" s="20">
        <f>Operations!AE369*Operations!AE371*Operations!AE343</f>
        <v/>
      </c>
      <c r="AF373" s="20">
        <f>Operations!AF369*Operations!AF371*Operations!AF343</f>
        <v/>
      </c>
      <c r="AG373" s="20">
        <f>Operations!AG369*Operations!AG371*Operations!AG343</f>
        <v/>
      </c>
      <c r="AH373" s="20">
        <f>Operations!AH369*Operations!AH371*Operations!AH343</f>
        <v/>
      </c>
      <c r="AI373" s="20">
        <f>Operations!AI369*Operations!AI371*Operations!AI343</f>
        <v/>
      </c>
      <c r="AJ373" s="20">
        <f>Operations!AJ369*Operations!AJ371*Operations!AJ343</f>
        <v/>
      </c>
      <c r="AK373" s="20">
        <f>Operations!AK369*Operations!AK371*Operations!AK343</f>
        <v/>
      </c>
      <c r="AL373" s="20">
        <f>Operations!AL369*Operations!AL371*Operations!AL343</f>
        <v/>
      </c>
      <c r="AM373" s="20">
        <f>Operations!AM369*Operations!AM371*Operations!AM343</f>
        <v/>
      </c>
      <c r="AN373" s="20">
        <f>Operations!AN369*Operations!AN371*Operations!AN343</f>
        <v/>
      </c>
      <c r="AO373" s="20">
        <f>Operations!AO369*Operations!AO371*Operations!AO343</f>
        <v/>
      </c>
      <c r="AP373" s="20">
        <f>Operations!AP369*Operations!AP371*Operations!AP343</f>
        <v/>
      </c>
      <c r="AQ373" s="20">
        <f>Operations!AQ369*Operations!AQ371*Operations!AQ343</f>
        <v/>
      </c>
      <c r="AR373" s="20">
        <f>Operations!AR369*Operations!AR371*Operations!AR343</f>
        <v/>
      </c>
      <c r="AS373" s="20">
        <f>Operations!AS369*Operations!AS371*Operations!AS343</f>
        <v/>
      </c>
      <c r="AT373" s="20">
        <f>Operations!AT369*Operations!AT371*Operations!AT343</f>
        <v/>
      </c>
      <c r="AU373" s="20">
        <f>Operations!AU369*Operations!AU371*Operations!AU343</f>
        <v/>
      </c>
    </row>
    <row r="374">
      <c r="D374" t="inlineStr">
        <is>
          <t>R8 Mesa unlevered post-tax cash flow (before price shield)</t>
        </is>
      </c>
      <c r="E374" t="inlineStr">
        <is>
          <t>USD m</t>
        </is>
      </c>
      <c r="J374" s="20">
        <f>Operations!J372-Inputs!$F$241/100*Operations!J373</f>
        <v/>
      </c>
      <c r="K374" s="20">
        <f>Operations!K372-Inputs!$F$241/100*Operations!K373</f>
        <v/>
      </c>
      <c r="L374" s="20">
        <f>Operations!L372-Inputs!$F$241/100*Operations!L373</f>
        <v/>
      </c>
      <c r="M374" s="20">
        <f>Operations!M372-Inputs!$F$241/100*Operations!M373</f>
        <v/>
      </c>
      <c r="N374" s="20">
        <f>Operations!N372-Inputs!$F$241/100*Operations!N373</f>
        <v/>
      </c>
      <c r="O374" s="20">
        <f>Operations!O372-Inputs!$F$241/100*Operations!O373</f>
        <v/>
      </c>
      <c r="P374" s="20">
        <f>Operations!P372-Inputs!$F$241/100*Operations!P373</f>
        <v/>
      </c>
      <c r="Q374" s="20">
        <f>Operations!Q372-Inputs!$F$241/100*Operations!Q373</f>
        <v/>
      </c>
      <c r="R374" s="20">
        <f>Operations!R372-Inputs!$F$241/100*Operations!R373</f>
        <v/>
      </c>
      <c r="S374" s="20">
        <f>Operations!S372-Inputs!$F$241/100*Operations!S373</f>
        <v/>
      </c>
      <c r="T374" s="20">
        <f>Operations!T372-Inputs!$F$241/100*Operations!T373</f>
        <v/>
      </c>
      <c r="U374" s="20">
        <f>Operations!U372-Inputs!$F$241/100*Operations!U373</f>
        <v/>
      </c>
      <c r="V374" s="20">
        <f>Operations!V372-Inputs!$F$241/100*Operations!V373</f>
        <v/>
      </c>
      <c r="W374" s="20">
        <f>Operations!W372-Inputs!$F$241/100*Operations!W373</f>
        <v/>
      </c>
      <c r="X374" s="20">
        <f>Operations!X372-Inputs!$F$241/100*Operations!X373</f>
        <v/>
      </c>
      <c r="Y374" s="20">
        <f>Operations!Y372-Inputs!$F$241/100*Operations!Y373</f>
        <v/>
      </c>
      <c r="Z374" s="20">
        <f>Operations!Z372-Inputs!$F$241/100*Operations!Z373</f>
        <v/>
      </c>
      <c r="AA374" s="20">
        <f>Operations!AA372-Inputs!$F$241/100*Operations!AA373</f>
        <v/>
      </c>
      <c r="AB374" s="20">
        <f>Operations!AB372-Inputs!$F$241/100*Operations!AB373</f>
        <v/>
      </c>
      <c r="AC374" s="20">
        <f>Operations!AC372-Inputs!$F$241/100*Operations!AC373</f>
        <v/>
      </c>
      <c r="AD374" s="20">
        <f>Operations!AD372-Inputs!$F$241/100*Operations!AD373</f>
        <v/>
      </c>
      <c r="AE374" s="20">
        <f>Operations!AE372-Inputs!$F$241/100*Operations!AE373</f>
        <v/>
      </c>
      <c r="AF374" s="20">
        <f>Operations!AF372-Inputs!$F$241/100*Operations!AF373</f>
        <v/>
      </c>
      <c r="AG374" s="20">
        <f>Operations!AG372-Inputs!$F$241/100*Operations!AG373</f>
        <v/>
      </c>
      <c r="AH374" s="20">
        <f>Operations!AH372-Inputs!$F$241/100*Operations!AH373</f>
        <v/>
      </c>
      <c r="AI374" s="20">
        <f>Operations!AI372-Inputs!$F$241/100*Operations!AI373</f>
        <v/>
      </c>
      <c r="AJ374" s="20">
        <f>Operations!AJ372-Inputs!$F$241/100*Operations!AJ373</f>
        <v/>
      </c>
      <c r="AK374" s="20">
        <f>Operations!AK372-Inputs!$F$241/100*Operations!AK373</f>
        <v/>
      </c>
      <c r="AL374" s="20">
        <f>Operations!AL372-Inputs!$F$241/100*Operations!AL373</f>
        <v/>
      </c>
      <c r="AM374" s="20">
        <f>Operations!AM372-Inputs!$F$241/100*Operations!AM373</f>
        <v/>
      </c>
      <c r="AN374" s="20">
        <f>Operations!AN372-Inputs!$F$241/100*Operations!AN373</f>
        <v/>
      </c>
      <c r="AO374" s="20">
        <f>Operations!AO372-Inputs!$F$241/100*Operations!AO373</f>
        <v/>
      </c>
      <c r="AP374" s="20">
        <f>Operations!AP372-Inputs!$F$241/100*Operations!AP373</f>
        <v/>
      </c>
      <c r="AQ374" s="20">
        <f>Operations!AQ372-Inputs!$F$241/100*Operations!AQ373</f>
        <v/>
      </c>
      <c r="AR374" s="20">
        <f>Operations!AR372-Inputs!$F$241/100*Operations!AR373</f>
        <v/>
      </c>
      <c r="AS374" s="20">
        <f>Operations!AS372-Inputs!$F$241/100*Operations!AS373</f>
        <v/>
      </c>
      <c r="AT374" s="20">
        <f>Operations!AT372-Inputs!$F$241/100*Operations!AT373</f>
        <v/>
      </c>
      <c r="AU374" s="20">
        <f>Operations!AU372-Inputs!$F$241/100*Operations!AU373</f>
        <v/>
      </c>
    </row>
    <row r="375">
      <c r="D375" t="inlineStr">
        <is>
          <t>R8 contracted share of revenue</t>
        </is>
      </c>
      <c r="E375" t="inlineStr">
        <is>
          <t>fraction</t>
        </is>
      </c>
      <c r="J375" s="14">
        <f>IF(Operations!J360=0,0,Operations!J357/Operations!J360)</f>
        <v/>
      </c>
      <c r="K375" s="14">
        <f>IF(Operations!K360=0,0,Operations!K357/Operations!K360)</f>
        <v/>
      </c>
      <c r="L375" s="14">
        <f>IF(Operations!L360=0,0,Operations!L357/Operations!L360)</f>
        <v/>
      </c>
      <c r="M375" s="14">
        <f>IF(Operations!M360=0,0,Operations!M357/Operations!M360)</f>
        <v/>
      </c>
      <c r="N375" s="14">
        <f>IF(Operations!N360=0,0,Operations!N357/Operations!N360)</f>
        <v/>
      </c>
      <c r="O375" s="14">
        <f>IF(Operations!O360=0,0,Operations!O357/Operations!O360)</f>
        <v/>
      </c>
      <c r="P375" s="14">
        <f>IF(Operations!P360=0,0,Operations!P357/Operations!P360)</f>
        <v/>
      </c>
      <c r="Q375" s="14">
        <f>IF(Operations!Q360=0,0,Operations!Q357/Operations!Q360)</f>
        <v/>
      </c>
      <c r="R375" s="14">
        <f>IF(Operations!R360=0,0,Operations!R357/Operations!R360)</f>
        <v/>
      </c>
      <c r="S375" s="14">
        <f>IF(Operations!S360=0,0,Operations!S357/Operations!S360)</f>
        <v/>
      </c>
      <c r="T375" s="14">
        <f>IF(Operations!T360=0,0,Operations!T357/Operations!T360)</f>
        <v/>
      </c>
      <c r="U375" s="14">
        <f>IF(Operations!U360=0,0,Operations!U357/Operations!U360)</f>
        <v/>
      </c>
      <c r="V375" s="14">
        <f>IF(Operations!V360=0,0,Operations!V357/Operations!V360)</f>
        <v/>
      </c>
      <c r="W375" s="14">
        <f>IF(Operations!W360=0,0,Operations!W357/Operations!W360)</f>
        <v/>
      </c>
      <c r="X375" s="14">
        <f>IF(Operations!X360=0,0,Operations!X357/Operations!X360)</f>
        <v/>
      </c>
      <c r="Y375" s="14">
        <f>IF(Operations!Y360=0,0,Operations!Y357/Operations!Y360)</f>
        <v/>
      </c>
      <c r="Z375" s="14">
        <f>IF(Operations!Z360=0,0,Operations!Z357/Operations!Z360)</f>
        <v/>
      </c>
      <c r="AA375" s="14">
        <f>IF(Operations!AA360=0,0,Operations!AA357/Operations!AA360)</f>
        <v/>
      </c>
      <c r="AB375" s="14">
        <f>IF(Operations!AB360=0,0,Operations!AB357/Operations!AB360)</f>
        <v/>
      </c>
      <c r="AC375" s="14">
        <f>IF(Operations!AC360=0,0,Operations!AC357/Operations!AC360)</f>
        <v/>
      </c>
      <c r="AD375" s="14">
        <f>IF(Operations!AD360=0,0,Operations!AD357/Operations!AD360)</f>
        <v/>
      </c>
      <c r="AE375" s="14">
        <f>IF(Operations!AE360=0,0,Operations!AE357/Operations!AE360)</f>
        <v/>
      </c>
      <c r="AF375" s="14">
        <f>IF(Operations!AF360=0,0,Operations!AF357/Operations!AF360)</f>
        <v/>
      </c>
      <c r="AG375" s="14">
        <f>IF(Operations!AG360=0,0,Operations!AG357/Operations!AG360)</f>
        <v/>
      </c>
      <c r="AH375" s="14">
        <f>IF(Operations!AH360=0,0,Operations!AH357/Operations!AH360)</f>
        <v/>
      </c>
      <c r="AI375" s="14">
        <f>IF(Operations!AI360=0,0,Operations!AI357/Operations!AI360)</f>
        <v/>
      </c>
      <c r="AJ375" s="14">
        <f>IF(Operations!AJ360=0,0,Operations!AJ357/Operations!AJ360)</f>
        <v/>
      </c>
      <c r="AK375" s="14">
        <f>IF(Operations!AK360=0,0,Operations!AK357/Operations!AK360)</f>
        <v/>
      </c>
      <c r="AL375" s="14">
        <f>IF(Operations!AL360=0,0,Operations!AL357/Operations!AL360)</f>
        <v/>
      </c>
      <c r="AM375" s="14">
        <f>IF(Operations!AM360=0,0,Operations!AM357/Operations!AM360)</f>
        <v/>
      </c>
      <c r="AN375" s="14">
        <f>IF(Operations!AN360=0,0,Operations!AN357/Operations!AN360)</f>
        <v/>
      </c>
      <c r="AO375" s="14">
        <f>IF(Operations!AO360=0,0,Operations!AO357/Operations!AO360)</f>
        <v/>
      </c>
      <c r="AP375" s="14">
        <f>IF(Operations!AP360=0,0,Operations!AP357/Operations!AP360)</f>
        <v/>
      </c>
      <c r="AQ375" s="14">
        <f>IF(Operations!AQ360=0,0,Operations!AQ357/Operations!AQ360)</f>
        <v/>
      </c>
      <c r="AR375" s="14">
        <f>IF(Operations!AR360=0,0,Operations!AR357/Operations!AR360)</f>
        <v/>
      </c>
      <c r="AS375" s="14">
        <f>IF(Operations!AS360=0,0,Operations!AS357/Operations!AS360)</f>
        <v/>
      </c>
      <c r="AT375" s="14">
        <f>IF(Operations!AT360=0,0,Operations!AT357/Operations!AT360)</f>
        <v/>
      </c>
      <c r="AU375" s="14">
        <f>IF(Operations!AU360=0,0,Operations!AU357/Operations!AU360)</f>
        <v/>
      </c>
    </row>
    <row r="376">
      <c r="D376" t="inlineStr">
        <is>
          <t>R8 hedged share of revenue</t>
        </is>
      </c>
      <c r="E376" t="inlineStr">
        <is>
          <t>fraction</t>
        </is>
      </c>
      <c r="J376" s="14">
        <f>IF(Operations!J360=0,0,Operations!J358/Operations!J360)</f>
        <v/>
      </c>
      <c r="K376" s="14">
        <f>IF(Operations!K360=0,0,Operations!K358/Operations!K360)</f>
        <v/>
      </c>
      <c r="L376" s="14">
        <f>IF(Operations!L360=0,0,Operations!L358/Operations!L360)</f>
        <v/>
      </c>
      <c r="M376" s="14">
        <f>IF(Operations!M360=0,0,Operations!M358/Operations!M360)</f>
        <v/>
      </c>
      <c r="N376" s="14">
        <f>IF(Operations!N360=0,0,Operations!N358/Operations!N360)</f>
        <v/>
      </c>
      <c r="O376" s="14">
        <f>IF(Operations!O360=0,0,Operations!O358/Operations!O360)</f>
        <v/>
      </c>
      <c r="P376" s="14">
        <f>IF(Operations!P360=0,0,Operations!P358/Operations!P360)</f>
        <v/>
      </c>
      <c r="Q376" s="14">
        <f>IF(Operations!Q360=0,0,Operations!Q358/Operations!Q360)</f>
        <v/>
      </c>
      <c r="R376" s="14">
        <f>IF(Operations!R360=0,0,Operations!R358/Operations!R360)</f>
        <v/>
      </c>
      <c r="S376" s="14">
        <f>IF(Operations!S360=0,0,Operations!S358/Operations!S360)</f>
        <v/>
      </c>
      <c r="T376" s="14">
        <f>IF(Operations!T360=0,0,Operations!T358/Operations!T360)</f>
        <v/>
      </c>
      <c r="U376" s="14">
        <f>IF(Operations!U360=0,0,Operations!U358/Operations!U360)</f>
        <v/>
      </c>
      <c r="V376" s="14">
        <f>IF(Operations!V360=0,0,Operations!V358/Operations!V360)</f>
        <v/>
      </c>
      <c r="W376" s="14">
        <f>IF(Operations!W360=0,0,Operations!W358/Operations!W360)</f>
        <v/>
      </c>
      <c r="X376" s="14">
        <f>IF(Operations!X360=0,0,Operations!X358/Operations!X360)</f>
        <v/>
      </c>
      <c r="Y376" s="14">
        <f>IF(Operations!Y360=0,0,Operations!Y358/Operations!Y360)</f>
        <v/>
      </c>
      <c r="Z376" s="14">
        <f>IF(Operations!Z360=0,0,Operations!Z358/Operations!Z360)</f>
        <v/>
      </c>
      <c r="AA376" s="14">
        <f>IF(Operations!AA360=0,0,Operations!AA358/Operations!AA360)</f>
        <v/>
      </c>
      <c r="AB376" s="14">
        <f>IF(Operations!AB360=0,0,Operations!AB358/Operations!AB360)</f>
        <v/>
      </c>
      <c r="AC376" s="14">
        <f>IF(Operations!AC360=0,0,Operations!AC358/Operations!AC360)</f>
        <v/>
      </c>
      <c r="AD376" s="14">
        <f>IF(Operations!AD360=0,0,Operations!AD358/Operations!AD360)</f>
        <v/>
      </c>
      <c r="AE376" s="14">
        <f>IF(Operations!AE360=0,0,Operations!AE358/Operations!AE360)</f>
        <v/>
      </c>
      <c r="AF376" s="14">
        <f>IF(Operations!AF360=0,0,Operations!AF358/Operations!AF360)</f>
        <v/>
      </c>
      <c r="AG376" s="14">
        <f>IF(Operations!AG360=0,0,Operations!AG358/Operations!AG360)</f>
        <v/>
      </c>
      <c r="AH376" s="14">
        <f>IF(Operations!AH360=0,0,Operations!AH358/Operations!AH360)</f>
        <v/>
      </c>
      <c r="AI376" s="14">
        <f>IF(Operations!AI360=0,0,Operations!AI358/Operations!AI360)</f>
        <v/>
      </c>
      <c r="AJ376" s="14">
        <f>IF(Operations!AJ360=0,0,Operations!AJ358/Operations!AJ360)</f>
        <v/>
      </c>
      <c r="AK376" s="14">
        <f>IF(Operations!AK360=0,0,Operations!AK358/Operations!AK360)</f>
        <v/>
      </c>
      <c r="AL376" s="14">
        <f>IF(Operations!AL360=0,0,Operations!AL358/Operations!AL360)</f>
        <v/>
      </c>
      <c r="AM376" s="14">
        <f>IF(Operations!AM360=0,0,Operations!AM358/Operations!AM360)</f>
        <v/>
      </c>
      <c r="AN376" s="14">
        <f>IF(Operations!AN360=0,0,Operations!AN358/Operations!AN360)</f>
        <v/>
      </c>
      <c r="AO376" s="14">
        <f>IF(Operations!AO360=0,0,Operations!AO358/Operations!AO360)</f>
        <v/>
      </c>
      <c r="AP376" s="14">
        <f>IF(Operations!AP360=0,0,Operations!AP358/Operations!AP360)</f>
        <v/>
      </c>
      <c r="AQ376" s="14">
        <f>IF(Operations!AQ360=0,0,Operations!AQ358/Operations!AQ360)</f>
        <v/>
      </c>
      <c r="AR376" s="14">
        <f>IF(Operations!AR360=0,0,Operations!AR358/Operations!AR360)</f>
        <v/>
      </c>
      <c r="AS376" s="14">
        <f>IF(Operations!AS360=0,0,Operations!AS358/Operations!AS360)</f>
        <v/>
      </c>
      <c r="AT376" s="14">
        <f>IF(Operations!AT360=0,0,Operations!AT358/Operations!AT360)</f>
        <v/>
      </c>
      <c r="AU376" s="14">
        <f>IF(Operations!AU360=0,0,Operations!AU358/Operations!AU360)</f>
        <v/>
      </c>
    </row>
    <row r="377">
      <c r="D377" t="inlineStr">
        <is>
          <t>R8 merchant share of revenue</t>
        </is>
      </c>
      <c r="E377" t="inlineStr">
        <is>
          <t>fraction</t>
        </is>
      </c>
      <c r="J377" s="14">
        <f>1-Operations!J375-Operations!J376</f>
        <v/>
      </c>
      <c r="K377" s="14">
        <f>1-Operations!K375-Operations!K376</f>
        <v/>
      </c>
      <c r="L377" s="14">
        <f>1-Operations!L375-Operations!L376</f>
        <v/>
      </c>
      <c r="M377" s="14">
        <f>1-Operations!M375-Operations!M376</f>
        <v/>
      </c>
      <c r="N377" s="14">
        <f>1-Operations!N375-Operations!N376</f>
        <v/>
      </c>
      <c r="O377" s="14">
        <f>1-Operations!O375-Operations!O376</f>
        <v/>
      </c>
      <c r="P377" s="14">
        <f>1-Operations!P375-Operations!P376</f>
        <v/>
      </c>
      <c r="Q377" s="14">
        <f>1-Operations!Q375-Operations!Q376</f>
        <v/>
      </c>
      <c r="R377" s="14">
        <f>1-Operations!R375-Operations!R376</f>
        <v/>
      </c>
      <c r="S377" s="14">
        <f>1-Operations!S375-Operations!S376</f>
        <v/>
      </c>
      <c r="T377" s="14">
        <f>1-Operations!T375-Operations!T376</f>
        <v/>
      </c>
      <c r="U377" s="14">
        <f>1-Operations!U375-Operations!U376</f>
        <v/>
      </c>
      <c r="V377" s="14">
        <f>1-Operations!V375-Operations!V376</f>
        <v/>
      </c>
      <c r="W377" s="14">
        <f>1-Operations!W375-Operations!W376</f>
        <v/>
      </c>
      <c r="X377" s="14">
        <f>1-Operations!X375-Operations!X376</f>
        <v/>
      </c>
      <c r="Y377" s="14">
        <f>1-Operations!Y375-Operations!Y376</f>
        <v/>
      </c>
      <c r="Z377" s="14">
        <f>1-Operations!Z375-Operations!Z376</f>
        <v/>
      </c>
      <c r="AA377" s="14">
        <f>1-Operations!AA375-Operations!AA376</f>
        <v/>
      </c>
      <c r="AB377" s="14">
        <f>1-Operations!AB375-Operations!AB376</f>
        <v/>
      </c>
      <c r="AC377" s="14">
        <f>1-Operations!AC375-Operations!AC376</f>
        <v/>
      </c>
      <c r="AD377" s="14">
        <f>1-Operations!AD375-Operations!AD376</f>
        <v/>
      </c>
      <c r="AE377" s="14">
        <f>1-Operations!AE375-Operations!AE376</f>
        <v/>
      </c>
      <c r="AF377" s="14">
        <f>1-Operations!AF375-Operations!AF376</f>
        <v/>
      </c>
      <c r="AG377" s="14">
        <f>1-Operations!AG375-Operations!AG376</f>
        <v/>
      </c>
      <c r="AH377" s="14">
        <f>1-Operations!AH375-Operations!AH376</f>
        <v/>
      </c>
      <c r="AI377" s="14">
        <f>1-Operations!AI375-Operations!AI376</f>
        <v/>
      </c>
      <c r="AJ377" s="14">
        <f>1-Operations!AJ375-Operations!AJ376</f>
        <v/>
      </c>
      <c r="AK377" s="14">
        <f>1-Operations!AK375-Operations!AK376</f>
        <v/>
      </c>
      <c r="AL377" s="14">
        <f>1-Operations!AL375-Operations!AL376</f>
        <v/>
      </c>
      <c r="AM377" s="14">
        <f>1-Operations!AM375-Operations!AM376</f>
        <v/>
      </c>
      <c r="AN377" s="14">
        <f>1-Operations!AN375-Operations!AN376</f>
        <v/>
      </c>
      <c r="AO377" s="14">
        <f>1-Operations!AO375-Operations!AO376</f>
        <v/>
      </c>
      <c r="AP377" s="14">
        <f>1-Operations!AP375-Operations!AP376</f>
        <v/>
      </c>
      <c r="AQ377" s="14">
        <f>1-Operations!AQ375-Operations!AQ376</f>
        <v/>
      </c>
      <c r="AR377" s="14">
        <f>1-Operations!AR375-Operations!AR376</f>
        <v/>
      </c>
      <c r="AS377" s="14">
        <f>1-Operations!AS375-Operations!AS376</f>
        <v/>
      </c>
      <c r="AT377" s="14">
        <f>1-Operations!AT375-Operations!AT376</f>
        <v/>
      </c>
      <c r="AU377" s="14">
        <f>1-Operations!AU375-Operations!AU376</f>
        <v/>
      </c>
    </row>
    <row r="378">
      <c r="D378" t="inlineStr">
        <is>
          <t>R8 Mesa-share contracted revenue</t>
        </is>
      </c>
      <c r="E378" t="inlineStr">
        <is>
          <t>USD m</t>
        </is>
      </c>
      <c r="J378" s="20">
        <f>Operations!J357*Operations!J343*(1-Operations!J370)</f>
        <v/>
      </c>
      <c r="K378" s="20">
        <f>Operations!K357*Operations!K343*(1-Operations!K370)</f>
        <v/>
      </c>
      <c r="L378" s="20">
        <f>Operations!L357*Operations!L343*(1-Operations!L370)</f>
        <v/>
      </c>
      <c r="M378" s="20">
        <f>Operations!M357*Operations!M343*(1-Operations!M370)</f>
        <v/>
      </c>
      <c r="N378" s="20">
        <f>Operations!N357*Operations!N343*(1-Operations!N370)</f>
        <v/>
      </c>
      <c r="O378" s="20">
        <f>Operations!O357*Operations!O343*(1-Operations!O370)</f>
        <v/>
      </c>
      <c r="P378" s="20">
        <f>Operations!P357*Operations!P343*(1-Operations!P370)</f>
        <v/>
      </c>
      <c r="Q378" s="20">
        <f>Operations!Q357*Operations!Q343*(1-Operations!Q370)</f>
        <v/>
      </c>
      <c r="R378" s="20">
        <f>Operations!R357*Operations!R343*(1-Operations!R370)</f>
        <v/>
      </c>
      <c r="S378" s="20">
        <f>Operations!S357*Operations!S343*(1-Operations!S370)</f>
        <v/>
      </c>
      <c r="T378" s="20">
        <f>Operations!T357*Operations!T343*(1-Operations!T370)</f>
        <v/>
      </c>
      <c r="U378" s="20">
        <f>Operations!U357*Operations!U343*(1-Operations!U370)</f>
        <v/>
      </c>
      <c r="V378" s="20">
        <f>Operations!V357*Operations!V343*(1-Operations!V370)</f>
        <v/>
      </c>
      <c r="W378" s="20">
        <f>Operations!W357*Operations!W343*(1-Operations!W370)</f>
        <v/>
      </c>
      <c r="X378" s="20">
        <f>Operations!X357*Operations!X343*(1-Operations!X370)</f>
        <v/>
      </c>
      <c r="Y378" s="20">
        <f>Operations!Y357*Operations!Y343*(1-Operations!Y370)</f>
        <v/>
      </c>
      <c r="Z378" s="20">
        <f>Operations!Z357*Operations!Z343*(1-Operations!Z370)</f>
        <v/>
      </c>
      <c r="AA378" s="20">
        <f>Operations!AA357*Operations!AA343*(1-Operations!AA370)</f>
        <v/>
      </c>
      <c r="AB378" s="20">
        <f>Operations!AB357*Operations!AB343*(1-Operations!AB370)</f>
        <v/>
      </c>
      <c r="AC378" s="20">
        <f>Operations!AC357*Operations!AC343*(1-Operations!AC370)</f>
        <v/>
      </c>
      <c r="AD378" s="20">
        <f>Operations!AD357*Operations!AD343*(1-Operations!AD370)</f>
        <v/>
      </c>
      <c r="AE378" s="20">
        <f>Operations!AE357*Operations!AE343*(1-Operations!AE370)</f>
        <v/>
      </c>
      <c r="AF378" s="20">
        <f>Operations!AF357*Operations!AF343*(1-Operations!AF370)</f>
        <v/>
      </c>
      <c r="AG378" s="20">
        <f>Operations!AG357*Operations!AG343*(1-Operations!AG370)</f>
        <v/>
      </c>
      <c r="AH378" s="20">
        <f>Operations!AH357*Operations!AH343*(1-Operations!AH370)</f>
        <v/>
      </c>
      <c r="AI378" s="20">
        <f>Operations!AI357*Operations!AI343*(1-Operations!AI370)</f>
        <v/>
      </c>
      <c r="AJ378" s="20">
        <f>Operations!AJ357*Operations!AJ343*(1-Operations!AJ370)</f>
        <v/>
      </c>
      <c r="AK378" s="20">
        <f>Operations!AK357*Operations!AK343*(1-Operations!AK370)</f>
        <v/>
      </c>
      <c r="AL378" s="20">
        <f>Operations!AL357*Operations!AL343*(1-Operations!AL370)</f>
        <v/>
      </c>
      <c r="AM378" s="20">
        <f>Operations!AM357*Operations!AM343*(1-Operations!AM370)</f>
        <v/>
      </c>
      <c r="AN378" s="20">
        <f>Operations!AN357*Operations!AN343*(1-Operations!AN370)</f>
        <v/>
      </c>
      <c r="AO378" s="20">
        <f>Operations!AO357*Operations!AO343*(1-Operations!AO370)</f>
        <v/>
      </c>
      <c r="AP378" s="20">
        <f>Operations!AP357*Operations!AP343*(1-Operations!AP370)</f>
        <v/>
      </c>
      <c r="AQ378" s="20">
        <f>Operations!AQ357*Operations!AQ343*(1-Operations!AQ370)</f>
        <v/>
      </c>
      <c r="AR378" s="20">
        <f>Operations!AR357*Operations!AR343*(1-Operations!AR370)</f>
        <v/>
      </c>
      <c r="AS378" s="20">
        <f>Operations!AS357*Operations!AS343*(1-Operations!AS370)</f>
        <v/>
      </c>
      <c r="AT378" s="20">
        <f>Operations!AT357*Operations!AT343*(1-Operations!AT370)</f>
        <v/>
      </c>
      <c r="AU378" s="20">
        <f>Operations!AU357*Operations!AU343*(1-Operations!AU370)</f>
        <v/>
      </c>
    </row>
    <row r="379">
      <c r="D379" t="inlineStr">
        <is>
          <t>R8 Mesa-share hedged revenue</t>
        </is>
      </c>
      <c r="E379" t="inlineStr">
        <is>
          <t>USD m</t>
        </is>
      </c>
      <c r="J379" s="20">
        <f>Operations!J358*Operations!J343*(1-Operations!J370)</f>
        <v/>
      </c>
      <c r="K379" s="20">
        <f>Operations!K358*Operations!K343*(1-Operations!K370)</f>
        <v/>
      </c>
      <c r="L379" s="20">
        <f>Operations!L358*Operations!L343*(1-Operations!L370)</f>
        <v/>
      </c>
      <c r="M379" s="20">
        <f>Operations!M358*Operations!M343*(1-Operations!M370)</f>
        <v/>
      </c>
      <c r="N379" s="20">
        <f>Operations!N358*Operations!N343*(1-Operations!N370)</f>
        <v/>
      </c>
      <c r="O379" s="20">
        <f>Operations!O358*Operations!O343*(1-Operations!O370)</f>
        <v/>
      </c>
      <c r="P379" s="20">
        <f>Operations!P358*Operations!P343*(1-Operations!P370)</f>
        <v/>
      </c>
      <c r="Q379" s="20">
        <f>Operations!Q358*Operations!Q343*(1-Operations!Q370)</f>
        <v/>
      </c>
      <c r="R379" s="20">
        <f>Operations!R358*Operations!R343*(1-Operations!R370)</f>
        <v/>
      </c>
      <c r="S379" s="20">
        <f>Operations!S358*Operations!S343*(1-Operations!S370)</f>
        <v/>
      </c>
      <c r="T379" s="20">
        <f>Operations!T358*Operations!T343*(1-Operations!T370)</f>
        <v/>
      </c>
      <c r="U379" s="20">
        <f>Operations!U358*Operations!U343*(1-Operations!U370)</f>
        <v/>
      </c>
      <c r="V379" s="20">
        <f>Operations!V358*Operations!V343*(1-Operations!V370)</f>
        <v/>
      </c>
      <c r="W379" s="20">
        <f>Operations!W358*Operations!W343*(1-Operations!W370)</f>
        <v/>
      </c>
      <c r="X379" s="20">
        <f>Operations!X358*Operations!X343*(1-Operations!X370)</f>
        <v/>
      </c>
      <c r="Y379" s="20">
        <f>Operations!Y358*Operations!Y343*(1-Operations!Y370)</f>
        <v/>
      </c>
      <c r="Z379" s="20">
        <f>Operations!Z358*Operations!Z343*(1-Operations!Z370)</f>
        <v/>
      </c>
      <c r="AA379" s="20">
        <f>Operations!AA358*Operations!AA343*(1-Operations!AA370)</f>
        <v/>
      </c>
      <c r="AB379" s="20">
        <f>Operations!AB358*Operations!AB343*(1-Operations!AB370)</f>
        <v/>
      </c>
      <c r="AC379" s="20">
        <f>Operations!AC358*Operations!AC343*(1-Operations!AC370)</f>
        <v/>
      </c>
      <c r="AD379" s="20">
        <f>Operations!AD358*Operations!AD343*(1-Operations!AD370)</f>
        <v/>
      </c>
      <c r="AE379" s="20">
        <f>Operations!AE358*Operations!AE343*(1-Operations!AE370)</f>
        <v/>
      </c>
      <c r="AF379" s="20">
        <f>Operations!AF358*Operations!AF343*(1-Operations!AF370)</f>
        <v/>
      </c>
      <c r="AG379" s="20">
        <f>Operations!AG358*Operations!AG343*(1-Operations!AG370)</f>
        <v/>
      </c>
      <c r="AH379" s="20">
        <f>Operations!AH358*Operations!AH343*(1-Operations!AH370)</f>
        <v/>
      </c>
      <c r="AI379" s="20">
        <f>Operations!AI358*Operations!AI343*(1-Operations!AI370)</f>
        <v/>
      </c>
      <c r="AJ379" s="20">
        <f>Operations!AJ358*Operations!AJ343*(1-Operations!AJ370)</f>
        <v/>
      </c>
      <c r="AK379" s="20">
        <f>Operations!AK358*Operations!AK343*(1-Operations!AK370)</f>
        <v/>
      </c>
      <c r="AL379" s="20">
        <f>Operations!AL358*Operations!AL343*(1-Operations!AL370)</f>
        <v/>
      </c>
      <c r="AM379" s="20">
        <f>Operations!AM358*Operations!AM343*(1-Operations!AM370)</f>
        <v/>
      </c>
      <c r="AN379" s="20">
        <f>Operations!AN358*Operations!AN343*(1-Operations!AN370)</f>
        <v/>
      </c>
      <c r="AO379" s="20">
        <f>Operations!AO358*Operations!AO343*(1-Operations!AO370)</f>
        <v/>
      </c>
      <c r="AP379" s="20">
        <f>Operations!AP358*Operations!AP343*(1-Operations!AP370)</f>
        <v/>
      </c>
      <c r="AQ379" s="20">
        <f>Operations!AQ358*Operations!AQ343*(1-Operations!AQ370)</f>
        <v/>
      </c>
      <c r="AR379" s="20">
        <f>Operations!AR358*Operations!AR343*(1-Operations!AR370)</f>
        <v/>
      </c>
      <c r="AS379" s="20">
        <f>Operations!AS358*Operations!AS343*(1-Operations!AS370)</f>
        <v/>
      </c>
      <c r="AT379" s="20">
        <f>Operations!AT358*Operations!AT343*(1-Operations!AT370)</f>
        <v/>
      </c>
      <c r="AU379" s="20">
        <f>Operations!AU358*Operations!AU343*(1-Operations!AU370)</f>
        <v/>
      </c>
    </row>
    <row r="380">
      <c r="D380" t="inlineStr">
        <is>
          <t>R8 Mesa-share merchant revenue</t>
        </is>
      </c>
      <c r="E380" t="inlineStr">
        <is>
          <t>USD m</t>
        </is>
      </c>
      <c r="J380" s="20">
        <f>Operations!J361*Operations!J343*(1-Operations!J370)</f>
        <v/>
      </c>
      <c r="K380" s="20">
        <f>Operations!K361*Operations!K343*(1-Operations!K370)</f>
        <v/>
      </c>
      <c r="L380" s="20">
        <f>Operations!L361*Operations!L343*(1-Operations!L370)</f>
        <v/>
      </c>
      <c r="M380" s="20">
        <f>Operations!M361*Operations!M343*(1-Operations!M370)</f>
        <v/>
      </c>
      <c r="N380" s="20">
        <f>Operations!N361*Operations!N343*(1-Operations!N370)</f>
        <v/>
      </c>
      <c r="O380" s="20">
        <f>Operations!O361*Operations!O343*(1-Operations!O370)</f>
        <v/>
      </c>
      <c r="P380" s="20">
        <f>Operations!P361*Operations!P343*(1-Operations!P370)</f>
        <v/>
      </c>
      <c r="Q380" s="20">
        <f>Operations!Q361*Operations!Q343*(1-Operations!Q370)</f>
        <v/>
      </c>
      <c r="R380" s="20">
        <f>Operations!R361*Operations!R343*(1-Operations!R370)</f>
        <v/>
      </c>
      <c r="S380" s="20">
        <f>Operations!S361*Operations!S343*(1-Operations!S370)</f>
        <v/>
      </c>
      <c r="T380" s="20">
        <f>Operations!T361*Operations!T343*(1-Operations!T370)</f>
        <v/>
      </c>
      <c r="U380" s="20">
        <f>Operations!U361*Operations!U343*(1-Operations!U370)</f>
        <v/>
      </c>
      <c r="V380" s="20">
        <f>Operations!V361*Operations!V343*(1-Operations!V370)</f>
        <v/>
      </c>
      <c r="W380" s="20">
        <f>Operations!W361*Operations!W343*(1-Operations!W370)</f>
        <v/>
      </c>
      <c r="X380" s="20">
        <f>Operations!X361*Operations!X343*(1-Operations!X370)</f>
        <v/>
      </c>
      <c r="Y380" s="20">
        <f>Operations!Y361*Operations!Y343*(1-Operations!Y370)</f>
        <v/>
      </c>
      <c r="Z380" s="20">
        <f>Operations!Z361*Operations!Z343*(1-Operations!Z370)</f>
        <v/>
      </c>
      <c r="AA380" s="20">
        <f>Operations!AA361*Operations!AA343*(1-Operations!AA370)</f>
        <v/>
      </c>
      <c r="AB380" s="20">
        <f>Operations!AB361*Operations!AB343*(1-Operations!AB370)</f>
        <v/>
      </c>
      <c r="AC380" s="20">
        <f>Operations!AC361*Operations!AC343*(1-Operations!AC370)</f>
        <v/>
      </c>
      <c r="AD380" s="20">
        <f>Operations!AD361*Operations!AD343*(1-Operations!AD370)</f>
        <v/>
      </c>
      <c r="AE380" s="20">
        <f>Operations!AE361*Operations!AE343*(1-Operations!AE370)</f>
        <v/>
      </c>
      <c r="AF380" s="20">
        <f>Operations!AF361*Operations!AF343*(1-Operations!AF370)</f>
        <v/>
      </c>
      <c r="AG380" s="20">
        <f>Operations!AG361*Operations!AG343*(1-Operations!AG370)</f>
        <v/>
      </c>
      <c r="AH380" s="20">
        <f>Operations!AH361*Operations!AH343*(1-Operations!AH370)</f>
        <v/>
      </c>
      <c r="AI380" s="20">
        <f>Operations!AI361*Operations!AI343*(1-Operations!AI370)</f>
        <v/>
      </c>
      <c r="AJ380" s="20">
        <f>Operations!AJ361*Operations!AJ343*(1-Operations!AJ370)</f>
        <v/>
      </c>
      <c r="AK380" s="20">
        <f>Operations!AK361*Operations!AK343*(1-Operations!AK370)</f>
        <v/>
      </c>
      <c r="AL380" s="20">
        <f>Operations!AL361*Operations!AL343*(1-Operations!AL370)</f>
        <v/>
      </c>
      <c r="AM380" s="20">
        <f>Operations!AM361*Operations!AM343*(1-Operations!AM370)</f>
        <v/>
      </c>
      <c r="AN380" s="20">
        <f>Operations!AN361*Operations!AN343*(1-Operations!AN370)</f>
        <v/>
      </c>
      <c r="AO380" s="20">
        <f>Operations!AO361*Operations!AO343*(1-Operations!AO370)</f>
        <v/>
      </c>
      <c r="AP380" s="20">
        <f>Operations!AP361*Operations!AP343*(1-Operations!AP370)</f>
        <v/>
      </c>
      <c r="AQ380" s="20">
        <f>Operations!AQ361*Operations!AQ343*(1-Operations!AQ370)</f>
        <v/>
      </c>
      <c r="AR380" s="20">
        <f>Operations!AR361*Operations!AR343*(1-Operations!AR370)</f>
        <v/>
      </c>
      <c r="AS380" s="20">
        <f>Operations!AS361*Operations!AS343*(1-Operations!AS370)</f>
        <v/>
      </c>
      <c r="AT380" s="20">
        <f>Operations!AT361*Operations!AT343*(1-Operations!AT370)</f>
        <v/>
      </c>
      <c r="AU380" s="20">
        <f>Operations!AU361*Operations!AU343*(1-Operations!AU370)</f>
        <v/>
      </c>
    </row>
    <row r="381">
      <c r="D381" t="inlineStr">
        <is>
          <t>R8 Mesa-share revenue</t>
        </is>
      </c>
      <c r="E381" t="inlineStr">
        <is>
          <t>USD m</t>
        </is>
      </c>
      <c r="J381" s="20">
        <f>Operations!J360*Operations!J343*(1-Operations!J370)</f>
        <v/>
      </c>
      <c r="K381" s="20">
        <f>Operations!K360*Operations!K343*(1-Operations!K370)</f>
        <v/>
      </c>
      <c r="L381" s="20">
        <f>Operations!L360*Operations!L343*(1-Operations!L370)</f>
        <v/>
      </c>
      <c r="M381" s="20">
        <f>Operations!M360*Operations!M343*(1-Operations!M370)</f>
        <v/>
      </c>
      <c r="N381" s="20">
        <f>Operations!N360*Operations!N343*(1-Operations!N370)</f>
        <v/>
      </c>
      <c r="O381" s="20">
        <f>Operations!O360*Operations!O343*(1-Operations!O370)</f>
        <v/>
      </c>
      <c r="P381" s="20">
        <f>Operations!P360*Operations!P343*(1-Operations!P370)</f>
        <v/>
      </c>
      <c r="Q381" s="20">
        <f>Operations!Q360*Operations!Q343*(1-Operations!Q370)</f>
        <v/>
      </c>
      <c r="R381" s="20">
        <f>Operations!R360*Operations!R343*(1-Operations!R370)</f>
        <v/>
      </c>
      <c r="S381" s="20">
        <f>Operations!S360*Operations!S343*(1-Operations!S370)</f>
        <v/>
      </c>
      <c r="T381" s="20">
        <f>Operations!T360*Operations!T343*(1-Operations!T370)</f>
        <v/>
      </c>
      <c r="U381" s="20">
        <f>Operations!U360*Operations!U343*(1-Operations!U370)</f>
        <v/>
      </c>
      <c r="V381" s="20">
        <f>Operations!V360*Operations!V343*(1-Operations!V370)</f>
        <v/>
      </c>
      <c r="W381" s="20">
        <f>Operations!W360*Operations!W343*(1-Operations!W370)</f>
        <v/>
      </c>
      <c r="X381" s="20">
        <f>Operations!X360*Operations!X343*(1-Operations!X370)</f>
        <v/>
      </c>
      <c r="Y381" s="20">
        <f>Operations!Y360*Operations!Y343*(1-Operations!Y370)</f>
        <v/>
      </c>
      <c r="Z381" s="20">
        <f>Operations!Z360*Operations!Z343*(1-Operations!Z370)</f>
        <v/>
      </c>
      <c r="AA381" s="20">
        <f>Operations!AA360*Operations!AA343*(1-Operations!AA370)</f>
        <v/>
      </c>
      <c r="AB381" s="20">
        <f>Operations!AB360*Operations!AB343*(1-Operations!AB370)</f>
        <v/>
      </c>
      <c r="AC381" s="20">
        <f>Operations!AC360*Operations!AC343*(1-Operations!AC370)</f>
        <v/>
      </c>
      <c r="AD381" s="20">
        <f>Operations!AD360*Operations!AD343*(1-Operations!AD370)</f>
        <v/>
      </c>
      <c r="AE381" s="20">
        <f>Operations!AE360*Operations!AE343*(1-Operations!AE370)</f>
        <v/>
      </c>
      <c r="AF381" s="20">
        <f>Operations!AF360*Operations!AF343*(1-Operations!AF370)</f>
        <v/>
      </c>
      <c r="AG381" s="20">
        <f>Operations!AG360*Operations!AG343*(1-Operations!AG370)</f>
        <v/>
      </c>
      <c r="AH381" s="20">
        <f>Operations!AH360*Operations!AH343*(1-Operations!AH370)</f>
        <v/>
      </c>
      <c r="AI381" s="20">
        <f>Operations!AI360*Operations!AI343*(1-Operations!AI370)</f>
        <v/>
      </c>
      <c r="AJ381" s="20">
        <f>Operations!AJ360*Operations!AJ343*(1-Operations!AJ370)</f>
        <v/>
      </c>
      <c r="AK381" s="20">
        <f>Operations!AK360*Operations!AK343*(1-Operations!AK370)</f>
        <v/>
      </c>
      <c r="AL381" s="20">
        <f>Operations!AL360*Operations!AL343*(1-Operations!AL370)</f>
        <v/>
      </c>
      <c r="AM381" s="20">
        <f>Operations!AM360*Operations!AM343*(1-Operations!AM370)</f>
        <v/>
      </c>
      <c r="AN381" s="20">
        <f>Operations!AN360*Operations!AN343*(1-Operations!AN370)</f>
        <v/>
      </c>
      <c r="AO381" s="20">
        <f>Operations!AO360*Operations!AO343*(1-Operations!AO370)</f>
        <v/>
      </c>
      <c r="AP381" s="20">
        <f>Operations!AP360*Operations!AP343*(1-Operations!AP370)</f>
        <v/>
      </c>
      <c r="AQ381" s="20">
        <f>Operations!AQ360*Operations!AQ343*(1-Operations!AQ370)</f>
        <v/>
      </c>
      <c r="AR381" s="20">
        <f>Operations!AR360*Operations!AR343*(1-Operations!AR370)</f>
        <v/>
      </c>
      <c r="AS381" s="20">
        <f>Operations!AS360*Operations!AS343*(1-Operations!AS370)</f>
        <v/>
      </c>
      <c r="AT381" s="20">
        <f>Operations!AT360*Operations!AT343*(1-Operations!AT370)</f>
        <v/>
      </c>
      <c r="AU381" s="20">
        <f>Operations!AU360*Operations!AU343*(1-Operations!AU370)</f>
        <v/>
      </c>
    </row>
    <row r="383">
      <c r="A383" s="4" t="inlineStr">
        <is>
          <t>Block L: portfolio</t>
        </is>
      </c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</row>
    <row r="384">
      <c r="D384" t="inlineStr">
        <is>
          <t>Asset management cost</t>
        </is>
      </c>
      <c r="E384" t="inlineStr">
        <is>
          <t>USD m</t>
        </is>
      </c>
      <c r="J384" s="20">
        <f>Inputs!$F$239*Time!J$9*MAX(0,MIN(Inputs!$F$26,Time!J$6)-MAX(Inputs!$F$240,Time!J$5))/Time!J$7</f>
        <v/>
      </c>
      <c r="K384" s="20">
        <f>Inputs!$F$239*Time!K$9*MAX(0,MIN(Inputs!$F$26,Time!K$6)-MAX(Inputs!$F$240,Time!K$5))/Time!K$7</f>
        <v/>
      </c>
      <c r="L384" s="20">
        <f>Inputs!$F$239*Time!L$9*MAX(0,MIN(Inputs!$F$26,Time!L$6)-MAX(Inputs!$F$240,Time!L$5))/Time!L$7</f>
        <v/>
      </c>
      <c r="M384" s="20">
        <f>Inputs!$F$239*Time!M$9*MAX(0,MIN(Inputs!$F$26,Time!M$6)-MAX(Inputs!$F$240,Time!M$5))/Time!M$7</f>
        <v/>
      </c>
      <c r="N384" s="20">
        <f>Inputs!$F$239*Time!N$9*MAX(0,MIN(Inputs!$F$26,Time!N$6)-MAX(Inputs!$F$240,Time!N$5))/Time!N$7</f>
        <v/>
      </c>
      <c r="O384" s="20">
        <f>Inputs!$F$239*Time!O$9*MAX(0,MIN(Inputs!$F$26,Time!O$6)-MAX(Inputs!$F$240,Time!O$5))/Time!O$7</f>
        <v/>
      </c>
      <c r="P384" s="20">
        <f>Inputs!$F$239*Time!P$9*MAX(0,MIN(Inputs!$F$26,Time!P$6)-MAX(Inputs!$F$240,Time!P$5))/Time!P$7</f>
        <v/>
      </c>
      <c r="Q384" s="20">
        <f>Inputs!$F$239*Time!Q$9*MAX(0,MIN(Inputs!$F$26,Time!Q$6)-MAX(Inputs!$F$240,Time!Q$5))/Time!Q$7</f>
        <v/>
      </c>
      <c r="R384" s="20">
        <f>Inputs!$F$239*Time!R$9*MAX(0,MIN(Inputs!$F$26,Time!R$6)-MAX(Inputs!$F$240,Time!R$5))/Time!R$7</f>
        <v/>
      </c>
      <c r="S384" s="20">
        <f>Inputs!$F$239*Time!S$9*MAX(0,MIN(Inputs!$F$26,Time!S$6)-MAX(Inputs!$F$240,Time!S$5))/Time!S$7</f>
        <v/>
      </c>
      <c r="T384" s="20">
        <f>Inputs!$F$239*Time!T$9*MAX(0,MIN(Inputs!$F$26,Time!T$6)-MAX(Inputs!$F$240,Time!T$5))/Time!T$7</f>
        <v/>
      </c>
      <c r="U384" s="20">
        <f>Inputs!$F$239*Time!U$9*MAX(0,MIN(Inputs!$F$26,Time!U$6)-MAX(Inputs!$F$240,Time!U$5))/Time!U$7</f>
        <v/>
      </c>
      <c r="V384" s="20">
        <f>Inputs!$F$239*Time!V$9*MAX(0,MIN(Inputs!$F$26,Time!V$6)-MAX(Inputs!$F$240,Time!V$5))/Time!V$7</f>
        <v/>
      </c>
      <c r="W384" s="20">
        <f>Inputs!$F$239*Time!W$9*MAX(0,MIN(Inputs!$F$26,Time!W$6)-MAX(Inputs!$F$240,Time!W$5))/Time!W$7</f>
        <v/>
      </c>
      <c r="X384" s="20">
        <f>Inputs!$F$239*Time!X$9*MAX(0,MIN(Inputs!$F$26,Time!X$6)-MAX(Inputs!$F$240,Time!X$5))/Time!X$7</f>
        <v/>
      </c>
      <c r="Y384" s="20">
        <f>Inputs!$F$239*Time!Y$9*MAX(0,MIN(Inputs!$F$26,Time!Y$6)-MAX(Inputs!$F$240,Time!Y$5))/Time!Y$7</f>
        <v/>
      </c>
      <c r="Z384" s="20">
        <f>Inputs!$F$239*Time!Z$9*MAX(0,MIN(Inputs!$F$26,Time!Z$6)-MAX(Inputs!$F$240,Time!Z$5))/Time!Z$7</f>
        <v/>
      </c>
      <c r="AA384" s="20">
        <f>Inputs!$F$239*Time!AA$9*MAX(0,MIN(Inputs!$F$26,Time!AA$6)-MAX(Inputs!$F$240,Time!AA$5))/Time!AA$7</f>
        <v/>
      </c>
      <c r="AB384" s="20">
        <f>Inputs!$F$239*Time!AB$9*MAX(0,MIN(Inputs!$F$26,Time!AB$6)-MAX(Inputs!$F$240,Time!AB$5))/Time!AB$7</f>
        <v/>
      </c>
      <c r="AC384" s="20">
        <f>Inputs!$F$239*Time!AC$9*MAX(0,MIN(Inputs!$F$26,Time!AC$6)-MAX(Inputs!$F$240,Time!AC$5))/Time!AC$7</f>
        <v/>
      </c>
      <c r="AD384" s="20">
        <f>Inputs!$F$239*Time!AD$9*MAX(0,MIN(Inputs!$F$26,Time!AD$6)-MAX(Inputs!$F$240,Time!AD$5))/Time!AD$7</f>
        <v/>
      </c>
      <c r="AE384" s="20">
        <f>Inputs!$F$239*Time!AE$9*MAX(0,MIN(Inputs!$F$26,Time!AE$6)-MAX(Inputs!$F$240,Time!AE$5))/Time!AE$7</f>
        <v/>
      </c>
      <c r="AF384" s="20">
        <f>Inputs!$F$239*Time!AF$9*MAX(0,MIN(Inputs!$F$26,Time!AF$6)-MAX(Inputs!$F$240,Time!AF$5))/Time!AF$7</f>
        <v/>
      </c>
      <c r="AG384" s="20">
        <f>Inputs!$F$239*Time!AG$9*MAX(0,MIN(Inputs!$F$26,Time!AG$6)-MAX(Inputs!$F$240,Time!AG$5))/Time!AG$7</f>
        <v/>
      </c>
      <c r="AH384" s="20">
        <f>Inputs!$F$239*Time!AH$9*MAX(0,MIN(Inputs!$F$26,Time!AH$6)-MAX(Inputs!$F$240,Time!AH$5))/Time!AH$7</f>
        <v/>
      </c>
      <c r="AI384" s="20">
        <f>Inputs!$F$239*Time!AI$9*MAX(0,MIN(Inputs!$F$26,Time!AI$6)-MAX(Inputs!$F$240,Time!AI$5))/Time!AI$7</f>
        <v/>
      </c>
      <c r="AJ384" s="20">
        <f>Inputs!$F$239*Time!AJ$9*MAX(0,MIN(Inputs!$F$26,Time!AJ$6)-MAX(Inputs!$F$240,Time!AJ$5))/Time!AJ$7</f>
        <v/>
      </c>
      <c r="AK384" s="20">
        <f>Inputs!$F$239*Time!AK$9*MAX(0,MIN(Inputs!$F$26,Time!AK$6)-MAX(Inputs!$F$240,Time!AK$5))/Time!AK$7</f>
        <v/>
      </c>
      <c r="AL384" s="20">
        <f>Inputs!$F$239*Time!AL$9*MAX(0,MIN(Inputs!$F$26,Time!AL$6)-MAX(Inputs!$F$240,Time!AL$5))/Time!AL$7</f>
        <v/>
      </c>
      <c r="AM384" s="20">
        <f>Inputs!$F$239*Time!AM$9*MAX(0,MIN(Inputs!$F$26,Time!AM$6)-MAX(Inputs!$F$240,Time!AM$5))/Time!AM$7</f>
        <v/>
      </c>
      <c r="AN384" s="20">
        <f>Inputs!$F$239*Time!AN$9*MAX(0,MIN(Inputs!$F$26,Time!AN$6)-MAX(Inputs!$F$240,Time!AN$5))/Time!AN$7</f>
        <v/>
      </c>
      <c r="AO384" s="20">
        <f>Inputs!$F$239*Time!AO$9*MAX(0,MIN(Inputs!$F$26,Time!AO$6)-MAX(Inputs!$F$240,Time!AO$5))/Time!AO$7</f>
        <v/>
      </c>
      <c r="AP384" s="20">
        <f>Inputs!$F$239*Time!AP$9*MAX(0,MIN(Inputs!$F$26,Time!AP$6)-MAX(Inputs!$F$240,Time!AP$5))/Time!AP$7</f>
        <v/>
      </c>
      <c r="AQ384" s="20">
        <f>Inputs!$F$239*Time!AQ$9*MAX(0,MIN(Inputs!$F$26,Time!AQ$6)-MAX(Inputs!$F$240,Time!AQ$5))/Time!AQ$7</f>
        <v/>
      </c>
      <c r="AR384" s="20">
        <f>Inputs!$F$239*Time!AR$9*MAX(0,MIN(Inputs!$F$26,Time!AR$6)-MAX(Inputs!$F$240,Time!AR$5))/Time!AR$7</f>
        <v/>
      </c>
      <c r="AS384" s="20">
        <f>Inputs!$F$239*Time!AS$9*MAX(0,MIN(Inputs!$F$26,Time!AS$6)-MAX(Inputs!$F$240,Time!AS$5))/Time!AS$7</f>
        <v/>
      </c>
      <c r="AT384" s="20">
        <f>Inputs!$F$239*Time!AT$9*MAX(0,MIN(Inputs!$F$26,Time!AT$6)-MAX(Inputs!$F$240,Time!AT$5))/Time!AT$7</f>
        <v/>
      </c>
      <c r="AU384" s="20">
        <f>Inputs!$F$239*Time!AU$9*MAX(0,MIN(Inputs!$F$26,Time!AU$6)-MAX(Inputs!$F$240,Time!AU$5))/Time!AU$7</f>
        <v/>
      </c>
    </row>
    <row r="385">
      <c r="D385" t="inlineStr">
        <is>
          <t>Mesa cash flow, a1 assets</t>
        </is>
      </c>
      <c r="E385" t="inlineStr">
        <is>
          <t>USD m</t>
        </is>
      </c>
      <c r="J385" s="20">
        <f>Operations!J94+Operations!J136+Operations!J179+Operations!J222+Operations!J265</f>
        <v/>
      </c>
      <c r="K385" s="20">
        <f>Operations!K94+Operations!K136+Operations!K179+Operations!K222+Operations!K265</f>
        <v/>
      </c>
      <c r="L385" s="20">
        <f>Operations!L94+Operations!L136+Operations!L179+Operations!L222+Operations!L265</f>
        <v/>
      </c>
      <c r="M385" s="20">
        <f>Operations!M94+Operations!M136+Operations!M179+Operations!M222+Operations!M265</f>
        <v/>
      </c>
      <c r="N385" s="20">
        <f>Operations!N94+Operations!N136+Operations!N179+Operations!N222+Operations!N265</f>
        <v/>
      </c>
      <c r="O385" s="20">
        <f>Operations!O94+Operations!O136+Operations!O179+Operations!O222+Operations!O265</f>
        <v/>
      </c>
      <c r="P385" s="20">
        <f>Operations!P94+Operations!P136+Operations!P179+Operations!P222+Operations!P265</f>
        <v/>
      </c>
      <c r="Q385" s="20">
        <f>Operations!Q94+Operations!Q136+Operations!Q179+Operations!Q222+Operations!Q265</f>
        <v/>
      </c>
      <c r="R385" s="20">
        <f>Operations!R94+Operations!R136+Operations!R179+Operations!R222+Operations!R265</f>
        <v/>
      </c>
      <c r="S385" s="20">
        <f>Operations!S94+Operations!S136+Operations!S179+Operations!S222+Operations!S265</f>
        <v/>
      </c>
      <c r="T385" s="20">
        <f>Operations!T94+Operations!T136+Operations!T179+Operations!T222+Operations!T265</f>
        <v/>
      </c>
      <c r="U385" s="20">
        <f>Operations!U94+Operations!U136+Operations!U179+Operations!U222+Operations!U265</f>
        <v/>
      </c>
      <c r="V385" s="20">
        <f>Operations!V94+Operations!V136+Operations!V179+Operations!V222+Operations!V265</f>
        <v/>
      </c>
      <c r="W385" s="20">
        <f>Operations!W94+Operations!W136+Operations!W179+Operations!W222+Operations!W265</f>
        <v/>
      </c>
      <c r="X385" s="20">
        <f>Operations!X94+Operations!X136+Operations!X179+Operations!X222+Operations!X265</f>
        <v/>
      </c>
      <c r="Y385" s="20">
        <f>Operations!Y94+Operations!Y136+Operations!Y179+Operations!Y222+Operations!Y265</f>
        <v/>
      </c>
      <c r="Z385" s="20">
        <f>Operations!Z94+Operations!Z136+Operations!Z179+Operations!Z222+Operations!Z265</f>
        <v/>
      </c>
      <c r="AA385" s="20">
        <f>Operations!AA94+Operations!AA136+Operations!AA179+Operations!AA222+Operations!AA265</f>
        <v/>
      </c>
      <c r="AB385" s="20">
        <f>Operations!AB94+Operations!AB136+Operations!AB179+Operations!AB222+Operations!AB265</f>
        <v/>
      </c>
      <c r="AC385" s="20">
        <f>Operations!AC94+Operations!AC136+Operations!AC179+Operations!AC222+Operations!AC265</f>
        <v/>
      </c>
      <c r="AD385" s="20">
        <f>Operations!AD94+Operations!AD136+Operations!AD179+Operations!AD222+Operations!AD265</f>
        <v/>
      </c>
      <c r="AE385" s="20">
        <f>Operations!AE94+Operations!AE136+Operations!AE179+Operations!AE222+Operations!AE265</f>
        <v/>
      </c>
      <c r="AF385" s="20">
        <f>Operations!AF94+Operations!AF136+Operations!AF179+Operations!AF222+Operations!AF265</f>
        <v/>
      </c>
      <c r="AG385" s="20">
        <f>Operations!AG94+Operations!AG136+Operations!AG179+Operations!AG222+Operations!AG265</f>
        <v/>
      </c>
      <c r="AH385" s="20">
        <f>Operations!AH94+Operations!AH136+Operations!AH179+Operations!AH222+Operations!AH265</f>
        <v/>
      </c>
      <c r="AI385" s="20">
        <f>Operations!AI94+Operations!AI136+Operations!AI179+Operations!AI222+Operations!AI265</f>
        <v/>
      </c>
      <c r="AJ385" s="20">
        <f>Operations!AJ94+Operations!AJ136+Operations!AJ179+Operations!AJ222+Operations!AJ265</f>
        <v/>
      </c>
      <c r="AK385" s="20">
        <f>Operations!AK94+Operations!AK136+Operations!AK179+Operations!AK222+Operations!AK265</f>
        <v/>
      </c>
      <c r="AL385" s="20">
        <f>Operations!AL94+Operations!AL136+Operations!AL179+Operations!AL222+Operations!AL265</f>
        <v/>
      </c>
      <c r="AM385" s="20">
        <f>Operations!AM94+Operations!AM136+Operations!AM179+Operations!AM222+Operations!AM265</f>
        <v/>
      </c>
      <c r="AN385" s="20">
        <f>Operations!AN94+Operations!AN136+Operations!AN179+Operations!AN222+Operations!AN265</f>
        <v/>
      </c>
      <c r="AO385" s="20">
        <f>Operations!AO94+Operations!AO136+Operations!AO179+Operations!AO222+Operations!AO265</f>
        <v/>
      </c>
      <c r="AP385" s="20">
        <f>Operations!AP94+Operations!AP136+Operations!AP179+Operations!AP222+Operations!AP265</f>
        <v/>
      </c>
      <c r="AQ385" s="20">
        <f>Operations!AQ94+Operations!AQ136+Operations!AQ179+Operations!AQ222+Operations!AQ265</f>
        <v/>
      </c>
      <c r="AR385" s="20">
        <f>Operations!AR94+Operations!AR136+Operations!AR179+Operations!AR222+Operations!AR265</f>
        <v/>
      </c>
      <c r="AS385" s="20">
        <f>Operations!AS94+Operations!AS136+Operations!AS179+Operations!AS222+Operations!AS265</f>
        <v/>
      </c>
      <c r="AT385" s="20">
        <f>Operations!AT94+Operations!AT136+Operations!AT179+Operations!AT222+Operations!AT265</f>
        <v/>
      </c>
      <c r="AU385" s="20">
        <f>Operations!AU94+Operations!AU136+Operations!AU179+Operations!AU222+Operations!AU265</f>
        <v/>
      </c>
    </row>
    <row r="386">
      <c r="D386" t="inlineStr">
        <is>
          <t>Mesa-share contracted revenue, a1</t>
        </is>
      </c>
      <c r="E386" t="inlineStr">
        <is>
          <t>USD m</t>
        </is>
      </c>
      <c r="J386" s="20">
        <f>Operations!J100+Operations!J142+Operations!J185+Operations!J228+Operations!J271</f>
        <v/>
      </c>
      <c r="K386" s="20">
        <f>Operations!K100+Operations!K142+Operations!K185+Operations!K228+Operations!K271</f>
        <v/>
      </c>
      <c r="L386" s="20">
        <f>Operations!L100+Operations!L142+Operations!L185+Operations!L228+Operations!L271</f>
        <v/>
      </c>
      <c r="M386" s="20">
        <f>Operations!M100+Operations!M142+Operations!M185+Operations!M228+Operations!M271</f>
        <v/>
      </c>
      <c r="N386" s="20">
        <f>Operations!N100+Operations!N142+Operations!N185+Operations!N228+Operations!N271</f>
        <v/>
      </c>
      <c r="O386" s="20">
        <f>Operations!O100+Operations!O142+Operations!O185+Operations!O228+Operations!O271</f>
        <v/>
      </c>
      <c r="P386" s="20">
        <f>Operations!P100+Operations!P142+Operations!P185+Operations!P228+Operations!P271</f>
        <v/>
      </c>
      <c r="Q386" s="20">
        <f>Operations!Q100+Operations!Q142+Operations!Q185+Operations!Q228+Operations!Q271</f>
        <v/>
      </c>
      <c r="R386" s="20">
        <f>Operations!R100+Operations!R142+Operations!R185+Operations!R228+Operations!R271</f>
        <v/>
      </c>
      <c r="S386" s="20">
        <f>Operations!S100+Operations!S142+Operations!S185+Operations!S228+Operations!S271</f>
        <v/>
      </c>
      <c r="T386" s="20">
        <f>Operations!T100+Operations!T142+Operations!T185+Operations!T228+Operations!T271</f>
        <v/>
      </c>
      <c r="U386" s="20">
        <f>Operations!U100+Operations!U142+Operations!U185+Operations!U228+Operations!U271</f>
        <v/>
      </c>
      <c r="V386" s="20">
        <f>Operations!V100+Operations!V142+Operations!V185+Operations!V228+Operations!V271</f>
        <v/>
      </c>
      <c r="W386" s="20">
        <f>Operations!W100+Operations!W142+Operations!W185+Operations!W228+Operations!W271</f>
        <v/>
      </c>
      <c r="X386" s="20">
        <f>Operations!X100+Operations!X142+Operations!X185+Operations!X228+Operations!X271</f>
        <v/>
      </c>
      <c r="Y386" s="20">
        <f>Operations!Y100+Operations!Y142+Operations!Y185+Operations!Y228+Operations!Y271</f>
        <v/>
      </c>
      <c r="Z386" s="20">
        <f>Operations!Z100+Operations!Z142+Operations!Z185+Operations!Z228+Operations!Z271</f>
        <v/>
      </c>
      <c r="AA386" s="20">
        <f>Operations!AA100+Operations!AA142+Operations!AA185+Operations!AA228+Operations!AA271</f>
        <v/>
      </c>
      <c r="AB386" s="20">
        <f>Operations!AB100+Operations!AB142+Operations!AB185+Operations!AB228+Operations!AB271</f>
        <v/>
      </c>
      <c r="AC386" s="20">
        <f>Operations!AC100+Operations!AC142+Operations!AC185+Operations!AC228+Operations!AC271</f>
        <v/>
      </c>
      <c r="AD386" s="20">
        <f>Operations!AD100+Operations!AD142+Operations!AD185+Operations!AD228+Operations!AD271</f>
        <v/>
      </c>
      <c r="AE386" s="20">
        <f>Operations!AE100+Operations!AE142+Operations!AE185+Operations!AE228+Operations!AE271</f>
        <v/>
      </c>
      <c r="AF386" s="20">
        <f>Operations!AF100+Operations!AF142+Operations!AF185+Operations!AF228+Operations!AF271</f>
        <v/>
      </c>
      <c r="AG386" s="20">
        <f>Operations!AG100+Operations!AG142+Operations!AG185+Operations!AG228+Operations!AG271</f>
        <v/>
      </c>
      <c r="AH386" s="20">
        <f>Operations!AH100+Operations!AH142+Operations!AH185+Operations!AH228+Operations!AH271</f>
        <v/>
      </c>
      <c r="AI386" s="20">
        <f>Operations!AI100+Operations!AI142+Operations!AI185+Operations!AI228+Operations!AI271</f>
        <v/>
      </c>
      <c r="AJ386" s="20">
        <f>Operations!AJ100+Operations!AJ142+Operations!AJ185+Operations!AJ228+Operations!AJ271</f>
        <v/>
      </c>
      <c r="AK386" s="20">
        <f>Operations!AK100+Operations!AK142+Operations!AK185+Operations!AK228+Operations!AK271</f>
        <v/>
      </c>
      <c r="AL386" s="20">
        <f>Operations!AL100+Operations!AL142+Operations!AL185+Operations!AL228+Operations!AL271</f>
        <v/>
      </c>
      <c r="AM386" s="20">
        <f>Operations!AM100+Operations!AM142+Operations!AM185+Operations!AM228+Operations!AM271</f>
        <v/>
      </c>
      <c r="AN386" s="20">
        <f>Operations!AN100+Operations!AN142+Operations!AN185+Operations!AN228+Operations!AN271</f>
        <v/>
      </c>
      <c r="AO386" s="20">
        <f>Operations!AO100+Operations!AO142+Operations!AO185+Operations!AO228+Operations!AO271</f>
        <v/>
      </c>
      <c r="AP386" s="20">
        <f>Operations!AP100+Operations!AP142+Operations!AP185+Operations!AP228+Operations!AP271</f>
        <v/>
      </c>
      <c r="AQ386" s="20">
        <f>Operations!AQ100+Operations!AQ142+Operations!AQ185+Operations!AQ228+Operations!AQ271</f>
        <v/>
      </c>
      <c r="AR386" s="20">
        <f>Operations!AR100+Operations!AR142+Operations!AR185+Operations!AR228+Operations!AR271</f>
        <v/>
      </c>
      <c r="AS386" s="20">
        <f>Operations!AS100+Operations!AS142+Operations!AS185+Operations!AS228+Operations!AS271</f>
        <v/>
      </c>
      <c r="AT386" s="20">
        <f>Operations!AT100+Operations!AT142+Operations!AT185+Operations!AT228+Operations!AT271</f>
        <v/>
      </c>
      <c r="AU386" s="20">
        <f>Operations!AU100+Operations!AU142+Operations!AU185+Operations!AU228+Operations!AU271</f>
        <v/>
      </c>
    </row>
    <row r="387">
      <c r="D387" t="inlineStr">
        <is>
          <t>Mesa-share hedged revenue, a1</t>
        </is>
      </c>
      <c r="E387" t="inlineStr">
        <is>
          <t>USD m</t>
        </is>
      </c>
      <c r="J387" s="20">
        <f>Operations!J101+Operations!J143+Operations!J186+Operations!J229+Operations!J272</f>
        <v/>
      </c>
      <c r="K387" s="20">
        <f>Operations!K101+Operations!K143+Operations!K186+Operations!K229+Operations!K272</f>
        <v/>
      </c>
      <c r="L387" s="20">
        <f>Operations!L101+Operations!L143+Operations!L186+Operations!L229+Operations!L272</f>
        <v/>
      </c>
      <c r="M387" s="20">
        <f>Operations!M101+Operations!M143+Operations!M186+Operations!M229+Operations!M272</f>
        <v/>
      </c>
      <c r="N387" s="20">
        <f>Operations!N101+Operations!N143+Operations!N186+Operations!N229+Operations!N272</f>
        <v/>
      </c>
      <c r="O387" s="20">
        <f>Operations!O101+Operations!O143+Operations!O186+Operations!O229+Operations!O272</f>
        <v/>
      </c>
      <c r="P387" s="20">
        <f>Operations!P101+Operations!P143+Operations!P186+Operations!P229+Operations!P272</f>
        <v/>
      </c>
      <c r="Q387" s="20">
        <f>Operations!Q101+Operations!Q143+Operations!Q186+Operations!Q229+Operations!Q272</f>
        <v/>
      </c>
      <c r="R387" s="20">
        <f>Operations!R101+Operations!R143+Operations!R186+Operations!R229+Operations!R272</f>
        <v/>
      </c>
      <c r="S387" s="20">
        <f>Operations!S101+Operations!S143+Operations!S186+Operations!S229+Operations!S272</f>
        <v/>
      </c>
      <c r="T387" s="20">
        <f>Operations!T101+Operations!T143+Operations!T186+Operations!T229+Operations!T272</f>
        <v/>
      </c>
      <c r="U387" s="20">
        <f>Operations!U101+Operations!U143+Operations!U186+Operations!U229+Operations!U272</f>
        <v/>
      </c>
      <c r="V387" s="20">
        <f>Operations!V101+Operations!V143+Operations!V186+Operations!V229+Operations!V272</f>
        <v/>
      </c>
      <c r="W387" s="20">
        <f>Operations!W101+Operations!W143+Operations!W186+Operations!W229+Operations!W272</f>
        <v/>
      </c>
      <c r="X387" s="20">
        <f>Operations!X101+Operations!X143+Operations!X186+Operations!X229+Operations!X272</f>
        <v/>
      </c>
      <c r="Y387" s="20">
        <f>Operations!Y101+Operations!Y143+Operations!Y186+Operations!Y229+Operations!Y272</f>
        <v/>
      </c>
      <c r="Z387" s="20">
        <f>Operations!Z101+Operations!Z143+Operations!Z186+Operations!Z229+Operations!Z272</f>
        <v/>
      </c>
      <c r="AA387" s="20">
        <f>Operations!AA101+Operations!AA143+Operations!AA186+Operations!AA229+Operations!AA272</f>
        <v/>
      </c>
      <c r="AB387" s="20">
        <f>Operations!AB101+Operations!AB143+Operations!AB186+Operations!AB229+Operations!AB272</f>
        <v/>
      </c>
      <c r="AC387" s="20">
        <f>Operations!AC101+Operations!AC143+Operations!AC186+Operations!AC229+Operations!AC272</f>
        <v/>
      </c>
      <c r="AD387" s="20">
        <f>Operations!AD101+Operations!AD143+Operations!AD186+Operations!AD229+Operations!AD272</f>
        <v/>
      </c>
      <c r="AE387" s="20">
        <f>Operations!AE101+Operations!AE143+Operations!AE186+Operations!AE229+Operations!AE272</f>
        <v/>
      </c>
      <c r="AF387" s="20">
        <f>Operations!AF101+Operations!AF143+Operations!AF186+Operations!AF229+Operations!AF272</f>
        <v/>
      </c>
      <c r="AG387" s="20">
        <f>Operations!AG101+Operations!AG143+Operations!AG186+Operations!AG229+Operations!AG272</f>
        <v/>
      </c>
      <c r="AH387" s="20">
        <f>Operations!AH101+Operations!AH143+Operations!AH186+Operations!AH229+Operations!AH272</f>
        <v/>
      </c>
      <c r="AI387" s="20">
        <f>Operations!AI101+Operations!AI143+Operations!AI186+Operations!AI229+Operations!AI272</f>
        <v/>
      </c>
      <c r="AJ387" s="20">
        <f>Operations!AJ101+Operations!AJ143+Operations!AJ186+Operations!AJ229+Operations!AJ272</f>
        <v/>
      </c>
      <c r="AK387" s="20">
        <f>Operations!AK101+Operations!AK143+Operations!AK186+Operations!AK229+Operations!AK272</f>
        <v/>
      </c>
      <c r="AL387" s="20">
        <f>Operations!AL101+Operations!AL143+Operations!AL186+Operations!AL229+Operations!AL272</f>
        <v/>
      </c>
      <c r="AM387" s="20">
        <f>Operations!AM101+Operations!AM143+Operations!AM186+Operations!AM229+Operations!AM272</f>
        <v/>
      </c>
      <c r="AN387" s="20">
        <f>Operations!AN101+Operations!AN143+Operations!AN186+Operations!AN229+Operations!AN272</f>
        <v/>
      </c>
      <c r="AO387" s="20">
        <f>Operations!AO101+Operations!AO143+Operations!AO186+Operations!AO229+Operations!AO272</f>
        <v/>
      </c>
      <c r="AP387" s="20">
        <f>Operations!AP101+Operations!AP143+Operations!AP186+Operations!AP229+Operations!AP272</f>
        <v/>
      </c>
      <c r="AQ387" s="20">
        <f>Operations!AQ101+Operations!AQ143+Operations!AQ186+Operations!AQ229+Operations!AQ272</f>
        <v/>
      </c>
      <c r="AR387" s="20">
        <f>Operations!AR101+Operations!AR143+Operations!AR186+Operations!AR229+Operations!AR272</f>
        <v/>
      </c>
      <c r="AS387" s="20">
        <f>Operations!AS101+Operations!AS143+Operations!AS186+Operations!AS229+Operations!AS272</f>
        <v/>
      </c>
      <c r="AT387" s="20">
        <f>Operations!AT101+Operations!AT143+Operations!AT186+Operations!AT229+Operations!AT272</f>
        <v/>
      </c>
      <c r="AU387" s="20">
        <f>Operations!AU101+Operations!AU143+Operations!AU186+Operations!AU229+Operations!AU272</f>
        <v/>
      </c>
    </row>
    <row r="388">
      <c r="D388" t="inlineStr">
        <is>
          <t>Mesa-share merchant revenue, a1</t>
        </is>
      </c>
      <c r="E388" t="inlineStr">
        <is>
          <t>USD m</t>
        </is>
      </c>
      <c r="J388" s="20">
        <f>Operations!J102+Operations!J144+Operations!J187+Operations!J230+Operations!J273</f>
        <v/>
      </c>
      <c r="K388" s="20">
        <f>Operations!K102+Operations!K144+Operations!K187+Operations!K230+Operations!K273</f>
        <v/>
      </c>
      <c r="L388" s="20">
        <f>Operations!L102+Operations!L144+Operations!L187+Operations!L230+Operations!L273</f>
        <v/>
      </c>
      <c r="M388" s="20">
        <f>Operations!M102+Operations!M144+Operations!M187+Operations!M230+Operations!M273</f>
        <v/>
      </c>
      <c r="N388" s="20">
        <f>Operations!N102+Operations!N144+Operations!N187+Operations!N230+Operations!N273</f>
        <v/>
      </c>
      <c r="O388" s="20">
        <f>Operations!O102+Operations!O144+Operations!O187+Operations!O230+Operations!O273</f>
        <v/>
      </c>
      <c r="P388" s="20">
        <f>Operations!P102+Operations!P144+Operations!P187+Operations!P230+Operations!P273</f>
        <v/>
      </c>
      <c r="Q388" s="20">
        <f>Operations!Q102+Operations!Q144+Operations!Q187+Operations!Q230+Operations!Q273</f>
        <v/>
      </c>
      <c r="R388" s="20">
        <f>Operations!R102+Operations!R144+Operations!R187+Operations!R230+Operations!R273</f>
        <v/>
      </c>
      <c r="S388" s="20">
        <f>Operations!S102+Operations!S144+Operations!S187+Operations!S230+Operations!S273</f>
        <v/>
      </c>
      <c r="T388" s="20">
        <f>Operations!T102+Operations!T144+Operations!T187+Operations!T230+Operations!T273</f>
        <v/>
      </c>
      <c r="U388" s="20">
        <f>Operations!U102+Operations!U144+Operations!U187+Operations!U230+Operations!U273</f>
        <v/>
      </c>
      <c r="V388" s="20">
        <f>Operations!V102+Operations!V144+Operations!V187+Operations!V230+Operations!V273</f>
        <v/>
      </c>
      <c r="W388" s="20">
        <f>Operations!W102+Operations!W144+Operations!W187+Operations!W230+Operations!W273</f>
        <v/>
      </c>
      <c r="X388" s="20">
        <f>Operations!X102+Operations!X144+Operations!X187+Operations!X230+Operations!X273</f>
        <v/>
      </c>
      <c r="Y388" s="20">
        <f>Operations!Y102+Operations!Y144+Operations!Y187+Operations!Y230+Operations!Y273</f>
        <v/>
      </c>
      <c r="Z388" s="20">
        <f>Operations!Z102+Operations!Z144+Operations!Z187+Operations!Z230+Operations!Z273</f>
        <v/>
      </c>
      <c r="AA388" s="20">
        <f>Operations!AA102+Operations!AA144+Operations!AA187+Operations!AA230+Operations!AA273</f>
        <v/>
      </c>
      <c r="AB388" s="20">
        <f>Operations!AB102+Operations!AB144+Operations!AB187+Operations!AB230+Operations!AB273</f>
        <v/>
      </c>
      <c r="AC388" s="20">
        <f>Operations!AC102+Operations!AC144+Operations!AC187+Operations!AC230+Operations!AC273</f>
        <v/>
      </c>
      <c r="AD388" s="20">
        <f>Operations!AD102+Operations!AD144+Operations!AD187+Operations!AD230+Operations!AD273</f>
        <v/>
      </c>
      <c r="AE388" s="20">
        <f>Operations!AE102+Operations!AE144+Operations!AE187+Operations!AE230+Operations!AE273</f>
        <v/>
      </c>
      <c r="AF388" s="20">
        <f>Operations!AF102+Operations!AF144+Operations!AF187+Operations!AF230+Operations!AF273</f>
        <v/>
      </c>
      <c r="AG388" s="20">
        <f>Operations!AG102+Operations!AG144+Operations!AG187+Operations!AG230+Operations!AG273</f>
        <v/>
      </c>
      <c r="AH388" s="20">
        <f>Operations!AH102+Operations!AH144+Operations!AH187+Operations!AH230+Operations!AH273</f>
        <v/>
      </c>
      <c r="AI388" s="20">
        <f>Operations!AI102+Operations!AI144+Operations!AI187+Operations!AI230+Operations!AI273</f>
        <v/>
      </c>
      <c r="AJ388" s="20">
        <f>Operations!AJ102+Operations!AJ144+Operations!AJ187+Operations!AJ230+Operations!AJ273</f>
        <v/>
      </c>
      <c r="AK388" s="20">
        <f>Operations!AK102+Operations!AK144+Operations!AK187+Operations!AK230+Operations!AK273</f>
        <v/>
      </c>
      <c r="AL388" s="20">
        <f>Operations!AL102+Operations!AL144+Operations!AL187+Operations!AL230+Operations!AL273</f>
        <v/>
      </c>
      <c r="AM388" s="20">
        <f>Operations!AM102+Operations!AM144+Operations!AM187+Operations!AM230+Operations!AM273</f>
        <v/>
      </c>
      <c r="AN388" s="20">
        <f>Operations!AN102+Operations!AN144+Operations!AN187+Operations!AN230+Operations!AN273</f>
        <v/>
      </c>
      <c r="AO388" s="20">
        <f>Operations!AO102+Operations!AO144+Operations!AO187+Operations!AO230+Operations!AO273</f>
        <v/>
      </c>
      <c r="AP388" s="20">
        <f>Operations!AP102+Operations!AP144+Operations!AP187+Operations!AP230+Operations!AP273</f>
        <v/>
      </c>
      <c r="AQ388" s="20">
        <f>Operations!AQ102+Operations!AQ144+Operations!AQ187+Operations!AQ230+Operations!AQ273</f>
        <v/>
      </c>
      <c r="AR388" s="20">
        <f>Operations!AR102+Operations!AR144+Operations!AR187+Operations!AR230+Operations!AR273</f>
        <v/>
      </c>
      <c r="AS388" s="20">
        <f>Operations!AS102+Operations!AS144+Operations!AS187+Operations!AS230+Operations!AS273</f>
        <v/>
      </c>
      <c r="AT388" s="20">
        <f>Operations!AT102+Operations!AT144+Operations!AT187+Operations!AT230+Operations!AT273</f>
        <v/>
      </c>
      <c r="AU388" s="20">
        <f>Operations!AU102+Operations!AU144+Operations!AU187+Operations!AU230+Operations!AU273</f>
        <v/>
      </c>
    </row>
    <row r="389">
      <c r="D389" t="inlineStr">
        <is>
          <t>Mesa-share revenue, a1</t>
        </is>
      </c>
      <c r="E389" t="inlineStr">
        <is>
          <t>USD m</t>
        </is>
      </c>
      <c r="J389" s="20">
        <f>Operations!J386+Operations!J387+Operations!J388</f>
        <v/>
      </c>
      <c r="K389" s="20">
        <f>Operations!K386+Operations!K387+Operations!K388</f>
        <v/>
      </c>
      <c r="L389" s="20">
        <f>Operations!L386+Operations!L387+Operations!L388</f>
        <v/>
      </c>
      <c r="M389" s="20">
        <f>Operations!M386+Operations!M387+Operations!M388</f>
        <v/>
      </c>
      <c r="N389" s="20">
        <f>Operations!N386+Operations!N387+Operations!N388</f>
        <v/>
      </c>
      <c r="O389" s="20">
        <f>Operations!O386+Operations!O387+Operations!O388</f>
        <v/>
      </c>
      <c r="P389" s="20">
        <f>Operations!P386+Operations!P387+Operations!P388</f>
        <v/>
      </c>
      <c r="Q389" s="20">
        <f>Operations!Q386+Operations!Q387+Operations!Q388</f>
        <v/>
      </c>
      <c r="R389" s="20">
        <f>Operations!R386+Operations!R387+Operations!R388</f>
        <v/>
      </c>
      <c r="S389" s="20">
        <f>Operations!S386+Operations!S387+Operations!S388</f>
        <v/>
      </c>
      <c r="T389" s="20">
        <f>Operations!T386+Operations!T387+Operations!T388</f>
        <v/>
      </c>
      <c r="U389" s="20">
        <f>Operations!U386+Operations!U387+Operations!U388</f>
        <v/>
      </c>
      <c r="V389" s="20">
        <f>Operations!V386+Operations!V387+Operations!V388</f>
        <v/>
      </c>
      <c r="W389" s="20">
        <f>Operations!W386+Operations!W387+Operations!W388</f>
        <v/>
      </c>
      <c r="X389" s="20">
        <f>Operations!X386+Operations!X387+Operations!X388</f>
        <v/>
      </c>
      <c r="Y389" s="20">
        <f>Operations!Y386+Operations!Y387+Operations!Y388</f>
        <v/>
      </c>
      <c r="Z389" s="20">
        <f>Operations!Z386+Operations!Z387+Operations!Z388</f>
        <v/>
      </c>
      <c r="AA389" s="20">
        <f>Operations!AA386+Operations!AA387+Operations!AA388</f>
        <v/>
      </c>
      <c r="AB389" s="20">
        <f>Operations!AB386+Operations!AB387+Operations!AB388</f>
        <v/>
      </c>
      <c r="AC389" s="20">
        <f>Operations!AC386+Operations!AC387+Operations!AC388</f>
        <v/>
      </c>
      <c r="AD389" s="20">
        <f>Operations!AD386+Operations!AD387+Operations!AD388</f>
        <v/>
      </c>
      <c r="AE389" s="20">
        <f>Operations!AE386+Operations!AE387+Operations!AE388</f>
        <v/>
      </c>
      <c r="AF389" s="20">
        <f>Operations!AF386+Operations!AF387+Operations!AF388</f>
        <v/>
      </c>
      <c r="AG389" s="20">
        <f>Operations!AG386+Operations!AG387+Operations!AG388</f>
        <v/>
      </c>
      <c r="AH389" s="20">
        <f>Operations!AH386+Operations!AH387+Operations!AH388</f>
        <v/>
      </c>
      <c r="AI389" s="20">
        <f>Operations!AI386+Operations!AI387+Operations!AI388</f>
        <v/>
      </c>
      <c r="AJ389" s="20">
        <f>Operations!AJ386+Operations!AJ387+Operations!AJ388</f>
        <v/>
      </c>
      <c r="AK389" s="20">
        <f>Operations!AK386+Operations!AK387+Operations!AK388</f>
        <v/>
      </c>
      <c r="AL389" s="20">
        <f>Operations!AL386+Operations!AL387+Operations!AL388</f>
        <v/>
      </c>
      <c r="AM389" s="20">
        <f>Operations!AM386+Operations!AM387+Operations!AM388</f>
        <v/>
      </c>
      <c r="AN389" s="20">
        <f>Operations!AN386+Operations!AN387+Operations!AN388</f>
        <v/>
      </c>
      <c r="AO389" s="20">
        <f>Operations!AO386+Operations!AO387+Operations!AO388</f>
        <v/>
      </c>
      <c r="AP389" s="20">
        <f>Operations!AP386+Operations!AP387+Operations!AP388</f>
        <v/>
      </c>
      <c r="AQ389" s="20">
        <f>Operations!AQ386+Operations!AQ387+Operations!AQ388</f>
        <v/>
      </c>
      <c r="AR389" s="20">
        <f>Operations!AR386+Operations!AR387+Operations!AR388</f>
        <v/>
      </c>
      <c r="AS389" s="20">
        <f>Operations!AS386+Operations!AS387+Operations!AS388</f>
        <v/>
      </c>
      <c r="AT389" s="20">
        <f>Operations!AT386+Operations!AT387+Operations!AT388</f>
        <v/>
      </c>
      <c r="AU389" s="20">
        <f>Operations!AU386+Operations!AU387+Operations!AU388</f>
        <v/>
      </c>
    </row>
    <row r="390">
      <c r="D390" t="inlineStr">
        <is>
          <t>Mesa cash flow, all assets</t>
        </is>
      </c>
      <c r="E390" t="inlineStr">
        <is>
          <t>USD m</t>
        </is>
      </c>
      <c r="J390" s="20">
        <f>Operations!J94+Operations!J136+Operations!J179+Operations!J222+Operations!J265+Operations!J297+Operations!J330+Operations!J372</f>
        <v/>
      </c>
      <c r="K390" s="20">
        <f>Operations!K94+Operations!K136+Operations!K179+Operations!K222+Operations!K265+Operations!K297+Operations!K330+Operations!K372</f>
        <v/>
      </c>
      <c r="L390" s="20">
        <f>Operations!L94+Operations!L136+Operations!L179+Operations!L222+Operations!L265+Operations!L297+Operations!L330+Operations!L372</f>
        <v/>
      </c>
      <c r="M390" s="20">
        <f>Operations!M94+Operations!M136+Operations!M179+Operations!M222+Operations!M265+Operations!M297+Operations!M330+Operations!M372</f>
        <v/>
      </c>
      <c r="N390" s="20">
        <f>Operations!N94+Operations!N136+Operations!N179+Operations!N222+Operations!N265+Operations!N297+Operations!N330+Operations!N372</f>
        <v/>
      </c>
      <c r="O390" s="20">
        <f>Operations!O94+Operations!O136+Operations!O179+Operations!O222+Operations!O265+Operations!O297+Operations!O330+Operations!O372</f>
        <v/>
      </c>
      <c r="P390" s="20">
        <f>Operations!P94+Operations!P136+Operations!P179+Operations!P222+Operations!P265+Operations!P297+Operations!P330+Operations!P372</f>
        <v/>
      </c>
      <c r="Q390" s="20">
        <f>Operations!Q94+Operations!Q136+Operations!Q179+Operations!Q222+Operations!Q265+Operations!Q297+Operations!Q330+Operations!Q372</f>
        <v/>
      </c>
      <c r="R390" s="20">
        <f>Operations!R94+Operations!R136+Operations!R179+Operations!R222+Operations!R265+Operations!R297+Operations!R330+Operations!R372</f>
        <v/>
      </c>
      <c r="S390" s="20">
        <f>Operations!S94+Operations!S136+Operations!S179+Operations!S222+Operations!S265+Operations!S297+Operations!S330+Operations!S372</f>
        <v/>
      </c>
      <c r="T390" s="20">
        <f>Operations!T94+Operations!T136+Operations!T179+Operations!T222+Operations!T265+Operations!T297+Operations!T330+Operations!T372</f>
        <v/>
      </c>
      <c r="U390" s="20">
        <f>Operations!U94+Operations!U136+Operations!U179+Operations!U222+Operations!U265+Operations!U297+Operations!U330+Operations!U372</f>
        <v/>
      </c>
      <c r="V390" s="20">
        <f>Operations!V94+Operations!V136+Operations!V179+Operations!V222+Operations!V265+Operations!V297+Operations!V330+Operations!V372</f>
        <v/>
      </c>
      <c r="W390" s="20">
        <f>Operations!W94+Operations!W136+Operations!W179+Operations!W222+Operations!W265+Operations!W297+Operations!W330+Operations!W372</f>
        <v/>
      </c>
      <c r="X390" s="20">
        <f>Operations!X94+Operations!X136+Operations!X179+Operations!X222+Operations!X265+Operations!X297+Operations!X330+Operations!X372</f>
        <v/>
      </c>
      <c r="Y390" s="20">
        <f>Operations!Y94+Operations!Y136+Operations!Y179+Operations!Y222+Operations!Y265+Operations!Y297+Operations!Y330+Operations!Y372</f>
        <v/>
      </c>
      <c r="Z390" s="20">
        <f>Operations!Z94+Operations!Z136+Operations!Z179+Operations!Z222+Operations!Z265+Operations!Z297+Operations!Z330+Operations!Z372</f>
        <v/>
      </c>
      <c r="AA390" s="20">
        <f>Operations!AA94+Operations!AA136+Operations!AA179+Operations!AA222+Operations!AA265+Operations!AA297+Operations!AA330+Operations!AA372</f>
        <v/>
      </c>
      <c r="AB390" s="20">
        <f>Operations!AB94+Operations!AB136+Operations!AB179+Operations!AB222+Operations!AB265+Operations!AB297+Operations!AB330+Operations!AB372</f>
        <v/>
      </c>
      <c r="AC390" s="20">
        <f>Operations!AC94+Operations!AC136+Operations!AC179+Operations!AC222+Operations!AC265+Operations!AC297+Operations!AC330+Operations!AC372</f>
        <v/>
      </c>
      <c r="AD390" s="20">
        <f>Operations!AD94+Operations!AD136+Operations!AD179+Operations!AD222+Operations!AD265+Operations!AD297+Operations!AD330+Operations!AD372</f>
        <v/>
      </c>
      <c r="AE390" s="20">
        <f>Operations!AE94+Operations!AE136+Operations!AE179+Operations!AE222+Operations!AE265+Operations!AE297+Operations!AE330+Operations!AE372</f>
        <v/>
      </c>
      <c r="AF390" s="20">
        <f>Operations!AF94+Operations!AF136+Operations!AF179+Operations!AF222+Operations!AF265+Operations!AF297+Operations!AF330+Operations!AF372</f>
        <v/>
      </c>
      <c r="AG390" s="20">
        <f>Operations!AG94+Operations!AG136+Operations!AG179+Operations!AG222+Operations!AG265+Operations!AG297+Operations!AG330+Operations!AG372</f>
        <v/>
      </c>
      <c r="AH390" s="20">
        <f>Operations!AH94+Operations!AH136+Operations!AH179+Operations!AH222+Operations!AH265+Operations!AH297+Operations!AH330+Operations!AH372</f>
        <v/>
      </c>
      <c r="AI390" s="20">
        <f>Operations!AI94+Operations!AI136+Operations!AI179+Operations!AI222+Operations!AI265+Operations!AI297+Operations!AI330+Operations!AI372</f>
        <v/>
      </c>
      <c r="AJ390" s="20">
        <f>Operations!AJ94+Operations!AJ136+Operations!AJ179+Operations!AJ222+Operations!AJ265+Operations!AJ297+Operations!AJ330+Operations!AJ372</f>
        <v/>
      </c>
      <c r="AK390" s="20">
        <f>Operations!AK94+Operations!AK136+Operations!AK179+Operations!AK222+Operations!AK265+Operations!AK297+Operations!AK330+Operations!AK372</f>
        <v/>
      </c>
      <c r="AL390" s="20">
        <f>Operations!AL94+Operations!AL136+Operations!AL179+Operations!AL222+Operations!AL265+Operations!AL297+Operations!AL330+Operations!AL372</f>
        <v/>
      </c>
      <c r="AM390" s="20">
        <f>Operations!AM94+Operations!AM136+Operations!AM179+Operations!AM222+Operations!AM265+Operations!AM297+Operations!AM330+Operations!AM372</f>
        <v/>
      </c>
      <c r="AN390" s="20">
        <f>Operations!AN94+Operations!AN136+Operations!AN179+Operations!AN222+Operations!AN265+Operations!AN297+Operations!AN330+Operations!AN372</f>
        <v/>
      </c>
      <c r="AO390" s="20">
        <f>Operations!AO94+Operations!AO136+Operations!AO179+Operations!AO222+Operations!AO265+Operations!AO297+Operations!AO330+Operations!AO372</f>
        <v/>
      </c>
      <c r="AP390" s="20">
        <f>Operations!AP94+Operations!AP136+Operations!AP179+Operations!AP222+Operations!AP265+Operations!AP297+Operations!AP330+Operations!AP372</f>
        <v/>
      </c>
      <c r="AQ390" s="20">
        <f>Operations!AQ94+Operations!AQ136+Operations!AQ179+Operations!AQ222+Operations!AQ265+Operations!AQ297+Operations!AQ330+Operations!AQ372</f>
        <v/>
      </c>
      <c r="AR390" s="20">
        <f>Operations!AR94+Operations!AR136+Operations!AR179+Operations!AR222+Operations!AR265+Operations!AR297+Operations!AR330+Operations!AR372</f>
        <v/>
      </c>
      <c r="AS390" s="20">
        <f>Operations!AS94+Operations!AS136+Operations!AS179+Operations!AS222+Operations!AS265+Operations!AS297+Operations!AS330+Operations!AS372</f>
        <v/>
      </c>
      <c r="AT390" s="20">
        <f>Operations!AT94+Operations!AT136+Operations!AT179+Operations!AT222+Operations!AT265+Operations!AT297+Operations!AT330+Operations!AT372</f>
        <v/>
      </c>
      <c r="AU390" s="20">
        <f>Operations!AU94+Operations!AU136+Operations!AU179+Operations!AU222+Operations!AU265+Operations!AU297+Operations!AU330+Operations!AU372</f>
        <v/>
      </c>
    </row>
    <row r="391">
      <c r="D391" t="inlineStr">
        <is>
          <t>Mesa-share contracted revenue, all</t>
        </is>
      </c>
      <c r="E391" t="inlineStr">
        <is>
          <t>USD m</t>
        </is>
      </c>
      <c r="J391" s="20">
        <f>Operations!J100+Operations!J142+Operations!J185+Operations!J228+Operations!J271+Operations!J303+Operations!J336+Operations!J378</f>
        <v/>
      </c>
      <c r="K391" s="20">
        <f>Operations!K100+Operations!K142+Operations!K185+Operations!K228+Operations!K271+Operations!K303+Operations!K336+Operations!K378</f>
        <v/>
      </c>
      <c r="L391" s="20">
        <f>Operations!L100+Operations!L142+Operations!L185+Operations!L228+Operations!L271+Operations!L303+Operations!L336+Operations!L378</f>
        <v/>
      </c>
      <c r="M391" s="20">
        <f>Operations!M100+Operations!M142+Operations!M185+Operations!M228+Operations!M271+Operations!M303+Operations!M336+Operations!M378</f>
        <v/>
      </c>
      <c r="N391" s="20">
        <f>Operations!N100+Operations!N142+Operations!N185+Operations!N228+Operations!N271+Operations!N303+Operations!N336+Operations!N378</f>
        <v/>
      </c>
      <c r="O391" s="20">
        <f>Operations!O100+Operations!O142+Operations!O185+Operations!O228+Operations!O271+Operations!O303+Operations!O336+Operations!O378</f>
        <v/>
      </c>
      <c r="P391" s="20">
        <f>Operations!P100+Operations!P142+Operations!P185+Operations!P228+Operations!P271+Operations!P303+Operations!P336+Operations!P378</f>
        <v/>
      </c>
      <c r="Q391" s="20">
        <f>Operations!Q100+Operations!Q142+Operations!Q185+Operations!Q228+Operations!Q271+Operations!Q303+Operations!Q336+Operations!Q378</f>
        <v/>
      </c>
      <c r="R391" s="20">
        <f>Operations!R100+Operations!R142+Operations!R185+Operations!R228+Operations!R271+Operations!R303+Operations!R336+Operations!R378</f>
        <v/>
      </c>
      <c r="S391" s="20">
        <f>Operations!S100+Operations!S142+Operations!S185+Operations!S228+Operations!S271+Operations!S303+Operations!S336+Operations!S378</f>
        <v/>
      </c>
      <c r="T391" s="20">
        <f>Operations!T100+Operations!T142+Operations!T185+Operations!T228+Operations!T271+Operations!T303+Operations!T336+Operations!T378</f>
        <v/>
      </c>
      <c r="U391" s="20">
        <f>Operations!U100+Operations!U142+Operations!U185+Operations!U228+Operations!U271+Operations!U303+Operations!U336+Operations!U378</f>
        <v/>
      </c>
      <c r="V391" s="20">
        <f>Operations!V100+Operations!V142+Operations!V185+Operations!V228+Operations!V271+Operations!V303+Operations!V336+Operations!V378</f>
        <v/>
      </c>
      <c r="W391" s="20">
        <f>Operations!W100+Operations!W142+Operations!W185+Operations!W228+Operations!W271+Operations!W303+Operations!W336+Operations!W378</f>
        <v/>
      </c>
      <c r="X391" s="20">
        <f>Operations!X100+Operations!X142+Operations!X185+Operations!X228+Operations!X271+Operations!X303+Operations!X336+Operations!X378</f>
        <v/>
      </c>
      <c r="Y391" s="20">
        <f>Operations!Y100+Operations!Y142+Operations!Y185+Operations!Y228+Operations!Y271+Operations!Y303+Operations!Y336+Operations!Y378</f>
        <v/>
      </c>
      <c r="Z391" s="20">
        <f>Operations!Z100+Operations!Z142+Operations!Z185+Operations!Z228+Operations!Z271+Operations!Z303+Operations!Z336+Operations!Z378</f>
        <v/>
      </c>
      <c r="AA391" s="20">
        <f>Operations!AA100+Operations!AA142+Operations!AA185+Operations!AA228+Operations!AA271+Operations!AA303+Operations!AA336+Operations!AA378</f>
        <v/>
      </c>
      <c r="AB391" s="20">
        <f>Operations!AB100+Operations!AB142+Operations!AB185+Operations!AB228+Operations!AB271+Operations!AB303+Operations!AB336+Operations!AB378</f>
        <v/>
      </c>
      <c r="AC391" s="20">
        <f>Operations!AC100+Operations!AC142+Operations!AC185+Operations!AC228+Operations!AC271+Operations!AC303+Operations!AC336+Operations!AC378</f>
        <v/>
      </c>
      <c r="AD391" s="20">
        <f>Operations!AD100+Operations!AD142+Operations!AD185+Operations!AD228+Operations!AD271+Operations!AD303+Operations!AD336+Operations!AD378</f>
        <v/>
      </c>
      <c r="AE391" s="20">
        <f>Operations!AE100+Operations!AE142+Operations!AE185+Operations!AE228+Operations!AE271+Operations!AE303+Operations!AE336+Operations!AE378</f>
        <v/>
      </c>
      <c r="AF391" s="20">
        <f>Operations!AF100+Operations!AF142+Operations!AF185+Operations!AF228+Operations!AF271+Operations!AF303+Operations!AF336+Operations!AF378</f>
        <v/>
      </c>
      <c r="AG391" s="20">
        <f>Operations!AG100+Operations!AG142+Operations!AG185+Operations!AG228+Operations!AG271+Operations!AG303+Operations!AG336+Operations!AG378</f>
        <v/>
      </c>
      <c r="AH391" s="20">
        <f>Operations!AH100+Operations!AH142+Operations!AH185+Operations!AH228+Operations!AH271+Operations!AH303+Operations!AH336+Operations!AH378</f>
        <v/>
      </c>
      <c r="AI391" s="20">
        <f>Operations!AI100+Operations!AI142+Operations!AI185+Operations!AI228+Operations!AI271+Operations!AI303+Operations!AI336+Operations!AI378</f>
        <v/>
      </c>
      <c r="AJ391" s="20">
        <f>Operations!AJ100+Operations!AJ142+Operations!AJ185+Operations!AJ228+Operations!AJ271+Operations!AJ303+Operations!AJ336+Operations!AJ378</f>
        <v/>
      </c>
      <c r="AK391" s="20">
        <f>Operations!AK100+Operations!AK142+Operations!AK185+Operations!AK228+Operations!AK271+Operations!AK303+Operations!AK336+Operations!AK378</f>
        <v/>
      </c>
      <c r="AL391" s="20">
        <f>Operations!AL100+Operations!AL142+Operations!AL185+Operations!AL228+Operations!AL271+Operations!AL303+Operations!AL336+Operations!AL378</f>
        <v/>
      </c>
      <c r="AM391" s="20">
        <f>Operations!AM100+Operations!AM142+Operations!AM185+Operations!AM228+Operations!AM271+Operations!AM303+Operations!AM336+Operations!AM378</f>
        <v/>
      </c>
      <c r="AN391" s="20">
        <f>Operations!AN100+Operations!AN142+Operations!AN185+Operations!AN228+Operations!AN271+Operations!AN303+Operations!AN336+Operations!AN378</f>
        <v/>
      </c>
      <c r="AO391" s="20">
        <f>Operations!AO100+Operations!AO142+Operations!AO185+Operations!AO228+Operations!AO271+Operations!AO303+Operations!AO336+Operations!AO378</f>
        <v/>
      </c>
      <c r="AP391" s="20">
        <f>Operations!AP100+Operations!AP142+Operations!AP185+Operations!AP228+Operations!AP271+Operations!AP303+Operations!AP336+Operations!AP378</f>
        <v/>
      </c>
      <c r="AQ391" s="20">
        <f>Operations!AQ100+Operations!AQ142+Operations!AQ185+Operations!AQ228+Operations!AQ271+Operations!AQ303+Operations!AQ336+Operations!AQ378</f>
        <v/>
      </c>
      <c r="AR391" s="20">
        <f>Operations!AR100+Operations!AR142+Operations!AR185+Operations!AR228+Operations!AR271+Operations!AR303+Operations!AR336+Operations!AR378</f>
        <v/>
      </c>
      <c r="AS391" s="20">
        <f>Operations!AS100+Operations!AS142+Operations!AS185+Operations!AS228+Operations!AS271+Operations!AS303+Operations!AS336+Operations!AS378</f>
        <v/>
      </c>
      <c r="AT391" s="20">
        <f>Operations!AT100+Operations!AT142+Operations!AT185+Operations!AT228+Operations!AT271+Operations!AT303+Operations!AT336+Operations!AT378</f>
        <v/>
      </c>
      <c r="AU391" s="20">
        <f>Operations!AU100+Operations!AU142+Operations!AU185+Operations!AU228+Operations!AU271+Operations!AU303+Operations!AU336+Operations!AU378</f>
        <v/>
      </c>
    </row>
    <row r="392">
      <c r="D392" t="inlineStr">
        <is>
          <t>Mesa-share hedged revenue, all</t>
        </is>
      </c>
      <c r="E392" t="inlineStr">
        <is>
          <t>USD m</t>
        </is>
      </c>
      <c r="J392" s="20">
        <f>Operations!J101+Operations!J143+Operations!J186+Operations!J229+Operations!J272+Operations!J304+Operations!J337+Operations!J379</f>
        <v/>
      </c>
      <c r="K392" s="20">
        <f>Operations!K101+Operations!K143+Operations!K186+Operations!K229+Operations!K272+Operations!K304+Operations!K337+Operations!K379</f>
        <v/>
      </c>
      <c r="L392" s="20">
        <f>Operations!L101+Operations!L143+Operations!L186+Operations!L229+Operations!L272+Operations!L304+Operations!L337+Operations!L379</f>
        <v/>
      </c>
      <c r="M392" s="20">
        <f>Operations!M101+Operations!M143+Operations!M186+Operations!M229+Operations!M272+Operations!M304+Operations!M337+Operations!M379</f>
        <v/>
      </c>
      <c r="N392" s="20">
        <f>Operations!N101+Operations!N143+Operations!N186+Operations!N229+Operations!N272+Operations!N304+Operations!N337+Operations!N379</f>
        <v/>
      </c>
      <c r="O392" s="20">
        <f>Operations!O101+Operations!O143+Operations!O186+Operations!O229+Operations!O272+Operations!O304+Operations!O337+Operations!O379</f>
        <v/>
      </c>
      <c r="P392" s="20">
        <f>Operations!P101+Operations!P143+Operations!P186+Operations!P229+Operations!P272+Operations!P304+Operations!P337+Operations!P379</f>
        <v/>
      </c>
      <c r="Q392" s="20">
        <f>Operations!Q101+Operations!Q143+Operations!Q186+Operations!Q229+Operations!Q272+Operations!Q304+Operations!Q337+Operations!Q379</f>
        <v/>
      </c>
      <c r="R392" s="20">
        <f>Operations!R101+Operations!R143+Operations!R186+Operations!R229+Operations!R272+Operations!R304+Operations!R337+Operations!R379</f>
        <v/>
      </c>
      <c r="S392" s="20">
        <f>Operations!S101+Operations!S143+Operations!S186+Operations!S229+Operations!S272+Operations!S304+Operations!S337+Operations!S379</f>
        <v/>
      </c>
      <c r="T392" s="20">
        <f>Operations!T101+Operations!T143+Operations!T186+Operations!T229+Operations!T272+Operations!T304+Operations!T337+Operations!T379</f>
        <v/>
      </c>
      <c r="U392" s="20">
        <f>Operations!U101+Operations!U143+Operations!U186+Operations!U229+Operations!U272+Operations!U304+Operations!U337+Operations!U379</f>
        <v/>
      </c>
      <c r="V392" s="20">
        <f>Operations!V101+Operations!V143+Operations!V186+Operations!V229+Operations!V272+Operations!V304+Operations!V337+Operations!V379</f>
        <v/>
      </c>
      <c r="W392" s="20">
        <f>Operations!W101+Operations!W143+Operations!W186+Operations!W229+Operations!W272+Operations!W304+Operations!W337+Operations!W379</f>
        <v/>
      </c>
      <c r="X392" s="20">
        <f>Operations!X101+Operations!X143+Operations!X186+Operations!X229+Operations!X272+Operations!X304+Operations!X337+Operations!X379</f>
        <v/>
      </c>
      <c r="Y392" s="20">
        <f>Operations!Y101+Operations!Y143+Operations!Y186+Operations!Y229+Operations!Y272+Operations!Y304+Operations!Y337+Operations!Y379</f>
        <v/>
      </c>
      <c r="Z392" s="20">
        <f>Operations!Z101+Operations!Z143+Operations!Z186+Operations!Z229+Operations!Z272+Operations!Z304+Operations!Z337+Operations!Z379</f>
        <v/>
      </c>
      <c r="AA392" s="20">
        <f>Operations!AA101+Operations!AA143+Operations!AA186+Operations!AA229+Operations!AA272+Operations!AA304+Operations!AA337+Operations!AA379</f>
        <v/>
      </c>
      <c r="AB392" s="20">
        <f>Operations!AB101+Operations!AB143+Operations!AB186+Operations!AB229+Operations!AB272+Operations!AB304+Operations!AB337+Operations!AB379</f>
        <v/>
      </c>
      <c r="AC392" s="20">
        <f>Operations!AC101+Operations!AC143+Operations!AC186+Operations!AC229+Operations!AC272+Operations!AC304+Operations!AC337+Operations!AC379</f>
        <v/>
      </c>
      <c r="AD392" s="20">
        <f>Operations!AD101+Operations!AD143+Operations!AD186+Operations!AD229+Operations!AD272+Operations!AD304+Operations!AD337+Operations!AD379</f>
        <v/>
      </c>
      <c r="AE392" s="20">
        <f>Operations!AE101+Operations!AE143+Operations!AE186+Operations!AE229+Operations!AE272+Operations!AE304+Operations!AE337+Operations!AE379</f>
        <v/>
      </c>
      <c r="AF392" s="20">
        <f>Operations!AF101+Operations!AF143+Operations!AF186+Operations!AF229+Operations!AF272+Operations!AF304+Operations!AF337+Operations!AF379</f>
        <v/>
      </c>
      <c r="AG392" s="20">
        <f>Operations!AG101+Operations!AG143+Operations!AG186+Operations!AG229+Operations!AG272+Operations!AG304+Operations!AG337+Operations!AG379</f>
        <v/>
      </c>
      <c r="AH392" s="20">
        <f>Operations!AH101+Operations!AH143+Operations!AH186+Operations!AH229+Operations!AH272+Operations!AH304+Operations!AH337+Operations!AH379</f>
        <v/>
      </c>
      <c r="AI392" s="20">
        <f>Operations!AI101+Operations!AI143+Operations!AI186+Operations!AI229+Operations!AI272+Operations!AI304+Operations!AI337+Operations!AI379</f>
        <v/>
      </c>
      <c r="AJ392" s="20">
        <f>Operations!AJ101+Operations!AJ143+Operations!AJ186+Operations!AJ229+Operations!AJ272+Operations!AJ304+Operations!AJ337+Operations!AJ379</f>
        <v/>
      </c>
      <c r="AK392" s="20">
        <f>Operations!AK101+Operations!AK143+Operations!AK186+Operations!AK229+Operations!AK272+Operations!AK304+Operations!AK337+Operations!AK379</f>
        <v/>
      </c>
      <c r="AL392" s="20">
        <f>Operations!AL101+Operations!AL143+Operations!AL186+Operations!AL229+Operations!AL272+Operations!AL304+Operations!AL337+Operations!AL379</f>
        <v/>
      </c>
      <c r="AM392" s="20">
        <f>Operations!AM101+Operations!AM143+Operations!AM186+Operations!AM229+Operations!AM272+Operations!AM304+Operations!AM337+Operations!AM379</f>
        <v/>
      </c>
      <c r="AN392" s="20">
        <f>Operations!AN101+Operations!AN143+Operations!AN186+Operations!AN229+Operations!AN272+Operations!AN304+Operations!AN337+Operations!AN379</f>
        <v/>
      </c>
      <c r="AO392" s="20">
        <f>Operations!AO101+Operations!AO143+Operations!AO186+Operations!AO229+Operations!AO272+Operations!AO304+Operations!AO337+Operations!AO379</f>
        <v/>
      </c>
      <c r="AP392" s="20">
        <f>Operations!AP101+Operations!AP143+Operations!AP186+Operations!AP229+Operations!AP272+Operations!AP304+Operations!AP337+Operations!AP379</f>
        <v/>
      </c>
      <c r="AQ392" s="20">
        <f>Operations!AQ101+Operations!AQ143+Operations!AQ186+Operations!AQ229+Operations!AQ272+Operations!AQ304+Operations!AQ337+Operations!AQ379</f>
        <v/>
      </c>
      <c r="AR392" s="20">
        <f>Operations!AR101+Operations!AR143+Operations!AR186+Operations!AR229+Operations!AR272+Operations!AR304+Operations!AR337+Operations!AR379</f>
        <v/>
      </c>
      <c r="AS392" s="20">
        <f>Operations!AS101+Operations!AS143+Operations!AS186+Operations!AS229+Operations!AS272+Operations!AS304+Operations!AS337+Operations!AS379</f>
        <v/>
      </c>
      <c r="AT392" s="20">
        <f>Operations!AT101+Operations!AT143+Operations!AT186+Operations!AT229+Operations!AT272+Operations!AT304+Operations!AT337+Operations!AT379</f>
        <v/>
      </c>
      <c r="AU392" s="20">
        <f>Operations!AU101+Operations!AU143+Operations!AU186+Operations!AU229+Operations!AU272+Operations!AU304+Operations!AU337+Operations!AU379</f>
        <v/>
      </c>
    </row>
    <row r="393">
      <c r="D393" t="inlineStr">
        <is>
          <t>Mesa-share merchant revenue, all</t>
        </is>
      </c>
      <c r="E393" t="inlineStr">
        <is>
          <t>USD m</t>
        </is>
      </c>
      <c r="J393" s="20">
        <f>Operations!J102+Operations!J144+Operations!J187+Operations!J230+Operations!J273+Operations!J305+Operations!J338+Operations!J380</f>
        <v/>
      </c>
      <c r="K393" s="20">
        <f>Operations!K102+Operations!K144+Operations!K187+Operations!K230+Operations!K273+Operations!K305+Operations!K338+Operations!K380</f>
        <v/>
      </c>
      <c r="L393" s="20">
        <f>Operations!L102+Operations!L144+Operations!L187+Operations!L230+Operations!L273+Operations!L305+Operations!L338+Operations!L380</f>
        <v/>
      </c>
      <c r="M393" s="20">
        <f>Operations!M102+Operations!M144+Operations!M187+Operations!M230+Operations!M273+Operations!M305+Operations!M338+Operations!M380</f>
        <v/>
      </c>
      <c r="N393" s="20">
        <f>Operations!N102+Operations!N144+Operations!N187+Operations!N230+Operations!N273+Operations!N305+Operations!N338+Operations!N380</f>
        <v/>
      </c>
      <c r="O393" s="20">
        <f>Operations!O102+Operations!O144+Operations!O187+Operations!O230+Operations!O273+Operations!O305+Operations!O338+Operations!O380</f>
        <v/>
      </c>
      <c r="P393" s="20">
        <f>Operations!P102+Operations!P144+Operations!P187+Operations!P230+Operations!P273+Operations!P305+Operations!P338+Operations!P380</f>
        <v/>
      </c>
      <c r="Q393" s="20">
        <f>Operations!Q102+Operations!Q144+Operations!Q187+Operations!Q230+Operations!Q273+Operations!Q305+Operations!Q338+Operations!Q380</f>
        <v/>
      </c>
      <c r="R393" s="20">
        <f>Operations!R102+Operations!R144+Operations!R187+Operations!R230+Operations!R273+Operations!R305+Operations!R338+Operations!R380</f>
        <v/>
      </c>
      <c r="S393" s="20">
        <f>Operations!S102+Operations!S144+Operations!S187+Operations!S230+Operations!S273+Operations!S305+Operations!S338+Operations!S380</f>
        <v/>
      </c>
      <c r="T393" s="20">
        <f>Operations!T102+Operations!T144+Operations!T187+Operations!T230+Operations!T273+Operations!T305+Operations!T338+Operations!T380</f>
        <v/>
      </c>
      <c r="U393" s="20">
        <f>Operations!U102+Operations!U144+Operations!U187+Operations!U230+Operations!U273+Operations!U305+Operations!U338+Operations!U380</f>
        <v/>
      </c>
      <c r="V393" s="20">
        <f>Operations!V102+Operations!V144+Operations!V187+Operations!V230+Operations!V273+Operations!V305+Operations!V338+Operations!V380</f>
        <v/>
      </c>
      <c r="W393" s="20">
        <f>Operations!W102+Operations!W144+Operations!W187+Operations!W230+Operations!W273+Operations!W305+Operations!W338+Operations!W380</f>
        <v/>
      </c>
      <c r="X393" s="20">
        <f>Operations!X102+Operations!X144+Operations!X187+Operations!X230+Operations!X273+Operations!X305+Operations!X338+Operations!X380</f>
        <v/>
      </c>
      <c r="Y393" s="20">
        <f>Operations!Y102+Operations!Y144+Operations!Y187+Operations!Y230+Operations!Y273+Operations!Y305+Operations!Y338+Operations!Y380</f>
        <v/>
      </c>
      <c r="Z393" s="20">
        <f>Operations!Z102+Operations!Z144+Operations!Z187+Operations!Z230+Operations!Z273+Operations!Z305+Operations!Z338+Operations!Z380</f>
        <v/>
      </c>
      <c r="AA393" s="20">
        <f>Operations!AA102+Operations!AA144+Operations!AA187+Operations!AA230+Operations!AA273+Operations!AA305+Operations!AA338+Operations!AA380</f>
        <v/>
      </c>
      <c r="AB393" s="20">
        <f>Operations!AB102+Operations!AB144+Operations!AB187+Operations!AB230+Operations!AB273+Operations!AB305+Operations!AB338+Operations!AB380</f>
        <v/>
      </c>
      <c r="AC393" s="20">
        <f>Operations!AC102+Operations!AC144+Operations!AC187+Operations!AC230+Operations!AC273+Operations!AC305+Operations!AC338+Operations!AC380</f>
        <v/>
      </c>
      <c r="AD393" s="20">
        <f>Operations!AD102+Operations!AD144+Operations!AD187+Operations!AD230+Operations!AD273+Operations!AD305+Operations!AD338+Operations!AD380</f>
        <v/>
      </c>
      <c r="AE393" s="20">
        <f>Operations!AE102+Operations!AE144+Operations!AE187+Operations!AE230+Operations!AE273+Operations!AE305+Operations!AE338+Operations!AE380</f>
        <v/>
      </c>
      <c r="AF393" s="20">
        <f>Operations!AF102+Operations!AF144+Operations!AF187+Operations!AF230+Operations!AF273+Operations!AF305+Operations!AF338+Operations!AF380</f>
        <v/>
      </c>
      <c r="AG393" s="20">
        <f>Operations!AG102+Operations!AG144+Operations!AG187+Operations!AG230+Operations!AG273+Operations!AG305+Operations!AG338+Operations!AG380</f>
        <v/>
      </c>
      <c r="AH393" s="20">
        <f>Operations!AH102+Operations!AH144+Operations!AH187+Operations!AH230+Operations!AH273+Operations!AH305+Operations!AH338+Operations!AH380</f>
        <v/>
      </c>
      <c r="AI393" s="20">
        <f>Operations!AI102+Operations!AI144+Operations!AI187+Operations!AI230+Operations!AI273+Operations!AI305+Operations!AI338+Operations!AI380</f>
        <v/>
      </c>
      <c r="AJ393" s="20">
        <f>Operations!AJ102+Operations!AJ144+Operations!AJ187+Operations!AJ230+Operations!AJ273+Operations!AJ305+Operations!AJ338+Operations!AJ380</f>
        <v/>
      </c>
      <c r="AK393" s="20">
        <f>Operations!AK102+Operations!AK144+Operations!AK187+Operations!AK230+Operations!AK273+Operations!AK305+Operations!AK338+Operations!AK380</f>
        <v/>
      </c>
      <c r="AL393" s="20">
        <f>Operations!AL102+Operations!AL144+Operations!AL187+Operations!AL230+Operations!AL273+Operations!AL305+Operations!AL338+Operations!AL380</f>
        <v/>
      </c>
      <c r="AM393" s="20">
        <f>Operations!AM102+Operations!AM144+Operations!AM187+Operations!AM230+Operations!AM273+Operations!AM305+Operations!AM338+Operations!AM380</f>
        <v/>
      </c>
      <c r="AN393" s="20">
        <f>Operations!AN102+Operations!AN144+Operations!AN187+Operations!AN230+Operations!AN273+Operations!AN305+Operations!AN338+Operations!AN380</f>
        <v/>
      </c>
      <c r="AO393" s="20">
        <f>Operations!AO102+Operations!AO144+Operations!AO187+Operations!AO230+Operations!AO273+Operations!AO305+Operations!AO338+Operations!AO380</f>
        <v/>
      </c>
      <c r="AP393" s="20">
        <f>Operations!AP102+Operations!AP144+Operations!AP187+Operations!AP230+Operations!AP273+Operations!AP305+Operations!AP338+Operations!AP380</f>
        <v/>
      </c>
      <c r="AQ393" s="20">
        <f>Operations!AQ102+Operations!AQ144+Operations!AQ187+Operations!AQ230+Operations!AQ273+Operations!AQ305+Operations!AQ338+Operations!AQ380</f>
        <v/>
      </c>
      <c r="AR393" s="20">
        <f>Operations!AR102+Operations!AR144+Operations!AR187+Operations!AR230+Operations!AR273+Operations!AR305+Operations!AR338+Operations!AR380</f>
        <v/>
      </c>
      <c r="AS393" s="20">
        <f>Operations!AS102+Operations!AS144+Operations!AS187+Operations!AS230+Operations!AS273+Operations!AS305+Operations!AS338+Operations!AS380</f>
        <v/>
      </c>
      <c r="AT393" s="20">
        <f>Operations!AT102+Operations!AT144+Operations!AT187+Operations!AT230+Operations!AT273+Operations!AT305+Operations!AT338+Operations!AT380</f>
        <v/>
      </c>
      <c r="AU393" s="20">
        <f>Operations!AU102+Operations!AU144+Operations!AU187+Operations!AU230+Operations!AU273+Operations!AU305+Operations!AU338+Operations!AU380</f>
        <v/>
      </c>
    </row>
    <row r="394">
      <c r="D394" t="inlineStr">
        <is>
          <t>Mesa-share revenue, all</t>
        </is>
      </c>
      <c r="E394" t="inlineStr">
        <is>
          <t>USD m</t>
        </is>
      </c>
      <c r="J394" s="20">
        <f>Operations!J391+Operations!J392+Operations!J393</f>
        <v/>
      </c>
      <c r="K394" s="20">
        <f>Operations!K391+Operations!K392+Operations!K393</f>
        <v/>
      </c>
      <c r="L394" s="20">
        <f>Operations!L391+Operations!L392+Operations!L393</f>
        <v/>
      </c>
      <c r="M394" s="20">
        <f>Operations!M391+Operations!M392+Operations!M393</f>
        <v/>
      </c>
      <c r="N394" s="20">
        <f>Operations!N391+Operations!N392+Operations!N393</f>
        <v/>
      </c>
      <c r="O394" s="20">
        <f>Operations!O391+Operations!O392+Operations!O393</f>
        <v/>
      </c>
      <c r="P394" s="20">
        <f>Operations!P391+Operations!P392+Operations!P393</f>
        <v/>
      </c>
      <c r="Q394" s="20">
        <f>Operations!Q391+Operations!Q392+Operations!Q393</f>
        <v/>
      </c>
      <c r="R394" s="20">
        <f>Operations!R391+Operations!R392+Operations!R393</f>
        <v/>
      </c>
      <c r="S394" s="20">
        <f>Operations!S391+Operations!S392+Operations!S393</f>
        <v/>
      </c>
      <c r="T394" s="20">
        <f>Operations!T391+Operations!T392+Operations!T393</f>
        <v/>
      </c>
      <c r="U394" s="20">
        <f>Operations!U391+Operations!U392+Operations!U393</f>
        <v/>
      </c>
      <c r="V394" s="20">
        <f>Operations!V391+Operations!V392+Operations!V393</f>
        <v/>
      </c>
      <c r="W394" s="20">
        <f>Operations!W391+Operations!W392+Operations!W393</f>
        <v/>
      </c>
      <c r="X394" s="20">
        <f>Operations!X391+Operations!X392+Operations!X393</f>
        <v/>
      </c>
      <c r="Y394" s="20">
        <f>Operations!Y391+Operations!Y392+Operations!Y393</f>
        <v/>
      </c>
      <c r="Z394" s="20">
        <f>Operations!Z391+Operations!Z392+Operations!Z393</f>
        <v/>
      </c>
      <c r="AA394" s="20">
        <f>Operations!AA391+Operations!AA392+Operations!AA393</f>
        <v/>
      </c>
      <c r="AB394" s="20">
        <f>Operations!AB391+Operations!AB392+Operations!AB393</f>
        <v/>
      </c>
      <c r="AC394" s="20">
        <f>Operations!AC391+Operations!AC392+Operations!AC393</f>
        <v/>
      </c>
      <c r="AD394" s="20">
        <f>Operations!AD391+Operations!AD392+Operations!AD393</f>
        <v/>
      </c>
      <c r="AE394" s="20">
        <f>Operations!AE391+Operations!AE392+Operations!AE393</f>
        <v/>
      </c>
      <c r="AF394" s="20">
        <f>Operations!AF391+Operations!AF392+Operations!AF393</f>
        <v/>
      </c>
      <c r="AG394" s="20">
        <f>Operations!AG391+Operations!AG392+Operations!AG393</f>
        <v/>
      </c>
      <c r="AH394" s="20">
        <f>Operations!AH391+Operations!AH392+Operations!AH393</f>
        <v/>
      </c>
      <c r="AI394" s="20">
        <f>Operations!AI391+Operations!AI392+Operations!AI393</f>
        <v/>
      </c>
      <c r="AJ394" s="20">
        <f>Operations!AJ391+Operations!AJ392+Operations!AJ393</f>
        <v/>
      </c>
      <c r="AK394" s="20">
        <f>Operations!AK391+Operations!AK392+Operations!AK393</f>
        <v/>
      </c>
      <c r="AL394" s="20">
        <f>Operations!AL391+Operations!AL392+Operations!AL393</f>
        <v/>
      </c>
      <c r="AM394" s="20">
        <f>Operations!AM391+Operations!AM392+Operations!AM393</f>
        <v/>
      </c>
      <c r="AN394" s="20">
        <f>Operations!AN391+Operations!AN392+Operations!AN393</f>
        <v/>
      </c>
      <c r="AO394" s="20">
        <f>Operations!AO391+Operations!AO392+Operations!AO393</f>
        <v/>
      </c>
      <c r="AP394" s="20">
        <f>Operations!AP391+Operations!AP392+Operations!AP393</f>
        <v/>
      </c>
      <c r="AQ394" s="20">
        <f>Operations!AQ391+Operations!AQ392+Operations!AQ393</f>
        <v/>
      </c>
      <c r="AR394" s="20">
        <f>Operations!AR391+Operations!AR392+Operations!AR393</f>
        <v/>
      </c>
      <c r="AS394" s="20">
        <f>Operations!AS391+Operations!AS392+Operations!AS393</f>
        <v/>
      </c>
      <c r="AT394" s="20">
        <f>Operations!AT391+Operations!AT392+Operations!AT393</f>
        <v/>
      </c>
      <c r="AU394" s="20">
        <f>Operations!AU391+Operations!AU392+Operations!AU393</f>
        <v/>
      </c>
    </row>
    <row r="395">
      <c r="D395" t="inlineStr">
        <is>
          <t>Mesa cash flow, a3 assets</t>
        </is>
      </c>
      <c r="E395" t="inlineStr">
        <is>
          <t>USD m</t>
        </is>
      </c>
      <c r="J395" s="20">
        <f>Operations!J330+Operations!J372</f>
        <v/>
      </c>
      <c r="K395" s="20">
        <f>Operations!K330+Operations!K372</f>
        <v/>
      </c>
      <c r="L395" s="20">
        <f>Operations!L330+Operations!L372</f>
        <v/>
      </c>
      <c r="M395" s="20">
        <f>Operations!M330+Operations!M372</f>
        <v/>
      </c>
      <c r="N395" s="20">
        <f>Operations!N330+Operations!N372</f>
        <v/>
      </c>
      <c r="O395" s="20">
        <f>Operations!O330+Operations!O372</f>
        <v/>
      </c>
      <c r="P395" s="20">
        <f>Operations!P330+Operations!P372</f>
        <v/>
      </c>
      <c r="Q395" s="20">
        <f>Operations!Q330+Operations!Q372</f>
        <v/>
      </c>
      <c r="R395" s="20">
        <f>Operations!R330+Operations!R372</f>
        <v/>
      </c>
      <c r="S395" s="20">
        <f>Operations!S330+Operations!S372</f>
        <v/>
      </c>
      <c r="T395" s="20">
        <f>Operations!T330+Operations!T372</f>
        <v/>
      </c>
      <c r="U395" s="20">
        <f>Operations!U330+Operations!U372</f>
        <v/>
      </c>
      <c r="V395" s="20">
        <f>Operations!V330+Operations!V372</f>
        <v/>
      </c>
      <c r="W395" s="20">
        <f>Operations!W330+Operations!W372</f>
        <v/>
      </c>
      <c r="X395" s="20">
        <f>Operations!X330+Operations!X372</f>
        <v/>
      </c>
      <c r="Y395" s="20">
        <f>Operations!Y330+Operations!Y372</f>
        <v/>
      </c>
      <c r="Z395" s="20">
        <f>Operations!Z330+Operations!Z372</f>
        <v/>
      </c>
      <c r="AA395" s="20">
        <f>Operations!AA330+Operations!AA372</f>
        <v/>
      </c>
      <c r="AB395" s="20">
        <f>Operations!AB330+Operations!AB372</f>
        <v/>
      </c>
      <c r="AC395" s="20">
        <f>Operations!AC330+Operations!AC372</f>
        <v/>
      </c>
      <c r="AD395" s="20">
        <f>Operations!AD330+Operations!AD372</f>
        <v/>
      </c>
      <c r="AE395" s="20">
        <f>Operations!AE330+Operations!AE372</f>
        <v/>
      </c>
      <c r="AF395" s="20">
        <f>Operations!AF330+Operations!AF372</f>
        <v/>
      </c>
      <c r="AG395" s="20">
        <f>Operations!AG330+Operations!AG372</f>
        <v/>
      </c>
      <c r="AH395" s="20">
        <f>Operations!AH330+Operations!AH372</f>
        <v/>
      </c>
      <c r="AI395" s="20">
        <f>Operations!AI330+Operations!AI372</f>
        <v/>
      </c>
      <c r="AJ395" s="20">
        <f>Operations!AJ330+Operations!AJ372</f>
        <v/>
      </c>
      <c r="AK395" s="20">
        <f>Operations!AK330+Operations!AK372</f>
        <v/>
      </c>
      <c r="AL395" s="20">
        <f>Operations!AL330+Operations!AL372</f>
        <v/>
      </c>
      <c r="AM395" s="20">
        <f>Operations!AM330+Operations!AM372</f>
        <v/>
      </c>
      <c r="AN395" s="20">
        <f>Operations!AN330+Operations!AN372</f>
        <v/>
      </c>
      <c r="AO395" s="20">
        <f>Operations!AO330+Operations!AO372</f>
        <v/>
      </c>
      <c r="AP395" s="20">
        <f>Operations!AP330+Operations!AP372</f>
        <v/>
      </c>
      <c r="AQ395" s="20">
        <f>Operations!AQ330+Operations!AQ372</f>
        <v/>
      </c>
      <c r="AR395" s="20">
        <f>Operations!AR330+Operations!AR372</f>
        <v/>
      </c>
      <c r="AS395" s="20">
        <f>Operations!AS330+Operations!AS372</f>
        <v/>
      </c>
      <c r="AT395" s="20">
        <f>Operations!AT330+Operations!AT372</f>
        <v/>
      </c>
      <c r="AU395" s="20">
        <f>Operations!AU330+Operations!AU372</f>
        <v/>
      </c>
    </row>
    <row r="396">
      <c r="D396" t="inlineStr">
        <is>
          <t>Mesa-share contracted revenue, a3</t>
        </is>
      </c>
      <c r="E396" t="inlineStr">
        <is>
          <t>USD m</t>
        </is>
      </c>
      <c r="J396" s="20">
        <f>Operations!J336+Operations!J378</f>
        <v/>
      </c>
      <c r="K396" s="20">
        <f>Operations!K336+Operations!K378</f>
        <v/>
      </c>
      <c r="L396" s="20">
        <f>Operations!L336+Operations!L378</f>
        <v/>
      </c>
      <c r="M396" s="20">
        <f>Operations!M336+Operations!M378</f>
        <v/>
      </c>
      <c r="N396" s="20">
        <f>Operations!N336+Operations!N378</f>
        <v/>
      </c>
      <c r="O396" s="20">
        <f>Operations!O336+Operations!O378</f>
        <v/>
      </c>
      <c r="P396" s="20">
        <f>Operations!P336+Operations!P378</f>
        <v/>
      </c>
      <c r="Q396" s="20">
        <f>Operations!Q336+Operations!Q378</f>
        <v/>
      </c>
      <c r="R396" s="20">
        <f>Operations!R336+Operations!R378</f>
        <v/>
      </c>
      <c r="S396" s="20">
        <f>Operations!S336+Operations!S378</f>
        <v/>
      </c>
      <c r="T396" s="20">
        <f>Operations!T336+Operations!T378</f>
        <v/>
      </c>
      <c r="U396" s="20">
        <f>Operations!U336+Operations!U378</f>
        <v/>
      </c>
      <c r="V396" s="20">
        <f>Operations!V336+Operations!V378</f>
        <v/>
      </c>
      <c r="W396" s="20">
        <f>Operations!W336+Operations!W378</f>
        <v/>
      </c>
      <c r="X396" s="20">
        <f>Operations!X336+Operations!X378</f>
        <v/>
      </c>
      <c r="Y396" s="20">
        <f>Operations!Y336+Operations!Y378</f>
        <v/>
      </c>
      <c r="Z396" s="20">
        <f>Operations!Z336+Operations!Z378</f>
        <v/>
      </c>
      <c r="AA396" s="20">
        <f>Operations!AA336+Operations!AA378</f>
        <v/>
      </c>
      <c r="AB396" s="20">
        <f>Operations!AB336+Operations!AB378</f>
        <v/>
      </c>
      <c r="AC396" s="20">
        <f>Operations!AC336+Operations!AC378</f>
        <v/>
      </c>
      <c r="AD396" s="20">
        <f>Operations!AD336+Operations!AD378</f>
        <v/>
      </c>
      <c r="AE396" s="20">
        <f>Operations!AE336+Operations!AE378</f>
        <v/>
      </c>
      <c r="AF396" s="20">
        <f>Operations!AF336+Operations!AF378</f>
        <v/>
      </c>
      <c r="AG396" s="20">
        <f>Operations!AG336+Operations!AG378</f>
        <v/>
      </c>
      <c r="AH396" s="20">
        <f>Operations!AH336+Operations!AH378</f>
        <v/>
      </c>
      <c r="AI396" s="20">
        <f>Operations!AI336+Operations!AI378</f>
        <v/>
      </c>
      <c r="AJ396" s="20">
        <f>Operations!AJ336+Operations!AJ378</f>
        <v/>
      </c>
      <c r="AK396" s="20">
        <f>Operations!AK336+Operations!AK378</f>
        <v/>
      </c>
      <c r="AL396" s="20">
        <f>Operations!AL336+Operations!AL378</f>
        <v/>
      </c>
      <c r="AM396" s="20">
        <f>Operations!AM336+Operations!AM378</f>
        <v/>
      </c>
      <c r="AN396" s="20">
        <f>Operations!AN336+Operations!AN378</f>
        <v/>
      </c>
      <c r="AO396" s="20">
        <f>Operations!AO336+Operations!AO378</f>
        <v/>
      </c>
      <c r="AP396" s="20">
        <f>Operations!AP336+Operations!AP378</f>
        <v/>
      </c>
      <c r="AQ396" s="20">
        <f>Operations!AQ336+Operations!AQ378</f>
        <v/>
      </c>
      <c r="AR396" s="20">
        <f>Operations!AR336+Operations!AR378</f>
        <v/>
      </c>
      <c r="AS396" s="20">
        <f>Operations!AS336+Operations!AS378</f>
        <v/>
      </c>
      <c r="AT396" s="20">
        <f>Operations!AT336+Operations!AT378</f>
        <v/>
      </c>
      <c r="AU396" s="20">
        <f>Operations!AU336+Operations!AU378</f>
        <v/>
      </c>
    </row>
    <row r="397">
      <c r="D397" t="inlineStr">
        <is>
          <t>Mesa-share hedged revenue, a3</t>
        </is>
      </c>
      <c r="E397" t="inlineStr">
        <is>
          <t>USD m</t>
        </is>
      </c>
      <c r="J397" s="20">
        <f>Operations!J337+Operations!J379</f>
        <v/>
      </c>
      <c r="K397" s="20">
        <f>Operations!K337+Operations!K379</f>
        <v/>
      </c>
      <c r="L397" s="20">
        <f>Operations!L337+Operations!L379</f>
        <v/>
      </c>
      <c r="M397" s="20">
        <f>Operations!M337+Operations!M379</f>
        <v/>
      </c>
      <c r="N397" s="20">
        <f>Operations!N337+Operations!N379</f>
        <v/>
      </c>
      <c r="O397" s="20">
        <f>Operations!O337+Operations!O379</f>
        <v/>
      </c>
      <c r="P397" s="20">
        <f>Operations!P337+Operations!P379</f>
        <v/>
      </c>
      <c r="Q397" s="20">
        <f>Operations!Q337+Operations!Q379</f>
        <v/>
      </c>
      <c r="R397" s="20">
        <f>Operations!R337+Operations!R379</f>
        <v/>
      </c>
      <c r="S397" s="20">
        <f>Operations!S337+Operations!S379</f>
        <v/>
      </c>
      <c r="T397" s="20">
        <f>Operations!T337+Operations!T379</f>
        <v/>
      </c>
      <c r="U397" s="20">
        <f>Operations!U337+Operations!U379</f>
        <v/>
      </c>
      <c r="V397" s="20">
        <f>Operations!V337+Operations!V379</f>
        <v/>
      </c>
      <c r="W397" s="20">
        <f>Operations!W337+Operations!W379</f>
        <v/>
      </c>
      <c r="X397" s="20">
        <f>Operations!X337+Operations!X379</f>
        <v/>
      </c>
      <c r="Y397" s="20">
        <f>Operations!Y337+Operations!Y379</f>
        <v/>
      </c>
      <c r="Z397" s="20">
        <f>Operations!Z337+Operations!Z379</f>
        <v/>
      </c>
      <c r="AA397" s="20">
        <f>Operations!AA337+Operations!AA379</f>
        <v/>
      </c>
      <c r="AB397" s="20">
        <f>Operations!AB337+Operations!AB379</f>
        <v/>
      </c>
      <c r="AC397" s="20">
        <f>Operations!AC337+Operations!AC379</f>
        <v/>
      </c>
      <c r="AD397" s="20">
        <f>Operations!AD337+Operations!AD379</f>
        <v/>
      </c>
      <c r="AE397" s="20">
        <f>Operations!AE337+Operations!AE379</f>
        <v/>
      </c>
      <c r="AF397" s="20">
        <f>Operations!AF337+Operations!AF379</f>
        <v/>
      </c>
      <c r="AG397" s="20">
        <f>Operations!AG337+Operations!AG379</f>
        <v/>
      </c>
      <c r="AH397" s="20">
        <f>Operations!AH337+Operations!AH379</f>
        <v/>
      </c>
      <c r="AI397" s="20">
        <f>Operations!AI337+Operations!AI379</f>
        <v/>
      </c>
      <c r="AJ397" s="20">
        <f>Operations!AJ337+Operations!AJ379</f>
        <v/>
      </c>
      <c r="AK397" s="20">
        <f>Operations!AK337+Operations!AK379</f>
        <v/>
      </c>
      <c r="AL397" s="20">
        <f>Operations!AL337+Operations!AL379</f>
        <v/>
      </c>
      <c r="AM397" s="20">
        <f>Operations!AM337+Operations!AM379</f>
        <v/>
      </c>
      <c r="AN397" s="20">
        <f>Operations!AN337+Operations!AN379</f>
        <v/>
      </c>
      <c r="AO397" s="20">
        <f>Operations!AO337+Operations!AO379</f>
        <v/>
      </c>
      <c r="AP397" s="20">
        <f>Operations!AP337+Operations!AP379</f>
        <v/>
      </c>
      <c r="AQ397" s="20">
        <f>Operations!AQ337+Operations!AQ379</f>
        <v/>
      </c>
      <c r="AR397" s="20">
        <f>Operations!AR337+Operations!AR379</f>
        <v/>
      </c>
      <c r="AS397" s="20">
        <f>Operations!AS337+Operations!AS379</f>
        <v/>
      </c>
      <c r="AT397" s="20">
        <f>Operations!AT337+Operations!AT379</f>
        <v/>
      </c>
      <c r="AU397" s="20">
        <f>Operations!AU337+Operations!AU379</f>
        <v/>
      </c>
    </row>
    <row r="398">
      <c r="D398" t="inlineStr">
        <is>
          <t>Mesa-share merchant revenue, a3</t>
        </is>
      </c>
      <c r="E398" t="inlineStr">
        <is>
          <t>USD m</t>
        </is>
      </c>
      <c r="J398" s="20">
        <f>Operations!J338+Operations!J380</f>
        <v/>
      </c>
      <c r="K398" s="20">
        <f>Operations!K338+Operations!K380</f>
        <v/>
      </c>
      <c r="L398" s="20">
        <f>Operations!L338+Operations!L380</f>
        <v/>
      </c>
      <c r="M398" s="20">
        <f>Operations!M338+Operations!M380</f>
        <v/>
      </c>
      <c r="N398" s="20">
        <f>Operations!N338+Operations!N380</f>
        <v/>
      </c>
      <c r="O398" s="20">
        <f>Operations!O338+Operations!O380</f>
        <v/>
      </c>
      <c r="P398" s="20">
        <f>Operations!P338+Operations!P380</f>
        <v/>
      </c>
      <c r="Q398" s="20">
        <f>Operations!Q338+Operations!Q380</f>
        <v/>
      </c>
      <c r="R398" s="20">
        <f>Operations!R338+Operations!R380</f>
        <v/>
      </c>
      <c r="S398" s="20">
        <f>Operations!S338+Operations!S380</f>
        <v/>
      </c>
      <c r="T398" s="20">
        <f>Operations!T338+Operations!T380</f>
        <v/>
      </c>
      <c r="U398" s="20">
        <f>Operations!U338+Operations!U380</f>
        <v/>
      </c>
      <c r="V398" s="20">
        <f>Operations!V338+Operations!V380</f>
        <v/>
      </c>
      <c r="W398" s="20">
        <f>Operations!W338+Operations!W380</f>
        <v/>
      </c>
      <c r="X398" s="20">
        <f>Operations!X338+Operations!X380</f>
        <v/>
      </c>
      <c r="Y398" s="20">
        <f>Operations!Y338+Operations!Y380</f>
        <v/>
      </c>
      <c r="Z398" s="20">
        <f>Operations!Z338+Operations!Z380</f>
        <v/>
      </c>
      <c r="AA398" s="20">
        <f>Operations!AA338+Operations!AA380</f>
        <v/>
      </c>
      <c r="AB398" s="20">
        <f>Operations!AB338+Operations!AB380</f>
        <v/>
      </c>
      <c r="AC398" s="20">
        <f>Operations!AC338+Operations!AC380</f>
        <v/>
      </c>
      <c r="AD398" s="20">
        <f>Operations!AD338+Operations!AD380</f>
        <v/>
      </c>
      <c r="AE398" s="20">
        <f>Operations!AE338+Operations!AE380</f>
        <v/>
      </c>
      <c r="AF398" s="20">
        <f>Operations!AF338+Operations!AF380</f>
        <v/>
      </c>
      <c r="AG398" s="20">
        <f>Operations!AG338+Operations!AG380</f>
        <v/>
      </c>
      <c r="AH398" s="20">
        <f>Operations!AH338+Operations!AH380</f>
        <v/>
      </c>
      <c r="AI398" s="20">
        <f>Operations!AI338+Operations!AI380</f>
        <v/>
      </c>
      <c r="AJ398" s="20">
        <f>Operations!AJ338+Operations!AJ380</f>
        <v/>
      </c>
      <c r="AK398" s="20">
        <f>Operations!AK338+Operations!AK380</f>
        <v/>
      </c>
      <c r="AL398" s="20">
        <f>Operations!AL338+Operations!AL380</f>
        <v/>
      </c>
      <c r="AM398" s="20">
        <f>Operations!AM338+Operations!AM380</f>
        <v/>
      </c>
      <c r="AN398" s="20">
        <f>Operations!AN338+Operations!AN380</f>
        <v/>
      </c>
      <c r="AO398" s="20">
        <f>Operations!AO338+Operations!AO380</f>
        <v/>
      </c>
      <c r="AP398" s="20">
        <f>Operations!AP338+Operations!AP380</f>
        <v/>
      </c>
      <c r="AQ398" s="20">
        <f>Operations!AQ338+Operations!AQ380</f>
        <v/>
      </c>
      <c r="AR398" s="20">
        <f>Operations!AR338+Operations!AR380</f>
        <v/>
      </c>
      <c r="AS398" s="20">
        <f>Operations!AS338+Operations!AS380</f>
        <v/>
      </c>
      <c r="AT398" s="20">
        <f>Operations!AT338+Operations!AT380</f>
        <v/>
      </c>
      <c r="AU398" s="20">
        <f>Operations!AU338+Operations!AU380</f>
        <v/>
      </c>
    </row>
    <row r="399">
      <c r="D399" t="inlineStr">
        <is>
          <t>Mesa-share revenue, a3</t>
        </is>
      </c>
      <c r="E399" t="inlineStr">
        <is>
          <t>USD m</t>
        </is>
      </c>
      <c r="J399" s="20">
        <f>Operations!J396+Operations!J397+Operations!J398</f>
        <v/>
      </c>
      <c r="K399" s="20">
        <f>Operations!K396+Operations!K397+Operations!K398</f>
        <v/>
      </c>
      <c r="L399" s="20">
        <f>Operations!L396+Operations!L397+Operations!L398</f>
        <v/>
      </c>
      <c r="M399" s="20">
        <f>Operations!M396+Operations!M397+Operations!M398</f>
        <v/>
      </c>
      <c r="N399" s="20">
        <f>Operations!N396+Operations!N397+Operations!N398</f>
        <v/>
      </c>
      <c r="O399" s="20">
        <f>Operations!O396+Operations!O397+Operations!O398</f>
        <v/>
      </c>
      <c r="P399" s="20">
        <f>Operations!P396+Operations!P397+Operations!P398</f>
        <v/>
      </c>
      <c r="Q399" s="20">
        <f>Operations!Q396+Operations!Q397+Operations!Q398</f>
        <v/>
      </c>
      <c r="R399" s="20">
        <f>Operations!R396+Operations!R397+Operations!R398</f>
        <v/>
      </c>
      <c r="S399" s="20">
        <f>Operations!S396+Operations!S397+Operations!S398</f>
        <v/>
      </c>
      <c r="T399" s="20">
        <f>Operations!T396+Operations!T397+Operations!T398</f>
        <v/>
      </c>
      <c r="U399" s="20">
        <f>Operations!U396+Operations!U397+Operations!U398</f>
        <v/>
      </c>
      <c r="V399" s="20">
        <f>Operations!V396+Operations!V397+Operations!V398</f>
        <v/>
      </c>
      <c r="W399" s="20">
        <f>Operations!W396+Operations!W397+Operations!W398</f>
        <v/>
      </c>
      <c r="X399" s="20">
        <f>Operations!X396+Operations!X397+Operations!X398</f>
        <v/>
      </c>
      <c r="Y399" s="20">
        <f>Operations!Y396+Operations!Y397+Operations!Y398</f>
        <v/>
      </c>
      <c r="Z399" s="20">
        <f>Operations!Z396+Operations!Z397+Operations!Z398</f>
        <v/>
      </c>
      <c r="AA399" s="20">
        <f>Operations!AA396+Operations!AA397+Operations!AA398</f>
        <v/>
      </c>
      <c r="AB399" s="20">
        <f>Operations!AB396+Operations!AB397+Operations!AB398</f>
        <v/>
      </c>
      <c r="AC399" s="20">
        <f>Operations!AC396+Operations!AC397+Operations!AC398</f>
        <v/>
      </c>
      <c r="AD399" s="20">
        <f>Operations!AD396+Operations!AD397+Operations!AD398</f>
        <v/>
      </c>
      <c r="AE399" s="20">
        <f>Operations!AE396+Operations!AE397+Operations!AE398</f>
        <v/>
      </c>
      <c r="AF399" s="20">
        <f>Operations!AF396+Operations!AF397+Operations!AF398</f>
        <v/>
      </c>
      <c r="AG399" s="20">
        <f>Operations!AG396+Operations!AG397+Operations!AG398</f>
        <v/>
      </c>
      <c r="AH399" s="20">
        <f>Operations!AH396+Operations!AH397+Operations!AH398</f>
        <v/>
      </c>
      <c r="AI399" s="20">
        <f>Operations!AI396+Operations!AI397+Operations!AI398</f>
        <v/>
      </c>
      <c r="AJ399" s="20">
        <f>Operations!AJ396+Operations!AJ397+Operations!AJ398</f>
        <v/>
      </c>
      <c r="AK399" s="20">
        <f>Operations!AK396+Operations!AK397+Operations!AK398</f>
        <v/>
      </c>
      <c r="AL399" s="20">
        <f>Operations!AL396+Operations!AL397+Operations!AL398</f>
        <v/>
      </c>
      <c r="AM399" s="20">
        <f>Operations!AM396+Operations!AM397+Operations!AM398</f>
        <v/>
      </c>
      <c r="AN399" s="20">
        <f>Operations!AN396+Operations!AN397+Operations!AN398</f>
        <v/>
      </c>
      <c r="AO399" s="20">
        <f>Operations!AO396+Operations!AO397+Operations!AO398</f>
        <v/>
      </c>
      <c r="AP399" s="20">
        <f>Operations!AP396+Operations!AP397+Operations!AP398</f>
        <v/>
      </c>
      <c r="AQ399" s="20">
        <f>Operations!AQ396+Operations!AQ397+Operations!AQ398</f>
        <v/>
      </c>
      <c r="AR399" s="20">
        <f>Operations!AR396+Operations!AR397+Operations!AR398</f>
        <v/>
      </c>
      <c r="AS399" s="20">
        <f>Operations!AS396+Operations!AS397+Operations!AS398</f>
        <v/>
      </c>
      <c r="AT399" s="20">
        <f>Operations!AT396+Operations!AT397+Operations!AT398</f>
        <v/>
      </c>
      <c r="AU399" s="20">
        <f>Operations!AU396+Operations!AU397+Operations!AU398</f>
        <v/>
      </c>
    </row>
    <row r="400">
      <c r="D400" t="inlineStr">
        <is>
          <t>CFADS, A1 group (opco term loan borrower group)</t>
        </is>
      </c>
      <c r="E400" t="inlineStr">
        <is>
          <t>USD m</t>
        </is>
      </c>
      <c r="G400" s="20">
        <f>SUM(J400:AU400)</f>
        <v/>
      </c>
      <c r="J400" s="20">
        <f>Operations!J385-Operations!J384</f>
        <v/>
      </c>
      <c r="K400" s="20">
        <f>Operations!K385-Operations!K384</f>
        <v/>
      </c>
      <c r="L400" s="20">
        <f>Operations!L385-Operations!L384</f>
        <v/>
      </c>
      <c r="M400" s="20">
        <f>Operations!M385-Operations!M384</f>
        <v/>
      </c>
      <c r="N400" s="20">
        <f>Operations!N385-Operations!N384</f>
        <v/>
      </c>
      <c r="O400" s="20">
        <f>Operations!O385-Operations!O384</f>
        <v/>
      </c>
      <c r="P400" s="20">
        <f>Operations!P385-Operations!P384</f>
        <v/>
      </c>
      <c r="Q400" s="20">
        <f>Operations!Q385-Operations!Q384</f>
        <v/>
      </c>
      <c r="R400" s="20">
        <f>Operations!R385-Operations!R384</f>
        <v/>
      </c>
      <c r="S400" s="20">
        <f>Operations!S385-Operations!S384</f>
        <v/>
      </c>
      <c r="T400" s="20">
        <f>Operations!T385-Operations!T384</f>
        <v/>
      </c>
      <c r="U400" s="20">
        <f>Operations!U385-Operations!U384</f>
        <v/>
      </c>
      <c r="V400" s="20">
        <f>Operations!V385-Operations!V384</f>
        <v/>
      </c>
      <c r="W400" s="20">
        <f>Operations!W385-Operations!W384</f>
        <v/>
      </c>
      <c r="X400" s="20">
        <f>Operations!X385-Operations!X384</f>
        <v/>
      </c>
      <c r="Y400" s="20">
        <f>Operations!Y385-Operations!Y384</f>
        <v/>
      </c>
      <c r="Z400" s="20">
        <f>Operations!Z385-Operations!Z384</f>
        <v/>
      </c>
      <c r="AA400" s="20">
        <f>Operations!AA385-Operations!AA384</f>
        <v/>
      </c>
      <c r="AB400" s="20">
        <f>Operations!AB385-Operations!AB384</f>
        <v/>
      </c>
      <c r="AC400" s="20">
        <f>Operations!AC385-Operations!AC384</f>
        <v/>
      </c>
      <c r="AD400" s="20">
        <f>Operations!AD385-Operations!AD384</f>
        <v/>
      </c>
      <c r="AE400" s="20">
        <f>Operations!AE385-Operations!AE384</f>
        <v/>
      </c>
      <c r="AF400" s="20">
        <f>Operations!AF385-Operations!AF384</f>
        <v/>
      </c>
      <c r="AG400" s="20">
        <f>Operations!AG385-Operations!AG384</f>
        <v/>
      </c>
      <c r="AH400" s="20">
        <f>Operations!AH385-Operations!AH384</f>
        <v/>
      </c>
      <c r="AI400" s="20">
        <f>Operations!AI385-Operations!AI384</f>
        <v/>
      </c>
      <c r="AJ400" s="20">
        <f>Operations!AJ385-Operations!AJ384</f>
        <v/>
      </c>
      <c r="AK400" s="20">
        <f>Operations!AK385-Operations!AK384</f>
        <v/>
      </c>
      <c r="AL400" s="20">
        <f>Operations!AL385-Operations!AL384</f>
        <v/>
      </c>
      <c r="AM400" s="20">
        <f>Operations!AM385-Operations!AM384</f>
        <v/>
      </c>
      <c r="AN400" s="20">
        <f>Operations!AN385-Operations!AN384</f>
        <v/>
      </c>
      <c r="AO400" s="20">
        <f>Operations!AO385-Operations!AO384</f>
        <v/>
      </c>
      <c r="AP400" s="20">
        <f>Operations!AP385-Operations!AP384</f>
        <v/>
      </c>
      <c r="AQ400" s="20">
        <f>Operations!AQ385-Operations!AQ384</f>
        <v/>
      </c>
      <c r="AR400" s="20">
        <f>Operations!AR385-Operations!AR384</f>
        <v/>
      </c>
      <c r="AS400" s="20">
        <f>Operations!AS385-Operations!AS384</f>
        <v/>
      </c>
      <c r="AT400" s="20">
        <f>Operations!AT385-Operations!AT384</f>
        <v/>
      </c>
      <c r="AU400" s="20">
        <f>Operations!AU385-Operations!AU384</f>
        <v/>
      </c>
    </row>
    <row r="401">
      <c r="D401" t="inlineStr">
        <is>
          <t>CFADS, portfolio (all assets)</t>
        </is>
      </c>
      <c r="E401" t="inlineStr">
        <is>
          <t>USD m</t>
        </is>
      </c>
      <c r="G401" s="20">
        <f>SUM(J401:AU401)</f>
        <v/>
      </c>
      <c r="J401" s="20">
        <f>Operations!J390-Operations!J384</f>
        <v/>
      </c>
      <c r="K401" s="20">
        <f>Operations!K390-Operations!K384</f>
        <v/>
      </c>
      <c r="L401" s="20">
        <f>Operations!L390-Operations!L384</f>
        <v/>
      </c>
      <c r="M401" s="20">
        <f>Operations!M390-Operations!M384</f>
        <v/>
      </c>
      <c r="N401" s="20">
        <f>Operations!N390-Operations!N384</f>
        <v/>
      </c>
      <c r="O401" s="20">
        <f>Operations!O390-Operations!O384</f>
        <v/>
      </c>
      <c r="P401" s="20">
        <f>Operations!P390-Operations!P384</f>
        <v/>
      </c>
      <c r="Q401" s="20">
        <f>Operations!Q390-Operations!Q384</f>
        <v/>
      </c>
      <c r="R401" s="20">
        <f>Operations!R390-Operations!R384</f>
        <v/>
      </c>
      <c r="S401" s="20">
        <f>Operations!S390-Operations!S384</f>
        <v/>
      </c>
      <c r="T401" s="20">
        <f>Operations!T390-Operations!T384</f>
        <v/>
      </c>
      <c r="U401" s="20">
        <f>Operations!U390-Operations!U384</f>
        <v/>
      </c>
      <c r="V401" s="20">
        <f>Operations!V390-Operations!V384</f>
        <v/>
      </c>
      <c r="W401" s="20">
        <f>Operations!W390-Operations!W384</f>
        <v/>
      </c>
      <c r="X401" s="20">
        <f>Operations!X390-Operations!X384</f>
        <v/>
      </c>
      <c r="Y401" s="20">
        <f>Operations!Y390-Operations!Y384</f>
        <v/>
      </c>
      <c r="Z401" s="20">
        <f>Operations!Z390-Operations!Z384</f>
        <v/>
      </c>
      <c r="AA401" s="20">
        <f>Operations!AA390-Operations!AA384</f>
        <v/>
      </c>
      <c r="AB401" s="20">
        <f>Operations!AB390-Operations!AB384</f>
        <v/>
      </c>
      <c r="AC401" s="20">
        <f>Operations!AC390-Operations!AC384</f>
        <v/>
      </c>
      <c r="AD401" s="20">
        <f>Operations!AD390-Operations!AD384</f>
        <v/>
      </c>
      <c r="AE401" s="20">
        <f>Operations!AE390-Operations!AE384</f>
        <v/>
      </c>
      <c r="AF401" s="20">
        <f>Operations!AF390-Operations!AF384</f>
        <v/>
      </c>
      <c r="AG401" s="20">
        <f>Operations!AG390-Operations!AG384</f>
        <v/>
      </c>
      <c r="AH401" s="20">
        <f>Operations!AH390-Operations!AH384</f>
        <v/>
      </c>
      <c r="AI401" s="20">
        <f>Operations!AI390-Operations!AI384</f>
        <v/>
      </c>
      <c r="AJ401" s="20">
        <f>Operations!AJ390-Operations!AJ384</f>
        <v/>
      </c>
      <c r="AK401" s="20">
        <f>Operations!AK390-Operations!AK384</f>
        <v/>
      </c>
      <c r="AL401" s="20">
        <f>Operations!AL390-Operations!AL384</f>
        <v/>
      </c>
      <c r="AM401" s="20">
        <f>Operations!AM390-Operations!AM384</f>
        <v/>
      </c>
      <c r="AN401" s="20">
        <f>Operations!AN390-Operations!AN384</f>
        <v/>
      </c>
      <c r="AO401" s="20">
        <f>Operations!AO390-Operations!AO384</f>
        <v/>
      </c>
      <c r="AP401" s="20">
        <f>Operations!AP390-Operations!AP384</f>
        <v/>
      </c>
      <c r="AQ401" s="20">
        <f>Operations!AQ390-Operations!AQ384</f>
        <v/>
      </c>
      <c r="AR401" s="20">
        <f>Operations!AR390-Operations!AR384</f>
        <v/>
      </c>
      <c r="AS401" s="20">
        <f>Operations!AS390-Operations!AS384</f>
        <v/>
      </c>
      <c r="AT401" s="20">
        <f>Operations!AT390-Operations!AT384</f>
        <v/>
      </c>
      <c r="AU401" s="20">
        <f>Operations!AU390-Operations!AU384</f>
        <v/>
      </c>
    </row>
    <row r="402">
      <c r="D402" t="inlineStr">
        <is>
          <t>CFADS, R7 and R8</t>
        </is>
      </c>
      <c r="E402" t="inlineStr">
        <is>
          <t>USD m</t>
        </is>
      </c>
      <c r="J402" s="20">
        <f>Operations!J395</f>
        <v/>
      </c>
      <c r="K402" s="20">
        <f>Operations!K395</f>
        <v/>
      </c>
      <c r="L402" s="20">
        <f>Operations!L395</f>
        <v/>
      </c>
      <c r="M402" s="20">
        <f>Operations!M395</f>
        <v/>
      </c>
      <c r="N402" s="20">
        <f>Operations!N395</f>
        <v/>
      </c>
      <c r="O402" s="20">
        <f>Operations!O395</f>
        <v/>
      </c>
      <c r="P402" s="20">
        <f>Operations!P395</f>
        <v/>
      </c>
      <c r="Q402" s="20">
        <f>Operations!Q395</f>
        <v/>
      </c>
      <c r="R402" s="20">
        <f>Operations!R395</f>
        <v/>
      </c>
      <c r="S402" s="20">
        <f>Operations!S395</f>
        <v/>
      </c>
      <c r="T402" s="20">
        <f>Operations!T395</f>
        <v/>
      </c>
      <c r="U402" s="20">
        <f>Operations!U395</f>
        <v/>
      </c>
      <c r="V402" s="20">
        <f>Operations!V395</f>
        <v/>
      </c>
      <c r="W402" s="20">
        <f>Operations!W395</f>
        <v/>
      </c>
      <c r="X402" s="20">
        <f>Operations!X395</f>
        <v/>
      </c>
      <c r="Y402" s="20">
        <f>Operations!Y395</f>
        <v/>
      </c>
      <c r="Z402" s="20">
        <f>Operations!Z395</f>
        <v/>
      </c>
      <c r="AA402" s="20">
        <f>Operations!AA395</f>
        <v/>
      </c>
      <c r="AB402" s="20">
        <f>Operations!AB395</f>
        <v/>
      </c>
      <c r="AC402" s="20">
        <f>Operations!AC395</f>
        <v/>
      </c>
      <c r="AD402" s="20">
        <f>Operations!AD395</f>
        <v/>
      </c>
      <c r="AE402" s="20">
        <f>Operations!AE395</f>
        <v/>
      </c>
      <c r="AF402" s="20">
        <f>Operations!AF395</f>
        <v/>
      </c>
      <c r="AG402" s="20">
        <f>Operations!AG395</f>
        <v/>
      </c>
      <c r="AH402" s="20">
        <f>Operations!AH395</f>
        <v/>
      </c>
      <c r="AI402" s="20">
        <f>Operations!AI395</f>
        <v/>
      </c>
      <c r="AJ402" s="20">
        <f>Operations!AJ395</f>
        <v/>
      </c>
      <c r="AK402" s="20">
        <f>Operations!AK395</f>
        <v/>
      </c>
      <c r="AL402" s="20">
        <f>Operations!AL395</f>
        <v/>
      </c>
      <c r="AM402" s="20">
        <f>Operations!AM395</f>
        <v/>
      </c>
      <c r="AN402" s="20">
        <f>Operations!AN395</f>
        <v/>
      </c>
      <c r="AO402" s="20">
        <f>Operations!AO395</f>
        <v/>
      </c>
      <c r="AP402" s="20">
        <f>Operations!AP395</f>
        <v/>
      </c>
      <c r="AQ402" s="20">
        <f>Operations!AQ395</f>
        <v/>
      </c>
      <c r="AR402" s="20">
        <f>Operations!AR395</f>
        <v/>
      </c>
      <c r="AS402" s="20">
        <f>Operations!AS395</f>
        <v/>
      </c>
      <c r="AT402" s="20">
        <f>Operations!AT395</f>
        <v/>
      </c>
      <c r="AU402" s="20">
        <f>Operations!AU395</f>
        <v/>
      </c>
    </row>
    <row r="403">
      <c r="D403" t="inlineStr">
        <is>
          <t>Contracted share of Mesa revenue, a1</t>
        </is>
      </c>
      <c r="E403" t="inlineStr">
        <is>
          <t>fraction</t>
        </is>
      </c>
      <c r="J403" s="14">
        <f>IF(Operations!J389=0,0,Operations!J386/Operations!J389)</f>
        <v/>
      </c>
      <c r="K403" s="14">
        <f>IF(Operations!K389=0,0,Operations!K386/Operations!K389)</f>
        <v/>
      </c>
      <c r="L403" s="14">
        <f>IF(Operations!L389=0,0,Operations!L386/Operations!L389)</f>
        <v/>
      </c>
      <c r="M403" s="14">
        <f>IF(Operations!M389=0,0,Operations!M386/Operations!M389)</f>
        <v/>
      </c>
      <c r="N403" s="14">
        <f>IF(Operations!N389=0,0,Operations!N386/Operations!N389)</f>
        <v/>
      </c>
      <c r="O403" s="14">
        <f>IF(Operations!O389=0,0,Operations!O386/Operations!O389)</f>
        <v/>
      </c>
      <c r="P403" s="14">
        <f>IF(Operations!P389=0,0,Operations!P386/Operations!P389)</f>
        <v/>
      </c>
      <c r="Q403" s="14">
        <f>IF(Operations!Q389=0,0,Operations!Q386/Operations!Q389)</f>
        <v/>
      </c>
      <c r="R403" s="14">
        <f>IF(Operations!R389=0,0,Operations!R386/Operations!R389)</f>
        <v/>
      </c>
      <c r="S403" s="14">
        <f>IF(Operations!S389=0,0,Operations!S386/Operations!S389)</f>
        <v/>
      </c>
      <c r="T403" s="14">
        <f>IF(Operations!T389=0,0,Operations!T386/Operations!T389)</f>
        <v/>
      </c>
      <c r="U403" s="14">
        <f>IF(Operations!U389=0,0,Operations!U386/Operations!U389)</f>
        <v/>
      </c>
      <c r="V403" s="14">
        <f>IF(Operations!V389=0,0,Operations!V386/Operations!V389)</f>
        <v/>
      </c>
      <c r="W403" s="14">
        <f>IF(Operations!W389=0,0,Operations!W386/Operations!W389)</f>
        <v/>
      </c>
      <c r="X403" s="14">
        <f>IF(Operations!X389=0,0,Operations!X386/Operations!X389)</f>
        <v/>
      </c>
      <c r="Y403" s="14">
        <f>IF(Operations!Y389=0,0,Operations!Y386/Operations!Y389)</f>
        <v/>
      </c>
      <c r="Z403" s="14">
        <f>IF(Operations!Z389=0,0,Operations!Z386/Operations!Z389)</f>
        <v/>
      </c>
      <c r="AA403" s="14">
        <f>IF(Operations!AA389=0,0,Operations!AA386/Operations!AA389)</f>
        <v/>
      </c>
      <c r="AB403" s="14">
        <f>IF(Operations!AB389=0,0,Operations!AB386/Operations!AB389)</f>
        <v/>
      </c>
      <c r="AC403" s="14">
        <f>IF(Operations!AC389=0,0,Operations!AC386/Operations!AC389)</f>
        <v/>
      </c>
      <c r="AD403" s="14">
        <f>IF(Operations!AD389=0,0,Operations!AD386/Operations!AD389)</f>
        <v/>
      </c>
      <c r="AE403" s="14">
        <f>IF(Operations!AE389=0,0,Operations!AE386/Operations!AE389)</f>
        <v/>
      </c>
      <c r="AF403" s="14">
        <f>IF(Operations!AF389=0,0,Operations!AF386/Operations!AF389)</f>
        <v/>
      </c>
      <c r="AG403" s="14">
        <f>IF(Operations!AG389=0,0,Operations!AG386/Operations!AG389)</f>
        <v/>
      </c>
      <c r="AH403" s="14">
        <f>IF(Operations!AH389=0,0,Operations!AH386/Operations!AH389)</f>
        <v/>
      </c>
      <c r="AI403" s="14">
        <f>IF(Operations!AI389=0,0,Operations!AI386/Operations!AI389)</f>
        <v/>
      </c>
      <c r="AJ403" s="14">
        <f>IF(Operations!AJ389=0,0,Operations!AJ386/Operations!AJ389)</f>
        <v/>
      </c>
      <c r="AK403" s="14">
        <f>IF(Operations!AK389=0,0,Operations!AK386/Operations!AK389)</f>
        <v/>
      </c>
      <c r="AL403" s="14">
        <f>IF(Operations!AL389=0,0,Operations!AL386/Operations!AL389)</f>
        <v/>
      </c>
      <c r="AM403" s="14">
        <f>IF(Operations!AM389=0,0,Operations!AM386/Operations!AM389)</f>
        <v/>
      </c>
      <c r="AN403" s="14">
        <f>IF(Operations!AN389=0,0,Operations!AN386/Operations!AN389)</f>
        <v/>
      </c>
      <c r="AO403" s="14">
        <f>IF(Operations!AO389=0,0,Operations!AO386/Operations!AO389)</f>
        <v/>
      </c>
      <c r="AP403" s="14">
        <f>IF(Operations!AP389=0,0,Operations!AP386/Operations!AP389)</f>
        <v/>
      </c>
      <c r="AQ403" s="14">
        <f>IF(Operations!AQ389=0,0,Operations!AQ386/Operations!AQ389)</f>
        <v/>
      </c>
      <c r="AR403" s="14">
        <f>IF(Operations!AR389=0,0,Operations!AR386/Operations!AR389)</f>
        <v/>
      </c>
      <c r="AS403" s="14">
        <f>IF(Operations!AS389=0,0,Operations!AS386/Operations!AS389)</f>
        <v/>
      </c>
      <c r="AT403" s="14">
        <f>IF(Operations!AT389=0,0,Operations!AT386/Operations!AT389)</f>
        <v/>
      </c>
      <c r="AU403" s="14">
        <f>IF(Operations!AU389=0,0,Operations!AU386/Operations!AU389)</f>
        <v/>
      </c>
    </row>
    <row r="404">
      <c r="D404" t="inlineStr">
        <is>
          <t>Hedged share of Mesa revenue, a1</t>
        </is>
      </c>
      <c r="E404" t="inlineStr">
        <is>
          <t>fraction</t>
        </is>
      </c>
      <c r="J404" s="14">
        <f>IF(Operations!J389=0,0,Operations!J387/Operations!J389)</f>
        <v/>
      </c>
      <c r="K404" s="14">
        <f>IF(Operations!K389=0,0,Operations!K387/Operations!K389)</f>
        <v/>
      </c>
      <c r="L404" s="14">
        <f>IF(Operations!L389=0,0,Operations!L387/Operations!L389)</f>
        <v/>
      </c>
      <c r="M404" s="14">
        <f>IF(Operations!M389=0,0,Operations!M387/Operations!M389)</f>
        <v/>
      </c>
      <c r="N404" s="14">
        <f>IF(Operations!N389=0,0,Operations!N387/Operations!N389)</f>
        <v/>
      </c>
      <c r="O404" s="14">
        <f>IF(Operations!O389=0,0,Operations!O387/Operations!O389)</f>
        <v/>
      </c>
      <c r="P404" s="14">
        <f>IF(Operations!P389=0,0,Operations!P387/Operations!P389)</f>
        <v/>
      </c>
      <c r="Q404" s="14">
        <f>IF(Operations!Q389=0,0,Operations!Q387/Operations!Q389)</f>
        <v/>
      </c>
      <c r="R404" s="14">
        <f>IF(Operations!R389=0,0,Operations!R387/Operations!R389)</f>
        <v/>
      </c>
      <c r="S404" s="14">
        <f>IF(Operations!S389=0,0,Operations!S387/Operations!S389)</f>
        <v/>
      </c>
      <c r="T404" s="14">
        <f>IF(Operations!T389=0,0,Operations!T387/Operations!T389)</f>
        <v/>
      </c>
      <c r="U404" s="14">
        <f>IF(Operations!U389=0,0,Operations!U387/Operations!U389)</f>
        <v/>
      </c>
      <c r="V404" s="14">
        <f>IF(Operations!V389=0,0,Operations!V387/Operations!V389)</f>
        <v/>
      </c>
      <c r="W404" s="14">
        <f>IF(Operations!W389=0,0,Operations!W387/Operations!W389)</f>
        <v/>
      </c>
      <c r="X404" s="14">
        <f>IF(Operations!X389=0,0,Operations!X387/Operations!X389)</f>
        <v/>
      </c>
      <c r="Y404" s="14">
        <f>IF(Operations!Y389=0,0,Operations!Y387/Operations!Y389)</f>
        <v/>
      </c>
      <c r="Z404" s="14">
        <f>IF(Operations!Z389=0,0,Operations!Z387/Operations!Z389)</f>
        <v/>
      </c>
      <c r="AA404" s="14">
        <f>IF(Operations!AA389=0,0,Operations!AA387/Operations!AA389)</f>
        <v/>
      </c>
      <c r="AB404" s="14">
        <f>IF(Operations!AB389=0,0,Operations!AB387/Operations!AB389)</f>
        <v/>
      </c>
      <c r="AC404" s="14">
        <f>IF(Operations!AC389=0,0,Operations!AC387/Operations!AC389)</f>
        <v/>
      </c>
      <c r="AD404" s="14">
        <f>IF(Operations!AD389=0,0,Operations!AD387/Operations!AD389)</f>
        <v/>
      </c>
      <c r="AE404" s="14">
        <f>IF(Operations!AE389=0,0,Operations!AE387/Operations!AE389)</f>
        <v/>
      </c>
      <c r="AF404" s="14">
        <f>IF(Operations!AF389=0,0,Operations!AF387/Operations!AF389)</f>
        <v/>
      </c>
      <c r="AG404" s="14">
        <f>IF(Operations!AG389=0,0,Operations!AG387/Operations!AG389)</f>
        <v/>
      </c>
      <c r="AH404" s="14">
        <f>IF(Operations!AH389=0,0,Operations!AH387/Operations!AH389)</f>
        <v/>
      </c>
      <c r="AI404" s="14">
        <f>IF(Operations!AI389=0,0,Operations!AI387/Operations!AI389)</f>
        <v/>
      </c>
      <c r="AJ404" s="14">
        <f>IF(Operations!AJ389=0,0,Operations!AJ387/Operations!AJ389)</f>
        <v/>
      </c>
      <c r="AK404" s="14">
        <f>IF(Operations!AK389=0,0,Operations!AK387/Operations!AK389)</f>
        <v/>
      </c>
      <c r="AL404" s="14">
        <f>IF(Operations!AL389=0,0,Operations!AL387/Operations!AL389)</f>
        <v/>
      </c>
      <c r="AM404" s="14">
        <f>IF(Operations!AM389=0,0,Operations!AM387/Operations!AM389)</f>
        <v/>
      </c>
      <c r="AN404" s="14">
        <f>IF(Operations!AN389=0,0,Operations!AN387/Operations!AN389)</f>
        <v/>
      </c>
      <c r="AO404" s="14">
        <f>IF(Operations!AO389=0,0,Operations!AO387/Operations!AO389)</f>
        <v/>
      </c>
      <c r="AP404" s="14">
        <f>IF(Operations!AP389=0,0,Operations!AP387/Operations!AP389)</f>
        <v/>
      </c>
      <c r="AQ404" s="14">
        <f>IF(Operations!AQ389=0,0,Operations!AQ387/Operations!AQ389)</f>
        <v/>
      </c>
      <c r="AR404" s="14">
        <f>IF(Operations!AR389=0,0,Operations!AR387/Operations!AR389)</f>
        <v/>
      </c>
      <c r="AS404" s="14">
        <f>IF(Operations!AS389=0,0,Operations!AS387/Operations!AS389)</f>
        <v/>
      </c>
      <c r="AT404" s="14">
        <f>IF(Operations!AT389=0,0,Operations!AT387/Operations!AT389)</f>
        <v/>
      </c>
      <c r="AU404" s="14">
        <f>IF(Operations!AU389=0,0,Operations!AU387/Operations!AU389)</f>
        <v/>
      </c>
    </row>
    <row r="405">
      <c r="D405" t="inlineStr">
        <is>
          <t>Merchant share of Mesa revenue, a1</t>
        </is>
      </c>
      <c r="E405" t="inlineStr">
        <is>
          <t>fraction</t>
        </is>
      </c>
      <c r="J405" s="14">
        <f>1-Operations!J403-Operations!J404</f>
        <v/>
      </c>
      <c r="K405" s="14">
        <f>1-Operations!K403-Operations!K404</f>
        <v/>
      </c>
      <c r="L405" s="14">
        <f>1-Operations!L403-Operations!L404</f>
        <v/>
      </c>
      <c r="M405" s="14">
        <f>1-Operations!M403-Operations!M404</f>
        <v/>
      </c>
      <c r="N405" s="14">
        <f>1-Operations!N403-Operations!N404</f>
        <v/>
      </c>
      <c r="O405" s="14">
        <f>1-Operations!O403-Operations!O404</f>
        <v/>
      </c>
      <c r="P405" s="14">
        <f>1-Operations!P403-Operations!P404</f>
        <v/>
      </c>
      <c r="Q405" s="14">
        <f>1-Operations!Q403-Operations!Q404</f>
        <v/>
      </c>
      <c r="R405" s="14">
        <f>1-Operations!R403-Operations!R404</f>
        <v/>
      </c>
      <c r="S405" s="14">
        <f>1-Operations!S403-Operations!S404</f>
        <v/>
      </c>
      <c r="T405" s="14">
        <f>1-Operations!T403-Operations!T404</f>
        <v/>
      </c>
      <c r="U405" s="14">
        <f>1-Operations!U403-Operations!U404</f>
        <v/>
      </c>
      <c r="V405" s="14">
        <f>1-Operations!V403-Operations!V404</f>
        <v/>
      </c>
      <c r="W405" s="14">
        <f>1-Operations!W403-Operations!W404</f>
        <v/>
      </c>
      <c r="X405" s="14">
        <f>1-Operations!X403-Operations!X404</f>
        <v/>
      </c>
      <c r="Y405" s="14">
        <f>1-Operations!Y403-Operations!Y404</f>
        <v/>
      </c>
      <c r="Z405" s="14">
        <f>1-Operations!Z403-Operations!Z404</f>
        <v/>
      </c>
      <c r="AA405" s="14">
        <f>1-Operations!AA403-Operations!AA404</f>
        <v/>
      </c>
      <c r="AB405" s="14">
        <f>1-Operations!AB403-Operations!AB404</f>
        <v/>
      </c>
      <c r="AC405" s="14">
        <f>1-Operations!AC403-Operations!AC404</f>
        <v/>
      </c>
      <c r="AD405" s="14">
        <f>1-Operations!AD403-Operations!AD404</f>
        <v/>
      </c>
      <c r="AE405" s="14">
        <f>1-Operations!AE403-Operations!AE404</f>
        <v/>
      </c>
      <c r="AF405" s="14">
        <f>1-Operations!AF403-Operations!AF404</f>
        <v/>
      </c>
      <c r="AG405" s="14">
        <f>1-Operations!AG403-Operations!AG404</f>
        <v/>
      </c>
      <c r="AH405" s="14">
        <f>1-Operations!AH403-Operations!AH404</f>
        <v/>
      </c>
      <c r="AI405" s="14">
        <f>1-Operations!AI403-Operations!AI404</f>
        <v/>
      </c>
      <c r="AJ405" s="14">
        <f>1-Operations!AJ403-Operations!AJ404</f>
        <v/>
      </c>
      <c r="AK405" s="14">
        <f>1-Operations!AK403-Operations!AK404</f>
        <v/>
      </c>
      <c r="AL405" s="14">
        <f>1-Operations!AL403-Operations!AL404</f>
        <v/>
      </c>
      <c r="AM405" s="14">
        <f>1-Operations!AM403-Operations!AM404</f>
        <v/>
      </c>
      <c r="AN405" s="14">
        <f>1-Operations!AN403-Operations!AN404</f>
        <v/>
      </c>
      <c r="AO405" s="14">
        <f>1-Operations!AO403-Operations!AO404</f>
        <v/>
      </c>
      <c r="AP405" s="14">
        <f>1-Operations!AP403-Operations!AP404</f>
        <v/>
      </c>
      <c r="AQ405" s="14">
        <f>1-Operations!AQ403-Operations!AQ404</f>
        <v/>
      </c>
      <c r="AR405" s="14">
        <f>1-Operations!AR403-Operations!AR404</f>
        <v/>
      </c>
      <c r="AS405" s="14">
        <f>1-Operations!AS403-Operations!AS404</f>
        <v/>
      </c>
      <c r="AT405" s="14">
        <f>1-Operations!AT403-Operations!AT404</f>
        <v/>
      </c>
      <c r="AU405" s="14">
        <f>1-Operations!AU403-Operations!AU404</f>
        <v/>
      </c>
    </row>
    <row r="406">
      <c r="D406" t="inlineStr">
        <is>
          <t>CFADS allocated to contracted, a1</t>
        </is>
      </c>
      <c r="E406" t="inlineStr">
        <is>
          <t>USD m</t>
        </is>
      </c>
      <c r="J406" s="20">
        <f>Operations!J400*Operations!J403</f>
        <v/>
      </c>
      <c r="K406" s="20">
        <f>Operations!K400*Operations!K403</f>
        <v/>
      </c>
      <c r="L406" s="20">
        <f>Operations!L400*Operations!L403</f>
        <v/>
      </c>
      <c r="M406" s="20">
        <f>Operations!M400*Operations!M403</f>
        <v/>
      </c>
      <c r="N406" s="20">
        <f>Operations!N400*Operations!N403</f>
        <v/>
      </c>
      <c r="O406" s="20">
        <f>Operations!O400*Operations!O403</f>
        <v/>
      </c>
      <c r="P406" s="20">
        <f>Operations!P400*Operations!P403</f>
        <v/>
      </c>
      <c r="Q406" s="20">
        <f>Operations!Q400*Operations!Q403</f>
        <v/>
      </c>
      <c r="R406" s="20">
        <f>Operations!R400*Operations!R403</f>
        <v/>
      </c>
      <c r="S406" s="20">
        <f>Operations!S400*Operations!S403</f>
        <v/>
      </c>
      <c r="T406" s="20">
        <f>Operations!T400*Operations!T403</f>
        <v/>
      </c>
      <c r="U406" s="20">
        <f>Operations!U400*Operations!U403</f>
        <v/>
      </c>
      <c r="V406" s="20">
        <f>Operations!V400*Operations!V403</f>
        <v/>
      </c>
      <c r="W406" s="20">
        <f>Operations!W400*Operations!W403</f>
        <v/>
      </c>
      <c r="X406" s="20">
        <f>Operations!X400*Operations!X403</f>
        <v/>
      </c>
      <c r="Y406" s="20">
        <f>Operations!Y400*Operations!Y403</f>
        <v/>
      </c>
      <c r="Z406" s="20">
        <f>Operations!Z400*Operations!Z403</f>
        <v/>
      </c>
      <c r="AA406" s="20">
        <f>Operations!AA400*Operations!AA403</f>
        <v/>
      </c>
      <c r="AB406" s="20">
        <f>Operations!AB400*Operations!AB403</f>
        <v/>
      </c>
      <c r="AC406" s="20">
        <f>Operations!AC400*Operations!AC403</f>
        <v/>
      </c>
      <c r="AD406" s="20">
        <f>Operations!AD400*Operations!AD403</f>
        <v/>
      </c>
      <c r="AE406" s="20">
        <f>Operations!AE400*Operations!AE403</f>
        <v/>
      </c>
      <c r="AF406" s="20">
        <f>Operations!AF400*Operations!AF403</f>
        <v/>
      </c>
      <c r="AG406" s="20">
        <f>Operations!AG400*Operations!AG403</f>
        <v/>
      </c>
      <c r="AH406" s="20">
        <f>Operations!AH400*Operations!AH403</f>
        <v/>
      </c>
      <c r="AI406" s="20">
        <f>Operations!AI400*Operations!AI403</f>
        <v/>
      </c>
      <c r="AJ406" s="20">
        <f>Operations!AJ400*Operations!AJ403</f>
        <v/>
      </c>
      <c r="AK406" s="20">
        <f>Operations!AK400*Operations!AK403</f>
        <v/>
      </c>
      <c r="AL406" s="20">
        <f>Operations!AL400*Operations!AL403</f>
        <v/>
      </c>
      <c r="AM406" s="20">
        <f>Operations!AM400*Operations!AM403</f>
        <v/>
      </c>
      <c r="AN406" s="20">
        <f>Operations!AN400*Operations!AN403</f>
        <v/>
      </c>
      <c r="AO406" s="20">
        <f>Operations!AO400*Operations!AO403</f>
        <v/>
      </c>
      <c r="AP406" s="20">
        <f>Operations!AP400*Operations!AP403</f>
        <v/>
      </c>
      <c r="AQ406" s="20">
        <f>Operations!AQ400*Operations!AQ403</f>
        <v/>
      </c>
      <c r="AR406" s="20">
        <f>Operations!AR400*Operations!AR403</f>
        <v/>
      </c>
      <c r="AS406" s="20">
        <f>Operations!AS400*Operations!AS403</f>
        <v/>
      </c>
      <c r="AT406" s="20">
        <f>Operations!AT400*Operations!AT403</f>
        <v/>
      </c>
      <c r="AU406" s="20">
        <f>Operations!AU400*Operations!AU403</f>
        <v/>
      </c>
    </row>
    <row r="407">
      <c r="D407" t="inlineStr">
        <is>
          <t>CFADS allocated to hedged, a1</t>
        </is>
      </c>
      <c r="E407" t="inlineStr">
        <is>
          <t>USD m</t>
        </is>
      </c>
      <c r="J407" s="20">
        <f>Operations!J400*Operations!J404</f>
        <v/>
      </c>
      <c r="K407" s="20">
        <f>Operations!K400*Operations!K404</f>
        <v/>
      </c>
      <c r="L407" s="20">
        <f>Operations!L400*Operations!L404</f>
        <v/>
      </c>
      <c r="M407" s="20">
        <f>Operations!M400*Operations!M404</f>
        <v/>
      </c>
      <c r="N407" s="20">
        <f>Operations!N400*Operations!N404</f>
        <v/>
      </c>
      <c r="O407" s="20">
        <f>Operations!O400*Operations!O404</f>
        <v/>
      </c>
      <c r="P407" s="20">
        <f>Operations!P400*Operations!P404</f>
        <v/>
      </c>
      <c r="Q407" s="20">
        <f>Operations!Q400*Operations!Q404</f>
        <v/>
      </c>
      <c r="R407" s="20">
        <f>Operations!R400*Operations!R404</f>
        <v/>
      </c>
      <c r="S407" s="20">
        <f>Operations!S400*Operations!S404</f>
        <v/>
      </c>
      <c r="T407" s="20">
        <f>Operations!T400*Operations!T404</f>
        <v/>
      </c>
      <c r="U407" s="20">
        <f>Operations!U400*Operations!U404</f>
        <v/>
      </c>
      <c r="V407" s="20">
        <f>Operations!V400*Operations!V404</f>
        <v/>
      </c>
      <c r="W407" s="20">
        <f>Operations!W400*Operations!W404</f>
        <v/>
      </c>
      <c r="X407" s="20">
        <f>Operations!X400*Operations!X404</f>
        <v/>
      </c>
      <c r="Y407" s="20">
        <f>Operations!Y400*Operations!Y404</f>
        <v/>
      </c>
      <c r="Z407" s="20">
        <f>Operations!Z400*Operations!Z404</f>
        <v/>
      </c>
      <c r="AA407" s="20">
        <f>Operations!AA400*Operations!AA404</f>
        <v/>
      </c>
      <c r="AB407" s="20">
        <f>Operations!AB400*Operations!AB404</f>
        <v/>
      </c>
      <c r="AC407" s="20">
        <f>Operations!AC400*Operations!AC404</f>
        <v/>
      </c>
      <c r="AD407" s="20">
        <f>Operations!AD400*Operations!AD404</f>
        <v/>
      </c>
      <c r="AE407" s="20">
        <f>Operations!AE400*Operations!AE404</f>
        <v/>
      </c>
      <c r="AF407" s="20">
        <f>Operations!AF400*Operations!AF404</f>
        <v/>
      </c>
      <c r="AG407" s="20">
        <f>Operations!AG400*Operations!AG404</f>
        <v/>
      </c>
      <c r="AH407" s="20">
        <f>Operations!AH400*Operations!AH404</f>
        <v/>
      </c>
      <c r="AI407" s="20">
        <f>Operations!AI400*Operations!AI404</f>
        <v/>
      </c>
      <c r="AJ407" s="20">
        <f>Operations!AJ400*Operations!AJ404</f>
        <v/>
      </c>
      <c r="AK407" s="20">
        <f>Operations!AK400*Operations!AK404</f>
        <v/>
      </c>
      <c r="AL407" s="20">
        <f>Operations!AL400*Operations!AL404</f>
        <v/>
      </c>
      <c r="AM407" s="20">
        <f>Operations!AM400*Operations!AM404</f>
        <v/>
      </c>
      <c r="AN407" s="20">
        <f>Operations!AN400*Operations!AN404</f>
        <v/>
      </c>
      <c r="AO407" s="20">
        <f>Operations!AO400*Operations!AO404</f>
        <v/>
      </c>
      <c r="AP407" s="20">
        <f>Operations!AP400*Operations!AP404</f>
        <v/>
      </c>
      <c r="AQ407" s="20">
        <f>Operations!AQ400*Operations!AQ404</f>
        <v/>
      </c>
      <c r="AR407" s="20">
        <f>Operations!AR400*Operations!AR404</f>
        <v/>
      </c>
      <c r="AS407" s="20">
        <f>Operations!AS400*Operations!AS404</f>
        <v/>
      </c>
      <c r="AT407" s="20">
        <f>Operations!AT400*Operations!AT404</f>
        <v/>
      </c>
      <c r="AU407" s="20">
        <f>Operations!AU400*Operations!AU404</f>
        <v/>
      </c>
    </row>
    <row r="408">
      <c r="D408" t="inlineStr">
        <is>
          <t>CFADS allocated to merchant, a1</t>
        </is>
      </c>
      <c r="E408" t="inlineStr">
        <is>
          <t>USD m</t>
        </is>
      </c>
      <c r="J408" s="20">
        <f>Operations!J400*Operations!J405</f>
        <v/>
      </c>
      <c r="K408" s="20">
        <f>Operations!K400*Operations!K405</f>
        <v/>
      </c>
      <c r="L408" s="20">
        <f>Operations!L400*Operations!L405</f>
        <v/>
      </c>
      <c r="M408" s="20">
        <f>Operations!M400*Operations!M405</f>
        <v/>
      </c>
      <c r="N408" s="20">
        <f>Operations!N400*Operations!N405</f>
        <v/>
      </c>
      <c r="O408" s="20">
        <f>Operations!O400*Operations!O405</f>
        <v/>
      </c>
      <c r="P408" s="20">
        <f>Operations!P400*Operations!P405</f>
        <v/>
      </c>
      <c r="Q408" s="20">
        <f>Operations!Q400*Operations!Q405</f>
        <v/>
      </c>
      <c r="R408" s="20">
        <f>Operations!R400*Operations!R405</f>
        <v/>
      </c>
      <c r="S408" s="20">
        <f>Operations!S400*Operations!S405</f>
        <v/>
      </c>
      <c r="T408" s="20">
        <f>Operations!T400*Operations!T405</f>
        <v/>
      </c>
      <c r="U408" s="20">
        <f>Operations!U400*Operations!U405</f>
        <v/>
      </c>
      <c r="V408" s="20">
        <f>Operations!V400*Operations!V405</f>
        <v/>
      </c>
      <c r="W408" s="20">
        <f>Operations!W400*Operations!W405</f>
        <v/>
      </c>
      <c r="X408" s="20">
        <f>Operations!X400*Operations!X405</f>
        <v/>
      </c>
      <c r="Y408" s="20">
        <f>Operations!Y400*Operations!Y405</f>
        <v/>
      </c>
      <c r="Z408" s="20">
        <f>Operations!Z400*Operations!Z405</f>
        <v/>
      </c>
      <c r="AA408" s="20">
        <f>Operations!AA400*Operations!AA405</f>
        <v/>
      </c>
      <c r="AB408" s="20">
        <f>Operations!AB400*Operations!AB405</f>
        <v/>
      </c>
      <c r="AC408" s="20">
        <f>Operations!AC400*Operations!AC405</f>
        <v/>
      </c>
      <c r="AD408" s="20">
        <f>Operations!AD400*Operations!AD405</f>
        <v/>
      </c>
      <c r="AE408" s="20">
        <f>Operations!AE400*Operations!AE405</f>
        <v/>
      </c>
      <c r="AF408" s="20">
        <f>Operations!AF400*Operations!AF405</f>
        <v/>
      </c>
      <c r="AG408" s="20">
        <f>Operations!AG400*Operations!AG405</f>
        <v/>
      </c>
      <c r="AH408" s="20">
        <f>Operations!AH400*Operations!AH405</f>
        <v/>
      </c>
      <c r="AI408" s="20">
        <f>Operations!AI400*Operations!AI405</f>
        <v/>
      </c>
      <c r="AJ408" s="20">
        <f>Operations!AJ400*Operations!AJ405</f>
        <v/>
      </c>
      <c r="AK408" s="20">
        <f>Operations!AK400*Operations!AK405</f>
        <v/>
      </c>
      <c r="AL408" s="20">
        <f>Operations!AL400*Operations!AL405</f>
        <v/>
      </c>
      <c r="AM408" s="20">
        <f>Operations!AM400*Operations!AM405</f>
        <v/>
      </c>
      <c r="AN408" s="20">
        <f>Operations!AN400*Operations!AN405</f>
        <v/>
      </c>
      <c r="AO408" s="20">
        <f>Operations!AO400*Operations!AO405</f>
        <v/>
      </c>
      <c r="AP408" s="20">
        <f>Operations!AP400*Operations!AP405</f>
        <v/>
      </c>
      <c r="AQ408" s="20">
        <f>Operations!AQ400*Operations!AQ405</f>
        <v/>
      </c>
      <c r="AR408" s="20">
        <f>Operations!AR400*Operations!AR405</f>
        <v/>
      </c>
      <c r="AS408" s="20">
        <f>Operations!AS400*Operations!AS405</f>
        <v/>
      </c>
      <c r="AT408" s="20">
        <f>Operations!AT400*Operations!AT405</f>
        <v/>
      </c>
      <c r="AU408" s="20">
        <f>Operations!AU400*Operations!AU405</f>
        <v/>
      </c>
    </row>
    <row r="409">
      <c r="D409" t="inlineStr">
        <is>
          <t>Contracted share of Mesa revenue, all</t>
        </is>
      </c>
      <c r="E409" t="inlineStr">
        <is>
          <t>fraction</t>
        </is>
      </c>
      <c r="J409" s="14">
        <f>IF(Operations!J394=0,0,Operations!J391/Operations!J394)</f>
        <v/>
      </c>
      <c r="K409" s="14">
        <f>IF(Operations!K394=0,0,Operations!K391/Operations!K394)</f>
        <v/>
      </c>
      <c r="L409" s="14">
        <f>IF(Operations!L394=0,0,Operations!L391/Operations!L394)</f>
        <v/>
      </c>
      <c r="M409" s="14">
        <f>IF(Operations!M394=0,0,Operations!M391/Operations!M394)</f>
        <v/>
      </c>
      <c r="N409" s="14">
        <f>IF(Operations!N394=0,0,Operations!N391/Operations!N394)</f>
        <v/>
      </c>
      <c r="O409" s="14">
        <f>IF(Operations!O394=0,0,Operations!O391/Operations!O394)</f>
        <v/>
      </c>
      <c r="P409" s="14">
        <f>IF(Operations!P394=0,0,Operations!P391/Operations!P394)</f>
        <v/>
      </c>
      <c r="Q409" s="14">
        <f>IF(Operations!Q394=0,0,Operations!Q391/Operations!Q394)</f>
        <v/>
      </c>
      <c r="R409" s="14">
        <f>IF(Operations!R394=0,0,Operations!R391/Operations!R394)</f>
        <v/>
      </c>
      <c r="S409" s="14">
        <f>IF(Operations!S394=0,0,Operations!S391/Operations!S394)</f>
        <v/>
      </c>
      <c r="T409" s="14">
        <f>IF(Operations!T394=0,0,Operations!T391/Operations!T394)</f>
        <v/>
      </c>
      <c r="U409" s="14">
        <f>IF(Operations!U394=0,0,Operations!U391/Operations!U394)</f>
        <v/>
      </c>
      <c r="V409" s="14">
        <f>IF(Operations!V394=0,0,Operations!V391/Operations!V394)</f>
        <v/>
      </c>
      <c r="W409" s="14">
        <f>IF(Operations!W394=0,0,Operations!W391/Operations!W394)</f>
        <v/>
      </c>
      <c r="X409" s="14">
        <f>IF(Operations!X394=0,0,Operations!X391/Operations!X394)</f>
        <v/>
      </c>
      <c r="Y409" s="14">
        <f>IF(Operations!Y394=0,0,Operations!Y391/Operations!Y394)</f>
        <v/>
      </c>
      <c r="Z409" s="14">
        <f>IF(Operations!Z394=0,0,Operations!Z391/Operations!Z394)</f>
        <v/>
      </c>
      <c r="AA409" s="14">
        <f>IF(Operations!AA394=0,0,Operations!AA391/Operations!AA394)</f>
        <v/>
      </c>
      <c r="AB409" s="14">
        <f>IF(Operations!AB394=0,0,Operations!AB391/Operations!AB394)</f>
        <v/>
      </c>
      <c r="AC409" s="14">
        <f>IF(Operations!AC394=0,0,Operations!AC391/Operations!AC394)</f>
        <v/>
      </c>
      <c r="AD409" s="14">
        <f>IF(Operations!AD394=0,0,Operations!AD391/Operations!AD394)</f>
        <v/>
      </c>
      <c r="AE409" s="14">
        <f>IF(Operations!AE394=0,0,Operations!AE391/Operations!AE394)</f>
        <v/>
      </c>
      <c r="AF409" s="14">
        <f>IF(Operations!AF394=0,0,Operations!AF391/Operations!AF394)</f>
        <v/>
      </c>
      <c r="AG409" s="14">
        <f>IF(Operations!AG394=0,0,Operations!AG391/Operations!AG394)</f>
        <v/>
      </c>
      <c r="AH409" s="14">
        <f>IF(Operations!AH394=0,0,Operations!AH391/Operations!AH394)</f>
        <v/>
      </c>
      <c r="AI409" s="14">
        <f>IF(Operations!AI394=0,0,Operations!AI391/Operations!AI394)</f>
        <v/>
      </c>
      <c r="AJ409" s="14">
        <f>IF(Operations!AJ394=0,0,Operations!AJ391/Operations!AJ394)</f>
        <v/>
      </c>
      <c r="AK409" s="14">
        <f>IF(Operations!AK394=0,0,Operations!AK391/Operations!AK394)</f>
        <v/>
      </c>
      <c r="AL409" s="14">
        <f>IF(Operations!AL394=0,0,Operations!AL391/Operations!AL394)</f>
        <v/>
      </c>
      <c r="AM409" s="14">
        <f>IF(Operations!AM394=0,0,Operations!AM391/Operations!AM394)</f>
        <v/>
      </c>
      <c r="AN409" s="14">
        <f>IF(Operations!AN394=0,0,Operations!AN391/Operations!AN394)</f>
        <v/>
      </c>
      <c r="AO409" s="14">
        <f>IF(Operations!AO394=0,0,Operations!AO391/Operations!AO394)</f>
        <v/>
      </c>
      <c r="AP409" s="14">
        <f>IF(Operations!AP394=0,0,Operations!AP391/Operations!AP394)</f>
        <v/>
      </c>
      <c r="AQ409" s="14">
        <f>IF(Operations!AQ394=0,0,Operations!AQ391/Operations!AQ394)</f>
        <v/>
      </c>
      <c r="AR409" s="14">
        <f>IF(Operations!AR394=0,0,Operations!AR391/Operations!AR394)</f>
        <v/>
      </c>
      <c r="AS409" s="14">
        <f>IF(Operations!AS394=0,0,Operations!AS391/Operations!AS394)</f>
        <v/>
      </c>
      <c r="AT409" s="14">
        <f>IF(Operations!AT394=0,0,Operations!AT391/Operations!AT394)</f>
        <v/>
      </c>
      <c r="AU409" s="14">
        <f>IF(Operations!AU394=0,0,Operations!AU391/Operations!AU394)</f>
        <v/>
      </c>
    </row>
    <row r="410">
      <c r="D410" t="inlineStr">
        <is>
          <t>Hedged share of Mesa revenue, all</t>
        </is>
      </c>
      <c r="E410" t="inlineStr">
        <is>
          <t>fraction</t>
        </is>
      </c>
      <c r="J410" s="14">
        <f>IF(Operations!J394=0,0,Operations!J392/Operations!J394)</f>
        <v/>
      </c>
      <c r="K410" s="14">
        <f>IF(Operations!K394=0,0,Operations!K392/Operations!K394)</f>
        <v/>
      </c>
      <c r="L410" s="14">
        <f>IF(Operations!L394=0,0,Operations!L392/Operations!L394)</f>
        <v/>
      </c>
      <c r="M410" s="14">
        <f>IF(Operations!M394=0,0,Operations!M392/Operations!M394)</f>
        <v/>
      </c>
      <c r="N410" s="14">
        <f>IF(Operations!N394=0,0,Operations!N392/Operations!N394)</f>
        <v/>
      </c>
      <c r="O410" s="14">
        <f>IF(Operations!O394=0,0,Operations!O392/Operations!O394)</f>
        <v/>
      </c>
      <c r="P410" s="14">
        <f>IF(Operations!P394=0,0,Operations!P392/Operations!P394)</f>
        <v/>
      </c>
      <c r="Q410" s="14">
        <f>IF(Operations!Q394=0,0,Operations!Q392/Operations!Q394)</f>
        <v/>
      </c>
      <c r="R410" s="14">
        <f>IF(Operations!R394=0,0,Operations!R392/Operations!R394)</f>
        <v/>
      </c>
      <c r="S410" s="14">
        <f>IF(Operations!S394=0,0,Operations!S392/Operations!S394)</f>
        <v/>
      </c>
      <c r="T410" s="14">
        <f>IF(Operations!T394=0,0,Operations!T392/Operations!T394)</f>
        <v/>
      </c>
      <c r="U410" s="14">
        <f>IF(Operations!U394=0,0,Operations!U392/Operations!U394)</f>
        <v/>
      </c>
      <c r="V410" s="14">
        <f>IF(Operations!V394=0,0,Operations!V392/Operations!V394)</f>
        <v/>
      </c>
      <c r="W410" s="14">
        <f>IF(Operations!W394=0,0,Operations!W392/Operations!W394)</f>
        <v/>
      </c>
      <c r="X410" s="14">
        <f>IF(Operations!X394=0,0,Operations!X392/Operations!X394)</f>
        <v/>
      </c>
      <c r="Y410" s="14">
        <f>IF(Operations!Y394=0,0,Operations!Y392/Operations!Y394)</f>
        <v/>
      </c>
      <c r="Z410" s="14">
        <f>IF(Operations!Z394=0,0,Operations!Z392/Operations!Z394)</f>
        <v/>
      </c>
      <c r="AA410" s="14">
        <f>IF(Operations!AA394=0,0,Operations!AA392/Operations!AA394)</f>
        <v/>
      </c>
      <c r="AB410" s="14">
        <f>IF(Operations!AB394=0,0,Operations!AB392/Operations!AB394)</f>
        <v/>
      </c>
      <c r="AC410" s="14">
        <f>IF(Operations!AC394=0,0,Operations!AC392/Operations!AC394)</f>
        <v/>
      </c>
      <c r="AD410" s="14">
        <f>IF(Operations!AD394=0,0,Operations!AD392/Operations!AD394)</f>
        <v/>
      </c>
      <c r="AE410" s="14">
        <f>IF(Operations!AE394=0,0,Operations!AE392/Operations!AE394)</f>
        <v/>
      </c>
      <c r="AF410" s="14">
        <f>IF(Operations!AF394=0,0,Operations!AF392/Operations!AF394)</f>
        <v/>
      </c>
      <c r="AG410" s="14">
        <f>IF(Operations!AG394=0,0,Operations!AG392/Operations!AG394)</f>
        <v/>
      </c>
      <c r="AH410" s="14">
        <f>IF(Operations!AH394=0,0,Operations!AH392/Operations!AH394)</f>
        <v/>
      </c>
      <c r="AI410" s="14">
        <f>IF(Operations!AI394=0,0,Operations!AI392/Operations!AI394)</f>
        <v/>
      </c>
      <c r="AJ410" s="14">
        <f>IF(Operations!AJ394=0,0,Operations!AJ392/Operations!AJ394)</f>
        <v/>
      </c>
      <c r="AK410" s="14">
        <f>IF(Operations!AK394=0,0,Operations!AK392/Operations!AK394)</f>
        <v/>
      </c>
      <c r="AL410" s="14">
        <f>IF(Operations!AL394=0,0,Operations!AL392/Operations!AL394)</f>
        <v/>
      </c>
      <c r="AM410" s="14">
        <f>IF(Operations!AM394=0,0,Operations!AM392/Operations!AM394)</f>
        <v/>
      </c>
      <c r="AN410" s="14">
        <f>IF(Operations!AN394=0,0,Operations!AN392/Operations!AN394)</f>
        <v/>
      </c>
      <c r="AO410" s="14">
        <f>IF(Operations!AO394=0,0,Operations!AO392/Operations!AO394)</f>
        <v/>
      </c>
      <c r="AP410" s="14">
        <f>IF(Operations!AP394=0,0,Operations!AP392/Operations!AP394)</f>
        <v/>
      </c>
      <c r="AQ410" s="14">
        <f>IF(Operations!AQ394=0,0,Operations!AQ392/Operations!AQ394)</f>
        <v/>
      </c>
      <c r="AR410" s="14">
        <f>IF(Operations!AR394=0,0,Operations!AR392/Operations!AR394)</f>
        <v/>
      </c>
      <c r="AS410" s="14">
        <f>IF(Operations!AS394=0,0,Operations!AS392/Operations!AS394)</f>
        <v/>
      </c>
      <c r="AT410" s="14">
        <f>IF(Operations!AT394=0,0,Operations!AT392/Operations!AT394)</f>
        <v/>
      </c>
      <c r="AU410" s="14">
        <f>IF(Operations!AU394=0,0,Operations!AU392/Operations!AU394)</f>
        <v/>
      </c>
    </row>
    <row r="411">
      <c r="D411" t="inlineStr">
        <is>
          <t>Merchant share of Mesa revenue, all</t>
        </is>
      </c>
      <c r="E411" t="inlineStr">
        <is>
          <t>fraction</t>
        </is>
      </c>
      <c r="J411" s="14">
        <f>1-Operations!J409-Operations!J410</f>
        <v/>
      </c>
      <c r="K411" s="14">
        <f>1-Operations!K409-Operations!K410</f>
        <v/>
      </c>
      <c r="L411" s="14">
        <f>1-Operations!L409-Operations!L410</f>
        <v/>
      </c>
      <c r="M411" s="14">
        <f>1-Operations!M409-Operations!M410</f>
        <v/>
      </c>
      <c r="N411" s="14">
        <f>1-Operations!N409-Operations!N410</f>
        <v/>
      </c>
      <c r="O411" s="14">
        <f>1-Operations!O409-Operations!O410</f>
        <v/>
      </c>
      <c r="P411" s="14">
        <f>1-Operations!P409-Operations!P410</f>
        <v/>
      </c>
      <c r="Q411" s="14">
        <f>1-Operations!Q409-Operations!Q410</f>
        <v/>
      </c>
      <c r="R411" s="14">
        <f>1-Operations!R409-Operations!R410</f>
        <v/>
      </c>
      <c r="S411" s="14">
        <f>1-Operations!S409-Operations!S410</f>
        <v/>
      </c>
      <c r="T411" s="14">
        <f>1-Operations!T409-Operations!T410</f>
        <v/>
      </c>
      <c r="U411" s="14">
        <f>1-Operations!U409-Operations!U410</f>
        <v/>
      </c>
      <c r="V411" s="14">
        <f>1-Operations!V409-Operations!V410</f>
        <v/>
      </c>
      <c r="W411" s="14">
        <f>1-Operations!W409-Operations!W410</f>
        <v/>
      </c>
      <c r="X411" s="14">
        <f>1-Operations!X409-Operations!X410</f>
        <v/>
      </c>
      <c r="Y411" s="14">
        <f>1-Operations!Y409-Operations!Y410</f>
        <v/>
      </c>
      <c r="Z411" s="14">
        <f>1-Operations!Z409-Operations!Z410</f>
        <v/>
      </c>
      <c r="AA411" s="14">
        <f>1-Operations!AA409-Operations!AA410</f>
        <v/>
      </c>
      <c r="AB411" s="14">
        <f>1-Operations!AB409-Operations!AB410</f>
        <v/>
      </c>
      <c r="AC411" s="14">
        <f>1-Operations!AC409-Operations!AC410</f>
        <v/>
      </c>
      <c r="AD411" s="14">
        <f>1-Operations!AD409-Operations!AD410</f>
        <v/>
      </c>
      <c r="AE411" s="14">
        <f>1-Operations!AE409-Operations!AE410</f>
        <v/>
      </c>
      <c r="AF411" s="14">
        <f>1-Operations!AF409-Operations!AF410</f>
        <v/>
      </c>
      <c r="AG411" s="14">
        <f>1-Operations!AG409-Operations!AG410</f>
        <v/>
      </c>
      <c r="AH411" s="14">
        <f>1-Operations!AH409-Operations!AH410</f>
        <v/>
      </c>
      <c r="AI411" s="14">
        <f>1-Operations!AI409-Operations!AI410</f>
        <v/>
      </c>
      <c r="AJ411" s="14">
        <f>1-Operations!AJ409-Operations!AJ410</f>
        <v/>
      </c>
      <c r="AK411" s="14">
        <f>1-Operations!AK409-Operations!AK410</f>
        <v/>
      </c>
      <c r="AL411" s="14">
        <f>1-Operations!AL409-Operations!AL410</f>
        <v/>
      </c>
      <c r="AM411" s="14">
        <f>1-Operations!AM409-Operations!AM410</f>
        <v/>
      </c>
      <c r="AN411" s="14">
        <f>1-Operations!AN409-Operations!AN410</f>
        <v/>
      </c>
      <c r="AO411" s="14">
        <f>1-Operations!AO409-Operations!AO410</f>
        <v/>
      </c>
      <c r="AP411" s="14">
        <f>1-Operations!AP409-Operations!AP410</f>
        <v/>
      </c>
      <c r="AQ411" s="14">
        <f>1-Operations!AQ409-Operations!AQ410</f>
        <v/>
      </c>
      <c r="AR411" s="14">
        <f>1-Operations!AR409-Operations!AR410</f>
        <v/>
      </c>
      <c r="AS411" s="14">
        <f>1-Operations!AS409-Operations!AS410</f>
        <v/>
      </c>
      <c r="AT411" s="14">
        <f>1-Operations!AT409-Operations!AT410</f>
        <v/>
      </c>
      <c r="AU411" s="14">
        <f>1-Operations!AU409-Operations!AU410</f>
        <v/>
      </c>
    </row>
    <row r="412">
      <c r="D412" t="inlineStr">
        <is>
          <t>CFADS allocated to contracted, all</t>
        </is>
      </c>
      <c r="E412" t="inlineStr">
        <is>
          <t>USD m</t>
        </is>
      </c>
      <c r="J412" s="20">
        <f>Operations!J401*Operations!J409</f>
        <v/>
      </c>
      <c r="K412" s="20">
        <f>Operations!K401*Operations!K409</f>
        <v/>
      </c>
      <c r="L412" s="20">
        <f>Operations!L401*Operations!L409</f>
        <v/>
      </c>
      <c r="M412" s="20">
        <f>Operations!M401*Operations!M409</f>
        <v/>
      </c>
      <c r="N412" s="20">
        <f>Operations!N401*Operations!N409</f>
        <v/>
      </c>
      <c r="O412" s="20">
        <f>Operations!O401*Operations!O409</f>
        <v/>
      </c>
      <c r="P412" s="20">
        <f>Operations!P401*Operations!P409</f>
        <v/>
      </c>
      <c r="Q412" s="20">
        <f>Operations!Q401*Operations!Q409</f>
        <v/>
      </c>
      <c r="R412" s="20">
        <f>Operations!R401*Operations!R409</f>
        <v/>
      </c>
      <c r="S412" s="20">
        <f>Operations!S401*Operations!S409</f>
        <v/>
      </c>
      <c r="T412" s="20">
        <f>Operations!T401*Operations!T409</f>
        <v/>
      </c>
      <c r="U412" s="20">
        <f>Operations!U401*Operations!U409</f>
        <v/>
      </c>
      <c r="V412" s="20">
        <f>Operations!V401*Operations!V409</f>
        <v/>
      </c>
      <c r="W412" s="20">
        <f>Operations!W401*Operations!W409</f>
        <v/>
      </c>
      <c r="X412" s="20">
        <f>Operations!X401*Operations!X409</f>
        <v/>
      </c>
      <c r="Y412" s="20">
        <f>Operations!Y401*Operations!Y409</f>
        <v/>
      </c>
      <c r="Z412" s="20">
        <f>Operations!Z401*Operations!Z409</f>
        <v/>
      </c>
      <c r="AA412" s="20">
        <f>Operations!AA401*Operations!AA409</f>
        <v/>
      </c>
      <c r="AB412" s="20">
        <f>Operations!AB401*Operations!AB409</f>
        <v/>
      </c>
      <c r="AC412" s="20">
        <f>Operations!AC401*Operations!AC409</f>
        <v/>
      </c>
      <c r="AD412" s="20">
        <f>Operations!AD401*Operations!AD409</f>
        <v/>
      </c>
      <c r="AE412" s="20">
        <f>Operations!AE401*Operations!AE409</f>
        <v/>
      </c>
      <c r="AF412" s="20">
        <f>Operations!AF401*Operations!AF409</f>
        <v/>
      </c>
      <c r="AG412" s="20">
        <f>Operations!AG401*Operations!AG409</f>
        <v/>
      </c>
      <c r="AH412" s="20">
        <f>Operations!AH401*Operations!AH409</f>
        <v/>
      </c>
      <c r="AI412" s="20">
        <f>Operations!AI401*Operations!AI409</f>
        <v/>
      </c>
      <c r="AJ412" s="20">
        <f>Operations!AJ401*Operations!AJ409</f>
        <v/>
      </c>
      <c r="AK412" s="20">
        <f>Operations!AK401*Operations!AK409</f>
        <v/>
      </c>
      <c r="AL412" s="20">
        <f>Operations!AL401*Operations!AL409</f>
        <v/>
      </c>
      <c r="AM412" s="20">
        <f>Operations!AM401*Operations!AM409</f>
        <v/>
      </c>
      <c r="AN412" s="20">
        <f>Operations!AN401*Operations!AN409</f>
        <v/>
      </c>
      <c r="AO412" s="20">
        <f>Operations!AO401*Operations!AO409</f>
        <v/>
      </c>
      <c r="AP412" s="20">
        <f>Operations!AP401*Operations!AP409</f>
        <v/>
      </c>
      <c r="AQ412" s="20">
        <f>Operations!AQ401*Operations!AQ409</f>
        <v/>
      </c>
      <c r="AR412" s="20">
        <f>Operations!AR401*Operations!AR409</f>
        <v/>
      </c>
      <c r="AS412" s="20">
        <f>Operations!AS401*Operations!AS409</f>
        <v/>
      </c>
      <c r="AT412" s="20">
        <f>Operations!AT401*Operations!AT409</f>
        <v/>
      </c>
      <c r="AU412" s="20">
        <f>Operations!AU401*Operations!AU409</f>
        <v/>
      </c>
    </row>
    <row r="413">
      <c r="D413" t="inlineStr">
        <is>
          <t>CFADS allocated to hedged, all</t>
        </is>
      </c>
      <c r="E413" t="inlineStr">
        <is>
          <t>USD m</t>
        </is>
      </c>
      <c r="J413" s="20">
        <f>Operations!J401*Operations!J410</f>
        <v/>
      </c>
      <c r="K413" s="20">
        <f>Operations!K401*Operations!K410</f>
        <v/>
      </c>
      <c r="L413" s="20">
        <f>Operations!L401*Operations!L410</f>
        <v/>
      </c>
      <c r="M413" s="20">
        <f>Operations!M401*Operations!M410</f>
        <v/>
      </c>
      <c r="N413" s="20">
        <f>Operations!N401*Operations!N410</f>
        <v/>
      </c>
      <c r="O413" s="20">
        <f>Operations!O401*Operations!O410</f>
        <v/>
      </c>
      <c r="P413" s="20">
        <f>Operations!P401*Operations!P410</f>
        <v/>
      </c>
      <c r="Q413" s="20">
        <f>Operations!Q401*Operations!Q410</f>
        <v/>
      </c>
      <c r="R413" s="20">
        <f>Operations!R401*Operations!R410</f>
        <v/>
      </c>
      <c r="S413" s="20">
        <f>Operations!S401*Operations!S410</f>
        <v/>
      </c>
      <c r="T413" s="20">
        <f>Operations!T401*Operations!T410</f>
        <v/>
      </c>
      <c r="U413" s="20">
        <f>Operations!U401*Operations!U410</f>
        <v/>
      </c>
      <c r="V413" s="20">
        <f>Operations!V401*Operations!V410</f>
        <v/>
      </c>
      <c r="W413" s="20">
        <f>Operations!W401*Operations!W410</f>
        <v/>
      </c>
      <c r="X413" s="20">
        <f>Operations!X401*Operations!X410</f>
        <v/>
      </c>
      <c r="Y413" s="20">
        <f>Operations!Y401*Operations!Y410</f>
        <v/>
      </c>
      <c r="Z413" s="20">
        <f>Operations!Z401*Operations!Z410</f>
        <v/>
      </c>
      <c r="AA413" s="20">
        <f>Operations!AA401*Operations!AA410</f>
        <v/>
      </c>
      <c r="AB413" s="20">
        <f>Operations!AB401*Operations!AB410</f>
        <v/>
      </c>
      <c r="AC413" s="20">
        <f>Operations!AC401*Operations!AC410</f>
        <v/>
      </c>
      <c r="AD413" s="20">
        <f>Operations!AD401*Operations!AD410</f>
        <v/>
      </c>
      <c r="AE413" s="20">
        <f>Operations!AE401*Operations!AE410</f>
        <v/>
      </c>
      <c r="AF413" s="20">
        <f>Operations!AF401*Operations!AF410</f>
        <v/>
      </c>
      <c r="AG413" s="20">
        <f>Operations!AG401*Operations!AG410</f>
        <v/>
      </c>
      <c r="AH413" s="20">
        <f>Operations!AH401*Operations!AH410</f>
        <v/>
      </c>
      <c r="AI413" s="20">
        <f>Operations!AI401*Operations!AI410</f>
        <v/>
      </c>
      <c r="AJ413" s="20">
        <f>Operations!AJ401*Operations!AJ410</f>
        <v/>
      </c>
      <c r="AK413" s="20">
        <f>Operations!AK401*Operations!AK410</f>
        <v/>
      </c>
      <c r="AL413" s="20">
        <f>Operations!AL401*Operations!AL410</f>
        <v/>
      </c>
      <c r="AM413" s="20">
        <f>Operations!AM401*Operations!AM410</f>
        <v/>
      </c>
      <c r="AN413" s="20">
        <f>Operations!AN401*Operations!AN410</f>
        <v/>
      </c>
      <c r="AO413" s="20">
        <f>Operations!AO401*Operations!AO410</f>
        <v/>
      </c>
      <c r="AP413" s="20">
        <f>Operations!AP401*Operations!AP410</f>
        <v/>
      </c>
      <c r="AQ413" s="20">
        <f>Operations!AQ401*Operations!AQ410</f>
        <v/>
      </c>
      <c r="AR413" s="20">
        <f>Operations!AR401*Operations!AR410</f>
        <v/>
      </c>
      <c r="AS413" s="20">
        <f>Operations!AS401*Operations!AS410</f>
        <v/>
      </c>
      <c r="AT413" s="20">
        <f>Operations!AT401*Operations!AT410</f>
        <v/>
      </c>
      <c r="AU413" s="20">
        <f>Operations!AU401*Operations!AU410</f>
        <v/>
      </c>
    </row>
    <row r="414">
      <c r="D414" t="inlineStr">
        <is>
          <t>CFADS allocated to merchant, all</t>
        </is>
      </c>
      <c r="E414" t="inlineStr">
        <is>
          <t>USD m</t>
        </is>
      </c>
      <c r="J414" s="20">
        <f>Operations!J401*Operations!J411</f>
        <v/>
      </c>
      <c r="K414" s="20">
        <f>Operations!K401*Operations!K411</f>
        <v/>
      </c>
      <c r="L414" s="20">
        <f>Operations!L401*Operations!L411</f>
        <v/>
      </c>
      <c r="M414" s="20">
        <f>Operations!M401*Operations!M411</f>
        <v/>
      </c>
      <c r="N414" s="20">
        <f>Operations!N401*Operations!N411</f>
        <v/>
      </c>
      <c r="O414" s="20">
        <f>Operations!O401*Operations!O411</f>
        <v/>
      </c>
      <c r="P414" s="20">
        <f>Operations!P401*Operations!P411</f>
        <v/>
      </c>
      <c r="Q414" s="20">
        <f>Operations!Q401*Operations!Q411</f>
        <v/>
      </c>
      <c r="R414" s="20">
        <f>Operations!R401*Operations!R411</f>
        <v/>
      </c>
      <c r="S414" s="20">
        <f>Operations!S401*Operations!S411</f>
        <v/>
      </c>
      <c r="T414" s="20">
        <f>Operations!T401*Operations!T411</f>
        <v/>
      </c>
      <c r="U414" s="20">
        <f>Operations!U401*Operations!U411</f>
        <v/>
      </c>
      <c r="V414" s="20">
        <f>Operations!V401*Operations!V411</f>
        <v/>
      </c>
      <c r="W414" s="20">
        <f>Operations!W401*Operations!W411</f>
        <v/>
      </c>
      <c r="X414" s="20">
        <f>Operations!X401*Operations!X411</f>
        <v/>
      </c>
      <c r="Y414" s="20">
        <f>Operations!Y401*Operations!Y411</f>
        <v/>
      </c>
      <c r="Z414" s="20">
        <f>Operations!Z401*Operations!Z411</f>
        <v/>
      </c>
      <c r="AA414" s="20">
        <f>Operations!AA401*Operations!AA411</f>
        <v/>
      </c>
      <c r="AB414" s="20">
        <f>Operations!AB401*Operations!AB411</f>
        <v/>
      </c>
      <c r="AC414" s="20">
        <f>Operations!AC401*Operations!AC411</f>
        <v/>
      </c>
      <c r="AD414" s="20">
        <f>Operations!AD401*Operations!AD411</f>
        <v/>
      </c>
      <c r="AE414" s="20">
        <f>Operations!AE401*Operations!AE411</f>
        <v/>
      </c>
      <c r="AF414" s="20">
        <f>Operations!AF401*Operations!AF411</f>
        <v/>
      </c>
      <c r="AG414" s="20">
        <f>Operations!AG401*Operations!AG411</f>
        <v/>
      </c>
      <c r="AH414" s="20">
        <f>Operations!AH401*Operations!AH411</f>
        <v/>
      </c>
      <c r="AI414" s="20">
        <f>Operations!AI401*Operations!AI411</f>
        <v/>
      </c>
      <c r="AJ414" s="20">
        <f>Operations!AJ401*Operations!AJ411</f>
        <v/>
      </c>
      <c r="AK414" s="20">
        <f>Operations!AK401*Operations!AK411</f>
        <v/>
      </c>
      <c r="AL414" s="20">
        <f>Operations!AL401*Operations!AL411</f>
        <v/>
      </c>
      <c r="AM414" s="20">
        <f>Operations!AM401*Operations!AM411</f>
        <v/>
      </c>
      <c r="AN414" s="20">
        <f>Operations!AN401*Operations!AN411</f>
        <v/>
      </c>
      <c r="AO414" s="20">
        <f>Operations!AO401*Operations!AO411</f>
        <v/>
      </c>
      <c r="AP414" s="20">
        <f>Operations!AP401*Operations!AP411</f>
        <v/>
      </c>
      <c r="AQ414" s="20">
        <f>Operations!AQ401*Operations!AQ411</f>
        <v/>
      </c>
      <c r="AR414" s="20">
        <f>Operations!AR401*Operations!AR411</f>
        <v/>
      </c>
      <c r="AS414" s="20">
        <f>Operations!AS401*Operations!AS411</f>
        <v/>
      </c>
      <c r="AT414" s="20">
        <f>Operations!AT401*Operations!AT411</f>
        <v/>
      </c>
      <c r="AU414" s="20">
        <f>Operations!AU401*Operations!AU411</f>
        <v/>
      </c>
    </row>
    <row r="416">
      <c r="A416" s="4" t="inlineStr">
        <is>
          <t>Block B: Sizing case: base prices, P50 volumes</t>
        </is>
      </c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</row>
    <row r="417">
      <c r="D417" t="inlineStr">
        <is>
          <t>Price scenario index</t>
        </is>
      </c>
      <c r="E417" t="inlineStr">
        <is>
          <t>index</t>
        </is>
      </c>
      <c r="F417" s="16">
        <f>Inputs!$F$16</f>
        <v/>
      </c>
    </row>
    <row r="418">
      <c r="D418" t="inlineStr">
        <is>
          <t>Volume case index</t>
        </is>
      </c>
      <c r="E418" t="inlineStr">
        <is>
          <t>index</t>
        </is>
      </c>
      <c r="F418" s="16">
        <f>Inputs!$F$17</f>
        <v/>
      </c>
    </row>
    <row r="419">
      <c r="D419" t="inlineStr">
        <is>
          <t>West solar capture shift</t>
        </is>
      </c>
      <c r="E419" t="inlineStr">
        <is>
          <t>points</t>
        </is>
      </c>
      <c r="F419" s="17">
        <f>Inputs!$F$19</f>
        <v/>
      </c>
    </row>
    <row r="420">
      <c r="D420" t="inlineStr">
        <is>
          <t>Curtailment added</t>
        </is>
      </c>
      <c r="E420" t="inlineStr">
        <is>
          <t>% points</t>
        </is>
      </c>
      <c r="F420" s="17">
        <f>Inputs!$F$19</f>
        <v/>
      </c>
    </row>
    <row r="421">
      <c r="D421" t="inlineStr">
        <is>
          <t>Opex factor</t>
        </is>
      </c>
      <c r="E421" t="inlineStr">
        <is>
          <t>factor</t>
        </is>
      </c>
      <c r="F421" s="17">
        <f>Inputs!$F$20</f>
        <v/>
      </c>
    </row>
    <row r="422">
      <c r="D422" t="inlineStr">
        <is>
          <t>Battery revenue curve index</t>
        </is>
      </c>
      <c r="E422" t="inlineStr">
        <is>
          <t>index</t>
        </is>
      </c>
      <c r="F422" s="12">
        <f>IF(Inputs!$F$19=1,2,Operations!$F$417)</f>
        <v/>
      </c>
    </row>
    <row r="423">
      <c r="D423" t="inlineStr">
        <is>
          <t>North Hub ATC</t>
        </is>
      </c>
      <c r="E423" t="inlineStr">
        <is>
          <t>USD/MWh</t>
        </is>
      </c>
      <c r="J423" s="18">
        <f>CHOOSE(Operations!$F$417,Inputs!J74,Inputs!J75,Inputs!J76)</f>
        <v/>
      </c>
      <c r="K423" s="18">
        <f>CHOOSE(Operations!$F$417,Inputs!K74,Inputs!K75,Inputs!K76)</f>
        <v/>
      </c>
      <c r="L423" s="18">
        <f>CHOOSE(Operations!$F$417,Inputs!L74,Inputs!L75,Inputs!L76)</f>
        <v/>
      </c>
      <c r="M423" s="18">
        <f>CHOOSE(Operations!$F$417,Inputs!M74,Inputs!M75,Inputs!M76)</f>
        <v/>
      </c>
      <c r="N423" s="18">
        <f>CHOOSE(Operations!$F$417,Inputs!N74,Inputs!N75,Inputs!N76)</f>
        <v/>
      </c>
      <c r="O423" s="18">
        <f>CHOOSE(Operations!$F$417,Inputs!O74,Inputs!O75,Inputs!O76)</f>
        <v/>
      </c>
      <c r="P423" s="18">
        <f>CHOOSE(Operations!$F$417,Inputs!P74,Inputs!P75,Inputs!P76)</f>
        <v/>
      </c>
      <c r="Q423" s="18">
        <f>CHOOSE(Operations!$F$417,Inputs!Q74,Inputs!Q75,Inputs!Q76)</f>
        <v/>
      </c>
      <c r="R423" s="18">
        <f>CHOOSE(Operations!$F$417,Inputs!R74,Inputs!R75,Inputs!R76)</f>
        <v/>
      </c>
      <c r="S423" s="18">
        <f>CHOOSE(Operations!$F$417,Inputs!S74,Inputs!S75,Inputs!S76)</f>
        <v/>
      </c>
      <c r="T423" s="18">
        <f>CHOOSE(Operations!$F$417,Inputs!T74,Inputs!T75,Inputs!T76)</f>
        <v/>
      </c>
      <c r="U423" s="18">
        <f>CHOOSE(Operations!$F$417,Inputs!U74,Inputs!U75,Inputs!U76)</f>
        <v/>
      </c>
      <c r="V423" s="18">
        <f>CHOOSE(Operations!$F$417,Inputs!V74,Inputs!V75,Inputs!V76)</f>
        <v/>
      </c>
      <c r="W423" s="18">
        <f>CHOOSE(Operations!$F$417,Inputs!W74,Inputs!W75,Inputs!W76)</f>
        <v/>
      </c>
      <c r="X423" s="18">
        <f>CHOOSE(Operations!$F$417,Inputs!X74,Inputs!X75,Inputs!X76)</f>
        <v/>
      </c>
      <c r="Y423" s="18">
        <f>CHOOSE(Operations!$F$417,Inputs!Y74,Inputs!Y75,Inputs!Y76)</f>
        <v/>
      </c>
      <c r="Z423" s="18">
        <f>CHOOSE(Operations!$F$417,Inputs!Z74,Inputs!Z75,Inputs!Z76)</f>
        <v/>
      </c>
      <c r="AA423" s="18">
        <f>CHOOSE(Operations!$F$417,Inputs!AA74,Inputs!AA75,Inputs!AA76)</f>
        <v/>
      </c>
      <c r="AB423" s="18">
        <f>CHOOSE(Operations!$F$417,Inputs!AB74,Inputs!AB75,Inputs!AB76)</f>
        <v/>
      </c>
      <c r="AC423" s="18">
        <f>CHOOSE(Operations!$F$417,Inputs!AC74,Inputs!AC75,Inputs!AC76)</f>
        <v/>
      </c>
      <c r="AD423" s="18">
        <f>CHOOSE(Operations!$F$417,Inputs!AD74,Inputs!AD75,Inputs!AD76)</f>
        <v/>
      </c>
      <c r="AE423" s="18">
        <f>CHOOSE(Operations!$F$417,Inputs!AE74,Inputs!AE75,Inputs!AE76)</f>
        <v/>
      </c>
      <c r="AF423" s="18">
        <f>CHOOSE(Operations!$F$417,Inputs!AF74,Inputs!AF75,Inputs!AF76)</f>
        <v/>
      </c>
      <c r="AG423" s="18">
        <f>CHOOSE(Operations!$F$417,Inputs!AG74,Inputs!AG75,Inputs!AG76)</f>
        <v/>
      </c>
      <c r="AH423" s="18">
        <f>CHOOSE(Operations!$F$417,Inputs!AH74,Inputs!AH75,Inputs!AH76)</f>
        <v/>
      </c>
      <c r="AI423" s="18">
        <f>CHOOSE(Operations!$F$417,Inputs!AI74,Inputs!AI75,Inputs!AI76)</f>
        <v/>
      </c>
      <c r="AJ423" s="18">
        <f>CHOOSE(Operations!$F$417,Inputs!AJ74,Inputs!AJ75,Inputs!AJ76)</f>
        <v/>
      </c>
      <c r="AK423" s="18">
        <f>CHOOSE(Operations!$F$417,Inputs!AK74,Inputs!AK75,Inputs!AK76)</f>
        <v/>
      </c>
      <c r="AL423" s="18">
        <f>CHOOSE(Operations!$F$417,Inputs!AL74,Inputs!AL75,Inputs!AL76)</f>
        <v/>
      </c>
      <c r="AM423" s="18">
        <f>CHOOSE(Operations!$F$417,Inputs!AM74,Inputs!AM75,Inputs!AM76)</f>
        <v/>
      </c>
      <c r="AN423" s="18">
        <f>CHOOSE(Operations!$F$417,Inputs!AN74,Inputs!AN75,Inputs!AN76)</f>
        <v/>
      </c>
      <c r="AO423" s="18">
        <f>CHOOSE(Operations!$F$417,Inputs!AO74,Inputs!AO75,Inputs!AO76)</f>
        <v/>
      </c>
      <c r="AP423" s="18">
        <f>CHOOSE(Operations!$F$417,Inputs!AP74,Inputs!AP75,Inputs!AP76)</f>
        <v/>
      </c>
      <c r="AQ423" s="18">
        <f>CHOOSE(Operations!$F$417,Inputs!AQ74,Inputs!AQ75,Inputs!AQ76)</f>
        <v/>
      </c>
      <c r="AR423" s="18">
        <f>CHOOSE(Operations!$F$417,Inputs!AR74,Inputs!AR75,Inputs!AR76)</f>
        <v/>
      </c>
      <c r="AS423" s="18">
        <f>CHOOSE(Operations!$F$417,Inputs!AS74,Inputs!AS75,Inputs!AS76)</f>
        <v/>
      </c>
      <c r="AT423" s="18">
        <f>CHOOSE(Operations!$F$417,Inputs!AT74,Inputs!AT75,Inputs!AT76)</f>
        <v/>
      </c>
      <c r="AU423" s="18">
        <f>CHOOSE(Operations!$F$417,Inputs!AU74,Inputs!AU75,Inputs!AU76)</f>
        <v/>
      </c>
    </row>
    <row r="424">
      <c r="D424" t="inlineStr">
        <is>
          <t>West Hub ATC</t>
        </is>
      </c>
      <c r="E424" t="inlineStr">
        <is>
          <t>USD/MWh</t>
        </is>
      </c>
      <c r="J424" s="18">
        <f>Operations!J423*Inputs!$F$35</f>
        <v/>
      </c>
      <c r="K424" s="18">
        <f>Operations!K423*Inputs!$F$35</f>
        <v/>
      </c>
      <c r="L424" s="18">
        <f>Operations!L423*Inputs!$F$35</f>
        <v/>
      </c>
      <c r="M424" s="18">
        <f>Operations!M423*Inputs!$F$35</f>
        <v/>
      </c>
      <c r="N424" s="18">
        <f>Operations!N423*Inputs!$F$35</f>
        <v/>
      </c>
      <c r="O424" s="18">
        <f>Operations!O423*Inputs!$F$35</f>
        <v/>
      </c>
      <c r="P424" s="18">
        <f>Operations!P423*Inputs!$F$35</f>
        <v/>
      </c>
      <c r="Q424" s="18">
        <f>Operations!Q423*Inputs!$F$35</f>
        <v/>
      </c>
      <c r="R424" s="18">
        <f>Operations!R423*Inputs!$F$35</f>
        <v/>
      </c>
      <c r="S424" s="18">
        <f>Operations!S423*Inputs!$F$35</f>
        <v/>
      </c>
      <c r="T424" s="18">
        <f>Operations!T423*Inputs!$F$35</f>
        <v/>
      </c>
      <c r="U424" s="18">
        <f>Operations!U423*Inputs!$F$35</f>
        <v/>
      </c>
      <c r="V424" s="18">
        <f>Operations!V423*Inputs!$F$35</f>
        <v/>
      </c>
      <c r="W424" s="18">
        <f>Operations!W423*Inputs!$F$35</f>
        <v/>
      </c>
      <c r="X424" s="18">
        <f>Operations!X423*Inputs!$F$35</f>
        <v/>
      </c>
      <c r="Y424" s="18">
        <f>Operations!Y423*Inputs!$F$35</f>
        <v/>
      </c>
      <c r="Z424" s="18">
        <f>Operations!Z423*Inputs!$F$35</f>
        <v/>
      </c>
      <c r="AA424" s="18">
        <f>Operations!AA423*Inputs!$F$35</f>
        <v/>
      </c>
      <c r="AB424" s="18">
        <f>Operations!AB423*Inputs!$F$35</f>
        <v/>
      </c>
      <c r="AC424" s="18">
        <f>Operations!AC423*Inputs!$F$35</f>
        <v/>
      </c>
      <c r="AD424" s="18">
        <f>Operations!AD423*Inputs!$F$35</f>
        <v/>
      </c>
      <c r="AE424" s="18">
        <f>Operations!AE423*Inputs!$F$35</f>
        <v/>
      </c>
      <c r="AF424" s="18">
        <f>Operations!AF423*Inputs!$F$35</f>
        <v/>
      </c>
      <c r="AG424" s="18">
        <f>Operations!AG423*Inputs!$F$35</f>
        <v/>
      </c>
      <c r="AH424" s="18">
        <f>Operations!AH423*Inputs!$F$35</f>
        <v/>
      </c>
      <c r="AI424" s="18">
        <f>Operations!AI423*Inputs!$F$35</f>
        <v/>
      </c>
      <c r="AJ424" s="18">
        <f>Operations!AJ423*Inputs!$F$35</f>
        <v/>
      </c>
      <c r="AK424" s="18">
        <f>Operations!AK423*Inputs!$F$35</f>
        <v/>
      </c>
      <c r="AL424" s="18">
        <f>Operations!AL423*Inputs!$F$35</f>
        <v/>
      </c>
      <c r="AM424" s="18">
        <f>Operations!AM423*Inputs!$F$35</f>
        <v/>
      </c>
      <c r="AN424" s="18">
        <f>Operations!AN423*Inputs!$F$35</f>
        <v/>
      </c>
      <c r="AO424" s="18">
        <f>Operations!AO423*Inputs!$F$35</f>
        <v/>
      </c>
      <c r="AP424" s="18">
        <f>Operations!AP423*Inputs!$F$35</f>
        <v/>
      </c>
      <c r="AQ424" s="18">
        <f>Operations!AQ423*Inputs!$F$35</f>
        <v/>
      </c>
      <c r="AR424" s="18">
        <f>Operations!AR423*Inputs!$F$35</f>
        <v/>
      </c>
      <c r="AS424" s="18">
        <f>Operations!AS423*Inputs!$F$35</f>
        <v/>
      </c>
      <c r="AT424" s="18">
        <f>Operations!AT423*Inputs!$F$35</f>
        <v/>
      </c>
      <c r="AU424" s="18">
        <f>Operations!AU423*Inputs!$F$35</f>
        <v/>
      </c>
    </row>
    <row r="425">
      <c r="D425" t="inlineStr">
        <is>
          <t>South Hub ATC</t>
        </is>
      </c>
      <c r="E425" t="inlineStr">
        <is>
          <t>USD/MWh</t>
        </is>
      </c>
      <c r="J425" s="18">
        <f>Operations!J423*Inputs!$F$36</f>
        <v/>
      </c>
      <c r="K425" s="18">
        <f>Operations!K423*Inputs!$F$36</f>
        <v/>
      </c>
      <c r="L425" s="18">
        <f>Operations!L423*Inputs!$F$36</f>
        <v/>
      </c>
      <c r="M425" s="18">
        <f>Operations!M423*Inputs!$F$36</f>
        <v/>
      </c>
      <c r="N425" s="18">
        <f>Operations!N423*Inputs!$F$36</f>
        <v/>
      </c>
      <c r="O425" s="18">
        <f>Operations!O423*Inputs!$F$36</f>
        <v/>
      </c>
      <c r="P425" s="18">
        <f>Operations!P423*Inputs!$F$36</f>
        <v/>
      </c>
      <c r="Q425" s="18">
        <f>Operations!Q423*Inputs!$F$36</f>
        <v/>
      </c>
      <c r="R425" s="18">
        <f>Operations!R423*Inputs!$F$36</f>
        <v/>
      </c>
      <c r="S425" s="18">
        <f>Operations!S423*Inputs!$F$36</f>
        <v/>
      </c>
      <c r="T425" s="18">
        <f>Operations!T423*Inputs!$F$36</f>
        <v/>
      </c>
      <c r="U425" s="18">
        <f>Operations!U423*Inputs!$F$36</f>
        <v/>
      </c>
      <c r="V425" s="18">
        <f>Operations!V423*Inputs!$F$36</f>
        <v/>
      </c>
      <c r="W425" s="18">
        <f>Operations!W423*Inputs!$F$36</f>
        <v/>
      </c>
      <c r="X425" s="18">
        <f>Operations!X423*Inputs!$F$36</f>
        <v/>
      </c>
      <c r="Y425" s="18">
        <f>Operations!Y423*Inputs!$F$36</f>
        <v/>
      </c>
      <c r="Z425" s="18">
        <f>Operations!Z423*Inputs!$F$36</f>
        <v/>
      </c>
      <c r="AA425" s="18">
        <f>Operations!AA423*Inputs!$F$36</f>
        <v/>
      </c>
      <c r="AB425" s="18">
        <f>Operations!AB423*Inputs!$F$36</f>
        <v/>
      </c>
      <c r="AC425" s="18">
        <f>Operations!AC423*Inputs!$F$36</f>
        <v/>
      </c>
      <c r="AD425" s="18">
        <f>Operations!AD423*Inputs!$F$36</f>
        <v/>
      </c>
      <c r="AE425" s="18">
        <f>Operations!AE423*Inputs!$F$36</f>
        <v/>
      </c>
      <c r="AF425" s="18">
        <f>Operations!AF423*Inputs!$F$36</f>
        <v/>
      </c>
      <c r="AG425" s="18">
        <f>Operations!AG423*Inputs!$F$36</f>
        <v/>
      </c>
      <c r="AH425" s="18">
        <f>Operations!AH423*Inputs!$F$36</f>
        <v/>
      </c>
      <c r="AI425" s="18">
        <f>Operations!AI423*Inputs!$F$36</f>
        <v/>
      </c>
      <c r="AJ425" s="18">
        <f>Operations!AJ423*Inputs!$F$36</f>
        <v/>
      </c>
      <c r="AK425" s="18">
        <f>Operations!AK423*Inputs!$F$36</f>
        <v/>
      </c>
      <c r="AL425" s="18">
        <f>Operations!AL423*Inputs!$F$36</f>
        <v/>
      </c>
      <c r="AM425" s="18">
        <f>Operations!AM423*Inputs!$F$36</f>
        <v/>
      </c>
      <c r="AN425" s="18">
        <f>Operations!AN423*Inputs!$F$36</f>
        <v/>
      </c>
      <c r="AO425" s="18">
        <f>Operations!AO423*Inputs!$F$36</f>
        <v/>
      </c>
      <c r="AP425" s="18">
        <f>Operations!AP423*Inputs!$F$36</f>
        <v/>
      </c>
      <c r="AQ425" s="18">
        <f>Operations!AQ423*Inputs!$F$36</f>
        <v/>
      </c>
      <c r="AR425" s="18">
        <f>Operations!AR423*Inputs!$F$36</f>
        <v/>
      </c>
      <c r="AS425" s="18">
        <f>Operations!AS423*Inputs!$F$36</f>
        <v/>
      </c>
      <c r="AT425" s="18">
        <f>Operations!AT423*Inputs!$F$36</f>
        <v/>
      </c>
      <c r="AU425" s="18">
        <f>Operations!AU423*Inputs!$F$36</f>
        <v/>
      </c>
    </row>
    <row r="426">
      <c r="D426" t="inlineStr">
        <is>
          <t>Houston Hub ATC</t>
        </is>
      </c>
      <c r="E426" t="inlineStr">
        <is>
          <t>USD/MWh</t>
        </is>
      </c>
      <c r="J426" s="18">
        <f>Operations!J423*Inputs!$F$37</f>
        <v/>
      </c>
      <c r="K426" s="18">
        <f>Operations!K423*Inputs!$F$37</f>
        <v/>
      </c>
      <c r="L426" s="18">
        <f>Operations!L423*Inputs!$F$37</f>
        <v/>
      </c>
      <c r="M426" s="18">
        <f>Operations!M423*Inputs!$F$37</f>
        <v/>
      </c>
      <c r="N426" s="18">
        <f>Operations!N423*Inputs!$F$37</f>
        <v/>
      </c>
      <c r="O426" s="18">
        <f>Operations!O423*Inputs!$F$37</f>
        <v/>
      </c>
      <c r="P426" s="18">
        <f>Operations!P423*Inputs!$F$37</f>
        <v/>
      </c>
      <c r="Q426" s="18">
        <f>Operations!Q423*Inputs!$F$37</f>
        <v/>
      </c>
      <c r="R426" s="18">
        <f>Operations!R423*Inputs!$F$37</f>
        <v/>
      </c>
      <c r="S426" s="18">
        <f>Operations!S423*Inputs!$F$37</f>
        <v/>
      </c>
      <c r="T426" s="18">
        <f>Operations!T423*Inputs!$F$37</f>
        <v/>
      </c>
      <c r="U426" s="18">
        <f>Operations!U423*Inputs!$F$37</f>
        <v/>
      </c>
      <c r="V426" s="18">
        <f>Operations!V423*Inputs!$F$37</f>
        <v/>
      </c>
      <c r="W426" s="18">
        <f>Operations!W423*Inputs!$F$37</f>
        <v/>
      </c>
      <c r="X426" s="18">
        <f>Operations!X423*Inputs!$F$37</f>
        <v/>
      </c>
      <c r="Y426" s="18">
        <f>Operations!Y423*Inputs!$F$37</f>
        <v/>
      </c>
      <c r="Z426" s="18">
        <f>Operations!Z423*Inputs!$F$37</f>
        <v/>
      </c>
      <c r="AA426" s="18">
        <f>Operations!AA423*Inputs!$F$37</f>
        <v/>
      </c>
      <c r="AB426" s="18">
        <f>Operations!AB423*Inputs!$F$37</f>
        <v/>
      </c>
      <c r="AC426" s="18">
        <f>Operations!AC423*Inputs!$F$37</f>
        <v/>
      </c>
      <c r="AD426" s="18">
        <f>Operations!AD423*Inputs!$F$37</f>
        <v/>
      </c>
      <c r="AE426" s="18">
        <f>Operations!AE423*Inputs!$F$37</f>
        <v/>
      </c>
      <c r="AF426" s="18">
        <f>Operations!AF423*Inputs!$F$37</f>
        <v/>
      </c>
      <c r="AG426" s="18">
        <f>Operations!AG423*Inputs!$F$37</f>
        <v/>
      </c>
      <c r="AH426" s="18">
        <f>Operations!AH423*Inputs!$F$37</f>
        <v/>
      </c>
      <c r="AI426" s="18">
        <f>Operations!AI423*Inputs!$F$37</f>
        <v/>
      </c>
      <c r="AJ426" s="18">
        <f>Operations!AJ423*Inputs!$F$37</f>
        <v/>
      </c>
      <c r="AK426" s="18">
        <f>Operations!AK423*Inputs!$F$37</f>
        <v/>
      </c>
      <c r="AL426" s="18">
        <f>Operations!AL423*Inputs!$F$37</f>
        <v/>
      </c>
      <c r="AM426" s="18">
        <f>Operations!AM423*Inputs!$F$37</f>
        <v/>
      </c>
      <c r="AN426" s="18">
        <f>Operations!AN423*Inputs!$F$37</f>
        <v/>
      </c>
      <c r="AO426" s="18">
        <f>Operations!AO423*Inputs!$F$37</f>
        <v/>
      </c>
      <c r="AP426" s="18">
        <f>Operations!AP423*Inputs!$F$37</f>
        <v/>
      </c>
      <c r="AQ426" s="18">
        <f>Operations!AQ423*Inputs!$F$37</f>
        <v/>
      </c>
      <c r="AR426" s="18">
        <f>Operations!AR423*Inputs!$F$37</f>
        <v/>
      </c>
      <c r="AS426" s="18">
        <f>Operations!AS423*Inputs!$F$37</f>
        <v/>
      </c>
      <c r="AT426" s="18">
        <f>Operations!AT423*Inputs!$F$37</f>
        <v/>
      </c>
      <c r="AU426" s="18">
        <f>Operations!AU423*Inputs!$F$37</f>
        <v/>
      </c>
    </row>
    <row r="427">
      <c r="D427" t="inlineStr">
        <is>
          <t>Battery merchant revenue</t>
        </is>
      </c>
      <c r="E427" t="inlineStr">
        <is>
          <t>USD/kW-yr</t>
        </is>
      </c>
      <c r="J427" s="18">
        <f>CHOOSE(Operations!$F$422,Inputs!J77,Inputs!J78,Inputs!J79)</f>
        <v/>
      </c>
      <c r="K427" s="18">
        <f>CHOOSE(Operations!$F$422,Inputs!K77,Inputs!K78,Inputs!K79)</f>
        <v/>
      </c>
      <c r="L427" s="18">
        <f>CHOOSE(Operations!$F$422,Inputs!L77,Inputs!L78,Inputs!L79)</f>
        <v/>
      </c>
      <c r="M427" s="18">
        <f>CHOOSE(Operations!$F$422,Inputs!M77,Inputs!M78,Inputs!M79)</f>
        <v/>
      </c>
      <c r="N427" s="18">
        <f>CHOOSE(Operations!$F$422,Inputs!N77,Inputs!N78,Inputs!N79)</f>
        <v/>
      </c>
      <c r="O427" s="18">
        <f>CHOOSE(Operations!$F$422,Inputs!O77,Inputs!O78,Inputs!O79)</f>
        <v/>
      </c>
      <c r="P427" s="18">
        <f>CHOOSE(Operations!$F$422,Inputs!P77,Inputs!P78,Inputs!P79)</f>
        <v/>
      </c>
      <c r="Q427" s="18">
        <f>CHOOSE(Operations!$F$422,Inputs!Q77,Inputs!Q78,Inputs!Q79)</f>
        <v/>
      </c>
      <c r="R427" s="18">
        <f>CHOOSE(Operations!$F$422,Inputs!R77,Inputs!R78,Inputs!R79)</f>
        <v/>
      </c>
      <c r="S427" s="18">
        <f>CHOOSE(Operations!$F$422,Inputs!S77,Inputs!S78,Inputs!S79)</f>
        <v/>
      </c>
      <c r="T427" s="18">
        <f>CHOOSE(Operations!$F$422,Inputs!T77,Inputs!T78,Inputs!T79)</f>
        <v/>
      </c>
      <c r="U427" s="18">
        <f>CHOOSE(Operations!$F$422,Inputs!U77,Inputs!U78,Inputs!U79)</f>
        <v/>
      </c>
      <c r="V427" s="18">
        <f>CHOOSE(Operations!$F$422,Inputs!V77,Inputs!V78,Inputs!V79)</f>
        <v/>
      </c>
      <c r="W427" s="18">
        <f>CHOOSE(Operations!$F$422,Inputs!W77,Inputs!W78,Inputs!W79)</f>
        <v/>
      </c>
      <c r="X427" s="18">
        <f>CHOOSE(Operations!$F$422,Inputs!X77,Inputs!X78,Inputs!X79)</f>
        <v/>
      </c>
      <c r="Y427" s="18">
        <f>CHOOSE(Operations!$F$422,Inputs!Y77,Inputs!Y78,Inputs!Y79)</f>
        <v/>
      </c>
      <c r="Z427" s="18">
        <f>CHOOSE(Operations!$F$422,Inputs!Z77,Inputs!Z78,Inputs!Z79)</f>
        <v/>
      </c>
      <c r="AA427" s="18">
        <f>CHOOSE(Operations!$F$422,Inputs!AA77,Inputs!AA78,Inputs!AA79)</f>
        <v/>
      </c>
      <c r="AB427" s="18">
        <f>CHOOSE(Operations!$F$422,Inputs!AB77,Inputs!AB78,Inputs!AB79)</f>
        <v/>
      </c>
      <c r="AC427" s="18">
        <f>CHOOSE(Operations!$F$422,Inputs!AC77,Inputs!AC78,Inputs!AC79)</f>
        <v/>
      </c>
      <c r="AD427" s="18">
        <f>CHOOSE(Operations!$F$422,Inputs!AD77,Inputs!AD78,Inputs!AD79)</f>
        <v/>
      </c>
      <c r="AE427" s="18">
        <f>CHOOSE(Operations!$F$422,Inputs!AE77,Inputs!AE78,Inputs!AE79)</f>
        <v/>
      </c>
      <c r="AF427" s="18">
        <f>CHOOSE(Operations!$F$422,Inputs!AF77,Inputs!AF78,Inputs!AF79)</f>
        <v/>
      </c>
      <c r="AG427" s="18">
        <f>CHOOSE(Operations!$F$422,Inputs!AG77,Inputs!AG78,Inputs!AG79)</f>
        <v/>
      </c>
      <c r="AH427" s="18">
        <f>CHOOSE(Operations!$F$422,Inputs!AH77,Inputs!AH78,Inputs!AH79)</f>
        <v/>
      </c>
      <c r="AI427" s="18">
        <f>CHOOSE(Operations!$F$422,Inputs!AI77,Inputs!AI78,Inputs!AI79)</f>
        <v/>
      </c>
      <c r="AJ427" s="18">
        <f>CHOOSE(Operations!$F$422,Inputs!AJ77,Inputs!AJ78,Inputs!AJ79)</f>
        <v/>
      </c>
      <c r="AK427" s="18">
        <f>CHOOSE(Operations!$F$422,Inputs!AK77,Inputs!AK78,Inputs!AK79)</f>
        <v/>
      </c>
      <c r="AL427" s="18">
        <f>CHOOSE(Operations!$F$422,Inputs!AL77,Inputs!AL78,Inputs!AL79)</f>
        <v/>
      </c>
      <c r="AM427" s="18">
        <f>CHOOSE(Operations!$F$422,Inputs!AM77,Inputs!AM78,Inputs!AM79)</f>
        <v/>
      </c>
      <c r="AN427" s="18">
        <f>CHOOSE(Operations!$F$422,Inputs!AN77,Inputs!AN78,Inputs!AN79)</f>
        <v/>
      </c>
      <c r="AO427" s="18">
        <f>CHOOSE(Operations!$F$422,Inputs!AO77,Inputs!AO78,Inputs!AO79)</f>
        <v/>
      </c>
      <c r="AP427" s="18">
        <f>CHOOSE(Operations!$F$422,Inputs!AP77,Inputs!AP78,Inputs!AP79)</f>
        <v/>
      </c>
      <c r="AQ427" s="18">
        <f>CHOOSE(Operations!$F$422,Inputs!AQ77,Inputs!AQ78,Inputs!AQ79)</f>
        <v/>
      </c>
      <c r="AR427" s="18">
        <f>CHOOSE(Operations!$F$422,Inputs!AR77,Inputs!AR78,Inputs!AR79)</f>
        <v/>
      </c>
      <c r="AS427" s="18">
        <f>CHOOSE(Operations!$F$422,Inputs!AS77,Inputs!AS78,Inputs!AS79)</f>
        <v/>
      </c>
      <c r="AT427" s="18">
        <f>CHOOSE(Operations!$F$422,Inputs!AT77,Inputs!AT78,Inputs!AT79)</f>
        <v/>
      </c>
      <c r="AU427" s="18">
        <f>CHOOSE(Operations!$F$422,Inputs!AU77,Inputs!AU78,Inputs!AU79)</f>
        <v/>
      </c>
    </row>
    <row r="428">
      <c r="D428" t="inlineStr">
        <is>
          <t>Hub capture ratio: west_wind</t>
        </is>
      </c>
      <c r="E428" t="inlineStr">
        <is>
          <t>ratio</t>
        </is>
      </c>
      <c r="J428" s="14">
        <f>MAX(Inputs!$F$43+CHOOSE(Operations!$F$417,0,Inputs!$F$39,0),Inputs!$F$41-Inputs!$F$42/100*CHOOSE(Operations!$F$417,1,Inputs!$F$38,Inputs!$F$40)*Time!J$8)</f>
        <v/>
      </c>
      <c r="K428" s="14">
        <f>MAX(Inputs!$F$43+CHOOSE(Operations!$F$417,0,Inputs!$F$39,0),Inputs!$F$41-Inputs!$F$42/100*CHOOSE(Operations!$F$417,1,Inputs!$F$38,Inputs!$F$40)*Time!K$8)</f>
        <v/>
      </c>
      <c r="L428" s="14">
        <f>MAX(Inputs!$F$43+CHOOSE(Operations!$F$417,0,Inputs!$F$39,0),Inputs!$F$41-Inputs!$F$42/100*CHOOSE(Operations!$F$417,1,Inputs!$F$38,Inputs!$F$40)*Time!L$8)</f>
        <v/>
      </c>
      <c r="M428" s="14">
        <f>MAX(Inputs!$F$43+CHOOSE(Operations!$F$417,0,Inputs!$F$39,0),Inputs!$F$41-Inputs!$F$42/100*CHOOSE(Operations!$F$417,1,Inputs!$F$38,Inputs!$F$40)*Time!M$8)</f>
        <v/>
      </c>
      <c r="N428" s="14">
        <f>MAX(Inputs!$F$43+CHOOSE(Operations!$F$417,0,Inputs!$F$39,0),Inputs!$F$41-Inputs!$F$42/100*CHOOSE(Operations!$F$417,1,Inputs!$F$38,Inputs!$F$40)*Time!N$8)</f>
        <v/>
      </c>
      <c r="O428" s="14">
        <f>MAX(Inputs!$F$43+CHOOSE(Operations!$F$417,0,Inputs!$F$39,0),Inputs!$F$41-Inputs!$F$42/100*CHOOSE(Operations!$F$417,1,Inputs!$F$38,Inputs!$F$40)*Time!O$8)</f>
        <v/>
      </c>
      <c r="P428" s="14">
        <f>MAX(Inputs!$F$43+CHOOSE(Operations!$F$417,0,Inputs!$F$39,0),Inputs!$F$41-Inputs!$F$42/100*CHOOSE(Operations!$F$417,1,Inputs!$F$38,Inputs!$F$40)*Time!P$8)</f>
        <v/>
      </c>
      <c r="Q428" s="14">
        <f>MAX(Inputs!$F$43+CHOOSE(Operations!$F$417,0,Inputs!$F$39,0),Inputs!$F$41-Inputs!$F$42/100*CHOOSE(Operations!$F$417,1,Inputs!$F$38,Inputs!$F$40)*Time!Q$8)</f>
        <v/>
      </c>
      <c r="R428" s="14">
        <f>MAX(Inputs!$F$43+CHOOSE(Operations!$F$417,0,Inputs!$F$39,0),Inputs!$F$41-Inputs!$F$42/100*CHOOSE(Operations!$F$417,1,Inputs!$F$38,Inputs!$F$40)*Time!R$8)</f>
        <v/>
      </c>
      <c r="S428" s="14">
        <f>MAX(Inputs!$F$43+CHOOSE(Operations!$F$417,0,Inputs!$F$39,0),Inputs!$F$41-Inputs!$F$42/100*CHOOSE(Operations!$F$417,1,Inputs!$F$38,Inputs!$F$40)*Time!S$8)</f>
        <v/>
      </c>
      <c r="T428" s="14">
        <f>MAX(Inputs!$F$43+CHOOSE(Operations!$F$417,0,Inputs!$F$39,0),Inputs!$F$41-Inputs!$F$42/100*CHOOSE(Operations!$F$417,1,Inputs!$F$38,Inputs!$F$40)*Time!T$8)</f>
        <v/>
      </c>
      <c r="U428" s="14">
        <f>MAX(Inputs!$F$43+CHOOSE(Operations!$F$417,0,Inputs!$F$39,0),Inputs!$F$41-Inputs!$F$42/100*CHOOSE(Operations!$F$417,1,Inputs!$F$38,Inputs!$F$40)*Time!U$8)</f>
        <v/>
      </c>
      <c r="V428" s="14">
        <f>MAX(Inputs!$F$43+CHOOSE(Operations!$F$417,0,Inputs!$F$39,0),Inputs!$F$41-Inputs!$F$42/100*CHOOSE(Operations!$F$417,1,Inputs!$F$38,Inputs!$F$40)*Time!V$8)</f>
        <v/>
      </c>
      <c r="W428" s="14">
        <f>MAX(Inputs!$F$43+CHOOSE(Operations!$F$417,0,Inputs!$F$39,0),Inputs!$F$41-Inputs!$F$42/100*CHOOSE(Operations!$F$417,1,Inputs!$F$38,Inputs!$F$40)*Time!W$8)</f>
        <v/>
      </c>
      <c r="X428" s="14">
        <f>MAX(Inputs!$F$43+CHOOSE(Operations!$F$417,0,Inputs!$F$39,0),Inputs!$F$41-Inputs!$F$42/100*CHOOSE(Operations!$F$417,1,Inputs!$F$38,Inputs!$F$40)*Time!X$8)</f>
        <v/>
      </c>
      <c r="Y428" s="14">
        <f>MAX(Inputs!$F$43+CHOOSE(Operations!$F$417,0,Inputs!$F$39,0),Inputs!$F$41-Inputs!$F$42/100*CHOOSE(Operations!$F$417,1,Inputs!$F$38,Inputs!$F$40)*Time!Y$8)</f>
        <v/>
      </c>
      <c r="Z428" s="14">
        <f>MAX(Inputs!$F$43+CHOOSE(Operations!$F$417,0,Inputs!$F$39,0),Inputs!$F$41-Inputs!$F$42/100*CHOOSE(Operations!$F$417,1,Inputs!$F$38,Inputs!$F$40)*Time!Z$8)</f>
        <v/>
      </c>
      <c r="AA428" s="14">
        <f>MAX(Inputs!$F$43+CHOOSE(Operations!$F$417,0,Inputs!$F$39,0),Inputs!$F$41-Inputs!$F$42/100*CHOOSE(Operations!$F$417,1,Inputs!$F$38,Inputs!$F$40)*Time!AA$8)</f>
        <v/>
      </c>
      <c r="AB428" s="14">
        <f>MAX(Inputs!$F$43+CHOOSE(Operations!$F$417,0,Inputs!$F$39,0),Inputs!$F$41-Inputs!$F$42/100*CHOOSE(Operations!$F$417,1,Inputs!$F$38,Inputs!$F$40)*Time!AB$8)</f>
        <v/>
      </c>
      <c r="AC428" s="14">
        <f>MAX(Inputs!$F$43+CHOOSE(Operations!$F$417,0,Inputs!$F$39,0),Inputs!$F$41-Inputs!$F$42/100*CHOOSE(Operations!$F$417,1,Inputs!$F$38,Inputs!$F$40)*Time!AC$8)</f>
        <v/>
      </c>
      <c r="AD428" s="14">
        <f>MAX(Inputs!$F$43+CHOOSE(Operations!$F$417,0,Inputs!$F$39,0),Inputs!$F$41-Inputs!$F$42/100*CHOOSE(Operations!$F$417,1,Inputs!$F$38,Inputs!$F$40)*Time!AD$8)</f>
        <v/>
      </c>
      <c r="AE428" s="14">
        <f>MAX(Inputs!$F$43+CHOOSE(Operations!$F$417,0,Inputs!$F$39,0),Inputs!$F$41-Inputs!$F$42/100*CHOOSE(Operations!$F$417,1,Inputs!$F$38,Inputs!$F$40)*Time!AE$8)</f>
        <v/>
      </c>
      <c r="AF428" s="14">
        <f>MAX(Inputs!$F$43+CHOOSE(Operations!$F$417,0,Inputs!$F$39,0),Inputs!$F$41-Inputs!$F$42/100*CHOOSE(Operations!$F$417,1,Inputs!$F$38,Inputs!$F$40)*Time!AF$8)</f>
        <v/>
      </c>
      <c r="AG428" s="14">
        <f>MAX(Inputs!$F$43+CHOOSE(Operations!$F$417,0,Inputs!$F$39,0),Inputs!$F$41-Inputs!$F$42/100*CHOOSE(Operations!$F$417,1,Inputs!$F$38,Inputs!$F$40)*Time!AG$8)</f>
        <v/>
      </c>
      <c r="AH428" s="14">
        <f>MAX(Inputs!$F$43+CHOOSE(Operations!$F$417,0,Inputs!$F$39,0),Inputs!$F$41-Inputs!$F$42/100*CHOOSE(Operations!$F$417,1,Inputs!$F$38,Inputs!$F$40)*Time!AH$8)</f>
        <v/>
      </c>
      <c r="AI428" s="14">
        <f>MAX(Inputs!$F$43+CHOOSE(Operations!$F$417,0,Inputs!$F$39,0),Inputs!$F$41-Inputs!$F$42/100*CHOOSE(Operations!$F$417,1,Inputs!$F$38,Inputs!$F$40)*Time!AI$8)</f>
        <v/>
      </c>
      <c r="AJ428" s="14">
        <f>MAX(Inputs!$F$43+CHOOSE(Operations!$F$417,0,Inputs!$F$39,0),Inputs!$F$41-Inputs!$F$42/100*CHOOSE(Operations!$F$417,1,Inputs!$F$38,Inputs!$F$40)*Time!AJ$8)</f>
        <v/>
      </c>
      <c r="AK428" s="14">
        <f>MAX(Inputs!$F$43+CHOOSE(Operations!$F$417,0,Inputs!$F$39,0),Inputs!$F$41-Inputs!$F$42/100*CHOOSE(Operations!$F$417,1,Inputs!$F$38,Inputs!$F$40)*Time!AK$8)</f>
        <v/>
      </c>
      <c r="AL428" s="14">
        <f>MAX(Inputs!$F$43+CHOOSE(Operations!$F$417,0,Inputs!$F$39,0),Inputs!$F$41-Inputs!$F$42/100*CHOOSE(Operations!$F$417,1,Inputs!$F$38,Inputs!$F$40)*Time!AL$8)</f>
        <v/>
      </c>
      <c r="AM428" s="14">
        <f>MAX(Inputs!$F$43+CHOOSE(Operations!$F$417,0,Inputs!$F$39,0),Inputs!$F$41-Inputs!$F$42/100*CHOOSE(Operations!$F$417,1,Inputs!$F$38,Inputs!$F$40)*Time!AM$8)</f>
        <v/>
      </c>
      <c r="AN428" s="14">
        <f>MAX(Inputs!$F$43+CHOOSE(Operations!$F$417,0,Inputs!$F$39,0),Inputs!$F$41-Inputs!$F$42/100*CHOOSE(Operations!$F$417,1,Inputs!$F$38,Inputs!$F$40)*Time!AN$8)</f>
        <v/>
      </c>
      <c r="AO428" s="14">
        <f>MAX(Inputs!$F$43+CHOOSE(Operations!$F$417,0,Inputs!$F$39,0),Inputs!$F$41-Inputs!$F$42/100*CHOOSE(Operations!$F$417,1,Inputs!$F$38,Inputs!$F$40)*Time!AO$8)</f>
        <v/>
      </c>
      <c r="AP428" s="14">
        <f>MAX(Inputs!$F$43+CHOOSE(Operations!$F$417,0,Inputs!$F$39,0),Inputs!$F$41-Inputs!$F$42/100*CHOOSE(Operations!$F$417,1,Inputs!$F$38,Inputs!$F$40)*Time!AP$8)</f>
        <v/>
      </c>
      <c r="AQ428" s="14">
        <f>MAX(Inputs!$F$43+CHOOSE(Operations!$F$417,0,Inputs!$F$39,0),Inputs!$F$41-Inputs!$F$42/100*CHOOSE(Operations!$F$417,1,Inputs!$F$38,Inputs!$F$40)*Time!AQ$8)</f>
        <v/>
      </c>
      <c r="AR428" s="14">
        <f>MAX(Inputs!$F$43+CHOOSE(Operations!$F$417,0,Inputs!$F$39,0),Inputs!$F$41-Inputs!$F$42/100*CHOOSE(Operations!$F$417,1,Inputs!$F$38,Inputs!$F$40)*Time!AR$8)</f>
        <v/>
      </c>
      <c r="AS428" s="14">
        <f>MAX(Inputs!$F$43+CHOOSE(Operations!$F$417,0,Inputs!$F$39,0),Inputs!$F$41-Inputs!$F$42/100*CHOOSE(Operations!$F$417,1,Inputs!$F$38,Inputs!$F$40)*Time!AS$8)</f>
        <v/>
      </c>
      <c r="AT428" s="14">
        <f>MAX(Inputs!$F$43+CHOOSE(Operations!$F$417,0,Inputs!$F$39,0),Inputs!$F$41-Inputs!$F$42/100*CHOOSE(Operations!$F$417,1,Inputs!$F$38,Inputs!$F$40)*Time!AT$8)</f>
        <v/>
      </c>
      <c r="AU428" s="14">
        <f>MAX(Inputs!$F$43+CHOOSE(Operations!$F$417,0,Inputs!$F$39,0),Inputs!$F$41-Inputs!$F$42/100*CHOOSE(Operations!$F$417,1,Inputs!$F$38,Inputs!$F$40)*Time!AU$8)</f>
        <v/>
      </c>
    </row>
    <row r="429">
      <c r="D429" t="inlineStr">
        <is>
          <t>Hub capture ratio: panhandle_wind</t>
        </is>
      </c>
      <c r="E429" t="inlineStr">
        <is>
          <t>ratio</t>
        </is>
      </c>
      <c r="J429" s="14">
        <f>MAX(Inputs!$F$47+CHOOSE(Operations!$F$417,0,Inputs!$F$39,0),Inputs!$F$45-Inputs!$F$46/100*CHOOSE(Operations!$F$417,1,Inputs!$F$38,Inputs!$F$40)*Time!J$8)</f>
        <v/>
      </c>
      <c r="K429" s="14">
        <f>MAX(Inputs!$F$47+CHOOSE(Operations!$F$417,0,Inputs!$F$39,0),Inputs!$F$45-Inputs!$F$46/100*CHOOSE(Operations!$F$417,1,Inputs!$F$38,Inputs!$F$40)*Time!K$8)</f>
        <v/>
      </c>
      <c r="L429" s="14">
        <f>MAX(Inputs!$F$47+CHOOSE(Operations!$F$417,0,Inputs!$F$39,0),Inputs!$F$45-Inputs!$F$46/100*CHOOSE(Operations!$F$417,1,Inputs!$F$38,Inputs!$F$40)*Time!L$8)</f>
        <v/>
      </c>
      <c r="M429" s="14">
        <f>MAX(Inputs!$F$47+CHOOSE(Operations!$F$417,0,Inputs!$F$39,0),Inputs!$F$45-Inputs!$F$46/100*CHOOSE(Operations!$F$417,1,Inputs!$F$38,Inputs!$F$40)*Time!M$8)</f>
        <v/>
      </c>
      <c r="N429" s="14">
        <f>MAX(Inputs!$F$47+CHOOSE(Operations!$F$417,0,Inputs!$F$39,0),Inputs!$F$45-Inputs!$F$46/100*CHOOSE(Operations!$F$417,1,Inputs!$F$38,Inputs!$F$40)*Time!N$8)</f>
        <v/>
      </c>
      <c r="O429" s="14">
        <f>MAX(Inputs!$F$47+CHOOSE(Operations!$F$417,0,Inputs!$F$39,0),Inputs!$F$45-Inputs!$F$46/100*CHOOSE(Operations!$F$417,1,Inputs!$F$38,Inputs!$F$40)*Time!O$8)</f>
        <v/>
      </c>
      <c r="P429" s="14">
        <f>MAX(Inputs!$F$47+CHOOSE(Operations!$F$417,0,Inputs!$F$39,0),Inputs!$F$45-Inputs!$F$46/100*CHOOSE(Operations!$F$417,1,Inputs!$F$38,Inputs!$F$40)*Time!P$8)</f>
        <v/>
      </c>
      <c r="Q429" s="14">
        <f>MAX(Inputs!$F$47+CHOOSE(Operations!$F$417,0,Inputs!$F$39,0),Inputs!$F$45-Inputs!$F$46/100*CHOOSE(Operations!$F$417,1,Inputs!$F$38,Inputs!$F$40)*Time!Q$8)</f>
        <v/>
      </c>
      <c r="R429" s="14">
        <f>MAX(Inputs!$F$47+CHOOSE(Operations!$F$417,0,Inputs!$F$39,0),Inputs!$F$45-Inputs!$F$46/100*CHOOSE(Operations!$F$417,1,Inputs!$F$38,Inputs!$F$40)*Time!R$8)</f>
        <v/>
      </c>
      <c r="S429" s="14">
        <f>MAX(Inputs!$F$47+CHOOSE(Operations!$F$417,0,Inputs!$F$39,0),Inputs!$F$45-Inputs!$F$46/100*CHOOSE(Operations!$F$417,1,Inputs!$F$38,Inputs!$F$40)*Time!S$8)</f>
        <v/>
      </c>
      <c r="T429" s="14">
        <f>MAX(Inputs!$F$47+CHOOSE(Operations!$F$417,0,Inputs!$F$39,0),Inputs!$F$45-Inputs!$F$46/100*CHOOSE(Operations!$F$417,1,Inputs!$F$38,Inputs!$F$40)*Time!T$8)</f>
        <v/>
      </c>
      <c r="U429" s="14">
        <f>MAX(Inputs!$F$47+CHOOSE(Operations!$F$417,0,Inputs!$F$39,0),Inputs!$F$45-Inputs!$F$46/100*CHOOSE(Operations!$F$417,1,Inputs!$F$38,Inputs!$F$40)*Time!U$8)</f>
        <v/>
      </c>
      <c r="V429" s="14">
        <f>MAX(Inputs!$F$47+CHOOSE(Operations!$F$417,0,Inputs!$F$39,0),Inputs!$F$45-Inputs!$F$46/100*CHOOSE(Operations!$F$417,1,Inputs!$F$38,Inputs!$F$40)*Time!V$8)</f>
        <v/>
      </c>
      <c r="W429" s="14">
        <f>MAX(Inputs!$F$47+CHOOSE(Operations!$F$417,0,Inputs!$F$39,0),Inputs!$F$45-Inputs!$F$46/100*CHOOSE(Operations!$F$417,1,Inputs!$F$38,Inputs!$F$40)*Time!W$8)</f>
        <v/>
      </c>
      <c r="X429" s="14">
        <f>MAX(Inputs!$F$47+CHOOSE(Operations!$F$417,0,Inputs!$F$39,0),Inputs!$F$45-Inputs!$F$46/100*CHOOSE(Operations!$F$417,1,Inputs!$F$38,Inputs!$F$40)*Time!X$8)</f>
        <v/>
      </c>
      <c r="Y429" s="14">
        <f>MAX(Inputs!$F$47+CHOOSE(Operations!$F$417,0,Inputs!$F$39,0),Inputs!$F$45-Inputs!$F$46/100*CHOOSE(Operations!$F$417,1,Inputs!$F$38,Inputs!$F$40)*Time!Y$8)</f>
        <v/>
      </c>
      <c r="Z429" s="14">
        <f>MAX(Inputs!$F$47+CHOOSE(Operations!$F$417,0,Inputs!$F$39,0),Inputs!$F$45-Inputs!$F$46/100*CHOOSE(Operations!$F$417,1,Inputs!$F$38,Inputs!$F$40)*Time!Z$8)</f>
        <v/>
      </c>
      <c r="AA429" s="14">
        <f>MAX(Inputs!$F$47+CHOOSE(Operations!$F$417,0,Inputs!$F$39,0),Inputs!$F$45-Inputs!$F$46/100*CHOOSE(Operations!$F$417,1,Inputs!$F$38,Inputs!$F$40)*Time!AA$8)</f>
        <v/>
      </c>
      <c r="AB429" s="14">
        <f>MAX(Inputs!$F$47+CHOOSE(Operations!$F$417,0,Inputs!$F$39,0),Inputs!$F$45-Inputs!$F$46/100*CHOOSE(Operations!$F$417,1,Inputs!$F$38,Inputs!$F$40)*Time!AB$8)</f>
        <v/>
      </c>
      <c r="AC429" s="14">
        <f>MAX(Inputs!$F$47+CHOOSE(Operations!$F$417,0,Inputs!$F$39,0),Inputs!$F$45-Inputs!$F$46/100*CHOOSE(Operations!$F$417,1,Inputs!$F$38,Inputs!$F$40)*Time!AC$8)</f>
        <v/>
      </c>
      <c r="AD429" s="14">
        <f>MAX(Inputs!$F$47+CHOOSE(Operations!$F$417,0,Inputs!$F$39,0),Inputs!$F$45-Inputs!$F$46/100*CHOOSE(Operations!$F$417,1,Inputs!$F$38,Inputs!$F$40)*Time!AD$8)</f>
        <v/>
      </c>
      <c r="AE429" s="14">
        <f>MAX(Inputs!$F$47+CHOOSE(Operations!$F$417,0,Inputs!$F$39,0),Inputs!$F$45-Inputs!$F$46/100*CHOOSE(Operations!$F$417,1,Inputs!$F$38,Inputs!$F$40)*Time!AE$8)</f>
        <v/>
      </c>
      <c r="AF429" s="14">
        <f>MAX(Inputs!$F$47+CHOOSE(Operations!$F$417,0,Inputs!$F$39,0),Inputs!$F$45-Inputs!$F$46/100*CHOOSE(Operations!$F$417,1,Inputs!$F$38,Inputs!$F$40)*Time!AF$8)</f>
        <v/>
      </c>
      <c r="AG429" s="14">
        <f>MAX(Inputs!$F$47+CHOOSE(Operations!$F$417,0,Inputs!$F$39,0),Inputs!$F$45-Inputs!$F$46/100*CHOOSE(Operations!$F$417,1,Inputs!$F$38,Inputs!$F$40)*Time!AG$8)</f>
        <v/>
      </c>
      <c r="AH429" s="14">
        <f>MAX(Inputs!$F$47+CHOOSE(Operations!$F$417,0,Inputs!$F$39,0),Inputs!$F$45-Inputs!$F$46/100*CHOOSE(Operations!$F$417,1,Inputs!$F$38,Inputs!$F$40)*Time!AH$8)</f>
        <v/>
      </c>
      <c r="AI429" s="14">
        <f>MAX(Inputs!$F$47+CHOOSE(Operations!$F$417,0,Inputs!$F$39,0),Inputs!$F$45-Inputs!$F$46/100*CHOOSE(Operations!$F$417,1,Inputs!$F$38,Inputs!$F$40)*Time!AI$8)</f>
        <v/>
      </c>
      <c r="AJ429" s="14">
        <f>MAX(Inputs!$F$47+CHOOSE(Operations!$F$417,0,Inputs!$F$39,0),Inputs!$F$45-Inputs!$F$46/100*CHOOSE(Operations!$F$417,1,Inputs!$F$38,Inputs!$F$40)*Time!AJ$8)</f>
        <v/>
      </c>
      <c r="AK429" s="14">
        <f>MAX(Inputs!$F$47+CHOOSE(Operations!$F$417,0,Inputs!$F$39,0),Inputs!$F$45-Inputs!$F$46/100*CHOOSE(Operations!$F$417,1,Inputs!$F$38,Inputs!$F$40)*Time!AK$8)</f>
        <v/>
      </c>
      <c r="AL429" s="14">
        <f>MAX(Inputs!$F$47+CHOOSE(Operations!$F$417,0,Inputs!$F$39,0),Inputs!$F$45-Inputs!$F$46/100*CHOOSE(Operations!$F$417,1,Inputs!$F$38,Inputs!$F$40)*Time!AL$8)</f>
        <v/>
      </c>
      <c r="AM429" s="14">
        <f>MAX(Inputs!$F$47+CHOOSE(Operations!$F$417,0,Inputs!$F$39,0),Inputs!$F$45-Inputs!$F$46/100*CHOOSE(Operations!$F$417,1,Inputs!$F$38,Inputs!$F$40)*Time!AM$8)</f>
        <v/>
      </c>
      <c r="AN429" s="14">
        <f>MAX(Inputs!$F$47+CHOOSE(Operations!$F$417,0,Inputs!$F$39,0),Inputs!$F$45-Inputs!$F$46/100*CHOOSE(Operations!$F$417,1,Inputs!$F$38,Inputs!$F$40)*Time!AN$8)</f>
        <v/>
      </c>
      <c r="AO429" s="14">
        <f>MAX(Inputs!$F$47+CHOOSE(Operations!$F$417,0,Inputs!$F$39,0),Inputs!$F$45-Inputs!$F$46/100*CHOOSE(Operations!$F$417,1,Inputs!$F$38,Inputs!$F$40)*Time!AO$8)</f>
        <v/>
      </c>
      <c r="AP429" s="14">
        <f>MAX(Inputs!$F$47+CHOOSE(Operations!$F$417,0,Inputs!$F$39,0),Inputs!$F$45-Inputs!$F$46/100*CHOOSE(Operations!$F$417,1,Inputs!$F$38,Inputs!$F$40)*Time!AP$8)</f>
        <v/>
      </c>
      <c r="AQ429" s="14">
        <f>MAX(Inputs!$F$47+CHOOSE(Operations!$F$417,0,Inputs!$F$39,0),Inputs!$F$45-Inputs!$F$46/100*CHOOSE(Operations!$F$417,1,Inputs!$F$38,Inputs!$F$40)*Time!AQ$8)</f>
        <v/>
      </c>
      <c r="AR429" s="14">
        <f>MAX(Inputs!$F$47+CHOOSE(Operations!$F$417,0,Inputs!$F$39,0),Inputs!$F$45-Inputs!$F$46/100*CHOOSE(Operations!$F$417,1,Inputs!$F$38,Inputs!$F$40)*Time!AR$8)</f>
        <v/>
      </c>
      <c r="AS429" s="14">
        <f>MAX(Inputs!$F$47+CHOOSE(Operations!$F$417,0,Inputs!$F$39,0),Inputs!$F$45-Inputs!$F$46/100*CHOOSE(Operations!$F$417,1,Inputs!$F$38,Inputs!$F$40)*Time!AS$8)</f>
        <v/>
      </c>
      <c r="AT429" s="14">
        <f>MAX(Inputs!$F$47+CHOOSE(Operations!$F$417,0,Inputs!$F$39,0),Inputs!$F$45-Inputs!$F$46/100*CHOOSE(Operations!$F$417,1,Inputs!$F$38,Inputs!$F$40)*Time!AT$8)</f>
        <v/>
      </c>
      <c r="AU429" s="14">
        <f>MAX(Inputs!$F$47+CHOOSE(Operations!$F$417,0,Inputs!$F$39,0),Inputs!$F$45-Inputs!$F$46/100*CHOOSE(Operations!$F$417,1,Inputs!$F$38,Inputs!$F$40)*Time!AU$8)</f>
        <v/>
      </c>
    </row>
    <row r="430">
      <c r="D430" t="inlineStr">
        <is>
          <t>Hub capture ratio: west_solar</t>
        </is>
      </c>
      <c r="E430" t="inlineStr">
        <is>
          <t>ratio</t>
        </is>
      </c>
      <c r="J430" s="14">
        <f>MAX(Inputs!$F$51+CHOOSE(Operations!$F$417,0,Inputs!$F$39,0),Inputs!$F$49-Inputs!$F$50/100*CHOOSE(Operations!$F$417,1,Inputs!$F$38,Inputs!$F$40)*Time!J$8)+Operations!$F$419/100</f>
        <v/>
      </c>
      <c r="K430" s="14">
        <f>MAX(Inputs!$F$51+CHOOSE(Operations!$F$417,0,Inputs!$F$39,0),Inputs!$F$49-Inputs!$F$50/100*CHOOSE(Operations!$F$417,1,Inputs!$F$38,Inputs!$F$40)*Time!K$8)+Operations!$F$419/100</f>
        <v/>
      </c>
      <c r="L430" s="14">
        <f>MAX(Inputs!$F$51+CHOOSE(Operations!$F$417,0,Inputs!$F$39,0),Inputs!$F$49-Inputs!$F$50/100*CHOOSE(Operations!$F$417,1,Inputs!$F$38,Inputs!$F$40)*Time!L$8)+Operations!$F$419/100</f>
        <v/>
      </c>
      <c r="M430" s="14">
        <f>MAX(Inputs!$F$51+CHOOSE(Operations!$F$417,0,Inputs!$F$39,0),Inputs!$F$49-Inputs!$F$50/100*CHOOSE(Operations!$F$417,1,Inputs!$F$38,Inputs!$F$40)*Time!M$8)+Operations!$F$419/100</f>
        <v/>
      </c>
      <c r="N430" s="14">
        <f>MAX(Inputs!$F$51+CHOOSE(Operations!$F$417,0,Inputs!$F$39,0),Inputs!$F$49-Inputs!$F$50/100*CHOOSE(Operations!$F$417,1,Inputs!$F$38,Inputs!$F$40)*Time!N$8)+Operations!$F$419/100</f>
        <v/>
      </c>
      <c r="O430" s="14">
        <f>MAX(Inputs!$F$51+CHOOSE(Operations!$F$417,0,Inputs!$F$39,0),Inputs!$F$49-Inputs!$F$50/100*CHOOSE(Operations!$F$417,1,Inputs!$F$38,Inputs!$F$40)*Time!O$8)+Operations!$F$419/100</f>
        <v/>
      </c>
      <c r="P430" s="14">
        <f>MAX(Inputs!$F$51+CHOOSE(Operations!$F$417,0,Inputs!$F$39,0),Inputs!$F$49-Inputs!$F$50/100*CHOOSE(Operations!$F$417,1,Inputs!$F$38,Inputs!$F$40)*Time!P$8)+Operations!$F$419/100</f>
        <v/>
      </c>
      <c r="Q430" s="14">
        <f>MAX(Inputs!$F$51+CHOOSE(Operations!$F$417,0,Inputs!$F$39,0),Inputs!$F$49-Inputs!$F$50/100*CHOOSE(Operations!$F$417,1,Inputs!$F$38,Inputs!$F$40)*Time!Q$8)+Operations!$F$419/100</f>
        <v/>
      </c>
      <c r="R430" s="14">
        <f>MAX(Inputs!$F$51+CHOOSE(Operations!$F$417,0,Inputs!$F$39,0),Inputs!$F$49-Inputs!$F$50/100*CHOOSE(Operations!$F$417,1,Inputs!$F$38,Inputs!$F$40)*Time!R$8)+Operations!$F$419/100</f>
        <v/>
      </c>
      <c r="S430" s="14">
        <f>MAX(Inputs!$F$51+CHOOSE(Operations!$F$417,0,Inputs!$F$39,0),Inputs!$F$49-Inputs!$F$50/100*CHOOSE(Operations!$F$417,1,Inputs!$F$38,Inputs!$F$40)*Time!S$8)+Operations!$F$419/100</f>
        <v/>
      </c>
      <c r="T430" s="14">
        <f>MAX(Inputs!$F$51+CHOOSE(Operations!$F$417,0,Inputs!$F$39,0),Inputs!$F$49-Inputs!$F$50/100*CHOOSE(Operations!$F$417,1,Inputs!$F$38,Inputs!$F$40)*Time!T$8)+Operations!$F$419/100</f>
        <v/>
      </c>
      <c r="U430" s="14">
        <f>MAX(Inputs!$F$51+CHOOSE(Operations!$F$417,0,Inputs!$F$39,0),Inputs!$F$49-Inputs!$F$50/100*CHOOSE(Operations!$F$417,1,Inputs!$F$38,Inputs!$F$40)*Time!U$8)+Operations!$F$419/100</f>
        <v/>
      </c>
      <c r="V430" s="14">
        <f>MAX(Inputs!$F$51+CHOOSE(Operations!$F$417,0,Inputs!$F$39,0),Inputs!$F$49-Inputs!$F$50/100*CHOOSE(Operations!$F$417,1,Inputs!$F$38,Inputs!$F$40)*Time!V$8)+Operations!$F$419/100</f>
        <v/>
      </c>
      <c r="W430" s="14">
        <f>MAX(Inputs!$F$51+CHOOSE(Operations!$F$417,0,Inputs!$F$39,0),Inputs!$F$49-Inputs!$F$50/100*CHOOSE(Operations!$F$417,1,Inputs!$F$38,Inputs!$F$40)*Time!W$8)+Operations!$F$419/100</f>
        <v/>
      </c>
      <c r="X430" s="14">
        <f>MAX(Inputs!$F$51+CHOOSE(Operations!$F$417,0,Inputs!$F$39,0),Inputs!$F$49-Inputs!$F$50/100*CHOOSE(Operations!$F$417,1,Inputs!$F$38,Inputs!$F$40)*Time!X$8)+Operations!$F$419/100</f>
        <v/>
      </c>
      <c r="Y430" s="14">
        <f>MAX(Inputs!$F$51+CHOOSE(Operations!$F$417,0,Inputs!$F$39,0),Inputs!$F$49-Inputs!$F$50/100*CHOOSE(Operations!$F$417,1,Inputs!$F$38,Inputs!$F$40)*Time!Y$8)+Operations!$F$419/100</f>
        <v/>
      </c>
      <c r="Z430" s="14">
        <f>MAX(Inputs!$F$51+CHOOSE(Operations!$F$417,0,Inputs!$F$39,0),Inputs!$F$49-Inputs!$F$50/100*CHOOSE(Operations!$F$417,1,Inputs!$F$38,Inputs!$F$40)*Time!Z$8)+Operations!$F$419/100</f>
        <v/>
      </c>
      <c r="AA430" s="14">
        <f>MAX(Inputs!$F$51+CHOOSE(Operations!$F$417,0,Inputs!$F$39,0),Inputs!$F$49-Inputs!$F$50/100*CHOOSE(Operations!$F$417,1,Inputs!$F$38,Inputs!$F$40)*Time!AA$8)+Operations!$F$419/100</f>
        <v/>
      </c>
      <c r="AB430" s="14">
        <f>MAX(Inputs!$F$51+CHOOSE(Operations!$F$417,0,Inputs!$F$39,0),Inputs!$F$49-Inputs!$F$50/100*CHOOSE(Operations!$F$417,1,Inputs!$F$38,Inputs!$F$40)*Time!AB$8)+Operations!$F$419/100</f>
        <v/>
      </c>
      <c r="AC430" s="14">
        <f>MAX(Inputs!$F$51+CHOOSE(Operations!$F$417,0,Inputs!$F$39,0),Inputs!$F$49-Inputs!$F$50/100*CHOOSE(Operations!$F$417,1,Inputs!$F$38,Inputs!$F$40)*Time!AC$8)+Operations!$F$419/100</f>
        <v/>
      </c>
      <c r="AD430" s="14">
        <f>MAX(Inputs!$F$51+CHOOSE(Operations!$F$417,0,Inputs!$F$39,0),Inputs!$F$49-Inputs!$F$50/100*CHOOSE(Operations!$F$417,1,Inputs!$F$38,Inputs!$F$40)*Time!AD$8)+Operations!$F$419/100</f>
        <v/>
      </c>
      <c r="AE430" s="14">
        <f>MAX(Inputs!$F$51+CHOOSE(Operations!$F$417,0,Inputs!$F$39,0),Inputs!$F$49-Inputs!$F$50/100*CHOOSE(Operations!$F$417,1,Inputs!$F$38,Inputs!$F$40)*Time!AE$8)+Operations!$F$419/100</f>
        <v/>
      </c>
      <c r="AF430" s="14">
        <f>MAX(Inputs!$F$51+CHOOSE(Operations!$F$417,0,Inputs!$F$39,0),Inputs!$F$49-Inputs!$F$50/100*CHOOSE(Operations!$F$417,1,Inputs!$F$38,Inputs!$F$40)*Time!AF$8)+Operations!$F$419/100</f>
        <v/>
      </c>
      <c r="AG430" s="14">
        <f>MAX(Inputs!$F$51+CHOOSE(Operations!$F$417,0,Inputs!$F$39,0),Inputs!$F$49-Inputs!$F$50/100*CHOOSE(Operations!$F$417,1,Inputs!$F$38,Inputs!$F$40)*Time!AG$8)+Operations!$F$419/100</f>
        <v/>
      </c>
      <c r="AH430" s="14">
        <f>MAX(Inputs!$F$51+CHOOSE(Operations!$F$417,0,Inputs!$F$39,0),Inputs!$F$49-Inputs!$F$50/100*CHOOSE(Operations!$F$417,1,Inputs!$F$38,Inputs!$F$40)*Time!AH$8)+Operations!$F$419/100</f>
        <v/>
      </c>
      <c r="AI430" s="14">
        <f>MAX(Inputs!$F$51+CHOOSE(Operations!$F$417,0,Inputs!$F$39,0),Inputs!$F$49-Inputs!$F$50/100*CHOOSE(Operations!$F$417,1,Inputs!$F$38,Inputs!$F$40)*Time!AI$8)+Operations!$F$419/100</f>
        <v/>
      </c>
      <c r="AJ430" s="14">
        <f>MAX(Inputs!$F$51+CHOOSE(Operations!$F$417,0,Inputs!$F$39,0),Inputs!$F$49-Inputs!$F$50/100*CHOOSE(Operations!$F$417,1,Inputs!$F$38,Inputs!$F$40)*Time!AJ$8)+Operations!$F$419/100</f>
        <v/>
      </c>
      <c r="AK430" s="14">
        <f>MAX(Inputs!$F$51+CHOOSE(Operations!$F$417,0,Inputs!$F$39,0),Inputs!$F$49-Inputs!$F$50/100*CHOOSE(Operations!$F$417,1,Inputs!$F$38,Inputs!$F$40)*Time!AK$8)+Operations!$F$419/100</f>
        <v/>
      </c>
      <c r="AL430" s="14">
        <f>MAX(Inputs!$F$51+CHOOSE(Operations!$F$417,0,Inputs!$F$39,0),Inputs!$F$49-Inputs!$F$50/100*CHOOSE(Operations!$F$417,1,Inputs!$F$38,Inputs!$F$40)*Time!AL$8)+Operations!$F$419/100</f>
        <v/>
      </c>
      <c r="AM430" s="14">
        <f>MAX(Inputs!$F$51+CHOOSE(Operations!$F$417,0,Inputs!$F$39,0),Inputs!$F$49-Inputs!$F$50/100*CHOOSE(Operations!$F$417,1,Inputs!$F$38,Inputs!$F$40)*Time!AM$8)+Operations!$F$419/100</f>
        <v/>
      </c>
      <c r="AN430" s="14">
        <f>MAX(Inputs!$F$51+CHOOSE(Operations!$F$417,0,Inputs!$F$39,0),Inputs!$F$49-Inputs!$F$50/100*CHOOSE(Operations!$F$417,1,Inputs!$F$38,Inputs!$F$40)*Time!AN$8)+Operations!$F$419/100</f>
        <v/>
      </c>
      <c r="AO430" s="14">
        <f>MAX(Inputs!$F$51+CHOOSE(Operations!$F$417,0,Inputs!$F$39,0),Inputs!$F$49-Inputs!$F$50/100*CHOOSE(Operations!$F$417,1,Inputs!$F$38,Inputs!$F$40)*Time!AO$8)+Operations!$F$419/100</f>
        <v/>
      </c>
      <c r="AP430" s="14">
        <f>MAX(Inputs!$F$51+CHOOSE(Operations!$F$417,0,Inputs!$F$39,0),Inputs!$F$49-Inputs!$F$50/100*CHOOSE(Operations!$F$417,1,Inputs!$F$38,Inputs!$F$40)*Time!AP$8)+Operations!$F$419/100</f>
        <v/>
      </c>
      <c r="AQ430" s="14">
        <f>MAX(Inputs!$F$51+CHOOSE(Operations!$F$417,0,Inputs!$F$39,0),Inputs!$F$49-Inputs!$F$50/100*CHOOSE(Operations!$F$417,1,Inputs!$F$38,Inputs!$F$40)*Time!AQ$8)+Operations!$F$419/100</f>
        <v/>
      </c>
      <c r="AR430" s="14">
        <f>MAX(Inputs!$F$51+CHOOSE(Operations!$F$417,0,Inputs!$F$39,0),Inputs!$F$49-Inputs!$F$50/100*CHOOSE(Operations!$F$417,1,Inputs!$F$38,Inputs!$F$40)*Time!AR$8)+Operations!$F$419/100</f>
        <v/>
      </c>
      <c r="AS430" s="14">
        <f>MAX(Inputs!$F$51+CHOOSE(Operations!$F$417,0,Inputs!$F$39,0),Inputs!$F$49-Inputs!$F$50/100*CHOOSE(Operations!$F$417,1,Inputs!$F$38,Inputs!$F$40)*Time!AS$8)+Operations!$F$419/100</f>
        <v/>
      </c>
      <c r="AT430" s="14">
        <f>MAX(Inputs!$F$51+CHOOSE(Operations!$F$417,0,Inputs!$F$39,0),Inputs!$F$49-Inputs!$F$50/100*CHOOSE(Operations!$F$417,1,Inputs!$F$38,Inputs!$F$40)*Time!AT$8)+Operations!$F$419/100</f>
        <v/>
      </c>
      <c r="AU430" s="14">
        <f>MAX(Inputs!$F$51+CHOOSE(Operations!$F$417,0,Inputs!$F$39,0),Inputs!$F$49-Inputs!$F$50/100*CHOOSE(Operations!$F$417,1,Inputs!$F$38,Inputs!$F$40)*Time!AU$8)+Operations!$F$419/100</f>
        <v/>
      </c>
    </row>
    <row r="431">
      <c r="D431" t="inlineStr">
        <is>
          <t>Hub capture ratio: south_solar</t>
        </is>
      </c>
      <c r="E431" t="inlineStr">
        <is>
          <t>ratio</t>
        </is>
      </c>
      <c r="J431" s="14">
        <f>MAX(Inputs!$F$55+CHOOSE(Operations!$F$417,0,Inputs!$F$39,0),Inputs!$F$53-Inputs!$F$54/100*CHOOSE(Operations!$F$417,1,Inputs!$F$38,Inputs!$F$40)*Time!J$8)</f>
        <v/>
      </c>
      <c r="K431" s="14">
        <f>MAX(Inputs!$F$55+CHOOSE(Operations!$F$417,0,Inputs!$F$39,0),Inputs!$F$53-Inputs!$F$54/100*CHOOSE(Operations!$F$417,1,Inputs!$F$38,Inputs!$F$40)*Time!K$8)</f>
        <v/>
      </c>
      <c r="L431" s="14">
        <f>MAX(Inputs!$F$55+CHOOSE(Operations!$F$417,0,Inputs!$F$39,0),Inputs!$F$53-Inputs!$F$54/100*CHOOSE(Operations!$F$417,1,Inputs!$F$38,Inputs!$F$40)*Time!L$8)</f>
        <v/>
      </c>
      <c r="M431" s="14">
        <f>MAX(Inputs!$F$55+CHOOSE(Operations!$F$417,0,Inputs!$F$39,0),Inputs!$F$53-Inputs!$F$54/100*CHOOSE(Operations!$F$417,1,Inputs!$F$38,Inputs!$F$40)*Time!M$8)</f>
        <v/>
      </c>
      <c r="N431" s="14">
        <f>MAX(Inputs!$F$55+CHOOSE(Operations!$F$417,0,Inputs!$F$39,0),Inputs!$F$53-Inputs!$F$54/100*CHOOSE(Operations!$F$417,1,Inputs!$F$38,Inputs!$F$40)*Time!N$8)</f>
        <v/>
      </c>
      <c r="O431" s="14">
        <f>MAX(Inputs!$F$55+CHOOSE(Operations!$F$417,0,Inputs!$F$39,0),Inputs!$F$53-Inputs!$F$54/100*CHOOSE(Operations!$F$417,1,Inputs!$F$38,Inputs!$F$40)*Time!O$8)</f>
        <v/>
      </c>
      <c r="P431" s="14">
        <f>MAX(Inputs!$F$55+CHOOSE(Operations!$F$417,0,Inputs!$F$39,0),Inputs!$F$53-Inputs!$F$54/100*CHOOSE(Operations!$F$417,1,Inputs!$F$38,Inputs!$F$40)*Time!P$8)</f>
        <v/>
      </c>
      <c r="Q431" s="14">
        <f>MAX(Inputs!$F$55+CHOOSE(Operations!$F$417,0,Inputs!$F$39,0),Inputs!$F$53-Inputs!$F$54/100*CHOOSE(Operations!$F$417,1,Inputs!$F$38,Inputs!$F$40)*Time!Q$8)</f>
        <v/>
      </c>
      <c r="R431" s="14">
        <f>MAX(Inputs!$F$55+CHOOSE(Operations!$F$417,0,Inputs!$F$39,0),Inputs!$F$53-Inputs!$F$54/100*CHOOSE(Operations!$F$417,1,Inputs!$F$38,Inputs!$F$40)*Time!R$8)</f>
        <v/>
      </c>
      <c r="S431" s="14">
        <f>MAX(Inputs!$F$55+CHOOSE(Operations!$F$417,0,Inputs!$F$39,0),Inputs!$F$53-Inputs!$F$54/100*CHOOSE(Operations!$F$417,1,Inputs!$F$38,Inputs!$F$40)*Time!S$8)</f>
        <v/>
      </c>
      <c r="T431" s="14">
        <f>MAX(Inputs!$F$55+CHOOSE(Operations!$F$417,0,Inputs!$F$39,0),Inputs!$F$53-Inputs!$F$54/100*CHOOSE(Operations!$F$417,1,Inputs!$F$38,Inputs!$F$40)*Time!T$8)</f>
        <v/>
      </c>
      <c r="U431" s="14">
        <f>MAX(Inputs!$F$55+CHOOSE(Operations!$F$417,0,Inputs!$F$39,0),Inputs!$F$53-Inputs!$F$54/100*CHOOSE(Operations!$F$417,1,Inputs!$F$38,Inputs!$F$40)*Time!U$8)</f>
        <v/>
      </c>
      <c r="V431" s="14">
        <f>MAX(Inputs!$F$55+CHOOSE(Operations!$F$417,0,Inputs!$F$39,0),Inputs!$F$53-Inputs!$F$54/100*CHOOSE(Operations!$F$417,1,Inputs!$F$38,Inputs!$F$40)*Time!V$8)</f>
        <v/>
      </c>
      <c r="W431" s="14">
        <f>MAX(Inputs!$F$55+CHOOSE(Operations!$F$417,0,Inputs!$F$39,0),Inputs!$F$53-Inputs!$F$54/100*CHOOSE(Operations!$F$417,1,Inputs!$F$38,Inputs!$F$40)*Time!W$8)</f>
        <v/>
      </c>
      <c r="X431" s="14">
        <f>MAX(Inputs!$F$55+CHOOSE(Operations!$F$417,0,Inputs!$F$39,0),Inputs!$F$53-Inputs!$F$54/100*CHOOSE(Operations!$F$417,1,Inputs!$F$38,Inputs!$F$40)*Time!X$8)</f>
        <v/>
      </c>
      <c r="Y431" s="14">
        <f>MAX(Inputs!$F$55+CHOOSE(Operations!$F$417,0,Inputs!$F$39,0),Inputs!$F$53-Inputs!$F$54/100*CHOOSE(Operations!$F$417,1,Inputs!$F$38,Inputs!$F$40)*Time!Y$8)</f>
        <v/>
      </c>
      <c r="Z431" s="14">
        <f>MAX(Inputs!$F$55+CHOOSE(Operations!$F$417,0,Inputs!$F$39,0),Inputs!$F$53-Inputs!$F$54/100*CHOOSE(Operations!$F$417,1,Inputs!$F$38,Inputs!$F$40)*Time!Z$8)</f>
        <v/>
      </c>
      <c r="AA431" s="14">
        <f>MAX(Inputs!$F$55+CHOOSE(Operations!$F$417,0,Inputs!$F$39,0),Inputs!$F$53-Inputs!$F$54/100*CHOOSE(Operations!$F$417,1,Inputs!$F$38,Inputs!$F$40)*Time!AA$8)</f>
        <v/>
      </c>
      <c r="AB431" s="14">
        <f>MAX(Inputs!$F$55+CHOOSE(Operations!$F$417,0,Inputs!$F$39,0),Inputs!$F$53-Inputs!$F$54/100*CHOOSE(Operations!$F$417,1,Inputs!$F$38,Inputs!$F$40)*Time!AB$8)</f>
        <v/>
      </c>
      <c r="AC431" s="14">
        <f>MAX(Inputs!$F$55+CHOOSE(Operations!$F$417,0,Inputs!$F$39,0),Inputs!$F$53-Inputs!$F$54/100*CHOOSE(Operations!$F$417,1,Inputs!$F$38,Inputs!$F$40)*Time!AC$8)</f>
        <v/>
      </c>
      <c r="AD431" s="14">
        <f>MAX(Inputs!$F$55+CHOOSE(Operations!$F$417,0,Inputs!$F$39,0),Inputs!$F$53-Inputs!$F$54/100*CHOOSE(Operations!$F$417,1,Inputs!$F$38,Inputs!$F$40)*Time!AD$8)</f>
        <v/>
      </c>
      <c r="AE431" s="14">
        <f>MAX(Inputs!$F$55+CHOOSE(Operations!$F$417,0,Inputs!$F$39,0),Inputs!$F$53-Inputs!$F$54/100*CHOOSE(Operations!$F$417,1,Inputs!$F$38,Inputs!$F$40)*Time!AE$8)</f>
        <v/>
      </c>
      <c r="AF431" s="14">
        <f>MAX(Inputs!$F$55+CHOOSE(Operations!$F$417,0,Inputs!$F$39,0),Inputs!$F$53-Inputs!$F$54/100*CHOOSE(Operations!$F$417,1,Inputs!$F$38,Inputs!$F$40)*Time!AF$8)</f>
        <v/>
      </c>
      <c r="AG431" s="14">
        <f>MAX(Inputs!$F$55+CHOOSE(Operations!$F$417,0,Inputs!$F$39,0),Inputs!$F$53-Inputs!$F$54/100*CHOOSE(Operations!$F$417,1,Inputs!$F$38,Inputs!$F$40)*Time!AG$8)</f>
        <v/>
      </c>
      <c r="AH431" s="14">
        <f>MAX(Inputs!$F$55+CHOOSE(Operations!$F$417,0,Inputs!$F$39,0),Inputs!$F$53-Inputs!$F$54/100*CHOOSE(Operations!$F$417,1,Inputs!$F$38,Inputs!$F$40)*Time!AH$8)</f>
        <v/>
      </c>
      <c r="AI431" s="14">
        <f>MAX(Inputs!$F$55+CHOOSE(Operations!$F$417,0,Inputs!$F$39,0),Inputs!$F$53-Inputs!$F$54/100*CHOOSE(Operations!$F$417,1,Inputs!$F$38,Inputs!$F$40)*Time!AI$8)</f>
        <v/>
      </c>
      <c r="AJ431" s="14">
        <f>MAX(Inputs!$F$55+CHOOSE(Operations!$F$417,0,Inputs!$F$39,0),Inputs!$F$53-Inputs!$F$54/100*CHOOSE(Operations!$F$417,1,Inputs!$F$38,Inputs!$F$40)*Time!AJ$8)</f>
        <v/>
      </c>
      <c r="AK431" s="14">
        <f>MAX(Inputs!$F$55+CHOOSE(Operations!$F$417,0,Inputs!$F$39,0),Inputs!$F$53-Inputs!$F$54/100*CHOOSE(Operations!$F$417,1,Inputs!$F$38,Inputs!$F$40)*Time!AK$8)</f>
        <v/>
      </c>
      <c r="AL431" s="14">
        <f>MAX(Inputs!$F$55+CHOOSE(Operations!$F$417,0,Inputs!$F$39,0),Inputs!$F$53-Inputs!$F$54/100*CHOOSE(Operations!$F$417,1,Inputs!$F$38,Inputs!$F$40)*Time!AL$8)</f>
        <v/>
      </c>
      <c r="AM431" s="14">
        <f>MAX(Inputs!$F$55+CHOOSE(Operations!$F$417,0,Inputs!$F$39,0),Inputs!$F$53-Inputs!$F$54/100*CHOOSE(Operations!$F$417,1,Inputs!$F$38,Inputs!$F$40)*Time!AM$8)</f>
        <v/>
      </c>
      <c r="AN431" s="14">
        <f>MAX(Inputs!$F$55+CHOOSE(Operations!$F$417,0,Inputs!$F$39,0),Inputs!$F$53-Inputs!$F$54/100*CHOOSE(Operations!$F$417,1,Inputs!$F$38,Inputs!$F$40)*Time!AN$8)</f>
        <v/>
      </c>
      <c r="AO431" s="14">
        <f>MAX(Inputs!$F$55+CHOOSE(Operations!$F$417,0,Inputs!$F$39,0),Inputs!$F$53-Inputs!$F$54/100*CHOOSE(Operations!$F$417,1,Inputs!$F$38,Inputs!$F$40)*Time!AO$8)</f>
        <v/>
      </c>
      <c r="AP431" s="14">
        <f>MAX(Inputs!$F$55+CHOOSE(Operations!$F$417,0,Inputs!$F$39,0),Inputs!$F$53-Inputs!$F$54/100*CHOOSE(Operations!$F$417,1,Inputs!$F$38,Inputs!$F$40)*Time!AP$8)</f>
        <v/>
      </c>
      <c r="AQ431" s="14">
        <f>MAX(Inputs!$F$55+CHOOSE(Operations!$F$417,0,Inputs!$F$39,0),Inputs!$F$53-Inputs!$F$54/100*CHOOSE(Operations!$F$417,1,Inputs!$F$38,Inputs!$F$40)*Time!AQ$8)</f>
        <v/>
      </c>
      <c r="AR431" s="14">
        <f>MAX(Inputs!$F$55+CHOOSE(Operations!$F$417,0,Inputs!$F$39,0),Inputs!$F$53-Inputs!$F$54/100*CHOOSE(Operations!$F$417,1,Inputs!$F$38,Inputs!$F$40)*Time!AR$8)</f>
        <v/>
      </c>
      <c r="AS431" s="14">
        <f>MAX(Inputs!$F$55+CHOOSE(Operations!$F$417,0,Inputs!$F$39,0),Inputs!$F$53-Inputs!$F$54/100*CHOOSE(Operations!$F$417,1,Inputs!$F$38,Inputs!$F$40)*Time!AS$8)</f>
        <v/>
      </c>
      <c r="AT431" s="14">
        <f>MAX(Inputs!$F$55+CHOOSE(Operations!$F$417,0,Inputs!$F$39,0),Inputs!$F$53-Inputs!$F$54/100*CHOOSE(Operations!$F$417,1,Inputs!$F$38,Inputs!$F$40)*Time!AT$8)</f>
        <v/>
      </c>
      <c r="AU431" s="14">
        <f>MAX(Inputs!$F$55+CHOOSE(Operations!$F$417,0,Inputs!$F$39,0),Inputs!$F$53-Inputs!$F$54/100*CHOOSE(Operations!$F$417,1,Inputs!$F$38,Inputs!$F$40)*Time!AU$8)</f>
        <v/>
      </c>
    </row>
    <row r="432">
      <c r="D432" t="inlineStr">
        <is>
          <t>Hub capture ratio: coastal_wind</t>
        </is>
      </c>
      <c r="E432" t="inlineStr">
        <is>
          <t>ratio</t>
        </is>
      </c>
      <c r="J432" s="14">
        <f>MAX(Inputs!$F$59+CHOOSE(Operations!$F$417,0,Inputs!$F$39,0),Inputs!$F$57-Inputs!$F$58/100*CHOOSE(Operations!$F$417,1,Inputs!$F$38,Inputs!$F$40)*Time!J$8)</f>
        <v/>
      </c>
      <c r="K432" s="14">
        <f>MAX(Inputs!$F$59+CHOOSE(Operations!$F$417,0,Inputs!$F$39,0),Inputs!$F$57-Inputs!$F$58/100*CHOOSE(Operations!$F$417,1,Inputs!$F$38,Inputs!$F$40)*Time!K$8)</f>
        <v/>
      </c>
      <c r="L432" s="14">
        <f>MAX(Inputs!$F$59+CHOOSE(Operations!$F$417,0,Inputs!$F$39,0),Inputs!$F$57-Inputs!$F$58/100*CHOOSE(Operations!$F$417,1,Inputs!$F$38,Inputs!$F$40)*Time!L$8)</f>
        <v/>
      </c>
      <c r="M432" s="14">
        <f>MAX(Inputs!$F$59+CHOOSE(Operations!$F$417,0,Inputs!$F$39,0),Inputs!$F$57-Inputs!$F$58/100*CHOOSE(Operations!$F$417,1,Inputs!$F$38,Inputs!$F$40)*Time!M$8)</f>
        <v/>
      </c>
      <c r="N432" s="14">
        <f>MAX(Inputs!$F$59+CHOOSE(Operations!$F$417,0,Inputs!$F$39,0),Inputs!$F$57-Inputs!$F$58/100*CHOOSE(Operations!$F$417,1,Inputs!$F$38,Inputs!$F$40)*Time!N$8)</f>
        <v/>
      </c>
      <c r="O432" s="14">
        <f>MAX(Inputs!$F$59+CHOOSE(Operations!$F$417,0,Inputs!$F$39,0),Inputs!$F$57-Inputs!$F$58/100*CHOOSE(Operations!$F$417,1,Inputs!$F$38,Inputs!$F$40)*Time!O$8)</f>
        <v/>
      </c>
      <c r="P432" s="14">
        <f>MAX(Inputs!$F$59+CHOOSE(Operations!$F$417,0,Inputs!$F$39,0),Inputs!$F$57-Inputs!$F$58/100*CHOOSE(Operations!$F$417,1,Inputs!$F$38,Inputs!$F$40)*Time!P$8)</f>
        <v/>
      </c>
      <c r="Q432" s="14">
        <f>MAX(Inputs!$F$59+CHOOSE(Operations!$F$417,0,Inputs!$F$39,0),Inputs!$F$57-Inputs!$F$58/100*CHOOSE(Operations!$F$417,1,Inputs!$F$38,Inputs!$F$40)*Time!Q$8)</f>
        <v/>
      </c>
      <c r="R432" s="14">
        <f>MAX(Inputs!$F$59+CHOOSE(Operations!$F$417,0,Inputs!$F$39,0),Inputs!$F$57-Inputs!$F$58/100*CHOOSE(Operations!$F$417,1,Inputs!$F$38,Inputs!$F$40)*Time!R$8)</f>
        <v/>
      </c>
      <c r="S432" s="14">
        <f>MAX(Inputs!$F$59+CHOOSE(Operations!$F$417,0,Inputs!$F$39,0),Inputs!$F$57-Inputs!$F$58/100*CHOOSE(Operations!$F$417,1,Inputs!$F$38,Inputs!$F$40)*Time!S$8)</f>
        <v/>
      </c>
      <c r="T432" s="14">
        <f>MAX(Inputs!$F$59+CHOOSE(Operations!$F$417,0,Inputs!$F$39,0),Inputs!$F$57-Inputs!$F$58/100*CHOOSE(Operations!$F$417,1,Inputs!$F$38,Inputs!$F$40)*Time!T$8)</f>
        <v/>
      </c>
      <c r="U432" s="14">
        <f>MAX(Inputs!$F$59+CHOOSE(Operations!$F$417,0,Inputs!$F$39,0),Inputs!$F$57-Inputs!$F$58/100*CHOOSE(Operations!$F$417,1,Inputs!$F$38,Inputs!$F$40)*Time!U$8)</f>
        <v/>
      </c>
      <c r="V432" s="14">
        <f>MAX(Inputs!$F$59+CHOOSE(Operations!$F$417,0,Inputs!$F$39,0),Inputs!$F$57-Inputs!$F$58/100*CHOOSE(Operations!$F$417,1,Inputs!$F$38,Inputs!$F$40)*Time!V$8)</f>
        <v/>
      </c>
      <c r="W432" s="14">
        <f>MAX(Inputs!$F$59+CHOOSE(Operations!$F$417,0,Inputs!$F$39,0),Inputs!$F$57-Inputs!$F$58/100*CHOOSE(Operations!$F$417,1,Inputs!$F$38,Inputs!$F$40)*Time!W$8)</f>
        <v/>
      </c>
      <c r="X432" s="14">
        <f>MAX(Inputs!$F$59+CHOOSE(Operations!$F$417,0,Inputs!$F$39,0),Inputs!$F$57-Inputs!$F$58/100*CHOOSE(Operations!$F$417,1,Inputs!$F$38,Inputs!$F$40)*Time!X$8)</f>
        <v/>
      </c>
      <c r="Y432" s="14">
        <f>MAX(Inputs!$F$59+CHOOSE(Operations!$F$417,0,Inputs!$F$39,0),Inputs!$F$57-Inputs!$F$58/100*CHOOSE(Operations!$F$417,1,Inputs!$F$38,Inputs!$F$40)*Time!Y$8)</f>
        <v/>
      </c>
      <c r="Z432" s="14">
        <f>MAX(Inputs!$F$59+CHOOSE(Operations!$F$417,0,Inputs!$F$39,0),Inputs!$F$57-Inputs!$F$58/100*CHOOSE(Operations!$F$417,1,Inputs!$F$38,Inputs!$F$40)*Time!Z$8)</f>
        <v/>
      </c>
      <c r="AA432" s="14">
        <f>MAX(Inputs!$F$59+CHOOSE(Operations!$F$417,0,Inputs!$F$39,0),Inputs!$F$57-Inputs!$F$58/100*CHOOSE(Operations!$F$417,1,Inputs!$F$38,Inputs!$F$40)*Time!AA$8)</f>
        <v/>
      </c>
      <c r="AB432" s="14">
        <f>MAX(Inputs!$F$59+CHOOSE(Operations!$F$417,0,Inputs!$F$39,0),Inputs!$F$57-Inputs!$F$58/100*CHOOSE(Operations!$F$417,1,Inputs!$F$38,Inputs!$F$40)*Time!AB$8)</f>
        <v/>
      </c>
      <c r="AC432" s="14">
        <f>MAX(Inputs!$F$59+CHOOSE(Operations!$F$417,0,Inputs!$F$39,0),Inputs!$F$57-Inputs!$F$58/100*CHOOSE(Operations!$F$417,1,Inputs!$F$38,Inputs!$F$40)*Time!AC$8)</f>
        <v/>
      </c>
      <c r="AD432" s="14">
        <f>MAX(Inputs!$F$59+CHOOSE(Operations!$F$417,0,Inputs!$F$39,0),Inputs!$F$57-Inputs!$F$58/100*CHOOSE(Operations!$F$417,1,Inputs!$F$38,Inputs!$F$40)*Time!AD$8)</f>
        <v/>
      </c>
      <c r="AE432" s="14">
        <f>MAX(Inputs!$F$59+CHOOSE(Operations!$F$417,0,Inputs!$F$39,0),Inputs!$F$57-Inputs!$F$58/100*CHOOSE(Operations!$F$417,1,Inputs!$F$38,Inputs!$F$40)*Time!AE$8)</f>
        <v/>
      </c>
      <c r="AF432" s="14">
        <f>MAX(Inputs!$F$59+CHOOSE(Operations!$F$417,0,Inputs!$F$39,0),Inputs!$F$57-Inputs!$F$58/100*CHOOSE(Operations!$F$417,1,Inputs!$F$38,Inputs!$F$40)*Time!AF$8)</f>
        <v/>
      </c>
      <c r="AG432" s="14">
        <f>MAX(Inputs!$F$59+CHOOSE(Operations!$F$417,0,Inputs!$F$39,0),Inputs!$F$57-Inputs!$F$58/100*CHOOSE(Operations!$F$417,1,Inputs!$F$38,Inputs!$F$40)*Time!AG$8)</f>
        <v/>
      </c>
      <c r="AH432" s="14">
        <f>MAX(Inputs!$F$59+CHOOSE(Operations!$F$417,0,Inputs!$F$39,0),Inputs!$F$57-Inputs!$F$58/100*CHOOSE(Operations!$F$417,1,Inputs!$F$38,Inputs!$F$40)*Time!AH$8)</f>
        <v/>
      </c>
      <c r="AI432" s="14">
        <f>MAX(Inputs!$F$59+CHOOSE(Operations!$F$417,0,Inputs!$F$39,0),Inputs!$F$57-Inputs!$F$58/100*CHOOSE(Operations!$F$417,1,Inputs!$F$38,Inputs!$F$40)*Time!AI$8)</f>
        <v/>
      </c>
      <c r="AJ432" s="14">
        <f>MAX(Inputs!$F$59+CHOOSE(Operations!$F$417,0,Inputs!$F$39,0),Inputs!$F$57-Inputs!$F$58/100*CHOOSE(Operations!$F$417,1,Inputs!$F$38,Inputs!$F$40)*Time!AJ$8)</f>
        <v/>
      </c>
      <c r="AK432" s="14">
        <f>MAX(Inputs!$F$59+CHOOSE(Operations!$F$417,0,Inputs!$F$39,0),Inputs!$F$57-Inputs!$F$58/100*CHOOSE(Operations!$F$417,1,Inputs!$F$38,Inputs!$F$40)*Time!AK$8)</f>
        <v/>
      </c>
      <c r="AL432" s="14">
        <f>MAX(Inputs!$F$59+CHOOSE(Operations!$F$417,0,Inputs!$F$39,0),Inputs!$F$57-Inputs!$F$58/100*CHOOSE(Operations!$F$417,1,Inputs!$F$38,Inputs!$F$40)*Time!AL$8)</f>
        <v/>
      </c>
      <c r="AM432" s="14">
        <f>MAX(Inputs!$F$59+CHOOSE(Operations!$F$417,0,Inputs!$F$39,0),Inputs!$F$57-Inputs!$F$58/100*CHOOSE(Operations!$F$417,1,Inputs!$F$38,Inputs!$F$40)*Time!AM$8)</f>
        <v/>
      </c>
      <c r="AN432" s="14">
        <f>MAX(Inputs!$F$59+CHOOSE(Operations!$F$417,0,Inputs!$F$39,0),Inputs!$F$57-Inputs!$F$58/100*CHOOSE(Operations!$F$417,1,Inputs!$F$38,Inputs!$F$40)*Time!AN$8)</f>
        <v/>
      </c>
      <c r="AO432" s="14">
        <f>MAX(Inputs!$F$59+CHOOSE(Operations!$F$417,0,Inputs!$F$39,0),Inputs!$F$57-Inputs!$F$58/100*CHOOSE(Operations!$F$417,1,Inputs!$F$38,Inputs!$F$40)*Time!AO$8)</f>
        <v/>
      </c>
      <c r="AP432" s="14">
        <f>MAX(Inputs!$F$59+CHOOSE(Operations!$F$417,0,Inputs!$F$39,0),Inputs!$F$57-Inputs!$F$58/100*CHOOSE(Operations!$F$417,1,Inputs!$F$38,Inputs!$F$40)*Time!AP$8)</f>
        <v/>
      </c>
      <c r="AQ432" s="14">
        <f>MAX(Inputs!$F$59+CHOOSE(Operations!$F$417,0,Inputs!$F$39,0),Inputs!$F$57-Inputs!$F$58/100*CHOOSE(Operations!$F$417,1,Inputs!$F$38,Inputs!$F$40)*Time!AQ$8)</f>
        <v/>
      </c>
      <c r="AR432" s="14">
        <f>MAX(Inputs!$F$59+CHOOSE(Operations!$F$417,0,Inputs!$F$39,0),Inputs!$F$57-Inputs!$F$58/100*CHOOSE(Operations!$F$417,1,Inputs!$F$38,Inputs!$F$40)*Time!AR$8)</f>
        <v/>
      </c>
      <c r="AS432" s="14">
        <f>MAX(Inputs!$F$59+CHOOSE(Operations!$F$417,0,Inputs!$F$39,0),Inputs!$F$57-Inputs!$F$58/100*CHOOSE(Operations!$F$417,1,Inputs!$F$38,Inputs!$F$40)*Time!AS$8)</f>
        <v/>
      </c>
      <c r="AT432" s="14">
        <f>MAX(Inputs!$F$59+CHOOSE(Operations!$F$417,0,Inputs!$F$39,0),Inputs!$F$57-Inputs!$F$58/100*CHOOSE(Operations!$F$417,1,Inputs!$F$38,Inputs!$F$40)*Time!AT$8)</f>
        <v/>
      </c>
      <c r="AU432" s="14">
        <f>MAX(Inputs!$F$59+CHOOSE(Operations!$F$417,0,Inputs!$F$39,0),Inputs!$F$57-Inputs!$F$58/100*CHOOSE(Operations!$F$417,1,Inputs!$F$38,Inputs!$F$40)*Time!AU$8)</f>
        <v/>
      </c>
    </row>
    <row r="433">
      <c r="D433" s="19" t="inlineStr">
        <is>
          <t>R1 Thatcher Flats Wind (onshore wind)</t>
        </is>
      </c>
    </row>
    <row r="434">
      <c r="D434" t="inlineStr">
        <is>
          <t>R1 operating fraction</t>
        </is>
      </c>
      <c r="E434" t="inlineStr">
        <is>
          <t>fraction</t>
        </is>
      </c>
      <c r="J434" s="14">
        <f>MAX(0,MIN(Inputs!$F$90,Time!J$6)-MAX(Inputs!$F$89,Time!J$5))/Time!J$7</f>
        <v/>
      </c>
      <c r="K434" s="14">
        <f>MAX(0,MIN(Inputs!$F$90,Time!K$6)-MAX(Inputs!$F$89,Time!K$5))/Time!K$7</f>
        <v/>
      </c>
      <c r="L434" s="14">
        <f>MAX(0,MIN(Inputs!$F$90,Time!L$6)-MAX(Inputs!$F$89,Time!L$5))/Time!L$7</f>
        <v/>
      </c>
      <c r="M434" s="14">
        <f>MAX(0,MIN(Inputs!$F$90,Time!M$6)-MAX(Inputs!$F$89,Time!M$5))/Time!M$7</f>
        <v/>
      </c>
      <c r="N434" s="14">
        <f>MAX(0,MIN(Inputs!$F$90,Time!N$6)-MAX(Inputs!$F$89,Time!N$5))/Time!N$7</f>
        <v/>
      </c>
      <c r="O434" s="14">
        <f>MAX(0,MIN(Inputs!$F$90,Time!O$6)-MAX(Inputs!$F$89,Time!O$5))/Time!O$7</f>
        <v/>
      </c>
      <c r="P434" s="14">
        <f>MAX(0,MIN(Inputs!$F$90,Time!P$6)-MAX(Inputs!$F$89,Time!P$5))/Time!P$7</f>
        <v/>
      </c>
      <c r="Q434" s="14">
        <f>MAX(0,MIN(Inputs!$F$90,Time!Q$6)-MAX(Inputs!$F$89,Time!Q$5))/Time!Q$7</f>
        <v/>
      </c>
      <c r="R434" s="14">
        <f>MAX(0,MIN(Inputs!$F$90,Time!R$6)-MAX(Inputs!$F$89,Time!R$5))/Time!R$7</f>
        <v/>
      </c>
      <c r="S434" s="14">
        <f>MAX(0,MIN(Inputs!$F$90,Time!S$6)-MAX(Inputs!$F$89,Time!S$5))/Time!S$7</f>
        <v/>
      </c>
      <c r="T434" s="14">
        <f>MAX(0,MIN(Inputs!$F$90,Time!T$6)-MAX(Inputs!$F$89,Time!T$5))/Time!T$7</f>
        <v/>
      </c>
      <c r="U434" s="14">
        <f>MAX(0,MIN(Inputs!$F$90,Time!U$6)-MAX(Inputs!$F$89,Time!U$5))/Time!U$7</f>
        <v/>
      </c>
      <c r="V434" s="14">
        <f>MAX(0,MIN(Inputs!$F$90,Time!V$6)-MAX(Inputs!$F$89,Time!V$5))/Time!V$7</f>
        <v/>
      </c>
      <c r="W434" s="14">
        <f>MAX(0,MIN(Inputs!$F$90,Time!W$6)-MAX(Inputs!$F$89,Time!W$5))/Time!W$7</f>
        <v/>
      </c>
      <c r="X434" s="14">
        <f>MAX(0,MIN(Inputs!$F$90,Time!X$6)-MAX(Inputs!$F$89,Time!X$5))/Time!X$7</f>
        <v/>
      </c>
      <c r="Y434" s="14">
        <f>MAX(0,MIN(Inputs!$F$90,Time!Y$6)-MAX(Inputs!$F$89,Time!Y$5))/Time!Y$7</f>
        <v/>
      </c>
      <c r="Z434" s="14">
        <f>MAX(0,MIN(Inputs!$F$90,Time!Z$6)-MAX(Inputs!$F$89,Time!Z$5))/Time!Z$7</f>
        <v/>
      </c>
      <c r="AA434" s="14">
        <f>MAX(0,MIN(Inputs!$F$90,Time!AA$6)-MAX(Inputs!$F$89,Time!AA$5))/Time!AA$7</f>
        <v/>
      </c>
      <c r="AB434" s="14">
        <f>MAX(0,MIN(Inputs!$F$90,Time!AB$6)-MAX(Inputs!$F$89,Time!AB$5))/Time!AB$7</f>
        <v/>
      </c>
      <c r="AC434" s="14">
        <f>MAX(0,MIN(Inputs!$F$90,Time!AC$6)-MAX(Inputs!$F$89,Time!AC$5))/Time!AC$7</f>
        <v/>
      </c>
      <c r="AD434" s="14">
        <f>MAX(0,MIN(Inputs!$F$90,Time!AD$6)-MAX(Inputs!$F$89,Time!AD$5))/Time!AD$7</f>
        <v/>
      </c>
      <c r="AE434" s="14">
        <f>MAX(0,MIN(Inputs!$F$90,Time!AE$6)-MAX(Inputs!$F$89,Time!AE$5))/Time!AE$7</f>
        <v/>
      </c>
      <c r="AF434" s="14">
        <f>MAX(0,MIN(Inputs!$F$90,Time!AF$6)-MAX(Inputs!$F$89,Time!AF$5))/Time!AF$7</f>
        <v/>
      </c>
      <c r="AG434" s="14">
        <f>MAX(0,MIN(Inputs!$F$90,Time!AG$6)-MAX(Inputs!$F$89,Time!AG$5))/Time!AG$7</f>
        <v/>
      </c>
      <c r="AH434" s="14">
        <f>MAX(0,MIN(Inputs!$F$90,Time!AH$6)-MAX(Inputs!$F$89,Time!AH$5))/Time!AH$7</f>
        <v/>
      </c>
      <c r="AI434" s="14">
        <f>MAX(0,MIN(Inputs!$F$90,Time!AI$6)-MAX(Inputs!$F$89,Time!AI$5))/Time!AI$7</f>
        <v/>
      </c>
      <c r="AJ434" s="14">
        <f>MAX(0,MIN(Inputs!$F$90,Time!AJ$6)-MAX(Inputs!$F$89,Time!AJ$5))/Time!AJ$7</f>
        <v/>
      </c>
      <c r="AK434" s="14">
        <f>MAX(0,MIN(Inputs!$F$90,Time!AK$6)-MAX(Inputs!$F$89,Time!AK$5))/Time!AK$7</f>
        <v/>
      </c>
      <c r="AL434" s="14">
        <f>MAX(0,MIN(Inputs!$F$90,Time!AL$6)-MAX(Inputs!$F$89,Time!AL$5))/Time!AL$7</f>
        <v/>
      </c>
      <c r="AM434" s="14">
        <f>MAX(0,MIN(Inputs!$F$90,Time!AM$6)-MAX(Inputs!$F$89,Time!AM$5))/Time!AM$7</f>
        <v/>
      </c>
      <c r="AN434" s="14">
        <f>MAX(0,MIN(Inputs!$F$90,Time!AN$6)-MAX(Inputs!$F$89,Time!AN$5))/Time!AN$7</f>
        <v/>
      </c>
      <c r="AO434" s="14">
        <f>MAX(0,MIN(Inputs!$F$90,Time!AO$6)-MAX(Inputs!$F$89,Time!AO$5))/Time!AO$7</f>
        <v/>
      </c>
      <c r="AP434" s="14">
        <f>MAX(0,MIN(Inputs!$F$90,Time!AP$6)-MAX(Inputs!$F$89,Time!AP$5))/Time!AP$7</f>
        <v/>
      </c>
      <c r="AQ434" s="14">
        <f>MAX(0,MIN(Inputs!$F$90,Time!AQ$6)-MAX(Inputs!$F$89,Time!AQ$5))/Time!AQ$7</f>
        <v/>
      </c>
      <c r="AR434" s="14">
        <f>MAX(0,MIN(Inputs!$F$90,Time!AR$6)-MAX(Inputs!$F$89,Time!AR$5))/Time!AR$7</f>
        <v/>
      </c>
      <c r="AS434" s="14">
        <f>MAX(0,MIN(Inputs!$F$90,Time!AS$6)-MAX(Inputs!$F$89,Time!AS$5))/Time!AS$7</f>
        <v/>
      </c>
      <c r="AT434" s="14">
        <f>MAX(0,MIN(Inputs!$F$90,Time!AT$6)-MAX(Inputs!$F$89,Time!AT$5))/Time!AT$7</f>
        <v/>
      </c>
      <c r="AU434" s="14">
        <f>MAX(0,MIN(Inputs!$F$90,Time!AU$6)-MAX(Inputs!$F$89,Time!AU$5))/Time!AU$7</f>
        <v/>
      </c>
    </row>
    <row r="435">
      <c r="D435" t="inlineStr">
        <is>
          <t>R1 owned fraction</t>
        </is>
      </c>
      <c r="E435" t="inlineStr">
        <is>
          <t>fraction</t>
        </is>
      </c>
      <c r="J435" s="14">
        <f>MAX(0,MIN(Inputs!$F$90,Time!J$6)-MAX(MAX(Inputs!$F$91,Inputs!$F$89),Time!J$5))/Time!J$7</f>
        <v/>
      </c>
      <c r="K435" s="14">
        <f>MAX(0,MIN(Inputs!$F$90,Time!K$6)-MAX(MAX(Inputs!$F$91,Inputs!$F$89),Time!K$5))/Time!K$7</f>
        <v/>
      </c>
      <c r="L435" s="14">
        <f>MAX(0,MIN(Inputs!$F$90,Time!L$6)-MAX(MAX(Inputs!$F$91,Inputs!$F$89),Time!L$5))/Time!L$7</f>
        <v/>
      </c>
      <c r="M435" s="14">
        <f>MAX(0,MIN(Inputs!$F$90,Time!M$6)-MAX(MAX(Inputs!$F$91,Inputs!$F$89),Time!M$5))/Time!M$7</f>
        <v/>
      </c>
      <c r="N435" s="14">
        <f>MAX(0,MIN(Inputs!$F$90,Time!N$6)-MAX(MAX(Inputs!$F$91,Inputs!$F$89),Time!N$5))/Time!N$7</f>
        <v/>
      </c>
      <c r="O435" s="14">
        <f>MAX(0,MIN(Inputs!$F$90,Time!O$6)-MAX(MAX(Inputs!$F$91,Inputs!$F$89),Time!O$5))/Time!O$7</f>
        <v/>
      </c>
      <c r="P435" s="14">
        <f>MAX(0,MIN(Inputs!$F$90,Time!P$6)-MAX(MAX(Inputs!$F$91,Inputs!$F$89),Time!P$5))/Time!P$7</f>
        <v/>
      </c>
      <c r="Q435" s="14">
        <f>MAX(0,MIN(Inputs!$F$90,Time!Q$6)-MAX(MAX(Inputs!$F$91,Inputs!$F$89),Time!Q$5))/Time!Q$7</f>
        <v/>
      </c>
      <c r="R435" s="14">
        <f>MAX(0,MIN(Inputs!$F$90,Time!R$6)-MAX(MAX(Inputs!$F$91,Inputs!$F$89),Time!R$5))/Time!R$7</f>
        <v/>
      </c>
      <c r="S435" s="14">
        <f>MAX(0,MIN(Inputs!$F$90,Time!S$6)-MAX(MAX(Inputs!$F$91,Inputs!$F$89),Time!S$5))/Time!S$7</f>
        <v/>
      </c>
      <c r="T435" s="14">
        <f>MAX(0,MIN(Inputs!$F$90,Time!T$6)-MAX(MAX(Inputs!$F$91,Inputs!$F$89),Time!T$5))/Time!T$7</f>
        <v/>
      </c>
      <c r="U435" s="14">
        <f>MAX(0,MIN(Inputs!$F$90,Time!U$6)-MAX(MAX(Inputs!$F$91,Inputs!$F$89),Time!U$5))/Time!U$7</f>
        <v/>
      </c>
      <c r="V435" s="14">
        <f>MAX(0,MIN(Inputs!$F$90,Time!V$6)-MAX(MAX(Inputs!$F$91,Inputs!$F$89),Time!V$5))/Time!V$7</f>
        <v/>
      </c>
      <c r="W435" s="14">
        <f>MAX(0,MIN(Inputs!$F$90,Time!W$6)-MAX(MAX(Inputs!$F$91,Inputs!$F$89),Time!W$5))/Time!W$7</f>
        <v/>
      </c>
      <c r="X435" s="14">
        <f>MAX(0,MIN(Inputs!$F$90,Time!X$6)-MAX(MAX(Inputs!$F$91,Inputs!$F$89),Time!X$5))/Time!X$7</f>
        <v/>
      </c>
      <c r="Y435" s="14">
        <f>MAX(0,MIN(Inputs!$F$90,Time!Y$6)-MAX(MAX(Inputs!$F$91,Inputs!$F$89),Time!Y$5))/Time!Y$7</f>
        <v/>
      </c>
      <c r="Z435" s="14">
        <f>MAX(0,MIN(Inputs!$F$90,Time!Z$6)-MAX(MAX(Inputs!$F$91,Inputs!$F$89),Time!Z$5))/Time!Z$7</f>
        <v/>
      </c>
      <c r="AA435" s="14">
        <f>MAX(0,MIN(Inputs!$F$90,Time!AA$6)-MAX(MAX(Inputs!$F$91,Inputs!$F$89),Time!AA$5))/Time!AA$7</f>
        <v/>
      </c>
      <c r="AB435" s="14">
        <f>MAX(0,MIN(Inputs!$F$90,Time!AB$6)-MAX(MAX(Inputs!$F$91,Inputs!$F$89),Time!AB$5))/Time!AB$7</f>
        <v/>
      </c>
      <c r="AC435" s="14">
        <f>MAX(0,MIN(Inputs!$F$90,Time!AC$6)-MAX(MAX(Inputs!$F$91,Inputs!$F$89),Time!AC$5))/Time!AC$7</f>
        <v/>
      </c>
      <c r="AD435" s="14">
        <f>MAX(0,MIN(Inputs!$F$90,Time!AD$6)-MAX(MAX(Inputs!$F$91,Inputs!$F$89),Time!AD$5))/Time!AD$7</f>
        <v/>
      </c>
      <c r="AE435" s="14">
        <f>MAX(0,MIN(Inputs!$F$90,Time!AE$6)-MAX(MAX(Inputs!$F$91,Inputs!$F$89),Time!AE$5))/Time!AE$7</f>
        <v/>
      </c>
      <c r="AF435" s="14">
        <f>MAX(0,MIN(Inputs!$F$90,Time!AF$6)-MAX(MAX(Inputs!$F$91,Inputs!$F$89),Time!AF$5))/Time!AF$7</f>
        <v/>
      </c>
      <c r="AG435" s="14">
        <f>MAX(0,MIN(Inputs!$F$90,Time!AG$6)-MAX(MAX(Inputs!$F$91,Inputs!$F$89),Time!AG$5))/Time!AG$7</f>
        <v/>
      </c>
      <c r="AH435" s="14">
        <f>MAX(0,MIN(Inputs!$F$90,Time!AH$6)-MAX(MAX(Inputs!$F$91,Inputs!$F$89),Time!AH$5))/Time!AH$7</f>
        <v/>
      </c>
      <c r="AI435" s="14">
        <f>MAX(0,MIN(Inputs!$F$90,Time!AI$6)-MAX(MAX(Inputs!$F$91,Inputs!$F$89),Time!AI$5))/Time!AI$7</f>
        <v/>
      </c>
      <c r="AJ435" s="14">
        <f>MAX(0,MIN(Inputs!$F$90,Time!AJ$6)-MAX(MAX(Inputs!$F$91,Inputs!$F$89),Time!AJ$5))/Time!AJ$7</f>
        <v/>
      </c>
      <c r="AK435" s="14">
        <f>MAX(0,MIN(Inputs!$F$90,Time!AK$6)-MAX(MAX(Inputs!$F$91,Inputs!$F$89),Time!AK$5))/Time!AK$7</f>
        <v/>
      </c>
      <c r="AL435" s="14">
        <f>MAX(0,MIN(Inputs!$F$90,Time!AL$6)-MAX(MAX(Inputs!$F$91,Inputs!$F$89),Time!AL$5))/Time!AL$7</f>
        <v/>
      </c>
      <c r="AM435" s="14">
        <f>MAX(0,MIN(Inputs!$F$90,Time!AM$6)-MAX(MAX(Inputs!$F$91,Inputs!$F$89),Time!AM$5))/Time!AM$7</f>
        <v/>
      </c>
      <c r="AN435" s="14">
        <f>MAX(0,MIN(Inputs!$F$90,Time!AN$6)-MAX(MAX(Inputs!$F$91,Inputs!$F$89),Time!AN$5))/Time!AN$7</f>
        <v/>
      </c>
      <c r="AO435" s="14">
        <f>MAX(0,MIN(Inputs!$F$90,Time!AO$6)-MAX(MAX(Inputs!$F$91,Inputs!$F$89),Time!AO$5))/Time!AO$7</f>
        <v/>
      </c>
      <c r="AP435" s="14">
        <f>MAX(0,MIN(Inputs!$F$90,Time!AP$6)-MAX(MAX(Inputs!$F$91,Inputs!$F$89),Time!AP$5))/Time!AP$7</f>
        <v/>
      </c>
      <c r="AQ435" s="14">
        <f>MAX(0,MIN(Inputs!$F$90,Time!AQ$6)-MAX(MAX(Inputs!$F$91,Inputs!$F$89),Time!AQ$5))/Time!AQ$7</f>
        <v/>
      </c>
      <c r="AR435" s="14">
        <f>MAX(0,MIN(Inputs!$F$90,Time!AR$6)-MAX(MAX(Inputs!$F$91,Inputs!$F$89),Time!AR$5))/Time!AR$7</f>
        <v/>
      </c>
      <c r="AS435" s="14">
        <f>MAX(0,MIN(Inputs!$F$90,Time!AS$6)-MAX(MAX(Inputs!$F$91,Inputs!$F$89),Time!AS$5))/Time!AS$7</f>
        <v/>
      </c>
      <c r="AT435" s="14">
        <f>MAX(0,MIN(Inputs!$F$90,Time!AT$6)-MAX(MAX(Inputs!$F$91,Inputs!$F$89),Time!AT$5))/Time!AT$7</f>
        <v/>
      </c>
      <c r="AU435" s="14">
        <f>MAX(0,MIN(Inputs!$F$90,Time!AU$6)-MAX(MAX(Inputs!$F$91,Inputs!$F$89),Time!AU$5))/Time!AU$7</f>
        <v/>
      </c>
    </row>
    <row r="436">
      <c r="D436" t="inlineStr">
        <is>
          <t>R1 owned share of operating period</t>
        </is>
      </c>
      <c r="E436" t="inlineStr">
        <is>
          <t>fraction</t>
        </is>
      </c>
      <c r="J436" s="14">
        <f>IF(Operations!J434&gt;0,Operations!J435/Operations!J434,0)</f>
        <v/>
      </c>
      <c r="K436" s="14">
        <f>IF(Operations!K434&gt;0,Operations!K435/Operations!K434,0)</f>
        <v/>
      </c>
      <c r="L436" s="14">
        <f>IF(Operations!L434&gt;0,Operations!L435/Operations!L434,0)</f>
        <v/>
      </c>
      <c r="M436" s="14">
        <f>IF(Operations!M434&gt;0,Operations!M435/Operations!M434,0)</f>
        <v/>
      </c>
      <c r="N436" s="14">
        <f>IF(Operations!N434&gt;0,Operations!N435/Operations!N434,0)</f>
        <v/>
      </c>
      <c r="O436" s="14">
        <f>IF(Operations!O434&gt;0,Operations!O435/Operations!O434,0)</f>
        <v/>
      </c>
      <c r="P436" s="14">
        <f>IF(Operations!P434&gt;0,Operations!P435/Operations!P434,0)</f>
        <v/>
      </c>
      <c r="Q436" s="14">
        <f>IF(Operations!Q434&gt;0,Operations!Q435/Operations!Q434,0)</f>
        <v/>
      </c>
      <c r="R436" s="14">
        <f>IF(Operations!R434&gt;0,Operations!R435/Operations!R434,0)</f>
        <v/>
      </c>
      <c r="S436" s="14">
        <f>IF(Operations!S434&gt;0,Operations!S435/Operations!S434,0)</f>
        <v/>
      </c>
      <c r="T436" s="14">
        <f>IF(Operations!T434&gt;0,Operations!T435/Operations!T434,0)</f>
        <v/>
      </c>
      <c r="U436" s="14">
        <f>IF(Operations!U434&gt;0,Operations!U435/Operations!U434,0)</f>
        <v/>
      </c>
      <c r="V436" s="14">
        <f>IF(Operations!V434&gt;0,Operations!V435/Operations!V434,0)</f>
        <v/>
      </c>
      <c r="W436" s="14">
        <f>IF(Operations!W434&gt;0,Operations!W435/Operations!W434,0)</f>
        <v/>
      </c>
      <c r="X436" s="14">
        <f>IF(Operations!X434&gt;0,Operations!X435/Operations!X434,0)</f>
        <v/>
      </c>
      <c r="Y436" s="14">
        <f>IF(Operations!Y434&gt;0,Operations!Y435/Operations!Y434,0)</f>
        <v/>
      </c>
      <c r="Z436" s="14">
        <f>IF(Operations!Z434&gt;0,Operations!Z435/Operations!Z434,0)</f>
        <v/>
      </c>
      <c r="AA436" s="14">
        <f>IF(Operations!AA434&gt;0,Operations!AA435/Operations!AA434,0)</f>
        <v/>
      </c>
      <c r="AB436" s="14">
        <f>IF(Operations!AB434&gt;0,Operations!AB435/Operations!AB434,0)</f>
        <v/>
      </c>
      <c r="AC436" s="14">
        <f>IF(Operations!AC434&gt;0,Operations!AC435/Operations!AC434,0)</f>
        <v/>
      </c>
      <c r="AD436" s="14">
        <f>IF(Operations!AD434&gt;0,Operations!AD435/Operations!AD434,0)</f>
        <v/>
      </c>
      <c r="AE436" s="14">
        <f>IF(Operations!AE434&gt;0,Operations!AE435/Operations!AE434,0)</f>
        <v/>
      </c>
      <c r="AF436" s="14">
        <f>IF(Operations!AF434&gt;0,Operations!AF435/Operations!AF434,0)</f>
        <v/>
      </c>
      <c r="AG436" s="14">
        <f>IF(Operations!AG434&gt;0,Operations!AG435/Operations!AG434,0)</f>
        <v/>
      </c>
      <c r="AH436" s="14">
        <f>IF(Operations!AH434&gt;0,Operations!AH435/Operations!AH434,0)</f>
        <v/>
      </c>
      <c r="AI436" s="14">
        <f>IF(Operations!AI434&gt;0,Operations!AI435/Operations!AI434,0)</f>
        <v/>
      </c>
      <c r="AJ436" s="14">
        <f>IF(Operations!AJ434&gt;0,Operations!AJ435/Operations!AJ434,0)</f>
        <v/>
      </c>
      <c r="AK436" s="14">
        <f>IF(Operations!AK434&gt;0,Operations!AK435/Operations!AK434,0)</f>
        <v/>
      </c>
      <c r="AL436" s="14">
        <f>IF(Operations!AL434&gt;0,Operations!AL435/Operations!AL434,0)</f>
        <v/>
      </c>
      <c r="AM436" s="14">
        <f>IF(Operations!AM434&gt;0,Operations!AM435/Operations!AM434,0)</f>
        <v/>
      </c>
      <c r="AN436" s="14">
        <f>IF(Operations!AN434&gt;0,Operations!AN435/Operations!AN434,0)</f>
        <v/>
      </c>
      <c r="AO436" s="14">
        <f>IF(Operations!AO434&gt;0,Operations!AO435/Operations!AO434,0)</f>
        <v/>
      </c>
      <c r="AP436" s="14">
        <f>IF(Operations!AP434&gt;0,Operations!AP435/Operations!AP434,0)</f>
        <v/>
      </c>
      <c r="AQ436" s="14">
        <f>IF(Operations!AQ434&gt;0,Operations!AQ435/Operations!AQ434,0)</f>
        <v/>
      </c>
      <c r="AR436" s="14">
        <f>IF(Operations!AR434&gt;0,Operations!AR435/Operations!AR434,0)</f>
        <v/>
      </c>
      <c r="AS436" s="14">
        <f>IF(Operations!AS434&gt;0,Operations!AS435/Operations!AS434,0)</f>
        <v/>
      </c>
      <c r="AT436" s="14">
        <f>IF(Operations!AT434&gt;0,Operations!AT435/Operations!AT434,0)</f>
        <v/>
      </c>
      <c r="AU436" s="14">
        <f>IF(Operations!AU434&gt;0,Operations!AU435/Operations!AU434,0)</f>
        <v/>
      </c>
    </row>
    <row r="437">
      <c r="D437" t="inlineStr">
        <is>
          <t>R1 own hub ATC</t>
        </is>
      </c>
      <c r="E437" t="inlineStr">
        <is>
          <t>USD/MWh</t>
        </is>
      </c>
      <c r="J437" s="18">
        <f>Operations!J424</f>
        <v/>
      </c>
      <c r="K437" s="18">
        <f>Operations!K424</f>
        <v/>
      </c>
      <c r="L437" s="18">
        <f>Operations!L424</f>
        <v/>
      </c>
      <c r="M437" s="18">
        <f>Operations!M424</f>
        <v/>
      </c>
      <c r="N437" s="18">
        <f>Operations!N424</f>
        <v/>
      </c>
      <c r="O437" s="18">
        <f>Operations!O424</f>
        <v/>
      </c>
      <c r="P437" s="18">
        <f>Operations!P424</f>
        <v/>
      </c>
      <c r="Q437" s="18">
        <f>Operations!Q424</f>
        <v/>
      </c>
      <c r="R437" s="18">
        <f>Operations!R424</f>
        <v/>
      </c>
      <c r="S437" s="18">
        <f>Operations!S424</f>
        <v/>
      </c>
      <c r="T437" s="18">
        <f>Operations!T424</f>
        <v/>
      </c>
      <c r="U437" s="18">
        <f>Operations!U424</f>
        <v/>
      </c>
      <c r="V437" s="18">
        <f>Operations!V424</f>
        <v/>
      </c>
      <c r="W437" s="18">
        <f>Operations!W424</f>
        <v/>
      </c>
      <c r="X437" s="18">
        <f>Operations!X424</f>
        <v/>
      </c>
      <c r="Y437" s="18">
        <f>Operations!Y424</f>
        <v/>
      </c>
      <c r="Z437" s="18">
        <f>Operations!Z424</f>
        <v/>
      </c>
      <c r="AA437" s="18">
        <f>Operations!AA424</f>
        <v/>
      </c>
      <c r="AB437" s="18">
        <f>Operations!AB424</f>
        <v/>
      </c>
      <c r="AC437" s="18">
        <f>Operations!AC424</f>
        <v/>
      </c>
      <c r="AD437" s="18">
        <f>Operations!AD424</f>
        <v/>
      </c>
      <c r="AE437" s="18">
        <f>Operations!AE424</f>
        <v/>
      </c>
      <c r="AF437" s="18">
        <f>Operations!AF424</f>
        <v/>
      </c>
      <c r="AG437" s="18">
        <f>Operations!AG424</f>
        <v/>
      </c>
      <c r="AH437" s="18">
        <f>Operations!AH424</f>
        <v/>
      </c>
      <c r="AI437" s="18">
        <f>Operations!AI424</f>
        <v/>
      </c>
      <c r="AJ437" s="18">
        <f>Operations!AJ424</f>
        <v/>
      </c>
      <c r="AK437" s="18">
        <f>Operations!AK424</f>
        <v/>
      </c>
      <c r="AL437" s="18">
        <f>Operations!AL424</f>
        <v/>
      </c>
      <c r="AM437" s="18">
        <f>Operations!AM424</f>
        <v/>
      </c>
      <c r="AN437" s="18">
        <f>Operations!AN424</f>
        <v/>
      </c>
      <c r="AO437" s="18">
        <f>Operations!AO424</f>
        <v/>
      </c>
      <c r="AP437" s="18">
        <f>Operations!AP424</f>
        <v/>
      </c>
      <c r="AQ437" s="18">
        <f>Operations!AQ424</f>
        <v/>
      </c>
      <c r="AR437" s="18">
        <f>Operations!AR424</f>
        <v/>
      </c>
      <c r="AS437" s="18">
        <f>Operations!AS424</f>
        <v/>
      </c>
      <c r="AT437" s="18">
        <f>Operations!AT424</f>
        <v/>
      </c>
      <c r="AU437" s="18">
        <f>Operations!AU424</f>
        <v/>
      </c>
    </row>
    <row r="438">
      <c r="D438" t="inlineStr">
        <is>
          <t>R1 volume factor</t>
        </is>
      </c>
      <c r="E438" t="inlineStr">
        <is>
          <t>factor</t>
        </is>
      </c>
      <c r="J438" s="14">
        <f>CHOOSE(Operations!$F$418,1,Inputs!$F$95/100,Inputs!$F$96/100,Operations!$F$12/100)</f>
        <v/>
      </c>
      <c r="K438" s="14">
        <f>CHOOSE(Operations!$F$418,1,Inputs!$F$95/100,Inputs!$F$96/100,Operations!$F$12/100)</f>
        <v/>
      </c>
      <c r="L438" s="14">
        <f>CHOOSE(Operations!$F$418,1,Inputs!$F$95/100,Inputs!$F$96/100,Operations!$F$12/100)</f>
        <v/>
      </c>
      <c r="M438" s="14">
        <f>CHOOSE(Operations!$F$418,1,Inputs!$F$95/100,Inputs!$F$96/100,Operations!$F$12/100)</f>
        <v/>
      </c>
      <c r="N438" s="14">
        <f>CHOOSE(Operations!$F$418,1,Inputs!$F$95/100,Inputs!$F$96/100,Operations!$F$12/100)</f>
        <v/>
      </c>
      <c r="O438" s="14">
        <f>CHOOSE(Operations!$F$418,1,Inputs!$F$95/100,Inputs!$F$96/100,Operations!$F$12/100)</f>
        <v/>
      </c>
      <c r="P438" s="14">
        <f>CHOOSE(Operations!$F$418,1,Inputs!$F$95/100,Inputs!$F$96/100,Operations!$F$12/100)</f>
        <v/>
      </c>
      <c r="Q438" s="14">
        <f>CHOOSE(Operations!$F$418,1,Inputs!$F$95/100,Inputs!$F$96/100,Operations!$F$12/100)</f>
        <v/>
      </c>
      <c r="R438" s="14">
        <f>CHOOSE(Operations!$F$418,1,Inputs!$F$95/100,Inputs!$F$96/100,Operations!$F$12/100)</f>
        <v/>
      </c>
      <c r="S438" s="14">
        <f>CHOOSE(Operations!$F$418,1,Inputs!$F$95/100,Inputs!$F$96/100,Operations!$F$12/100)</f>
        <v/>
      </c>
      <c r="T438" s="14">
        <f>CHOOSE(Operations!$F$418,1,Inputs!$F$95/100,Inputs!$F$96/100,Operations!$F$12/100)</f>
        <v/>
      </c>
      <c r="U438" s="14">
        <f>CHOOSE(Operations!$F$418,1,Inputs!$F$95/100,Inputs!$F$96/100,Operations!$F$12/100)</f>
        <v/>
      </c>
      <c r="V438" s="14">
        <f>CHOOSE(Operations!$F$418,1,Inputs!$F$95/100,Inputs!$F$96/100,Operations!$F$12/100)</f>
        <v/>
      </c>
      <c r="W438" s="14">
        <f>CHOOSE(Operations!$F$418,1,Inputs!$F$95/100,Inputs!$F$96/100,Operations!$F$12/100)</f>
        <v/>
      </c>
      <c r="X438" s="14">
        <f>CHOOSE(Operations!$F$418,1,Inputs!$F$95/100,Inputs!$F$96/100,Operations!$F$12/100)</f>
        <v/>
      </c>
      <c r="Y438" s="14">
        <f>CHOOSE(Operations!$F$418,1,Inputs!$F$95/100,Inputs!$F$96/100,Operations!$F$12/100)</f>
        <v/>
      </c>
      <c r="Z438" s="14">
        <f>CHOOSE(Operations!$F$418,1,Inputs!$F$95/100,Inputs!$F$96/100,Operations!$F$12/100)</f>
        <v/>
      </c>
      <c r="AA438" s="14">
        <f>CHOOSE(Operations!$F$418,1,Inputs!$F$95/100,Inputs!$F$96/100,Operations!$F$12/100)</f>
        <v/>
      </c>
      <c r="AB438" s="14">
        <f>CHOOSE(Operations!$F$418,1,Inputs!$F$95/100,Inputs!$F$96/100,Operations!$F$12/100)</f>
        <v/>
      </c>
      <c r="AC438" s="14">
        <f>CHOOSE(Operations!$F$418,1,Inputs!$F$95/100,Inputs!$F$96/100,Operations!$F$12/100)</f>
        <v/>
      </c>
      <c r="AD438" s="14">
        <f>CHOOSE(Operations!$F$418,1,Inputs!$F$95/100,Inputs!$F$96/100,Operations!$F$12/100)</f>
        <v/>
      </c>
      <c r="AE438" s="14">
        <f>CHOOSE(Operations!$F$418,1,Inputs!$F$95/100,Inputs!$F$96/100,Operations!$F$12/100)</f>
        <v/>
      </c>
      <c r="AF438" s="14">
        <f>CHOOSE(Operations!$F$418,1,Inputs!$F$95/100,Inputs!$F$96/100,Operations!$F$12/100)</f>
        <v/>
      </c>
      <c r="AG438" s="14">
        <f>CHOOSE(Operations!$F$418,1,Inputs!$F$95/100,Inputs!$F$96/100,Operations!$F$12/100)</f>
        <v/>
      </c>
      <c r="AH438" s="14">
        <f>CHOOSE(Operations!$F$418,1,Inputs!$F$95/100,Inputs!$F$96/100,Operations!$F$12/100)</f>
        <v/>
      </c>
      <c r="AI438" s="14">
        <f>CHOOSE(Operations!$F$418,1,Inputs!$F$95/100,Inputs!$F$96/100,Operations!$F$12/100)</f>
        <v/>
      </c>
      <c r="AJ438" s="14">
        <f>CHOOSE(Operations!$F$418,1,Inputs!$F$95/100,Inputs!$F$96/100,Operations!$F$12/100)</f>
        <v/>
      </c>
      <c r="AK438" s="14">
        <f>CHOOSE(Operations!$F$418,1,Inputs!$F$95/100,Inputs!$F$96/100,Operations!$F$12/100)</f>
        <v/>
      </c>
      <c r="AL438" s="14">
        <f>CHOOSE(Operations!$F$418,1,Inputs!$F$95/100,Inputs!$F$96/100,Operations!$F$12/100)</f>
        <v/>
      </c>
      <c r="AM438" s="14">
        <f>CHOOSE(Operations!$F$418,1,Inputs!$F$95/100,Inputs!$F$96/100,Operations!$F$12/100)</f>
        <v/>
      </c>
      <c r="AN438" s="14">
        <f>CHOOSE(Operations!$F$418,1,Inputs!$F$95/100,Inputs!$F$96/100,Operations!$F$12/100)</f>
        <v/>
      </c>
      <c r="AO438" s="14">
        <f>CHOOSE(Operations!$F$418,1,Inputs!$F$95/100,Inputs!$F$96/100,Operations!$F$12/100)</f>
        <v/>
      </c>
      <c r="AP438" s="14">
        <f>CHOOSE(Operations!$F$418,1,Inputs!$F$95/100,Inputs!$F$96/100,Operations!$F$12/100)</f>
        <v/>
      </c>
      <c r="AQ438" s="14">
        <f>CHOOSE(Operations!$F$418,1,Inputs!$F$95/100,Inputs!$F$96/100,Operations!$F$12/100)</f>
        <v/>
      </c>
      <c r="AR438" s="14">
        <f>CHOOSE(Operations!$F$418,1,Inputs!$F$95/100,Inputs!$F$96/100,Operations!$F$12/100)</f>
        <v/>
      </c>
      <c r="AS438" s="14">
        <f>CHOOSE(Operations!$F$418,1,Inputs!$F$95/100,Inputs!$F$96/100,Operations!$F$12/100)</f>
        <v/>
      </c>
      <c r="AT438" s="14">
        <f>CHOOSE(Operations!$F$418,1,Inputs!$F$95/100,Inputs!$F$96/100,Operations!$F$12/100)</f>
        <v/>
      </c>
      <c r="AU438" s="14">
        <f>CHOOSE(Operations!$F$418,1,Inputs!$F$95/100,Inputs!$F$96/100,Operations!$F$12/100)</f>
        <v/>
      </c>
    </row>
    <row r="439">
      <c r="D439" t="inlineStr">
        <is>
          <t>R1 degradation factor</t>
        </is>
      </c>
      <c r="E439" t="inlineStr">
        <is>
          <t>factor</t>
        </is>
      </c>
      <c r="J439" s="14">
        <f>(1-Inputs!$F$97/100)^MAX(0,Time!J$4-Inputs!$F$98)</f>
        <v/>
      </c>
      <c r="K439" s="14">
        <f>(1-Inputs!$F$97/100)^MAX(0,Time!K$4-Inputs!$F$98)</f>
        <v/>
      </c>
      <c r="L439" s="14">
        <f>(1-Inputs!$F$97/100)^MAX(0,Time!L$4-Inputs!$F$98)</f>
        <v/>
      </c>
      <c r="M439" s="14">
        <f>(1-Inputs!$F$97/100)^MAX(0,Time!M$4-Inputs!$F$98)</f>
        <v/>
      </c>
      <c r="N439" s="14">
        <f>(1-Inputs!$F$97/100)^MAX(0,Time!N$4-Inputs!$F$98)</f>
        <v/>
      </c>
      <c r="O439" s="14">
        <f>(1-Inputs!$F$97/100)^MAX(0,Time!O$4-Inputs!$F$98)</f>
        <v/>
      </c>
      <c r="P439" s="14">
        <f>(1-Inputs!$F$97/100)^MAX(0,Time!P$4-Inputs!$F$98)</f>
        <v/>
      </c>
      <c r="Q439" s="14">
        <f>(1-Inputs!$F$97/100)^MAX(0,Time!Q$4-Inputs!$F$98)</f>
        <v/>
      </c>
      <c r="R439" s="14">
        <f>(1-Inputs!$F$97/100)^MAX(0,Time!R$4-Inputs!$F$98)</f>
        <v/>
      </c>
      <c r="S439" s="14">
        <f>(1-Inputs!$F$97/100)^MAX(0,Time!S$4-Inputs!$F$98)</f>
        <v/>
      </c>
      <c r="T439" s="14">
        <f>(1-Inputs!$F$97/100)^MAX(0,Time!T$4-Inputs!$F$98)</f>
        <v/>
      </c>
      <c r="U439" s="14">
        <f>(1-Inputs!$F$97/100)^MAX(0,Time!U$4-Inputs!$F$98)</f>
        <v/>
      </c>
      <c r="V439" s="14">
        <f>(1-Inputs!$F$97/100)^MAX(0,Time!V$4-Inputs!$F$98)</f>
        <v/>
      </c>
      <c r="W439" s="14">
        <f>(1-Inputs!$F$97/100)^MAX(0,Time!W$4-Inputs!$F$98)</f>
        <v/>
      </c>
      <c r="X439" s="14">
        <f>(1-Inputs!$F$97/100)^MAX(0,Time!X$4-Inputs!$F$98)</f>
        <v/>
      </c>
      <c r="Y439" s="14">
        <f>(1-Inputs!$F$97/100)^MAX(0,Time!Y$4-Inputs!$F$98)</f>
        <v/>
      </c>
      <c r="Z439" s="14">
        <f>(1-Inputs!$F$97/100)^MAX(0,Time!Z$4-Inputs!$F$98)</f>
        <v/>
      </c>
      <c r="AA439" s="14">
        <f>(1-Inputs!$F$97/100)^MAX(0,Time!AA$4-Inputs!$F$98)</f>
        <v/>
      </c>
      <c r="AB439" s="14">
        <f>(1-Inputs!$F$97/100)^MAX(0,Time!AB$4-Inputs!$F$98)</f>
        <v/>
      </c>
      <c r="AC439" s="14">
        <f>(1-Inputs!$F$97/100)^MAX(0,Time!AC$4-Inputs!$F$98)</f>
        <v/>
      </c>
      <c r="AD439" s="14">
        <f>(1-Inputs!$F$97/100)^MAX(0,Time!AD$4-Inputs!$F$98)</f>
        <v/>
      </c>
      <c r="AE439" s="14">
        <f>(1-Inputs!$F$97/100)^MAX(0,Time!AE$4-Inputs!$F$98)</f>
        <v/>
      </c>
      <c r="AF439" s="14">
        <f>(1-Inputs!$F$97/100)^MAX(0,Time!AF$4-Inputs!$F$98)</f>
        <v/>
      </c>
      <c r="AG439" s="14">
        <f>(1-Inputs!$F$97/100)^MAX(0,Time!AG$4-Inputs!$F$98)</f>
        <v/>
      </c>
      <c r="AH439" s="14">
        <f>(1-Inputs!$F$97/100)^MAX(0,Time!AH$4-Inputs!$F$98)</f>
        <v/>
      </c>
      <c r="AI439" s="14">
        <f>(1-Inputs!$F$97/100)^MAX(0,Time!AI$4-Inputs!$F$98)</f>
        <v/>
      </c>
      <c r="AJ439" s="14">
        <f>(1-Inputs!$F$97/100)^MAX(0,Time!AJ$4-Inputs!$F$98)</f>
        <v/>
      </c>
      <c r="AK439" s="14">
        <f>(1-Inputs!$F$97/100)^MAX(0,Time!AK$4-Inputs!$F$98)</f>
        <v/>
      </c>
      <c r="AL439" s="14">
        <f>(1-Inputs!$F$97/100)^MAX(0,Time!AL$4-Inputs!$F$98)</f>
        <v/>
      </c>
      <c r="AM439" s="14">
        <f>(1-Inputs!$F$97/100)^MAX(0,Time!AM$4-Inputs!$F$98)</f>
        <v/>
      </c>
      <c r="AN439" s="14">
        <f>(1-Inputs!$F$97/100)^MAX(0,Time!AN$4-Inputs!$F$98)</f>
        <v/>
      </c>
      <c r="AO439" s="14">
        <f>(1-Inputs!$F$97/100)^MAX(0,Time!AO$4-Inputs!$F$98)</f>
        <v/>
      </c>
      <c r="AP439" s="14">
        <f>(1-Inputs!$F$97/100)^MAX(0,Time!AP$4-Inputs!$F$98)</f>
        <v/>
      </c>
      <c r="AQ439" s="14">
        <f>(1-Inputs!$F$97/100)^MAX(0,Time!AQ$4-Inputs!$F$98)</f>
        <v/>
      </c>
      <c r="AR439" s="14">
        <f>(1-Inputs!$F$97/100)^MAX(0,Time!AR$4-Inputs!$F$98)</f>
        <v/>
      </c>
      <c r="AS439" s="14">
        <f>(1-Inputs!$F$97/100)^MAX(0,Time!AS$4-Inputs!$F$98)</f>
        <v/>
      </c>
      <c r="AT439" s="14">
        <f>(1-Inputs!$F$97/100)^MAX(0,Time!AT$4-Inputs!$F$98)</f>
        <v/>
      </c>
      <c r="AU439" s="14">
        <f>(1-Inputs!$F$97/100)^MAX(0,Time!AU$4-Inputs!$F$98)</f>
        <v/>
      </c>
    </row>
    <row r="440">
      <c r="D440" t="inlineStr">
        <is>
          <t>R1 curtailment</t>
        </is>
      </c>
      <c r="E440" t="inlineStr">
        <is>
          <t>fraction</t>
        </is>
      </c>
      <c r="J440" s="14">
        <f>(IF(Time!J$4&gt;=Inputs!$F$61,Inputs!$F$63,Inputs!$F$62+(Inputs!$F$63-Inputs!$F$62)*(Time!J$4-Inputs!$F$23)/(Inputs!$F$61-Inputs!$F$23))+Operations!$F$420)/100</f>
        <v/>
      </c>
      <c r="K440" s="14">
        <f>(IF(Time!K$4&gt;=Inputs!$F$61,Inputs!$F$63,Inputs!$F$62+(Inputs!$F$63-Inputs!$F$62)*(Time!K$4-Inputs!$F$23)/(Inputs!$F$61-Inputs!$F$23))+Operations!$F$420)/100</f>
        <v/>
      </c>
      <c r="L440" s="14">
        <f>(IF(Time!L$4&gt;=Inputs!$F$61,Inputs!$F$63,Inputs!$F$62+(Inputs!$F$63-Inputs!$F$62)*(Time!L$4-Inputs!$F$23)/(Inputs!$F$61-Inputs!$F$23))+Operations!$F$420)/100</f>
        <v/>
      </c>
      <c r="M440" s="14">
        <f>(IF(Time!M$4&gt;=Inputs!$F$61,Inputs!$F$63,Inputs!$F$62+(Inputs!$F$63-Inputs!$F$62)*(Time!M$4-Inputs!$F$23)/(Inputs!$F$61-Inputs!$F$23))+Operations!$F$420)/100</f>
        <v/>
      </c>
      <c r="N440" s="14">
        <f>(IF(Time!N$4&gt;=Inputs!$F$61,Inputs!$F$63,Inputs!$F$62+(Inputs!$F$63-Inputs!$F$62)*(Time!N$4-Inputs!$F$23)/(Inputs!$F$61-Inputs!$F$23))+Operations!$F$420)/100</f>
        <v/>
      </c>
      <c r="O440" s="14">
        <f>(IF(Time!O$4&gt;=Inputs!$F$61,Inputs!$F$63,Inputs!$F$62+(Inputs!$F$63-Inputs!$F$62)*(Time!O$4-Inputs!$F$23)/(Inputs!$F$61-Inputs!$F$23))+Operations!$F$420)/100</f>
        <v/>
      </c>
      <c r="P440" s="14">
        <f>(IF(Time!P$4&gt;=Inputs!$F$61,Inputs!$F$63,Inputs!$F$62+(Inputs!$F$63-Inputs!$F$62)*(Time!P$4-Inputs!$F$23)/(Inputs!$F$61-Inputs!$F$23))+Operations!$F$420)/100</f>
        <v/>
      </c>
      <c r="Q440" s="14">
        <f>(IF(Time!Q$4&gt;=Inputs!$F$61,Inputs!$F$63,Inputs!$F$62+(Inputs!$F$63-Inputs!$F$62)*(Time!Q$4-Inputs!$F$23)/(Inputs!$F$61-Inputs!$F$23))+Operations!$F$420)/100</f>
        <v/>
      </c>
      <c r="R440" s="14">
        <f>(IF(Time!R$4&gt;=Inputs!$F$61,Inputs!$F$63,Inputs!$F$62+(Inputs!$F$63-Inputs!$F$62)*(Time!R$4-Inputs!$F$23)/(Inputs!$F$61-Inputs!$F$23))+Operations!$F$420)/100</f>
        <v/>
      </c>
      <c r="S440" s="14">
        <f>(IF(Time!S$4&gt;=Inputs!$F$61,Inputs!$F$63,Inputs!$F$62+(Inputs!$F$63-Inputs!$F$62)*(Time!S$4-Inputs!$F$23)/(Inputs!$F$61-Inputs!$F$23))+Operations!$F$420)/100</f>
        <v/>
      </c>
      <c r="T440" s="14">
        <f>(IF(Time!T$4&gt;=Inputs!$F$61,Inputs!$F$63,Inputs!$F$62+(Inputs!$F$63-Inputs!$F$62)*(Time!T$4-Inputs!$F$23)/(Inputs!$F$61-Inputs!$F$23))+Operations!$F$420)/100</f>
        <v/>
      </c>
      <c r="U440" s="14">
        <f>(IF(Time!U$4&gt;=Inputs!$F$61,Inputs!$F$63,Inputs!$F$62+(Inputs!$F$63-Inputs!$F$62)*(Time!U$4-Inputs!$F$23)/(Inputs!$F$61-Inputs!$F$23))+Operations!$F$420)/100</f>
        <v/>
      </c>
      <c r="V440" s="14">
        <f>(IF(Time!V$4&gt;=Inputs!$F$61,Inputs!$F$63,Inputs!$F$62+(Inputs!$F$63-Inputs!$F$62)*(Time!V$4-Inputs!$F$23)/(Inputs!$F$61-Inputs!$F$23))+Operations!$F$420)/100</f>
        <v/>
      </c>
      <c r="W440" s="14">
        <f>(IF(Time!W$4&gt;=Inputs!$F$61,Inputs!$F$63,Inputs!$F$62+(Inputs!$F$63-Inputs!$F$62)*(Time!W$4-Inputs!$F$23)/(Inputs!$F$61-Inputs!$F$23))+Operations!$F$420)/100</f>
        <v/>
      </c>
      <c r="X440" s="14">
        <f>(IF(Time!X$4&gt;=Inputs!$F$61,Inputs!$F$63,Inputs!$F$62+(Inputs!$F$63-Inputs!$F$62)*(Time!X$4-Inputs!$F$23)/(Inputs!$F$61-Inputs!$F$23))+Operations!$F$420)/100</f>
        <v/>
      </c>
      <c r="Y440" s="14">
        <f>(IF(Time!Y$4&gt;=Inputs!$F$61,Inputs!$F$63,Inputs!$F$62+(Inputs!$F$63-Inputs!$F$62)*(Time!Y$4-Inputs!$F$23)/(Inputs!$F$61-Inputs!$F$23))+Operations!$F$420)/100</f>
        <v/>
      </c>
      <c r="Z440" s="14">
        <f>(IF(Time!Z$4&gt;=Inputs!$F$61,Inputs!$F$63,Inputs!$F$62+(Inputs!$F$63-Inputs!$F$62)*(Time!Z$4-Inputs!$F$23)/(Inputs!$F$61-Inputs!$F$23))+Operations!$F$420)/100</f>
        <v/>
      </c>
      <c r="AA440" s="14">
        <f>(IF(Time!AA$4&gt;=Inputs!$F$61,Inputs!$F$63,Inputs!$F$62+(Inputs!$F$63-Inputs!$F$62)*(Time!AA$4-Inputs!$F$23)/(Inputs!$F$61-Inputs!$F$23))+Operations!$F$420)/100</f>
        <v/>
      </c>
      <c r="AB440" s="14">
        <f>(IF(Time!AB$4&gt;=Inputs!$F$61,Inputs!$F$63,Inputs!$F$62+(Inputs!$F$63-Inputs!$F$62)*(Time!AB$4-Inputs!$F$23)/(Inputs!$F$61-Inputs!$F$23))+Operations!$F$420)/100</f>
        <v/>
      </c>
      <c r="AC440" s="14">
        <f>(IF(Time!AC$4&gt;=Inputs!$F$61,Inputs!$F$63,Inputs!$F$62+(Inputs!$F$63-Inputs!$F$62)*(Time!AC$4-Inputs!$F$23)/(Inputs!$F$61-Inputs!$F$23))+Operations!$F$420)/100</f>
        <v/>
      </c>
      <c r="AD440" s="14">
        <f>(IF(Time!AD$4&gt;=Inputs!$F$61,Inputs!$F$63,Inputs!$F$62+(Inputs!$F$63-Inputs!$F$62)*(Time!AD$4-Inputs!$F$23)/(Inputs!$F$61-Inputs!$F$23))+Operations!$F$420)/100</f>
        <v/>
      </c>
      <c r="AE440" s="14">
        <f>(IF(Time!AE$4&gt;=Inputs!$F$61,Inputs!$F$63,Inputs!$F$62+(Inputs!$F$63-Inputs!$F$62)*(Time!AE$4-Inputs!$F$23)/(Inputs!$F$61-Inputs!$F$23))+Operations!$F$420)/100</f>
        <v/>
      </c>
      <c r="AF440" s="14">
        <f>(IF(Time!AF$4&gt;=Inputs!$F$61,Inputs!$F$63,Inputs!$F$62+(Inputs!$F$63-Inputs!$F$62)*(Time!AF$4-Inputs!$F$23)/(Inputs!$F$61-Inputs!$F$23))+Operations!$F$420)/100</f>
        <v/>
      </c>
      <c r="AG440" s="14">
        <f>(IF(Time!AG$4&gt;=Inputs!$F$61,Inputs!$F$63,Inputs!$F$62+(Inputs!$F$63-Inputs!$F$62)*(Time!AG$4-Inputs!$F$23)/(Inputs!$F$61-Inputs!$F$23))+Operations!$F$420)/100</f>
        <v/>
      </c>
      <c r="AH440" s="14">
        <f>(IF(Time!AH$4&gt;=Inputs!$F$61,Inputs!$F$63,Inputs!$F$62+(Inputs!$F$63-Inputs!$F$62)*(Time!AH$4-Inputs!$F$23)/(Inputs!$F$61-Inputs!$F$23))+Operations!$F$420)/100</f>
        <v/>
      </c>
      <c r="AI440" s="14">
        <f>(IF(Time!AI$4&gt;=Inputs!$F$61,Inputs!$F$63,Inputs!$F$62+(Inputs!$F$63-Inputs!$F$62)*(Time!AI$4-Inputs!$F$23)/(Inputs!$F$61-Inputs!$F$23))+Operations!$F$420)/100</f>
        <v/>
      </c>
      <c r="AJ440" s="14">
        <f>(IF(Time!AJ$4&gt;=Inputs!$F$61,Inputs!$F$63,Inputs!$F$62+(Inputs!$F$63-Inputs!$F$62)*(Time!AJ$4-Inputs!$F$23)/(Inputs!$F$61-Inputs!$F$23))+Operations!$F$420)/100</f>
        <v/>
      </c>
      <c r="AK440" s="14">
        <f>(IF(Time!AK$4&gt;=Inputs!$F$61,Inputs!$F$63,Inputs!$F$62+(Inputs!$F$63-Inputs!$F$62)*(Time!AK$4-Inputs!$F$23)/(Inputs!$F$61-Inputs!$F$23))+Operations!$F$420)/100</f>
        <v/>
      </c>
      <c r="AL440" s="14">
        <f>(IF(Time!AL$4&gt;=Inputs!$F$61,Inputs!$F$63,Inputs!$F$62+(Inputs!$F$63-Inputs!$F$62)*(Time!AL$4-Inputs!$F$23)/(Inputs!$F$61-Inputs!$F$23))+Operations!$F$420)/100</f>
        <v/>
      </c>
      <c r="AM440" s="14">
        <f>(IF(Time!AM$4&gt;=Inputs!$F$61,Inputs!$F$63,Inputs!$F$62+(Inputs!$F$63-Inputs!$F$62)*(Time!AM$4-Inputs!$F$23)/(Inputs!$F$61-Inputs!$F$23))+Operations!$F$420)/100</f>
        <v/>
      </c>
      <c r="AN440" s="14">
        <f>(IF(Time!AN$4&gt;=Inputs!$F$61,Inputs!$F$63,Inputs!$F$62+(Inputs!$F$63-Inputs!$F$62)*(Time!AN$4-Inputs!$F$23)/(Inputs!$F$61-Inputs!$F$23))+Operations!$F$420)/100</f>
        <v/>
      </c>
      <c r="AO440" s="14">
        <f>(IF(Time!AO$4&gt;=Inputs!$F$61,Inputs!$F$63,Inputs!$F$62+(Inputs!$F$63-Inputs!$F$62)*(Time!AO$4-Inputs!$F$23)/(Inputs!$F$61-Inputs!$F$23))+Operations!$F$420)/100</f>
        <v/>
      </c>
      <c r="AP440" s="14">
        <f>(IF(Time!AP$4&gt;=Inputs!$F$61,Inputs!$F$63,Inputs!$F$62+(Inputs!$F$63-Inputs!$F$62)*(Time!AP$4-Inputs!$F$23)/(Inputs!$F$61-Inputs!$F$23))+Operations!$F$420)/100</f>
        <v/>
      </c>
      <c r="AQ440" s="14">
        <f>(IF(Time!AQ$4&gt;=Inputs!$F$61,Inputs!$F$63,Inputs!$F$62+(Inputs!$F$63-Inputs!$F$62)*(Time!AQ$4-Inputs!$F$23)/(Inputs!$F$61-Inputs!$F$23))+Operations!$F$420)/100</f>
        <v/>
      </c>
      <c r="AR440" s="14">
        <f>(IF(Time!AR$4&gt;=Inputs!$F$61,Inputs!$F$63,Inputs!$F$62+(Inputs!$F$63-Inputs!$F$62)*(Time!AR$4-Inputs!$F$23)/(Inputs!$F$61-Inputs!$F$23))+Operations!$F$420)/100</f>
        <v/>
      </c>
      <c r="AS440" s="14">
        <f>(IF(Time!AS$4&gt;=Inputs!$F$61,Inputs!$F$63,Inputs!$F$62+(Inputs!$F$63-Inputs!$F$62)*(Time!AS$4-Inputs!$F$23)/(Inputs!$F$61-Inputs!$F$23))+Operations!$F$420)/100</f>
        <v/>
      </c>
      <c r="AT440" s="14">
        <f>(IF(Time!AT$4&gt;=Inputs!$F$61,Inputs!$F$63,Inputs!$F$62+(Inputs!$F$63-Inputs!$F$62)*(Time!AT$4-Inputs!$F$23)/(Inputs!$F$61-Inputs!$F$23))+Operations!$F$420)/100</f>
        <v/>
      </c>
      <c r="AU440" s="14">
        <f>(IF(Time!AU$4&gt;=Inputs!$F$61,Inputs!$F$63,Inputs!$F$62+(Inputs!$F$63-Inputs!$F$62)*(Time!AU$4-Inputs!$F$23)/(Inputs!$F$61-Inputs!$F$23))+Operations!$F$420)/100</f>
        <v/>
      </c>
    </row>
    <row r="441">
      <c r="D441" t="inlineStr">
        <is>
          <t>R1 net generation, full year</t>
        </is>
      </c>
      <c r="E441" t="inlineStr">
        <is>
          <t>GWh</t>
        </is>
      </c>
      <c r="J441" s="20">
        <f>Inputs!$F$94*Operations!J438*Inputs!$F$185/100*Operations!J439*(1-Operations!J440)</f>
        <v/>
      </c>
      <c r="K441" s="20">
        <f>Inputs!$F$94*Operations!K438*Inputs!$F$185/100*Operations!K439*(1-Operations!K440)</f>
        <v/>
      </c>
      <c r="L441" s="20">
        <f>Inputs!$F$94*Operations!L438*Inputs!$F$185/100*Operations!L439*(1-Operations!L440)</f>
        <v/>
      </c>
      <c r="M441" s="20">
        <f>Inputs!$F$94*Operations!M438*Inputs!$F$185/100*Operations!M439*(1-Operations!M440)</f>
        <v/>
      </c>
      <c r="N441" s="20">
        <f>Inputs!$F$94*Operations!N438*Inputs!$F$185/100*Operations!N439*(1-Operations!N440)</f>
        <v/>
      </c>
      <c r="O441" s="20">
        <f>Inputs!$F$94*Operations!O438*Inputs!$F$185/100*Operations!O439*(1-Operations!O440)</f>
        <v/>
      </c>
      <c r="P441" s="20">
        <f>Inputs!$F$94*Operations!P438*Inputs!$F$185/100*Operations!P439*(1-Operations!P440)</f>
        <v/>
      </c>
      <c r="Q441" s="20">
        <f>Inputs!$F$94*Operations!Q438*Inputs!$F$185/100*Operations!Q439*(1-Operations!Q440)</f>
        <v/>
      </c>
      <c r="R441" s="20">
        <f>Inputs!$F$94*Operations!R438*Inputs!$F$185/100*Operations!R439*(1-Operations!R440)</f>
        <v/>
      </c>
      <c r="S441" s="20">
        <f>Inputs!$F$94*Operations!S438*Inputs!$F$185/100*Operations!S439*(1-Operations!S440)</f>
        <v/>
      </c>
      <c r="T441" s="20">
        <f>Inputs!$F$94*Operations!T438*Inputs!$F$185/100*Operations!T439*(1-Operations!T440)</f>
        <v/>
      </c>
      <c r="U441" s="20">
        <f>Inputs!$F$94*Operations!U438*Inputs!$F$185/100*Operations!U439*(1-Operations!U440)</f>
        <v/>
      </c>
      <c r="V441" s="20">
        <f>Inputs!$F$94*Operations!V438*Inputs!$F$185/100*Operations!V439*(1-Operations!V440)</f>
        <v/>
      </c>
      <c r="W441" s="20">
        <f>Inputs!$F$94*Operations!W438*Inputs!$F$185/100*Operations!W439*(1-Operations!W440)</f>
        <v/>
      </c>
      <c r="X441" s="20">
        <f>Inputs!$F$94*Operations!X438*Inputs!$F$185/100*Operations!X439*(1-Operations!X440)</f>
        <v/>
      </c>
      <c r="Y441" s="20">
        <f>Inputs!$F$94*Operations!Y438*Inputs!$F$185/100*Operations!Y439*(1-Operations!Y440)</f>
        <v/>
      </c>
      <c r="Z441" s="20">
        <f>Inputs!$F$94*Operations!Z438*Inputs!$F$185/100*Operations!Z439*(1-Operations!Z440)</f>
        <v/>
      </c>
      <c r="AA441" s="20">
        <f>Inputs!$F$94*Operations!AA438*Inputs!$F$185/100*Operations!AA439*(1-Operations!AA440)</f>
        <v/>
      </c>
      <c r="AB441" s="20">
        <f>Inputs!$F$94*Operations!AB438*Inputs!$F$185/100*Operations!AB439*(1-Operations!AB440)</f>
        <v/>
      </c>
      <c r="AC441" s="20">
        <f>Inputs!$F$94*Operations!AC438*Inputs!$F$185/100*Operations!AC439*(1-Operations!AC440)</f>
        <v/>
      </c>
      <c r="AD441" s="20">
        <f>Inputs!$F$94*Operations!AD438*Inputs!$F$185/100*Operations!AD439*(1-Operations!AD440)</f>
        <v/>
      </c>
      <c r="AE441" s="20">
        <f>Inputs!$F$94*Operations!AE438*Inputs!$F$185/100*Operations!AE439*(1-Operations!AE440)</f>
        <v/>
      </c>
      <c r="AF441" s="20">
        <f>Inputs!$F$94*Operations!AF438*Inputs!$F$185/100*Operations!AF439*(1-Operations!AF440)</f>
        <v/>
      </c>
      <c r="AG441" s="20">
        <f>Inputs!$F$94*Operations!AG438*Inputs!$F$185/100*Operations!AG439*(1-Operations!AG440)</f>
        <v/>
      </c>
      <c r="AH441" s="20">
        <f>Inputs!$F$94*Operations!AH438*Inputs!$F$185/100*Operations!AH439*(1-Operations!AH440)</f>
        <v/>
      </c>
      <c r="AI441" s="20">
        <f>Inputs!$F$94*Operations!AI438*Inputs!$F$185/100*Operations!AI439*(1-Operations!AI440)</f>
        <v/>
      </c>
      <c r="AJ441" s="20">
        <f>Inputs!$F$94*Operations!AJ438*Inputs!$F$185/100*Operations!AJ439*(1-Operations!AJ440)</f>
        <v/>
      </c>
      <c r="AK441" s="20">
        <f>Inputs!$F$94*Operations!AK438*Inputs!$F$185/100*Operations!AK439*(1-Operations!AK440)</f>
        <v/>
      </c>
      <c r="AL441" s="20">
        <f>Inputs!$F$94*Operations!AL438*Inputs!$F$185/100*Operations!AL439*(1-Operations!AL440)</f>
        <v/>
      </c>
      <c r="AM441" s="20">
        <f>Inputs!$F$94*Operations!AM438*Inputs!$F$185/100*Operations!AM439*(1-Operations!AM440)</f>
        <v/>
      </c>
      <c r="AN441" s="20">
        <f>Inputs!$F$94*Operations!AN438*Inputs!$F$185/100*Operations!AN439*(1-Operations!AN440)</f>
        <v/>
      </c>
      <c r="AO441" s="20">
        <f>Inputs!$F$94*Operations!AO438*Inputs!$F$185/100*Operations!AO439*(1-Operations!AO440)</f>
        <v/>
      </c>
      <c r="AP441" s="20">
        <f>Inputs!$F$94*Operations!AP438*Inputs!$F$185/100*Operations!AP439*(1-Operations!AP440)</f>
        <v/>
      </c>
      <c r="AQ441" s="20">
        <f>Inputs!$F$94*Operations!AQ438*Inputs!$F$185/100*Operations!AQ439*(1-Operations!AQ440)</f>
        <v/>
      </c>
      <c r="AR441" s="20">
        <f>Inputs!$F$94*Operations!AR438*Inputs!$F$185/100*Operations!AR439*(1-Operations!AR440)</f>
        <v/>
      </c>
      <c r="AS441" s="20">
        <f>Inputs!$F$94*Operations!AS438*Inputs!$F$185/100*Operations!AS439*(1-Operations!AS440)</f>
        <v/>
      </c>
      <c r="AT441" s="20">
        <f>Inputs!$F$94*Operations!AT438*Inputs!$F$185/100*Operations!AT439*(1-Operations!AT440)</f>
        <v/>
      </c>
      <c r="AU441" s="20">
        <f>Inputs!$F$94*Operations!AU438*Inputs!$F$185/100*Operations!AU439*(1-Operations!AU440)</f>
        <v/>
      </c>
    </row>
    <row r="442">
      <c r="D442" t="inlineStr">
        <is>
          <t>R1 net generation</t>
        </is>
      </c>
      <c r="E442" t="inlineStr">
        <is>
          <t>GWh</t>
        </is>
      </c>
      <c r="G442" s="20">
        <f>SUM(J442:AU442)</f>
        <v/>
      </c>
      <c r="J442" s="20">
        <f>Operations!J441*Operations!J434</f>
        <v/>
      </c>
      <c r="K442" s="20">
        <f>Operations!K441*Operations!K434</f>
        <v/>
      </c>
      <c r="L442" s="20">
        <f>Operations!L441*Operations!L434</f>
        <v/>
      </c>
      <c r="M442" s="20">
        <f>Operations!M441*Operations!M434</f>
        <v/>
      </c>
      <c r="N442" s="20">
        <f>Operations!N441*Operations!N434</f>
        <v/>
      </c>
      <c r="O442" s="20">
        <f>Operations!O441*Operations!O434</f>
        <v/>
      </c>
      <c r="P442" s="20">
        <f>Operations!P441*Operations!P434</f>
        <v/>
      </c>
      <c r="Q442" s="20">
        <f>Operations!Q441*Operations!Q434</f>
        <v/>
      </c>
      <c r="R442" s="20">
        <f>Operations!R441*Operations!R434</f>
        <v/>
      </c>
      <c r="S442" s="20">
        <f>Operations!S441*Operations!S434</f>
        <v/>
      </c>
      <c r="T442" s="20">
        <f>Operations!T441*Operations!T434</f>
        <v/>
      </c>
      <c r="U442" s="20">
        <f>Operations!U441*Operations!U434</f>
        <v/>
      </c>
      <c r="V442" s="20">
        <f>Operations!V441*Operations!V434</f>
        <v/>
      </c>
      <c r="W442" s="20">
        <f>Operations!W441*Operations!W434</f>
        <v/>
      </c>
      <c r="X442" s="20">
        <f>Operations!X441*Operations!X434</f>
        <v/>
      </c>
      <c r="Y442" s="20">
        <f>Operations!Y441*Operations!Y434</f>
        <v/>
      </c>
      <c r="Z442" s="20">
        <f>Operations!Z441*Operations!Z434</f>
        <v/>
      </c>
      <c r="AA442" s="20">
        <f>Operations!AA441*Operations!AA434</f>
        <v/>
      </c>
      <c r="AB442" s="20">
        <f>Operations!AB441*Operations!AB434</f>
        <v/>
      </c>
      <c r="AC442" s="20">
        <f>Operations!AC441*Operations!AC434</f>
        <v/>
      </c>
      <c r="AD442" s="20">
        <f>Operations!AD441*Operations!AD434</f>
        <v/>
      </c>
      <c r="AE442" s="20">
        <f>Operations!AE441*Operations!AE434</f>
        <v/>
      </c>
      <c r="AF442" s="20">
        <f>Operations!AF441*Operations!AF434</f>
        <v/>
      </c>
      <c r="AG442" s="20">
        <f>Operations!AG441*Operations!AG434</f>
        <v/>
      </c>
      <c r="AH442" s="20">
        <f>Operations!AH441*Operations!AH434</f>
        <v/>
      </c>
      <c r="AI442" s="20">
        <f>Operations!AI441*Operations!AI434</f>
        <v/>
      </c>
      <c r="AJ442" s="20">
        <f>Operations!AJ441*Operations!AJ434</f>
        <v/>
      </c>
      <c r="AK442" s="20">
        <f>Operations!AK441*Operations!AK434</f>
        <v/>
      </c>
      <c r="AL442" s="20">
        <f>Operations!AL441*Operations!AL434</f>
        <v/>
      </c>
      <c r="AM442" s="20">
        <f>Operations!AM441*Operations!AM434</f>
        <v/>
      </c>
      <c r="AN442" s="20">
        <f>Operations!AN441*Operations!AN434</f>
        <v/>
      </c>
      <c r="AO442" s="20">
        <f>Operations!AO441*Operations!AO434</f>
        <v/>
      </c>
      <c r="AP442" s="20">
        <f>Operations!AP441*Operations!AP434</f>
        <v/>
      </c>
      <c r="AQ442" s="20">
        <f>Operations!AQ441*Operations!AQ434</f>
        <v/>
      </c>
      <c r="AR442" s="20">
        <f>Operations!AR441*Operations!AR434</f>
        <v/>
      </c>
      <c r="AS442" s="20">
        <f>Operations!AS441*Operations!AS434</f>
        <v/>
      </c>
      <c r="AT442" s="20">
        <f>Operations!AT441*Operations!AT434</f>
        <v/>
      </c>
      <c r="AU442" s="20">
        <f>Operations!AU441*Operations!AU434</f>
        <v/>
      </c>
    </row>
    <row r="443">
      <c r="D443" t="inlineStr">
        <is>
          <t>R1 hub capture ratio</t>
        </is>
      </c>
      <c r="E443" t="inlineStr">
        <is>
          <t>ratio</t>
        </is>
      </c>
      <c r="J443" s="14">
        <f>Operations!J428</f>
        <v/>
      </c>
      <c r="K443" s="14">
        <f>Operations!K428</f>
        <v/>
      </c>
      <c r="L443" s="14">
        <f>Operations!L428</f>
        <v/>
      </c>
      <c r="M443" s="14">
        <f>Operations!M428</f>
        <v/>
      </c>
      <c r="N443" s="14">
        <f>Operations!N428</f>
        <v/>
      </c>
      <c r="O443" s="14">
        <f>Operations!O428</f>
        <v/>
      </c>
      <c r="P443" s="14">
        <f>Operations!P428</f>
        <v/>
      </c>
      <c r="Q443" s="14">
        <f>Operations!Q428</f>
        <v/>
      </c>
      <c r="R443" s="14">
        <f>Operations!R428</f>
        <v/>
      </c>
      <c r="S443" s="14">
        <f>Operations!S428</f>
        <v/>
      </c>
      <c r="T443" s="14">
        <f>Operations!T428</f>
        <v/>
      </c>
      <c r="U443" s="14">
        <f>Operations!U428</f>
        <v/>
      </c>
      <c r="V443" s="14">
        <f>Operations!V428</f>
        <v/>
      </c>
      <c r="W443" s="14">
        <f>Operations!W428</f>
        <v/>
      </c>
      <c r="X443" s="14">
        <f>Operations!X428</f>
        <v/>
      </c>
      <c r="Y443" s="14">
        <f>Operations!Y428</f>
        <v/>
      </c>
      <c r="Z443" s="14">
        <f>Operations!Z428</f>
        <v/>
      </c>
      <c r="AA443" s="14">
        <f>Operations!AA428</f>
        <v/>
      </c>
      <c r="AB443" s="14">
        <f>Operations!AB428</f>
        <v/>
      </c>
      <c r="AC443" s="14">
        <f>Operations!AC428</f>
        <v/>
      </c>
      <c r="AD443" s="14">
        <f>Operations!AD428</f>
        <v/>
      </c>
      <c r="AE443" s="14">
        <f>Operations!AE428</f>
        <v/>
      </c>
      <c r="AF443" s="14">
        <f>Operations!AF428</f>
        <v/>
      </c>
      <c r="AG443" s="14">
        <f>Operations!AG428</f>
        <v/>
      </c>
      <c r="AH443" s="14">
        <f>Operations!AH428</f>
        <v/>
      </c>
      <c r="AI443" s="14">
        <f>Operations!AI428</f>
        <v/>
      </c>
      <c r="AJ443" s="14">
        <f>Operations!AJ428</f>
        <v/>
      </c>
      <c r="AK443" s="14">
        <f>Operations!AK428</f>
        <v/>
      </c>
      <c r="AL443" s="14">
        <f>Operations!AL428</f>
        <v/>
      </c>
      <c r="AM443" s="14">
        <f>Operations!AM428</f>
        <v/>
      </c>
      <c r="AN443" s="14">
        <f>Operations!AN428</f>
        <v/>
      </c>
      <c r="AO443" s="14">
        <f>Operations!AO428</f>
        <v/>
      </c>
      <c r="AP443" s="14">
        <f>Operations!AP428</f>
        <v/>
      </c>
      <c r="AQ443" s="14">
        <f>Operations!AQ428</f>
        <v/>
      </c>
      <c r="AR443" s="14">
        <f>Operations!AR428</f>
        <v/>
      </c>
      <c r="AS443" s="14">
        <f>Operations!AS428</f>
        <v/>
      </c>
      <c r="AT443" s="14">
        <f>Operations!AT428</f>
        <v/>
      </c>
      <c r="AU443" s="14">
        <f>Operations!AU428</f>
        <v/>
      </c>
    </row>
    <row r="444">
      <c r="D444" t="inlineStr">
        <is>
          <t>R1 node capture ratio</t>
        </is>
      </c>
      <c r="E444" t="inlineStr">
        <is>
          <t>ratio</t>
        </is>
      </c>
      <c r="J444" s="14">
        <f>Operations!J443-Inputs!$F$44</f>
        <v/>
      </c>
      <c r="K444" s="14">
        <f>Operations!K443-Inputs!$F$44</f>
        <v/>
      </c>
      <c r="L444" s="14">
        <f>Operations!L443-Inputs!$F$44</f>
        <v/>
      </c>
      <c r="M444" s="14">
        <f>Operations!M443-Inputs!$F$44</f>
        <v/>
      </c>
      <c r="N444" s="14">
        <f>Operations!N443-Inputs!$F$44</f>
        <v/>
      </c>
      <c r="O444" s="14">
        <f>Operations!O443-Inputs!$F$44</f>
        <v/>
      </c>
      <c r="P444" s="14">
        <f>Operations!P443-Inputs!$F$44</f>
        <v/>
      </c>
      <c r="Q444" s="14">
        <f>Operations!Q443-Inputs!$F$44</f>
        <v/>
      </c>
      <c r="R444" s="14">
        <f>Operations!R443-Inputs!$F$44</f>
        <v/>
      </c>
      <c r="S444" s="14">
        <f>Operations!S443-Inputs!$F$44</f>
        <v/>
      </c>
      <c r="T444" s="14">
        <f>Operations!T443-Inputs!$F$44</f>
        <v/>
      </c>
      <c r="U444" s="14">
        <f>Operations!U443-Inputs!$F$44</f>
        <v/>
      </c>
      <c r="V444" s="14">
        <f>Operations!V443-Inputs!$F$44</f>
        <v/>
      </c>
      <c r="W444" s="14">
        <f>Operations!W443-Inputs!$F$44</f>
        <v/>
      </c>
      <c r="X444" s="14">
        <f>Operations!X443-Inputs!$F$44</f>
        <v/>
      </c>
      <c r="Y444" s="14">
        <f>Operations!Y443-Inputs!$F$44</f>
        <v/>
      </c>
      <c r="Z444" s="14">
        <f>Operations!Z443-Inputs!$F$44</f>
        <v/>
      </c>
      <c r="AA444" s="14">
        <f>Operations!AA443-Inputs!$F$44</f>
        <v/>
      </c>
      <c r="AB444" s="14">
        <f>Operations!AB443-Inputs!$F$44</f>
        <v/>
      </c>
      <c r="AC444" s="14">
        <f>Operations!AC443-Inputs!$F$44</f>
        <v/>
      </c>
      <c r="AD444" s="14">
        <f>Operations!AD443-Inputs!$F$44</f>
        <v/>
      </c>
      <c r="AE444" s="14">
        <f>Operations!AE443-Inputs!$F$44</f>
        <v/>
      </c>
      <c r="AF444" s="14">
        <f>Operations!AF443-Inputs!$F$44</f>
        <v/>
      </c>
      <c r="AG444" s="14">
        <f>Operations!AG443-Inputs!$F$44</f>
        <v/>
      </c>
      <c r="AH444" s="14">
        <f>Operations!AH443-Inputs!$F$44</f>
        <v/>
      </c>
      <c r="AI444" s="14">
        <f>Operations!AI443-Inputs!$F$44</f>
        <v/>
      </c>
      <c r="AJ444" s="14">
        <f>Operations!AJ443-Inputs!$F$44</f>
        <v/>
      </c>
      <c r="AK444" s="14">
        <f>Operations!AK443-Inputs!$F$44</f>
        <v/>
      </c>
      <c r="AL444" s="14">
        <f>Operations!AL443-Inputs!$F$44</f>
        <v/>
      </c>
      <c r="AM444" s="14">
        <f>Operations!AM443-Inputs!$F$44</f>
        <v/>
      </c>
      <c r="AN444" s="14">
        <f>Operations!AN443-Inputs!$F$44</f>
        <v/>
      </c>
      <c r="AO444" s="14">
        <f>Operations!AO443-Inputs!$F$44</f>
        <v/>
      </c>
      <c r="AP444" s="14">
        <f>Operations!AP443-Inputs!$F$44</f>
        <v/>
      </c>
      <c r="AQ444" s="14">
        <f>Operations!AQ443-Inputs!$F$44</f>
        <v/>
      </c>
      <c r="AR444" s="14">
        <f>Operations!AR443-Inputs!$F$44</f>
        <v/>
      </c>
      <c r="AS444" s="14">
        <f>Operations!AS443-Inputs!$F$44</f>
        <v/>
      </c>
      <c r="AT444" s="14">
        <f>Operations!AT443-Inputs!$F$44</f>
        <v/>
      </c>
      <c r="AU444" s="14">
        <f>Operations!AU443-Inputs!$F$44</f>
        <v/>
      </c>
    </row>
    <row r="445">
      <c r="D445" t="inlineStr">
        <is>
          <t>R1 realized node price</t>
        </is>
      </c>
      <c r="E445" t="inlineStr">
        <is>
          <t>USD/MWh</t>
        </is>
      </c>
      <c r="J445" s="18">
        <f>Operations!J437*Operations!J444</f>
        <v/>
      </c>
      <c r="K445" s="18">
        <f>Operations!K437*Operations!K444</f>
        <v/>
      </c>
      <c r="L445" s="18">
        <f>Operations!L437*Operations!L444</f>
        <v/>
      </c>
      <c r="M445" s="18">
        <f>Operations!M437*Operations!M444</f>
        <v/>
      </c>
      <c r="N445" s="18">
        <f>Operations!N437*Operations!N444</f>
        <v/>
      </c>
      <c r="O445" s="18">
        <f>Operations!O437*Operations!O444</f>
        <v/>
      </c>
      <c r="P445" s="18">
        <f>Operations!P437*Operations!P444</f>
        <v/>
      </c>
      <c r="Q445" s="18">
        <f>Operations!Q437*Operations!Q444</f>
        <v/>
      </c>
      <c r="R445" s="18">
        <f>Operations!R437*Operations!R444</f>
        <v/>
      </c>
      <c r="S445" s="18">
        <f>Operations!S437*Operations!S444</f>
        <v/>
      </c>
      <c r="T445" s="18">
        <f>Operations!T437*Operations!T444</f>
        <v/>
      </c>
      <c r="U445" s="18">
        <f>Operations!U437*Operations!U444</f>
        <v/>
      </c>
      <c r="V445" s="18">
        <f>Operations!V437*Operations!V444</f>
        <v/>
      </c>
      <c r="W445" s="18">
        <f>Operations!W437*Operations!W444</f>
        <v/>
      </c>
      <c r="X445" s="18">
        <f>Operations!X437*Operations!X444</f>
        <v/>
      </c>
      <c r="Y445" s="18">
        <f>Operations!Y437*Operations!Y444</f>
        <v/>
      </c>
      <c r="Z445" s="18">
        <f>Operations!Z437*Operations!Z444</f>
        <v/>
      </c>
      <c r="AA445" s="18">
        <f>Operations!AA437*Operations!AA444</f>
        <v/>
      </c>
      <c r="AB445" s="18">
        <f>Operations!AB437*Operations!AB444</f>
        <v/>
      </c>
      <c r="AC445" s="18">
        <f>Operations!AC437*Operations!AC444</f>
        <v/>
      </c>
      <c r="AD445" s="18">
        <f>Operations!AD437*Operations!AD444</f>
        <v/>
      </c>
      <c r="AE445" s="18">
        <f>Operations!AE437*Operations!AE444</f>
        <v/>
      </c>
      <c r="AF445" s="18">
        <f>Operations!AF437*Operations!AF444</f>
        <v/>
      </c>
      <c r="AG445" s="18">
        <f>Operations!AG437*Operations!AG444</f>
        <v/>
      </c>
      <c r="AH445" s="18">
        <f>Operations!AH437*Operations!AH444</f>
        <v/>
      </c>
      <c r="AI445" s="18">
        <f>Operations!AI437*Operations!AI444</f>
        <v/>
      </c>
      <c r="AJ445" s="18">
        <f>Operations!AJ437*Operations!AJ444</f>
        <v/>
      </c>
      <c r="AK445" s="18">
        <f>Operations!AK437*Operations!AK444</f>
        <v/>
      </c>
      <c r="AL445" s="18">
        <f>Operations!AL437*Operations!AL444</f>
        <v/>
      </c>
      <c r="AM445" s="18">
        <f>Operations!AM437*Operations!AM444</f>
        <v/>
      </c>
      <c r="AN445" s="18">
        <f>Operations!AN437*Operations!AN444</f>
        <v/>
      </c>
      <c r="AO445" s="18">
        <f>Operations!AO437*Operations!AO444</f>
        <v/>
      </c>
      <c r="AP445" s="18">
        <f>Operations!AP437*Operations!AP444</f>
        <v/>
      </c>
      <c r="AQ445" s="18">
        <f>Operations!AQ437*Operations!AQ444</f>
        <v/>
      </c>
      <c r="AR445" s="18">
        <f>Operations!AR437*Operations!AR444</f>
        <v/>
      </c>
      <c r="AS445" s="18">
        <f>Operations!AS437*Operations!AS444</f>
        <v/>
      </c>
      <c r="AT445" s="18">
        <f>Operations!AT437*Operations!AT444</f>
        <v/>
      </c>
      <c r="AU445" s="18">
        <f>Operations!AU437*Operations!AU444</f>
        <v/>
      </c>
    </row>
    <row r="446">
      <c r="D446" t="inlineStr">
        <is>
          <t>R1 swap term fraction</t>
        </is>
      </c>
      <c r="E446" t="inlineStr">
        <is>
          <t>fraction</t>
        </is>
      </c>
      <c r="J446" s="14">
        <f>MAX(0,MIN(Inputs!$F$193,Time!J$6)-MAX(Inputs!$F$192-1,Time!J$5))/Time!J$7</f>
        <v/>
      </c>
      <c r="K446" s="14">
        <f>MAX(0,MIN(Inputs!$F$193,Time!K$6)-MAX(Inputs!$F$192-1,Time!K$5))/Time!K$7</f>
        <v/>
      </c>
      <c r="L446" s="14">
        <f>MAX(0,MIN(Inputs!$F$193,Time!L$6)-MAX(Inputs!$F$192-1,Time!L$5))/Time!L$7</f>
        <v/>
      </c>
      <c r="M446" s="14">
        <f>MAX(0,MIN(Inputs!$F$193,Time!M$6)-MAX(Inputs!$F$192-1,Time!M$5))/Time!M$7</f>
        <v/>
      </c>
      <c r="N446" s="14">
        <f>MAX(0,MIN(Inputs!$F$193,Time!N$6)-MAX(Inputs!$F$192-1,Time!N$5))/Time!N$7</f>
        <v/>
      </c>
      <c r="O446" s="14">
        <f>MAX(0,MIN(Inputs!$F$193,Time!O$6)-MAX(Inputs!$F$192-1,Time!O$5))/Time!O$7</f>
        <v/>
      </c>
      <c r="P446" s="14">
        <f>MAX(0,MIN(Inputs!$F$193,Time!P$6)-MAX(Inputs!$F$192-1,Time!P$5))/Time!P$7</f>
        <v/>
      </c>
      <c r="Q446" s="14">
        <f>MAX(0,MIN(Inputs!$F$193,Time!Q$6)-MAX(Inputs!$F$192-1,Time!Q$5))/Time!Q$7</f>
        <v/>
      </c>
      <c r="R446" s="14">
        <f>MAX(0,MIN(Inputs!$F$193,Time!R$6)-MAX(Inputs!$F$192-1,Time!R$5))/Time!R$7</f>
        <v/>
      </c>
      <c r="S446" s="14">
        <f>MAX(0,MIN(Inputs!$F$193,Time!S$6)-MAX(Inputs!$F$192-1,Time!S$5))/Time!S$7</f>
        <v/>
      </c>
      <c r="T446" s="14">
        <f>MAX(0,MIN(Inputs!$F$193,Time!T$6)-MAX(Inputs!$F$192-1,Time!T$5))/Time!T$7</f>
        <v/>
      </c>
      <c r="U446" s="14">
        <f>MAX(0,MIN(Inputs!$F$193,Time!U$6)-MAX(Inputs!$F$192-1,Time!U$5))/Time!U$7</f>
        <v/>
      </c>
      <c r="V446" s="14">
        <f>MAX(0,MIN(Inputs!$F$193,Time!V$6)-MAX(Inputs!$F$192-1,Time!V$5))/Time!V$7</f>
        <v/>
      </c>
      <c r="W446" s="14">
        <f>MAX(0,MIN(Inputs!$F$193,Time!W$6)-MAX(Inputs!$F$192-1,Time!W$5))/Time!W$7</f>
        <v/>
      </c>
      <c r="X446" s="14">
        <f>MAX(0,MIN(Inputs!$F$193,Time!X$6)-MAX(Inputs!$F$192-1,Time!X$5))/Time!X$7</f>
        <v/>
      </c>
      <c r="Y446" s="14">
        <f>MAX(0,MIN(Inputs!$F$193,Time!Y$6)-MAX(Inputs!$F$192-1,Time!Y$5))/Time!Y$7</f>
        <v/>
      </c>
      <c r="Z446" s="14">
        <f>MAX(0,MIN(Inputs!$F$193,Time!Z$6)-MAX(Inputs!$F$192-1,Time!Z$5))/Time!Z$7</f>
        <v/>
      </c>
      <c r="AA446" s="14">
        <f>MAX(0,MIN(Inputs!$F$193,Time!AA$6)-MAX(Inputs!$F$192-1,Time!AA$5))/Time!AA$7</f>
        <v/>
      </c>
      <c r="AB446" s="14">
        <f>MAX(0,MIN(Inputs!$F$193,Time!AB$6)-MAX(Inputs!$F$192-1,Time!AB$5))/Time!AB$7</f>
        <v/>
      </c>
      <c r="AC446" s="14">
        <f>MAX(0,MIN(Inputs!$F$193,Time!AC$6)-MAX(Inputs!$F$192-1,Time!AC$5))/Time!AC$7</f>
        <v/>
      </c>
      <c r="AD446" s="14">
        <f>MAX(0,MIN(Inputs!$F$193,Time!AD$6)-MAX(Inputs!$F$192-1,Time!AD$5))/Time!AD$7</f>
        <v/>
      </c>
      <c r="AE446" s="14">
        <f>MAX(0,MIN(Inputs!$F$193,Time!AE$6)-MAX(Inputs!$F$192-1,Time!AE$5))/Time!AE$7</f>
        <v/>
      </c>
      <c r="AF446" s="14">
        <f>MAX(0,MIN(Inputs!$F$193,Time!AF$6)-MAX(Inputs!$F$192-1,Time!AF$5))/Time!AF$7</f>
        <v/>
      </c>
      <c r="AG446" s="14">
        <f>MAX(0,MIN(Inputs!$F$193,Time!AG$6)-MAX(Inputs!$F$192-1,Time!AG$5))/Time!AG$7</f>
        <v/>
      </c>
      <c r="AH446" s="14">
        <f>MAX(0,MIN(Inputs!$F$193,Time!AH$6)-MAX(Inputs!$F$192-1,Time!AH$5))/Time!AH$7</f>
        <v/>
      </c>
      <c r="AI446" s="14">
        <f>MAX(0,MIN(Inputs!$F$193,Time!AI$6)-MAX(Inputs!$F$192-1,Time!AI$5))/Time!AI$7</f>
        <v/>
      </c>
      <c r="AJ446" s="14">
        <f>MAX(0,MIN(Inputs!$F$193,Time!AJ$6)-MAX(Inputs!$F$192-1,Time!AJ$5))/Time!AJ$7</f>
        <v/>
      </c>
      <c r="AK446" s="14">
        <f>MAX(0,MIN(Inputs!$F$193,Time!AK$6)-MAX(Inputs!$F$192-1,Time!AK$5))/Time!AK$7</f>
        <v/>
      </c>
      <c r="AL446" s="14">
        <f>MAX(0,MIN(Inputs!$F$193,Time!AL$6)-MAX(Inputs!$F$192-1,Time!AL$5))/Time!AL$7</f>
        <v/>
      </c>
      <c r="AM446" s="14">
        <f>MAX(0,MIN(Inputs!$F$193,Time!AM$6)-MAX(Inputs!$F$192-1,Time!AM$5))/Time!AM$7</f>
        <v/>
      </c>
      <c r="AN446" s="14">
        <f>MAX(0,MIN(Inputs!$F$193,Time!AN$6)-MAX(Inputs!$F$192-1,Time!AN$5))/Time!AN$7</f>
        <v/>
      </c>
      <c r="AO446" s="14">
        <f>MAX(0,MIN(Inputs!$F$193,Time!AO$6)-MAX(Inputs!$F$192-1,Time!AO$5))/Time!AO$7</f>
        <v/>
      </c>
      <c r="AP446" s="14">
        <f>MAX(0,MIN(Inputs!$F$193,Time!AP$6)-MAX(Inputs!$F$192-1,Time!AP$5))/Time!AP$7</f>
        <v/>
      </c>
      <c r="AQ446" s="14">
        <f>MAX(0,MIN(Inputs!$F$193,Time!AQ$6)-MAX(Inputs!$F$192-1,Time!AQ$5))/Time!AQ$7</f>
        <v/>
      </c>
      <c r="AR446" s="14">
        <f>MAX(0,MIN(Inputs!$F$193,Time!AR$6)-MAX(Inputs!$F$192-1,Time!AR$5))/Time!AR$7</f>
        <v/>
      </c>
      <c r="AS446" s="14">
        <f>MAX(0,MIN(Inputs!$F$193,Time!AS$6)-MAX(Inputs!$F$192-1,Time!AS$5))/Time!AS$7</f>
        <v/>
      </c>
      <c r="AT446" s="14">
        <f>MAX(0,MIN(Inputs!$F$193,Time!AT$6)-MAX(Inputs!$F$192-1,Time!AT$5))/Time!AT$7</f>
        <v/>
      </c>
      <c r="AU446" s="14">
        <f>MAX(0,MIN(Inputs!$F$193,Time!AU$6)-MAX(Inputs!$F$192-1,Time!AU$5))/Time!AU$7</f>
        <v/>
      </c>
    </row>
    <row r="447">
      <c r="D447" t="inlineStr">
        <is>
          <t>R1 swap volume</t>
        </is>
      </c>
      <c r="E447" t="inlineStr">
        <is>
          <t>GWh</t>
        </is>
      </c>
      <c r="J447" s="20">
        <f>Inputs!$F$190*Time!J$7*Inputs!$F$194/1000*Operations!J446</f>
        <v/>
      </c>
      <c r="K447" s="20">
        <f>Inputs!$F$190*Time!K$7*Inputs!$F$194/1000*Operations!K446</f>
        <v/>
      </c>
      <c r="L447" s="20">
        <f>Inputs!$F$190*Time!L$7*Inputs!$F$194/1000*Operations!L446</f>
        <v/>
      </c>
      <c r="M447" s="20">
        <f>Inputs!$F$190*Time!M$7*Inputs!$F$194/1000*Operations!M446</f>
        <v/>
      </c>
      <c r="N447" s="20">
        <f>Inputs!$F$190*Time!N$7*Inputs!$F$194/1000*Operations!N446</f>
        <v/>
      </c>
      <c r="O447" s="20">
        <f>Inputs!$F$190*Time!O$7*Inputs!$F$194/1000*Operations!O446</f>
        <v/>
      </c>
      <c r="P447" s="20">
        <f>Inputs!$F$190*Time!P$7*Inputs!$F$194/1000*Operations!P446</f>
        <v/>
      </c>
      <c r="Q447" s="20">
        <f>Inputs!$F$190*Time!Q$7*Inputs!$F$194/1000*Operations!Q446</f>
        <v/>
      </c>
      <c r="R447" s="20">
        <f>Inputs!$F$190*Time!R$7*Inputs!$F$194/1000*Operations!R446</f>
        <v/>
      </c>
      <c r="S447" s="20">
        <f>Inputs!$F$190*Time!S$7*Inputs!$F$194/1000*Operations!S446</f>
        <v/>
      </c>
      <c r="T447" s="20">
        <f>Inputs!$F$190*Time!T$7*Inputs!$F$194/1000*Operations!T446</f>
        <v/>
      </c>
      <c r="U447" s="20">
        <f>Inputs!$F$190*Time!U$7*Inputs!$F$194/1000*Operations!U446</f>
        <v/>
      </c>
      <c r="V447" s="20">
        <f>Inputs!$F$190*Time!V$7*Inputs!$F$194/1000*Operations!V446</f>
        <v/>
      </c>
      <c r="W447" s="20">
        <f>Inputs!$F$190*Time!W$7*Inputs!$F$194/1000*Operations!W446</f>
        <v/>
      </c>
      <c r="X447" s="20">
        <f>Inputs!$F$190*Time!X$7*Inputs!$F$194/1000*Operations!X446</f>
        <v/>
      </c>
      <c r="Y447" s="20">
        <f>Inputs!$F$190*Time!Y$7*Inputs!$F$194/1000*Operations!Y446</f>
        <v/>
      </c>
      <c r="Z447" s="20">
        <f>Inputs!$F$190*Time!Z$7*Inputs!$F$194/1000*Operations!Z446</f>
        <v/>
      </c>
      <c r="AA447" s="20">
        <f>Inputs!$F$190*Time!AA$7*Inputs!$F$194/1000*Operations!AA446</f>
        <v/>
      </c>
      <c r="AB447" s="20">
        <f>Inputs!$F$190*Time!AB$7*Inputs!$F$194/1000*Operations!AB446</f>
        <v/>
      </c>
      <c r="AC447" s="20">
        <f>Inputs!$F$190*Time!AC$7*Inputs!$F$194/1000*Operations!AC446</f>
        <v/>
      </c>
      <c r="AD447" s="20">
        <f>Inputs!$F$190*Time!AD$7*Inputs!$F$194/1000*Operations!AD446</f>
        <v/>
      </c>
      <c r="AE447" s="20">
        <f>Inputs!$F$190*Time!AE$7*Inputs!$F$194/1000*Operations!AE446</f>
        <v/>
      </c>
      <c r="AF447" s="20">
        <f>Inputs!$F$190*Time!AF$7*Inputs!$F$194/1000*Operations!AF446</f>
        <v/>
      </c>
      <c r="AG447" s="20">
        <f>Inputs!$F$190*Time!AG$7*Inputs!$F$194/1000*Operations!AG446</f>
        <v/>
      </c>
      <c r="AH447" s="20">
        <f>Inputs!$F$190*Time!AH$7*Inputs!$F$194/1000*Operations!AH446</f>
        <v/>
      </c>
      <c r="AI447" s="20">
        <f>Inputs!$F$190*Time!AI$7*Inputs!$F$194/1000*Operations!AI446</f>
        <v/>
      </c>
      <c r="AJ447" s="20">
        <f>Inputs!$F$190*Time!AJ$7*Inputs!$F$194/1000*Operations!AJ446</f>
        <v/>
      </c>
      <c r="AK447" s="20">
        <f>Inputs!$F$190*Time!AK$7*Inputs!$F$194/1000*Operations!AK446</f>
        <v/>
      </c>
      <c r="AL447" s="20">
        <f>Inputs!$F$190*Time!AL$7*Inputs!$F$194/1000*Operations!AL446</f>
        <v/>
      </c>
      <c r="AM447" s="20">
        <f>Inputs!$F$190*Time!AM$7*Inputs!$F$194/1000*Operations!AM446</f>
        <v/>
      </c>
      <c r="AN447" s="20">
        <f>Inputs!$F$190*Time!AN$7*Inputs!$F$194/1000*Operations!AN446</f>
        <v/>
      </c>
      <c r="AO447" s="20">
        <f>Inputs!$F$190*Time!AO$7*Inputs!$F$194/1000*Operations!AO446</f>
        <v/>
      </c>
      <c r="AP447" s="20">
        <f>Inputs!$F$190*Time!AP$7*Inputs!$F$194/1000*Operations!AP446</f>
        <v/>
      </c>
      <c r="AQ447" s="20">
        <f>Inputs!$F$190*Time!AQ$7*Inputs!$F$194/1000*Operations!AQ446</f>
        <v/>
      </c>
      <c r="AR447" s="20">
        <f>Inputs!$F$190*Time!AR$7*Inputs!$F$194/1000*Operations!AR446</f>
        <v/>
      </c>
      <c r="AS447" s="20">
        <f>Inputs!$F$190*Time!AS$7*Inputs!$F$194/1000*Operations!AS446</f>
        <v/>
      </c>
      <c r="AT447" s="20">
        <f>Inputs!$F$190*Time!AT$7*Inputs!$F$194/1000*Operations!AT446</f>
        <v/>
      </c>
      <c r="AU447" s="20">
        <f>Inputs!$F$190*Time!AU$7*Inputs!$F$194/1000*Operations!AU446</f>
        <v/>
      </c>
    </row>
    <row r="448">
      <c r="D448" t="inlineStr">
        <is>
          <t>R1 swap settlement (receive fixed, pay West Hub)</t>
        </is>
      </c>
      <c r="E448" t="inlineStr">
        <is>
          <t>USD m</t>
        </is>
      </c>
      <c r="G448" s="20">
        <f>SUM(J448:AU448)</f>
        <v/>
      </c>
      <c r="J448" s="20">
        <f>Operations!J447*(Inputs!$F$191-Operations!J437)/1000</f>
        <v/>
      </c>
      <c r="K448" s="20">
        <f>Operations!K447*(Inputs!$F$191-Operations!K437)/1000</f>
        <v/>
      </c>
      <c r="L448" s="20">
        <f>Operations!L447*(Inputs!$F$191-Operations!L437)/1000</f>
        <v/>
      </c>
      <c r="M448" s="20">
        <f>Operations!M447*(Inputs!$F$191-Operations!M437)/1000</f>
        <v/>
      </c>
      <c r="N448" s="20">
        <f>Operations!N447*(Inputs!$F$191-Operations!N437)/1000</f>
        <v/>
      </c>
      <c r="O448" s="20">
        <f>Operations!O447*(Inputs!$F$191-Operations!O437)/1000</f>
        <v/>
      </c>
      <c r="P448" s="20">
        <f>Operations!P447*(Inputs!$F$191-Operations!P437)/1000</f>
        <v/>
      </c>
      <c r="Q448" s="20">
        <f>Operations!Q447*(Inputs!$F$191-Operations!Q437)/1000</f>
        <v/>
      </c>
      <c r="R448" s="20">
        <f>Operations!R447*(Inputs!$F$191-Operations!R437)/1000</f>
        <v/>
      </c>
      <c r="S448" s="20">
        <f>Operations!S447*(Inputs!$F$191-Operations!S437)/1000</f>
        <v/>
      </c>
      <c r="T448" s="20">
        <f>Operations!T447*(Inputs!$F$191-Operations!T437)/1000</f>
        <v/>
      </c>
      <c r="U448" s="20">
        <f>Operations!U447*(Inputs!$F$191-Operations!U437)/1000</f>
        <v/>
      </c>
      <c r="V448" s="20">
        <f>Operations!V447*(Inputs!$F$191-Operations!V437)/1000</f>
        <v/>
      </c>
      <c r="W448" s="20">
        <f>Operations!W447*(Inputs!$F$191-Operations!W437)/1000</f>
        <v/>
      </c>
      <c r="X448" s="20">
        <f>Operations!X447*(Inputs!$F$191-Operations!X437)/1000</f>
        <v/>
      </c>
      <c r="Y448" s="20">
        <f>Operations!Y447*(Inputs!$F$191-Operations!Y437)/1000</f>
        <v/>
      </c>
      <c r="Z448" s="20">
        <f>Operations!Z447*(Inputs!$F$191-Operations!Z437)/1000</f>
        <v/>
      </c>
      <c r="AA448" s="20">
        <f>Operations!AA447*(Inputs!$F$191-Operations!AA437)/1000</f>
        <v/>
      </c>
      <c r="AB448" s="20">
        <f>Operations!AB447*(Inputs!$F$191-Operations!AB437)/1000</f>
        <v/>
      </c>
      <c r="AC448" s="20">
        <f>Operations!AC447*(Inputs!$F$191-Operations!AC437)/1000</f>
        <v/>
      </c>
      <c r="AD448" s="20">
        <f>Operations!AD447*(Inputs!$F$191-Operations!AD437)/1000</f>
        <v/>
      </c>
      <c r="AE448" s="20">
        <f>Operations!AE447*(Inputs!$F$191-Operations!AE437)/1000</f>
        <v/>
      </c>
      <c r="AF448" s="20">
        <f>Operations!AF447*(Inputs!$F$191-Operations!AF437)/1000</f>
        <v/>
      </c>
      <c r="AG448" s="20">
        <f>Operations!AG447*(Inputs!$F$191-Operations!AG437)/1000</f>
        <v/>
      </c>
      <c r="AH448" s="20">
        <f>Operations!AH447*(Inputs!$F$191-Operations!AH437)/1000</f>
        <v/>
      </c>
      <c r="AI448" s="20">
        <f>Operations!AI447*(Inputs!$F$191-Operations!AI437)/1000</f>
        <v/>
      </c>
      <c r="AJ448" s="20">
        <f>Operations!AJ447*(Inputs!$F$191-Operations!AJ437)/1000</f>
        <v/>
      </c>
      <c r="AK448" s="20">
        <f>Operations!AK447*(Inputs!$F$191-Operations!AK437)/1000</f>
        <v/>
      </c>
      <c r="AL448" s="20">
        <f>Operations!AL447*(Inputs!$F$191-Operations!AL437)/1000</f>
        <v/>
      </c>
      <c r="AM448" s="20">
        <f>Operations!AM447*(Inputs!$F$191-Operations!AM437)/1000</f>
        <v/>
      </c>
      <c r="AN448" s="20">
        <f>Operations!AN447*(Inputs!$F$191-Operations!AN437)/1000</f>
        <v/>
      </c>
      <c r="AO448" s="20">
        <f>Operations!AO447*(Inputs!$F$191-Operations!AO437)/1000</f>
        <v/>
      </c>
      <c r="AP448" s="20">
        <f>Operations!AP447*(Inputs!$F$191-Operations!AP437)/1000</f>
        <v/>
      </c>
      <c r="AQ448" s="20">
        <f>Operations!AQ447*(Inputs!$F$191-Operations!AQ437)/1000</f>
        <v/>
      </c>
      <c r="AR448" s="20">
        <f>Operations!AR447*(Inputs!$F$191-Operations!AR437)/1000</f>
        <v/>
      </c>
      <c r="AS448" s="20">
        <f>Operations!AS447*(Inputs!$F$191-Operations!AS437)/1000</f>
        <v/>
      </c>
      <c r="AT448" s="20">
        <f>Operations!AT447*(Inputs!$F$191-Operations!AT437)/1000</f>
        <v/>
      </c>
      <c r="AU448" s="20">
        <f>Operations!AU447*(Inputs!$F$191-Operations!AU437)/1000</f>
        <v/>
      </c>
    </row>
    <row r="449">
      <c r="D449" t="inlineStr">
        <is>
          <t>R1 generation sold at node</t>
        </is>
      </c>
      <c r="E449" t="inlineStr">
        <is>
          <t>GWh</t>
        </is>
      </c>
      <c r="J449" s="20">
        <f>Operations!J442</f>
        <v/>
      </c>
      <c r="K449" s="20">
        <f>Operations!K442</f>
        <v/>
      </c>
      <c r="L449" s="20">
        <f>Operations!L442</f>
        <v/>
      </c>
      <c r="M449" s="20">
        <f>Operations!M442</f>
        <v/>
      </c>
      <c r="N449" s="20">
        <f>Operations!N442</f>
        <v/>
      </c>
      <c r="O449" s="20">
        <f>Operations!O442</f>
        <v/>
      </c>
      <c r="P449" s="20">
        <f>Operations!P442</f>
        <v/>
      </c>
      <c r="Q449" s="20">
        <f>Operations!Q442</f>
        <v/>
      </c>
      <c r="R449" s="20">
        <f>Operations!R442</f>
        <v/>
      </c>
      <c r="S449" s="20">
        <f>Operations!S442</f>
        <v/>
      </c>
      <c r="T449" s="20">
        <f>Operations!T442</f>
        <v/>
      </c>
      <c r="U449" s="20">
        <f>Operations!U442</f>
        <v/>
      </c>
      <c r="V449" s="20">
        <f>Operations!V442</f>
        <v/>
      </c>
      <c r="W449" s="20">
        <f>Operations!W442</f>
        <v/>
      </c>
      <c r="X449" s="20">
        <f>Operations!X442</f>
        <v/>
      </c>
      <c r="Y449" s="20">
        <f>Operations!Y442</f>
        <v/>
      </c>
      <c r="Z449" s="20">
        <f>Operations!Z442</f>
        <v/>
      </c>
      <c r="AA449" s="20">
        <f>Operations!AA442</f>
        <v/>
      </c>
      <c r="AB449" s="20">
        <f>Operations!AB442</f>
        <v/>
      </c>
      <c r="AC449" s="20">
        <f>Operations!AC442</f>
        <v/>
      </c>
      <c r="AD449" s="20">
        <f>Operations!AD442</f>
        <v/>
      </c>
      <c r="AE449" s="20">
        <f>Operations!AE442</f>
        <v/>
      </c>
      <c r="AF449" s="20">
        <f>Operations!AF442</f>
        <v/>
      </c>
      <c r="AG449" s="20">
        <f>Operations!AG442</f>
        <v/>
      </c>
      <c r="AH449" s="20">
        <f>Operations!AH442</f>
        <v/>
      </c>
      <c r="AI449" s="20">
        <f>Operations!AI442</f>
        <v/>
      </c>
      <c r="AJ449" s="20">
        <f>Operations!AJ442</f>
        <v/>
      </c>
      <c r="AK449" s="20">
        <f>Operations!AK442</f>
        <v/>
      </c>
      <c r="AL449" s="20">
        <f>Operations!AL442</f>
        <v/>
      </c>
      <c r="AM449" s="20">
        <f>Operations!AM442</f>
        <v/>
      </c>
      <c r="AN449" s="20">
        <f>Operations!AN442</f>
        <v/>
      </c>
      <c r="AO449" s="20">
        <f>Operations!AO442</f>
        <v/>
      </c>
      <c r="AP449" s="20">
        <f>Operations!AP442</f>
        <v/>
      </c>
      <c r="AQ449" s="20">
        <f>Operations!AQ442</f>
        <v/>
      </c>
      <c r="AR449" s="20">
        <f>Operations!AR442</f>
        <v/>
      </c>
      <c r="AS449" s="20">
        <f>Operations!AS442</f>
        <v/>
      </c>
      <c r="AT449" s="20">
        <f>Operations!AT442</f>
        <v/>
      </c>
      <c r="AU449" s="20">
        <f>Operations!AU442</f>
        <v/>
      </c>
    </row>
    <row r="450">
      <c r="D450" t="inlineStr">
        <is>
          <t>R1 contracted revenue</t>
        </is>
      </c>
      <c r="E450" t="inlineStr">
        <is>
          <t>USD m</t>
        </is>
      </c>
      <c r="J450" s="20">
        <f>0</f>
        <v/>
      </c>
      <c r="K450" s="20">
        <f>0</f>
        <v/>
      </c>
      <c r="L450" s="20">
        <f>0</f>
        <v/>
      </c>
      <c r="M450" s="20">
        <f>0</f>
        <v/>
      </c>
      <c r="N450" s="20">
        <f>0</f>
        <v/>
      </c>
      <c r="O450" s="20">
        <f>0</f>
        <v/>
      </c>
      <c r="P450" s="20">
        <f>0</f>
        <v/>
      </c>
      <c r="Q450" s="20">
        <f>0</f>
        <v/>
      </c>
      <c r="R450" s="20">
        <f>0</f>
        <v/>
      </c>
      <c r="S450" s="20">
        <f>0</f>
        <v/>
      </c>
      <c r="T450" s="20">
        <f>0</f>
        <v/>
      </c>
      <c r="U450" s="20">
        <f>0</f>
        <v/>
      </c>
      <c r="V450" s="20">
        <f>0</f>
        <v/>
      </c>
      <c r="W450" s="20">
        <f>0</f>
        <v/>
      </c>
      <c r="X450" s="20">
        <f>0</f>
        <v/>
      </c>
      <c r="Y450" s="20">
        <f>0</f>
        <v/>
      </c>
      <c r="Z450" s="20">
        <f>0</f>
        <v/>
      </c>
      <c r="AA450" s="20">
        <f>0</f>
        <v/>
      </c>
      <c r="AB450" s="20">
        <f>0</f>
        <v/>
      </c>
      <c r="AC450" s="20">
        <f>0</f>
        <v/>
      </c>
      <c r="AD450" s="20">
        <f>0</f>
        <v/>
      </c>
      <c r="AE450" s="20">
        <f>0</f>
        <v/>
      </c>
      <c r="AF450" s="20">
        <f>0</f>
        <v/>
      </c>
      <c r="AG450" s="20">
        <f>0</f>
        <v/>
      </c>
      <c r="AH450" s="20">
        <f>0</f>
        <v/>
      </c>
      <c r="AI450" s="20">
        <f>0</f>
        <v/>
      </c>
      <c r="AJ450" s="20">
        <f>0</f>
        <v/>
      </c>
      <c r="AK450" s="20">
        <f>0</f>
        <v/>
      </c>
      <c r="AL450" s="20">
        <f>0</f>
        <v/>
      </c>
      <c r="AM450" s="20">
        <f>0</f>
        <v/>
      </c>
      <c r="AN450" s="20">
        <f>0</f>
        <v/>
      </c>
      <c r="AO450" s="20">
        <f>0</f>
        <v/>
      </c>
      <c r="AP450" s="20">
        <f>0</f>
        <v/>
      </c>
      <c r="AQ450" s="20">
        <f>0</f>
        <v/>
      </c>
      <c r="AR450" s="20">
        <f>0</f>
        <v/>
      </c>
      <c r="AS450" s="20">
        <f>0</f>
        <v/>
      </c>
      <c r="AT450" s="20">
        <f>0</f>
        <v/>
      </c>
      <c r="AU450" s="20">
        <f>0</f>
        <v/>
      </c>
    </row>
    <row r="451">
      <c r="D451" t="inlineStr">
        <is>
          <t>R1 hedged revenue (swap volume x price)</t>
        </is>
      </c>
      <c r="E451" t="inlineStr">
        <is>
          <t>USD m</t>
        </is>
      </c>
      <c r="J451" s="20">
        <f>Operations!J447*Inputs!$F$191/1000</f>
        <v/>
      </c>
      <c r="K451" s="20">
        <f>Operations!K447*Inputs!$F$191/1000</f>
        <v/>
      </c>
      <c r="L451" s="20">
        <f>Operations!L447*Inputs!$F$191/1000</f>
        <v/>
      </c>
      <c r="M451" s="20">
        <f>Operations!M447*Inputs!$F$191/1000</f>
        <v/>
      </c>
      <c r="N451" s="20">
        <f>Operations!N447*Inputs!$F$191/1000</f>
        <v/>
      </c>
      <c r="O451" s="20">
        <f>Operations!O447*Inputs!$F$191/1000</f>
        <v/>
      </c>
      <c r="P451" s="20">
        <f>Operations!P447*Inputs!$F$191/1000</f>
        <v/>
      </c>
      <c r="Q451" s="20">
        <f>Operations!Q447*Inputs!$F$191/1000</f>
        <v/>
      </c>
      <c r="R451" s="20">
        <f>Operations!R447*Inputs!$F$191/1000</f>
        <v/>
      </c>
      <c r="S451" s="20">
        <f>Operations!S447*Inputs!$F$191/1000</f>
        <v/>
      </c>
      <c r="T451" s="20">
        <f>Operations!T447*Inputs!$F$191/1000</f>
        <v/>
      </c>
      <c r="U451" s="20">
        <f>Operations!U447*Inputs!$F$191/1000</f>
        <v/>
      </c>
      <c r="V451" s="20">
        <f>Operations!V447*Inputs!$F$191/1000</f>
        <v/>
      </c>
      <c r="W451" s="20">
        <f>Operations!W447*Inputs!$F$191/1000</f>
        <v/>
      </c>
      <c r="X451" s="20">
        <f>Operations!X447*Inputs!$F$191/1000</f>
        <v/>
      </c>
      <c r="Y451" s="20">
        <f>Operations!Y447*Inputs!$F$191/1000</f>
        <v/>
      </c>
      <c r="Z451" s="20">
        <f>Operations!Z447*Inputs!$F$191/1000</f>
        <v/>
      </c>
      <c r="AA451" s="20">
        <f>Operations!AA447*Inputs!$F$191/1000</f>
        <v/>
      </c>
      <c r="AB451" s="20">
        <f>Operations!AB447*Inputs!$F$191/1000</f>
        <v/>
      </c>
      <c r="AC451" s="20">
        <f>Operations!AC447*Inputs!$F$191/1000</f>
        <v/>
      </c>
      <c r="AD451" s="20">
        <f>Operations!AD447*Inputs!$F$191/1000</f>
        <v/>
      </c>
      <c r="AE451" s="20">
        <f>Operations!AE447*Inputs!$F$191/1000</f>
        <v/>
      </c>
      <c r="AF451" s="20">
        <f>Operations!AF447*Inputs!$F$191/1000</f>
        <v/>
      </c>
      <c r="AG451" s="20">
        <f>Operations!AG447*Inputs!$F$191/1000</f>
        <v/>
      </c>
      <c r="AH451" s="20">
        <f>Operations!AH447*Inputs!$F$191/1000</f>
        <v/>
      </c>
      <c r="AI451" s="20">
        <f>Operations!AI447*Inputs!$F$191/1000</f>
        <v/>
      </c>
      <c r="AJ451" s="20">
        <f>Operations!AJ447*Inputs!$F$191/1000</f>
        <v/>
      </c>
      <c r="AK451" s="20">
        <f>Operations!AK447*Inputs!$F$191/1000</f>
        <v/>
      </c>
      <c r="AL451" s="20">
        <f>Operations!AL447*Inputs!$F$191/1000</f>
        <v/>
      </c>
      <c r="AM451" s="20">
        <f>Operations!AM447*Inputs!$F$191/1000</f>
        <v/>
      </c>
      <c r="AN451" s="20">
        <f>Operations!AN447*Inputs!$F$191/1000</f>
        <v/>
      </c>
      <c r="AO451" s="20">
        <f>Operations!AO447*Inputs!$F$191/1000</f>
        <v/>
      </c>
      <c r="AP451" s="20">
        <f>Operations!AP447*Inputs!$F$191/1000</f>
        <v/>
      </c>
      <c r="AQ451" s="20">
        <f>Operations!AQ447*Inputs!$F$191/1000</f>
        <v/>
      </c>
      <c r="AR451" s="20">
        <f>Operations!AR447*Inputs!$F$191/1000</f>
        <v/>
      </c>
      <c r="AS451" s="20">
        <f>Operations!AS447*Inputs!$F$191/1000</f>
        <v/>
      </c>
      <c r="AT451" s="20">
        <f>Operations!AT447*Inputs!$F$191/1000</f>
        <v/>
      </c>
      <c r="AU451" s="20">
        <f>Operations!AU447*Inputs!$F$191/1000</f>
        <v/>
      </c>
    </row>
    <row r="452">
      <c r="D452" t="inlineStr">
        <is>
          <t>R1 market revenue at node</t>
        </is>
      </c>
      <c r="E452" t="inlineStr">
        <is>
          <t>USD m</t>
        </is>
      </c>
      <c r="G452" s="20">
        <f>SUM(J452:AU452)</f>
        <v/>
      </c>
      <c r="J452" s="20">
        <f>Operations!J449*Operations!J445/1000</f>
        <v/>
      </c>
      <c r="K452" s="20">
        <f>Operations!K449*Operations!K445/1000</f>
        <v/>
      </c>
      <c r="L452" s="20">
        <f>Operations!L449*Operations!L445/1000</f>
        <v/>
      </c>
      <c r="M452" s="20">
        <f>Operations!M449*Operations!M445/1000</f>
        <v/>
      </c>
      <c r="N452" s="20">
        <f>Operations!N449*Operations!N445/1000</f>
        <v/>
      </c>
      <c r="O452" s="20">
        <f>Operations!O449*Operations!O445/1000</f>
        <v/>
      </c>
      <c r="P452" s="20">
        <f>Operations!P449*Operations!P445/1000</f>
        <v/>
      </c>
      <c r="Q452" s="20">
        <f>Operations!Q449*Operations!Q445/1000</f>
        <v/>
      </c>
      <c r="R452" s="20">
        <f>Operations!R449*Operations!R445/1000</f>
        <v/>
      </c>
      <c r="S452" s="20">
        <f>Operations!S449*Operations!S445/1000</f>
        <v/>
      </c>
      <c r="T452" s="20">
        <f>Operations!T449*Operations!T445/1000</f>
        <v/>
      </c>
      <c r="U452" s="20">
        <f>Operations!U449*Operations!U445/1000</f>
        <v/>
      </c>
      <c r="V452" s="20">
        <f>Operations!V449*Operations!V445/1000</f>
        <v/>
      </c>
      <c r="W452" s="20">
        <f>Operations!W449*Operations!W445/1000</f>
        <v/>
      </c>
      <c r="X452" s="20">
        <f>Operations!X449*Operations!X445/1000</f>
        <v/>
      </c>
      <c r="Y452" s="20">
        <f>Operations!Y449*Operations!Y445/1000</f>
        <v/>
      </c>
      <c r="Z452" s="20">
        <f>Operations!Z449*Operations!Z445/1000</f>
        <v/>
      </c>
      <c r="AA452" s="20">
        <f>Operations!AA449*Operations!AA445/1000</f>
        <v/>
      </c>
      <c r="AB452" s="20">
        <f>Operations!AB449*Operations!AB445/1000</f>
        <v/>
      </c>
      <c r="AC452" s="20">
        <f>Operations!AC449*Operations!AC445/1000</f>
        <v/>
      </c>
      <c r="AD452" s="20">
        <f>Operations!AD449*Operations!AD445/1000</f>
        <v/>
      </c>
      <c r="AE452" s="20">
        <f>Operations!AE449*Operations!AE445/1000</f>
        <v/>
      </c>
      <c r="AF452" s="20">
        <f>Operations!AF449*Operations!AF445/1000</f>
        <v/>
      </c>
      <c r="AG452" s="20">
        <f>Operations!AG449*Operations!AG445/1000</f>
        <v/>
      </c>
      <c r="AH452" s="20">
        <f>Operations!AH449*Operations!AH445/1000</f>
        <v/>
      </c>
      <c r="AI452" s="20">
        <f>Operations!AI449*Operations!AI445/1000</f>
        <v/>
      </c>
      <c r="AJ452" s="20">
        <f>Operations!AJ449*Operations!AJ445/1000</f>
        <v/>
      </c>
      <c r="AK452" s="20">
        <f>Operations!AK449*Operations!AK445/1000</f>
        <v/>
      </c>
      <c r="AL452" s="20">
        <f>Operations!AL449*Operations!AL445/1000</f>
        <v/>
      </c>
      <c r="AM452" s="20">
        <f>Operations!AM449*Operations!AM445/1000</f>
        <v/>
      </c>
      <c r="AN452" s="20">
        <f>Operations!AN449*Operations!AN445/1000</f>
        <v/>
      </c>
      <c r="AO452" s="20">
        <f>Operations!AO449*Operations!AO445/1000</f>
        <v/>
      </c>
      <c r="AP452" s="20">
        <f>Operations!AP449*Operations!AP445/1000</f>
        <v/>
      </c>
      <c r="AQ452" s="20">
        <f>Operations!AQ449*Operations!AQ445/1000</f>
        <v/>
      </c>
      <c r="AR452" s="20">
        <f>Operations!AR449*Operations!AR445/1000</f>
        <v/>
      </c>
      <c r="AS452" s="20">
        <f>Operations!AS449*Operations!AS445/1000</f>
        <v/>
      </c>
      <c r="AT452" s="20">
        <f>Operations!AT449*Operations!AT445/1000</f>
        <v/>
      </c>
      <c r="AU452" s="20">
        <f>Operations!AU449*Operations!AU445/1000</f>
        <v/>
      </c>
    </row>
    <row r="453">
      <c r="D453" t="inlineStr">
        <is>
          <t>R1 total revenue</t>
        </is>
      </c>
      <c r="E453" t="inlineStr">
        <is>
          <t>USD m</t>
        </is>
      </c>
      <c r="G453" s="20">
        <f>SUM(J453:AU453)</f>
        <v/>
      </c>
      <c r="J453" s="20">
        <f>Operations!J452+Operations!J448</f>
        <v/>
      </c>
      <c r="K453" s="20">
        <f>Operations!K452+Operations!K448</f>
        <v/>
      </c>
      <c r="L453" s="20">
        <f>Operations!L452+Operations!L448</f>
        <v/>
      </c>
      <c r="M453" s="20">
        <f>Operations!M452+Operations!M448</f>
        <v/>
      </c>
      <c r="N453" s="20">
        <f>Operations!N452+Operations!N448</f>
        <v/>
      </c>
      <c r="O453" s="20">
        <f>Operations!O452+Operations!O448</f>
        <v/>
      </c>
      <c r="P453" s="20">
        <f>Operations!P452+Operations!P448</f>
        <v/>
      </c>
      <c r="Q453" s="20">
        <f>Operations!Q452+Operations!Q448</f>
        <v/>
      </c>
      <c r="R453" s="20">
        <f>Operations!R452+Operations!R448</f>
        <v/>
      </c>
      <c r="S453" s="20">
        <f>Operations!S452+Operations!S448</f>
        <v/>
      </c>
      <c r="T453" s="20">
        <f>Operations!T452+Operations!T448</f>
        <v/>
      </c>
      <c r="U453" s="20">
        <f>Operations!U452+Operations!U448</f>
        <v/>
      </c>
      <c r="V453" s="20">
        <f>Operations!V452+Operations!V448</f>
        <v/>
      </c>
      <c r="W453" s="20">
        <f>Operations!W452+Operations!W448</f>
        <v/>
      </c>
      <c r="X453" s="20">
        <f>Operations!X452+Operations!X448</f>
        <v/>
      </c>
      <c r="Y453" s="20">
        <f>Operations!Y452+Operations!Y448</f>
        <v/>
      </c>
      <c r="Z453" s="20">
        <f>Operations!Z452+Operations!Z448</f>
        <v/>
      </c>
      <c r="AA453" s="20">
        <f>Operations!AA452+Operations!AA448</f>
        <v/>
      </c>
      <c r="AB453" s="20">
        <f>Operations!AB452+Operations!AB448</f>
        <v/>
      </c>
      <c r="AC453" s="20">
        <f>Operations!AC452+Operations!AC448</f>
        <v/>
      </c>
      <c r="AD453" s="20">
        <f>Operations!AD452+Operations!AD448</f>
        <v/>
      </c>
      <c r="AE453" s="20">
        <f>Operations!AE452+Operations!AE448</f>
        <v/>
      </c>
      <c r="AF453" s="20">
        <f>Operations!AF452+Operations!AF448</f>
        <v/>
      </c>
      <c r="AG453" s="20">
        <f>Operations!AG452+Operations!AG448</f>
        <v/>
      </c>
      <c r="AH453" s="20">
        <f>Operations!AH452+Operations!AH448</f>
        <v/>
      </c>
      <c r="AI453" s="20">
        <f>Operations!AI452+Operations!AI448</f>
        <v/>
      </c>
      <c r="AJ453" s="20">
        <f>Operations!AJ452+Operations!AJ448</f>
        <v/>
      </c>
      <c r="AK453" s="20">
        <f>Operations!AK452+Operations!AK448</f>
        <v/>
      </c>
      <c r="AL453" s="20">
        <f>Operations!AL452+Operations!AL448</f>
        <v/>
      </c>
      <c r="AM453" s="20">
        <f>Operations!AM452+Operations!AM448</f>
        <v/>
      </c>
      <c r="AN453" s="20">
        <f>Operations!AN452+Operations!AN448</f>
        <v/>
      </c>
      <c r="AO453" s="20">
        <f>Operations!AO452+Operations!AO448</f>
        <v/>
      </c>
      <c r="AP453" s="20">
        <f>Operations!AP452+Operations!AP448</f>
        <v/>
      </c>
      <c r="AQ453" s="20">
        <f>Operations!AQ452+Operations!AQ448</f>
        <v/>
      </c>
      <c r="AR453" s="20">
        <f>Operations!AR452+Operations!AR448</f>
        <v/>
      </c>
      <c r="AS453" s="20">
        <f>Operations!AS452+Operations!AS448</f>
        <v/>
      </c>
      <c r="AT453" s="20">
        <f>Operations!AT452+Operations!AT448</f>
        <v/>
      </c>
      <c r="AU453" s="20">
        <f>Operations!AU452+Operations!AU448</f>
        <v/>
      </c>
    </row>
    <row r="454">
      <c r="D454" t="inlineStr">
        <is>
          <t>R1 merchant revenue (total less contracted and hedged)</t>
        </is>
      </c>
      <c r="E454" t="inlineStr">
        <is>
          <t>USD m</t>
        </is>
      </c>
      <c r="J454" s="20">
        <f>Operations!J453-Operations!J450-Operations!J451</f>
        <v/>
      </c>
      <c r="K454" s="20">
        <f>Operations!K453-Operations!K450-Operations!K451</f>
        <v/>
      </c>
      <c r="L454" s="20">
        <f>Operations!L453-Operations!L450-Operations!L451</f>
        <v/>
      </c>
      <c r="M454" s="20">
        <f>Operations!M453-Operations!M450-Operations!M451</f>
        <v/>
      </c>
      <c r="N454" s="20">
        <f>Operations!N453-Operations!N450-Operations!N451</f>
        <v/>
      </c>
      <c r="O454" s="20">
        <f>Operations!O453-Operations!O450-Operations!O451</f>
        <v/>
      </c>
      <c r="P454" s="20">
        <f>Operations!P453-Operations!P450-Operations!P451</f>
        <v/>
      </c>
      <c r="Q454" s="20">
        <f>Operations!Q453-Operations!Q450-Operations!Q451</f>
        <v/>
      </c>
      <c r="R454" s="20">
        <f>Operations!R453-Operations!R450-Operations!R451</f>
        <v/>
      </c>
      <c r="S454" s="20">
        <f>Operations!S453-Operations!S450-Operations!S451</f>
        <v/>
      </c>
      <c r="T454" s="20">
        <f>Operations!T453-Operations!T450-Operations!T451</f>
        <v/>
      </c>
      <c r="U454" s="20">
        <f>Operations!U453-Operations!U450-Operations!U451</f>
        <v/>
      </c>
      <c r="V454" s="20">
        <f>Operations!V453-Operations!V450-Operations!V451</f>
        <v/>
      </c>
      <c r="W454" s="20">
        <f>Operations!W453-Operations!W450-Operations!W451</f>
        <v/>
      </c>
      <c r="X454" s="20">
        <f>Operations!X453-Operations!X450-Operations!X451</f>
        <v/>
      </c>
      <c r="Y454" s="20">
        <f>Operations!Y453-Operations!Y450-Operations!Y451</f>
        <v/>
      </c>
      <c r="Z454" s="20">
        <f>Operations!Z453-Operations!Z450-Operations!Z451</f>
        <v/>
      </c>
      <c r="AA454" s="20">
        <f>Operations!AA453-Operations!AA450-Operations!AA451</f>
        <v/>
      </c>
      <c r="AB454" s="20">
        <f>Operations!AB453-Operations!AB450-Operations!AB451</f>
        <v/>
      </c>
      <c r="AC454" s="20">
        <f>Operations!AC453-Operations!AC450-Operations!AC451</f>
        <v/>
      </c>
      <c r="AD454" s="20">
        <f>Operations!AD453-Operations!AD450-Operations!AD451</f>
        <v/>
      </c>
      <c r="AE454" s="20">
        <f>Operations!AE453-Operations!AE450-Operations!AE451</f>
        <v/>
      </c>
      <c r="AF454" s="20">
        <f>Operations!AF453-Operations!AF450-Operations!AF451</f>
        <v/>
      </c>
      <c r="AG454" s="20">
        <f>Operations!AG453-Operations!AG450-Operations!AG451</f>
        <v/>
      </c>
      <c r="AH454" s="20">
        <f>Operations!AH453-Operations!AH450-Operations!AH451</f>
        <v/>
      </c>
      <c r="AI454" s="20">
        <f>Operations!AI453-Operations!AI450-Operations!AI451</f>
        <v/>
      </c>
      <c r="AJ454" s="20">
        <f>Operations!AJ453-Operations!AJ450-Operations!AJ451</f>
        <v/>
      </c>
      <c r="AK454" s="20">
        <f>Operations!AK453-Operations!AK450-Operations!AK451</f>
        <v/>
      </c>
      <c r="AL454" s="20">
        <f>Operations!AL453-Operations!AL450-Operations!AL451</f>
        <v/>
      </c>
      <c r="AM454" s="20">
        <f>Operations!AM453-Operations!AM450-Operations!AM451</f>
        <v/>
      </c>
      <c r="AN454" s="20">
        <f>Operations!AN453-Operations!AN450-Operations!AN451</f>
        <v/>
      </c>
      <c r="AO454" s="20">
        <f>Operations!AO453-Operations!AO450-Operations!AO451</f>
        <v/>
      </c>
      <c r="AP454" s="20">
        <f>Operations!AP453-Operations!AP450-Operations!AP451</f>
        <v/>
      </c>
      <c r="AQ454" s="20">
        <f>Operations!AQ453-Operations!AQ450-Operations!AQ451</f>
        <v/>
      </c>
      <c r="AR454" s="20">
        <f>Operations!AR453-Operations!AR450-Operations!AR451</f>
        <v/>
      </c>
      <c r="AS454" s="20">
        <f>Operations!AS453-Operations!AS450-Operations!AS451</f>
        <v/>
      </c>
      <c r="AT454" s="20">
        <f>Operations!AT453-Operations!AT450-Operations!AT451</f>
        <v/>
      </c>
      <c r="AU454" s="20">
        <f>Operations!AU453-Operations!AU450-Operations!AU451</f>
        <v/>
      </c>
    </row>
    <row r="455">
      <c r="D455" t="inlineStr">
        <is>
          <t>R1 opex (O&amp;M, land, insurance, property tax, site)</t>
        </is>
      </c>
      <c r="E455" t="inlineStr">
        <is>
          <t>USD m</t>
        </is>
      </c>
      <c r="J455" s="20">
        <f>Inputs!$F$92*Inputs!$F$88/1000*Time!J$9*Time!J$10*Operations!J434*Operations!$F$421</f>
        <v/>
      </c>
      <c r="K455" s="20">
        <f>Inputs!$F$92*Inputs!$F$88/1000*Time!K$9*Time!K$10*Operations!K434*Operations!$F$421</f>
        <v/>
      </c>
      <c r="L455" s="20">
        <f>Inputs!$F$92*Inputs!$F$88/1000*Time!L$9*Time!L$10*Operations!L434*Operations!$F$421</f>
        <v/>
      </c>
      <c r="M455" s="20">
        <f>Inputs!$F$92*Inputs!$F$88/1000*Time!M$9*Time!M$10*Operations!M434*Operations!$F$421</f>
        <v/>
      </c>
      <c r="N455" s="20">
        <f>Inputs!$F$92*Inputs!$F$88/1000*Time!N$9*Time!N$10*Operations!N434*Operations!$F$421</f>
        <v/>
      </c>
      <c r="O455" s="20">
        <f>Inputs!$F$92*Inputs!$F$88/1000*Time!O$9*Time!O$10*Operations!O434*Operations!$F$421</f>
        <v/>
      </c>
      <c r="P455" s="20">
        <f>Inputs!$F$92*Inputs!$F$88/1000*Time!P$9*Time!P$10*Operations!P434*Operations!$F$421</f>
        <v/>
      </c>
      <c r="Q455" s="20">
        <f>Inputs!$F$92*Inputs!$F$88/1000*Time!Q$9*Time!Q$10*Operations!Q434*Operations!$F$421</f>
        <v/>
      </c>
      <c r="R455" s="20">
        <f>Inputs!$F$92*Inputs!$F$88/1000*Time!R$9*Time!R$10*Operations!R434*Operations!$F$421</f>
        <v/>
      </c>
      <c r="S455" s="20">
        <f>Inputs!$F$92*Inputs!$F$88/1000*Time!S$9*Time!S$10*Operations!S434*Operations!$F$421</f>
        <v/>
      </c>
      <c r="T455" s="20">
        <f>Inputs!$F$92*Inputs!$F$88/1000*Time!T$9*Time!T$10*Operations!T434*Operations!$F$421</f>
        <v/>
      </c>
      <c r="U455" s="20">
        <f>Inputs!$F$92*Inputs!$F$88/1000*Time!U$9*Time!U$10*Operations!U434*Operations!$F$421</f>
        <v/>
      </c>
      <c r="V455" s="20">
        <f>Inputs!$F$92*Inputs!$F$88/1000*Time!V$9*Time!V$10*Operations!V434*Operations!$F$421</f>
        <v/>
      </c>
      <c r="W455" s="20">
        <f>Inputs!$F$92*Inputs!$F$88/1000*Time!W$9*Time!W$10*Operations!W434*Operations!$F$421</f>
        <v/>
      </c>
      <c r="X455" s="20">
        <f>Inputs!$F$92*Inputs!$F$88/1000*Time!X$9*Time!X$10*Operations!X434*Operations!$F$421</f>
        <v/>
      </c>
      <c r="Y455" s="20">
        <f>Inputs!$F$92*Inputs!$F$88/1000*Time!Y$9*Time!Y$10*Operations!Y434*Operations!$F$421</f>
        <v/>
      </c>
      <c r="Z455" s="20">
        <f>Inputs!$F$92*Inputs!$F$88/1000*Time!Z$9*Time!Z$10*Operations!Z434*Operations!$F$421</f>
        <v/>
      </c>
      <c r="AA455" s="20">
        <f>Inputs!$F$92*Inputs!$F$88/1000*Time!AA$9*Time!AA$10*Operations!AA434*Operations!$F$421</f>
        <v/>
      </c>
      <c r="AB455" s="20">
        <f>Inputs!$F$92*Inputs!$F$88/1000*Time!AB$9*Time!AB$10*Operations!AB434*Operations!$F$421</f>
        <v/>
      </c>
      <c r="AC455" s="20">
        <f>Inputs!$F$92*Inputs!$F$88/1000*Time!AC$9*Time!AC$10*Operations!AC434*Operations!$F$421</f>
        <v/>
      </c>
      <c r="AD455" s="20">
        <f>Inputs!$F$92*Inputs!$F$88/1000*Time!AD$9*Time!AD$10*Operations!AD434*Operations!$F$421</f>
        <v/>
      </c>
      <c r="AE455" s="20">
        <f>Inputs!$F$92*Inputs!$F$88/1000*Time!AE$9*Time!AE$10*Operations!AE434*Operations!$F$421</f>
        <v/>
      </c>
      <c r="AF455" s="20">
        <f>Inputs!$F$92*Inputs!$F$88/1000*Time!AF$9*Time!AF$10*Operations!AF434*Operations!$F$421</f>
        <v/>
      </c>
      <c r="AG455" s="20">
        <f>Inputs!$F$92*Inputs!$F$88/1000*Time!AG$9*Time!AG$10*Operations!AG434*Operations!$F$421</f>
        <v/>
      </c>
      <c r="AH455" s="20">
        <f>Inputs!$F$92*Inputs!$F$88/1000*Time!AH$9*Time!AH$10*Operations!AH434*Operations!$F$421</f>
        <v/>
      </c>
      <c r="AI455" s="20">
        <f>Inputs!$F$92*Inputs!$F$88/1000*Time!AI$9*Time!AI$10*Operations!AI434*Operations!$F$421</f>
        <v/>
      </c>
      <c r="AJ455" s="20">
        <f>Inputs!$F$92*Inputs!$F$88/1000*Time!AJ$9*Time!AJ$10*Operations!AJ434*Operations!$F$421</f>
        <v/>
      </c>
      <c r="AK455" s="20">
        <f>Inputs!$F$92*Inputs!$F$88/1000*Time!AK$9*Time!AK$10*Operations!AK434*Operations!$F$421</f>
        <v/>
      </c>
      <c r="AL455" s="20">
        <f>Inputs!$F$92*Inputs!$F$88/1000*Time!AL$9*Time!AL$10*Operations!AL434*Operations!$F$421</f>
        <v/>
      </c>
      <c r="AM455" s="20">
        <f>Inputs!$F$92*Inputs!$F$88/1000*Time!AM$9*Time!AM$10*Operations!AM434*Operations!$F$421</f>
        <v/>
      </c>
      <c r="AN455" s="20">
        <f>Inputs!$F$92*Inputs!$F$88/1000*Time!AN$9*Time!AN$10*Operations!AN434*Operations!$F$421</f>
        <v/>
      </c>
      <c r="AO455" s="20">
        <f>Inputs!$F$92*Inputs!$F$88/1000*Time!AO$9*Time!AO$10*Operations!AO434*Operations!$F$421</f>
        <v/>
      </c>
      <c r="AP455" s="20">
        <f>Inputs!$F$92*Inputs!$F$88/1000*Time!AP$9*Time!AP$10*Operations!AP434*Operations!$F$421</f>
        <v/>
      </c>
      <c r="AQ455" s="20">
        <f>Inputs!$F$92*Inputs!$F$88/1000*Time!AQ$9*Time!AQ$10*Operations!AQ434*Operations!$F$421</f>
        <v/>
      </c>
      <c r="AR455" s="20">
        <f>Inputs!$F$92*Inputs!$F$88/1000*Time!AR$9*Time!AR$10*Operations!AR434*Operations!$F$421</f>
        <v/>
      </c>
      <c r="AS455" s="20">
        <f>Inputs!$F$92*Inputs!$F$88/1000*Time!AS$9*Time!AS$10*Operations!AS434*Operations!$F$421</f>
        <v/>
      </c>
      <c r="AT455" s="20">
        <f>Inputs!$F$92*Inputs!$F$88/1000*Time!AT$9*Time!AT$10*Operations!AT434*Operations!$F$421</f>
        <v/>
      </c>
      <c r="AU455" s="20">
        <f>Inputs!$F$92*Inputs!$F$88/1000*Time!AU$9*Time!AU$10*Operations!AU434*Operations!$F$421</f>
        <v/>
      </c>
    </row>
    <row r="456">
      <c r="D456" t="inlineStr">
        <is>
          <t>R1 wind land lease</t>
        </is>
      </c>
      <c r="E456" t="inlineStr">
        <is>
          <t>USD m</t>
        </is>
      </c>
      <c r="J456" s="20">
        <f>Inputs!$F$232/100*Operations!J453</f>
        <v/>
      </c>
      <c r="K456" s="20">
        <f>Inputs!$F$232/100*Operations!K453</f>
        <v/>
      </c>
      <c r="L456" s="20">
        <f>Inputs!$F$232/100*Operations!L453</f>
        <v/>
      </c>
      <c r="M456" s="20">
        <f>Inputs!$F$232/100*Operations!M453</f>
        <v/>
      </c>
      <c r="N456" s="20">
        <f>Inputs!$F$232/100*Operations!N453</f>
        <v/>
      </c>
      <c r="O456" s="20">
        <f>Inputs!$F$232/100*Operations!O453</f>
        <v/>
      </c>
      <c r="P456" s="20">
        <f>Inputs!$F$232/100*Operations!P453</f>
        <v/>
      </c>
      <c r="Q456" s="20">
        <f>Inputs!$F$232/100*Operations!Q453</f>
        <v/>
      </c>
      <c r="R456" s="20">
        <f>Inputs!$F$232/100*Operations!R453</f>
        <v/>
      </c>
      <c r="S456" s="20">
        <f>Inputs!$F$232/100*Operations!S453</f>
        <v/>
      </c>
      <c r="T456" s="20">
        <f>Inputs!$F$232/100*Operations!T453</f>
        <v/>
      </c>
      <c r="U456" s="20">
        <f>Inputs!$F$232/100*Operations!U453</f>
        <v/>
      </c>
      <c r="V456" s="20">
        <f>Inputs!$F$232/100*Operations!V453</f>
        <v/>
      </c>
      <c r="W456" s="20">
        <f>Inputs!$F$232/100*Operations!W453</f>
        <v/>
      </c>
      <c r="X456" s="20">
        <f>Inputs!$F$232/100*Operations!X453</f>
        <v/>
      </c>
      <c r="Y456" s="20">
        <f>Inputs!$F$232/100*Operations!Y453</f>
        <v/>
      </c>
      <c r="Z456" s="20">
        <f>Inputs!$F$232/100*Operations!Z453</f>
        <v/>
      </c>
      <c r="AA456" s="20">
        <f>Inputs!$F$232/100*Operations!AA453</f>
        <v/>
      </c>
      <c r="AB456" s="20">
        <f>Inputs!$F$232/100*Operations!AB453</f>
        <v/>
      </c>
      <c r="AC456" s="20">
        <f>Inputs!$F$232/100*Operations!AC453</f>
        <v/>
      </c>
      <c r="AD456" s="20">
        <f>Inputs!$F$232/100*Operations!AD453</f>
        <v/>
      </c>
      <c r="AE456" s="20">
        <f>Inputs!$F$232/100*Operations!AE453</f>
        <v/>
      </c>
      <c r="AF456" s="20">
        <f>Inputs!$F$232/100*Operations!AF453</f>
        <v/>
      </c>
      <c r="AG456" s="20">
        <f>Inputs!$F$232/100*Operations!AG453</f>
        <v/>
      </c>
      <c r="AH456" s="20">
        <f>Inputs!$F$232/100*Operations!AH453</f>
        <v/>
      </c>
      <c r="AI456" s="20">
        <f>Inputs!$F$232/100*Operations!AI453</f>
        <v/>
      </c>
      <c r="AJ456" s="20">
        <f>Inputs!$F$232/100*Operations!AJ453</f>
        <v/>
      </c>
      <c r="AK456" s="20">
        <f>Inputs!$F$232/100*Operations!AK453</f>
        <v/>
      </c>
      <c r="AL456" s="20">
        <f>Inputs!$F$232/100*Operations!AL453</f>
        <v/>
      </c>
      <c r="AM456" s="20">
        <f>Inputs!$F$232/100*Operations!AM453</f>
        <v/>
      </c>
      <c r="AN456" s="20">
        <f>Inputs!$F$232/100*Operations!AN453</f>
        <v/>
      </c>
      <c r="AO456" s="20">
        <f>Inputs!$F$232/100*Operations!AO453</f>
        <v/>
      </c>
      <c r="AP456" s="20">
        <f>Inputs!$F$232/100*Operations!AP453</f>
        <v/>
      </c>
      <c r="AQ456" s="20">
        <f>Inputs!$F$232/100*Operations!AQ453</f>
        <v/>
      </c>
      <c r="AR456" s="20">
        <f>Inputs!$F$232/100*Operations!AR453</f>
        <v/>
      </c>
      <c r="AS456" s="20">
        <f>Inputs!$F$232/100*Operations!AS453</f>
        <v/>
      </c>
      <c r="AT456" s="20">
        <f>Inputs!$F$232/100*Operations!AT453</f>
        <v/>
      </c>
      <c r="AU456" s="20">
        <f>Inputs!$F$232/100*Operations!AU453</f>
        <v/>
      </c>
    </row>
    <row r="457">
      <c r="D457" t="inlineStr">
        <is>
          <t>R1 decommissioning surety cost</t>
        </is>
      </c>
      <c r="E457" t="inlineStr">
        <is>
          <t>USD m</t>
        </is>
      </c>
      <c r="J457" s="20">
        <f>Inputs!$F$236/100*Inputs!$F$93*Inputs!$F$88/1000*Time!J$9*Operations!J434</f>
        <v/>
      </c>
      <c r="K457" s="20">
        <f>Inputs!$F$236/100*Inputs!$F$93*Inputs!$F$88/1000*Time!K$9*Operations!K434</f>
        <v/>
      </c>
      <c r="L457" s="20">
        <f>Inputs!$F$236/100*Inputs!$F$93*Inputs!$F$88/1000*Time!L$9*Operations!L434</f>
        <v/>
      </c>
      <c r="M457" s="20">
        <f>Inputs!$F$236/100*Inputs!$F$93*Inputs!$F$88/1000*Time!M$9*Operations!M434</f>
        <v/>
      </c>
      <c r="N457" s="20">
        <f>Inputs!$F$236/100*Inputs!$F$93*Inputs!$F$88/1000*Time!N$9*Operations!N434</f>
        <v/>
      </c>
      <c r="O457" s="20">
        <f>Inputs!$F$236/100*Inputs!$F$93*Inputs!$F$88/1000*Time!O$9*Operations!O434</f>
        <v/>
      </c>
      <c r="P457" s="20">
        <f>Inputs!$F$236/100*Inputs!$F$93*Inputs!$F$88/1000*Time!P$9*Operations!P434</f>
        <v/>
      </c>
      <c r="Q457" s="20">
        <f>Inputs!$F$236/100*Inputs!$F$93*Inputs!$F$88/1000*Time!Q$9*Operations!Q434</f>
        <v/>
      </c>
      <c r="R457" s="20">
        <f>Inputs!$F$236/100*Inputs!$F$93*Inputs!$F$88/1000*Time!R$9*Operations!R434</f>
        <v/>
      </c>
      <c r="S457" s="20">
        <f>Inputs!$F$236/100*Inputs!$F$93*Inputs!$F$88/1000*Time!S$9*Operations!S434</f>
        <v/>
      </c>
      <c r="T457" s="20">
        <f>Inputs!$F$236/100*Inputs!$F$93*Inputs!$F$88/1000*Time!T$9*Operations!T434</f>
        <v/>
      </c>
      <c r="U457" s="20">
        <f>Inputs!$F$236/100*Inputs!$F$93*Inputs!$F$88/1000*Time!U$9*Operations!U434</f>
        <v/>
      </c>
      <c r="V457" s="20">
        <f>Inputs!$F$236/100*Inputs!$F$93*Inputs!$F$88/1000*Time!V$9*Operations!V434</f>
        <v/>
      </c>
      <c r="W457" s="20">
        <f>Inputs!$F$236/100*Inputs!$F$93*Inputs!$F$88/1000*Time!W$9*Operations!W434</f>
        <v/>
      </c>
      <c r="X457" s="20">
        <f>Inputs!$F$236/100*Inputs!$F$93*Inputs!$F$88/1000*Time!X$9*Operations!X434</f>
        <v/>
      </c>
      <c r="Y457" s="20">
        <f>Inputs!$F$236/100*Inputs!$F$93*Inputs!$F$88/1000*Time!Y$9*Operations!Y434</f>
        <v/>
      </c>
      <c r="Z457" s="20">
        <f>Inputs!$F$236/100*Inputs!$F$93*Inputs!$F$88/1000*Time!Z$9*Operations!Z434</f>
        <v/>
      </c>
      <c r="AA457" s="20">
        <f>Inputs!$F$236/100*Inputs!$F$93*Inputs!$F$88/1000*Time!AA$9*Operations!AA434</f>
        <v/>
      </c>
      <c r="AB457" s="20">
        <f>Inputs!$F$236/100*Inputs!$F$93*Inputs!$F$88/1000*Time!AB$9*Operations!AB434</f>
        <v/>
      </c>
      <c r="AC457" s="20">
        <f>Inputs!$F$236/100*Inputs!$F$93*Inputs!$F$88/1000*Time!AC$9*Operations!AC434</f>
        <v/>
      </c>
      <c r="AD457" s="20">
        <f>Inputs!$F$236/100*Inputs!$F$93*Inputs!$F$88/1000*Time!AD$9*Operations!AD434</f>
        <v/>
      </c>
      <c r="AE457" s="20">
        <f>Inputs!$F$236/100*Inputs!$F$93*Inputs!$F$88/1000*Time!AE$9*Operations!AE434</f>
        <v/>
      </c>
      <c r="AF457" s="20">
        <f>Inputs!$F$236/100*Inputs!$F$93*Inputs!$F$88/1000*Time!AF$9*Operations!AF434</f>
        <v/>
      </c>
      <c r="AG457" s="20">
        <f>Inputs!$F$236/100*Inputs!$F$93*Inputs!$F$88/1000*Time!AG$9*Operations!AG434</f>
        <v/>
      </c>
      <c r="AH457" s="20">
        <f>Inputs!$F$236/100*Inputs!$F$93*Inputs!$F$88/1000*Time!AH$9*Operations!AH434</f>
        <v/>
      </c>
      <c r="AI457" s="20">
        <f>Inputs!$F$236/100*Inputs!$F$93*Inputs!$F$88/1000*Time!AI$9*Operations!AI434</f>
        <v/>
      </c>
      <c r="AJ457" s="20">
        <f>Inputs!$F$236/100*Inputs!$F$93*Inputs!$F$88/1000*Time!AJ$9*Operations!AJ434</f>
        <v/>
      </c>
      <c r="AK457" s="20">
        <f>Inputs!$F$236/100*Inputs!$F$93*Inputs!$F$88/1000*Time!AK$9*Operations!AK434</f>
        <v/>
      </c>
      <c r="AL457" s="20">
        <f>Inputs!$F$236/100*Inputs!$F$93*Inputs!$F$88/1000*Time!AL$9*Operations!AL434</f>
        <v/>
      </c>
      <c r="AM457" s="20">
        <f>Inputs!$F$236/100*Inputs!$F$93*Inputs!$F$88/1000*Time!AM$9*Operations!AM434</f>
        <v/>
      </c>
      <c r="AN457" s="20">
        <f>Inputs!$F$236/100*Inputs!$F$93*Inputs!$F$88/1000*Time!AN$9*Operations!AN434</f>
        <v/>
      </c>
      <c r="AO457" s="20">
        <f>Inputs!$F$236/100*Inputs!$F$93*Inputs!$F$88/1000*Time!AO$9*Operations!AO434</f>
        <v/>
      </c>
      <c r="AP457" s="20">
        <f>Inputs!$F$236/100*Inputs!$F$93*Inputs!$F$88/1000*Time!AP$9*Operations!AP434</f>
        <v/>
      </c>
      <c r="AQ457" s="20">
        <f>Inputs!$F$236/100*Inputs!$F$93*Inputs!$F$88/1000*Time!AQ$9*Operations!AQ434</f>
        <v/>
      </c>
      <c r="AR457" s="20">
        <f>Inputs!$F$236/100*Inputs!$F$93*Inputs!$F$88/1000*Time!AR$9*Operations!AR434</f>
        <v/>
      </c>
      <c r="AS457" s="20">
        <f>Inputs!$F$236/100*Inputs!$F$93*Inputs!$F$88/1000*Time!AS$9*Operations!AS434</f>
        <v/>
      </c>
      <c r="AT457" s="20">
        <f>Inputs!$F$236/100*Inputs!$F$93*Inputs!$F$88/1000*Time!AT$9*Operations!AT434</f>
        <v/>
      </c>
      <c r="AU457" s="20">
        <f>Inputs!$F$236/100*Inputs!$F$93*Inputs!$F$88/1000*Time!AU$9*Operations!AU434</f>
        <v/>
      </c>
    </row>
    <row r="458">
      <c r="D458" t="inlineStr">
        <is>
          <t>R1 Texas margin tax</t>
        </is>
      </c>
      <c r="E458" t="inlineStr">
        <is>
          <t>USD m</t>
        </is>
      </c>
      <c r="J458" s="20">
        <f>Inputs!$F$237/100*Inputs!$F$238/100*Operations!J453</f>
        <v/>
      </c>
      <c r="K458" s="20">
        <f>Inputs!$F$237/100*Inputs!$F$238/100*Operations!K453</f>
        <v/>
      </c>
      <c r="L458" s="20">
        <f>Inputs!$F$237/100*Inputs!$F$238/100*Operations!L453</f>
        <v/>
      </c>
      <c r="M458" s="20">
        <f>Inputs!$F$237/100*Inputs!$F$238/100*Operations!M453</f>
        <v/>
      </c>
      <c r="N458" s="20">
        <f>Inputs!$F$237/100*Inputs!$F$238/100*Operations!N453</f>
        <v/>
      </c>
      <c r="O458" s="20">
        <f>Inputs!$F$237/100*Inputs!$F$238/100*Operations!O453</f>
        <v/>
      </c>
      <c r="P458" s="20">
        <f>Inputs!$F$237/100*Inputs!$F$238/100*Operations!P453</f>
        <v/>
      </c>
      <c r="Q458" s="20">
        <f>Inputs!$F$237/100*Inputs!$F$238/100*Operations!Q453</f>
        <v/>
      </c>
      <c r="R458" s="20">
        <f>Inputs!$F$237/100*Inputs!$F$238/100*Operations!R453</f>
        <v/>
      </c>
      <c r="S458" s="20">
        <f>Inputs!$F$237/100*Inputs!$F$238/100*Operations!S453</f>
        <v/>
      </c>
      <c r="T458" s="20">
        <f>Inputs!$F$237/100*Inputs!$F$238/100*Operations!T453</f>
        <v/>
      </c>
      <c r="U458" s="20">
        <f>Inputs!$F$237/100*Inputs!$F$238/100*Operations!U453</f>
        <v/>
      </c>
      <c r="V458" s="20">
        <f>Inputs!$F$237/100*Inputs!$F$238/100*Operations!V453</f>
        <v/>
      </c>
      <c r="W458" s="20">
        <f>Inputs!$F$237/100*Inputs!$F$238/100*Operations!W453</f>
        <v/>
      </c>
      <c r="X458" s="20">
        <f>Inputs!$F$237/100*Inputs!$F$238/100*Operations!X453</f>
        <v/>
      </c>
      <c r="Y458" s="20">
        <f>Inputs!$F$237/100*Inputs!$F$238/100*Operations!Y453</f>
        <v/>
      </c>
      <c r="Z458" s="20">
        <f>Inputs!$F$237/100*Inputs!$F$238/100*Operations!Z453</f>
        <v/>
      </c>
      <c r="AA458" s="20">
        <f>Inputs!$F$237/100*Inputs!$F$238/100*Operations!AA453</f>
        <v/>
      </c>
      <c r="AB458" s="20">
        <f>Inputs!$F$237/100*Inputs!$F$238/100*Operations!AB453</f>
        <v/>
      </c>
      <c r="AC458" s="20">
        <f>Inputs!$F$237/100*Inputs!$F$238/100*Operations!AC453</f>
        <v/>
      </c>
      <c r="AD458" s="20">
        <f>Inputs!$F$237/100*Inputs!$F$238/100*Operations!AD453</f>
        <v/>
      </c>
      <c r="AE458" s="20">
        <f>Inputs!$F$237/100*Inputs!$F$238/100*Operations!AE453</f>
        <v/>
      </c>
      <c r="AF458" s="20">
        <f>Inputs!$F$237/100*Inputs!$F$238/100*Operations!AF453</f>
        <v/>
      </c>
      <c r="AG458" s="20">
        <f>Inputs!$F$237/100*Inputs!$F$238/100*Operations!AG453</f>
        <v/>
      </c>
      <c r="AH458" s="20">
        <f>Inputs!$F$237/100*Inputs!$F$238/100*Operations!AH453</f>
        <v/>
      </c>
      <c r="AI458" s="20">
        <f>Inputs!$F$237/100*Inputs!$F$238/100*Operations!AI453</f>
        <v/>
      </c>
      <c r="AJ458" s="20">
        <f>Inputs!$F$237/100*Inputs!$F$238/100*Operations!AJ453</f>
        <v/>
      </c>
      <c r="AK458" s="20">
        <f>Inputs!$F$237/100*Inputs!$F$238/100*Operations!AK453</f>
        <v/>
      </c>
      <c r="AL458" s="20">
        <f>Inputs!$F$237/100*Inputs!$F$238/100*Operations!AL453</f>
        <v/>
      </c>
      <c r="AM458" s="20">
        <f>Inputs!$F$237/100*Inputs!$F$238/100*Operations!AM453</f>
        <v/>
      </c>
      <c r="AN458" s="20">
        <f>Inputs!$F$237/100*Inputs!$F$238/100*Operations!AN453</f>
        <v/>
      </c>
      <c r="AO458" s="20">
        <f>Inputs!$F$237/100*Inputs!$F$238/100*Operations!AO453</f>
        <v/>
      </c>
      <c r="AP458" s="20">
        <f>Inputs!$F$237/100*Inputs!$F$238/100*Operations!AP453</f>
        <v/>
      </c>
      <c r="AQ458" s="20">
        <f>Inputs!$F$237/100*Inputs!$F$238/100*Operations!AQ453</f>
        <v/>
      </c>
      <c r="AR458" s="20">
        <f>Inputs!$F$237/100*Inputs!$F$238/100*Operations!AR453</f>
        <v/>
      </c>
      <c r="AS458" s="20">
        <f>Inputs!$F$237/100*Inputs!$F$238/100*Operations!AS453</f>
        <v/>
      </c>
      <c r="AT458" s="20">
        <f>Inputs!$F$237/100*Inputs!$F$238/100*Operations!AT453</f>
        <v/>
      </c>
      <c r="AU458" s="20">
        <f>Inputs!$F$237/100*Inputs!$F$238/100*Operations!AU453</f>
        <v/>
      </c>
    </row>
    <row r="459">
      <c r="D459" t="inlineStr">
        <is>
          <t>R1 EBITDA</t>
        </is>
      </c>
      <c r="E459" t="inlineStr">
        <is>
          <t>USD m</t>
        </is>
      </c>
      <c r="G459" s="20">
        <f>SUM(J459:AU459)</f>
        <v/>
      </c>
      <c r="J459" s="20">
        <f>Operations!J453-Operations!J455-Operations!J456-Operations!J457-Operations!J458</f>
        <v/>
      </c>
      <c r="K459" s="20">
        <f>Operations!K453-Operations!K455-Operations!K456-Operations!K457-Operations!K458</f>
        <v/>
      </c>
      <c r="L459" s="20">
        <f>Operations!L453-Operations!L455-Operations!L456-Operations!L457-Operations!L458</f>
        <v/>
      </c>
      <c r="M459" s="20">
        <f>Operations!M453-Operations!M455-Operations!M456-Operations!M457-Operations!M458</f>
        <v/>
      </c>
      <c r="N459" s="20">
        <f>Operations!N453-Operations!N455-Operations!N456-Operations!N457-Operations!N458</f>
        <v/>
      </c>
      <c r="O459" s="20">
        <f>Operations!O453-Operations!O455-Operations!O456-Operations!O457-Operations!O458</f>
        <v/>
      </c>
      <c r="P459" s="20">
        <f>Operations!P453-Operations!P455-Operations!P456-Operations!P457-Operations!P458</f>
        <v/>
      </c>
      <c r="Q459" s="20">
        <f>Operations!Q453-Operations!Q455-Operations!Q456-Operations!Q457-Operations!Q458</f>
        <v/>
      </c>
      <c r="R459" s="20">
        <f>Operations!R453-Operations!R455-Operations!R456-Operations!R457-Operations!R458</f>
        <v/>
      </c>
      <c r="S459" s="20">
        <f>Operations!S453-Operations!S455-Operations!S456-Operations!S457-Operations!S458</f>
        <v/>
      </c>
      <c r="T459" s="20">
        <f>Operations!T453-Operations!T455-Operations!T456-Operations!T457-Operations!T458</f>
        <v/>
      </c>
      <c r="U459" s="20">
        <f>Operations!U453-Operations!U455-Operations!U456-Operations!U457-Operations!U458</f>
        <v/>
      </c>
      <c r="V459" s="20">
        <f>Operations!V453-Operations!V455-Operations!V456-Operations!V457-Operations!V458</f>
        <v/>
      </c>
      <c r="W459" s="20">
        <f>Operations!W453-Operations!W455-Operations!W456-Operations!W457-Operations!W458</f>
        <v/>
      </c>
      <c r="X459" s="20">
        <f>Operations!X453-Operations!X455-Operations!X456-Operations!X457-Operations!X458</f>
        <v/>
      </c>
      <c r="Y459" s="20">
        <f>Operations!Y453-Operations!Y455-Operations!Y456-Operations!Y457-Operations!Y458</f>
        <v/>
      </c>
      <c r="Z459" s="20">
        <f>Operations!Z453-Operations!Z455-Operations!Z456-Operations!Z457-Operations!Z458</f>
        <v/>
      </c>
      <c r="AA459" s="20">
        <f>Operations!AA453-Operations!AA455-Operations!AA456-Operations!AA457-Operations!AA458</f>
        <v/>
      </c>
      <c r="AB459" s="20">
        <f>Operations!AB453-Operations!AB455-Operations!AB456-Operations!AB457-Operations!AB458</f>
        <v/>
      </c>
      <c r="AC459" s="20">
        <f>Operations!AC453-Operations!AC455-Operations!AC456-Operations!AC457-Operations!AC458</f>
        <v/>
      </c>
      <c r="AD459" s="20">
        <f>Operations!AD453-Operations!AD455-Operations!AD456-Operations!AD457-Operations!AD458</f>
        <v/>
      </c>
      <c r="AE459" s="20">
        <f>Operations!AE453-Operations!AE455-Operations!AE456-Operations!AE457-Operations!AE458</f>
        <v/>
      </c>
      <c r="AF459" s="20">
        <f>Operations!AF453-Operations!AF455-Operations!AF456-Operations!AF457-Operations!AF458</f>
        <v/>
      </c>
      <c r="AG459" s="20">
        <f>Operations!AG453-Operations!AG455-Operations!AG456-Operations!AG457-Operations!AG458</f>
        <v/>
      </c>
      <c r="AH459" s="20">
        <f>Operations!AH453-Operations!AH455-Operations!AH456-Operations!AH457-Operations!AH458</f>
        <v/>
      </c>
      <c r="AI459" s="20">
        <f>Operations!AI453-Operations!AI455-Operations!AI456-Operations!AI457-Operations!AI458</f>
        <v/>
      </c>
      <c r="AJ459" s="20">
        <f>Operations!AJ453-Operations!AJ455-Operations!AJ456-Operations!AJ457-Operations!AJ458</f>
        <v/>
      </c>
      <c r="AK459" s="20">
        <f>Operations!AK453-Operations!AK455-Operations!AK456-Operations!AK457-Operations!AK458</f>
        <v/>
      </c>
      <c r="AL459" s="20">
        <f>Operations!AL453-Operations!AL455-Operations!AL456-Operations!AL457-Operations!AL458</f>
        <v/>
      </c>
      <c r="AM459" s="20">
        <f>Operations!AM453-Operations!AM455-Operations!AM456-Operations!AM457-Operations!AM458</f>
        <v/>
      </c>
      <c r="AN459" s="20">
        <f>Operations!AN453-Operations!AN455-Operations!AN456-Operations!AN457-Operations!AN458</f>
        <v/>
      </c>
      <c r="AO459" s="20">
        <f>Operations!AO453-Operations!AO455-Operations!AO456-Operations!AO457-Operations!AO458</f>
        <v/>
      </c>
      <c r="AP459" s="20">
        <f>Operations!AP453-Operations!AP455-Operations!AP456-Operations!AP457-Operations!AP458</f>
        <v/>
      </c>
      <c r="AQ459" s="20">
        <f>Operations!AQ453-Operations!AQ455-Operations!AQ456-Operations!AQ457-Operations!AQ458</f>
        <v/>
      </c>
      <c r="AR459" s="20">
        <f>Operations!AR453-Operations!AR455-Operations!AR456-Operations!AR457-Operations!AR458</f>
        <v/>
      </c>
      <c r="AS459" s="20">
        <f>Operations!AS453-Operations!AS455-Operations!AS456-Operations!AS457-Operations!AS458</f>
        <v/>
      </c>
      <c r="AT459" s="20">
        <f>Operations!AT453-Operations!AT455-Operations!AT456-Operations!AT457-Operations!AT458</f>
        <v/>
      </c>
      <c r="AU459" s="20">
        <f>Operations!AU453-Operations!AU455-Operations!AU456-Operations!AU457-Operations!AU458</f>
        <v/>
      </c>
    </row>
    <row r="460">
      <c r="D460" t="inlineStr">
        <is>
          <t>R1 capex</t>
        </is>
      </c>
      <c r="E460" t="inlineStr">
        <is>
          <t>USD m</t>
        </is>
      </c>
      <c r="J460" s="20">
        <f>0</f>
        <v/>
      </c>
      <c r="K460" s="20">
        <f>0</f>
        <v/>
      </c>
      <c r="L460" s="20">
        <f>0</f>
        <v/>
      </c>
      <c r="M460" s="20">
        <f>0</f>
        <v/>
      </c>
      <c r="N460" s="20">
        <f>0</f>
        <v/>
      </c>
      <c r="O460" s="20">
        <f>0</f>
        <v/>
      </c>
      <c r="P460" s="20">
        <f>0</f>
        <v/>
      </c>
      <c r="Q460" s="20">
        <f>0</f>
        <v/>
      </c>
      <c r="R460" s="20">
        <f>0</f>
        <v/>
      </c>
      <c r="S460" s="20">
        <f>0</f>
        <v/>
      </c>
      <c r="T460" s="20">
        <f>0</f>
        <v/>
      </c>
      <c r="U460" s="20">
        <f>0</f>
        <v/>
      </c>
      <c r="V460" s="20">
        <f>0</f>
        <v/>
      </c>
      <c r="W460" s="20">
        <f>0</f>
        <v/>
      </c>
      <c r="X460" s="20">
        <f>0</f>
        <v/>
      </c>
      <c r="Y460" s="20">
        <f>0</f>
        <v/>
      </c>
      <c r="Z460" s="20">
        <f>0</f>
        <v/>
      </c>
      <c r="AA460" s="20">
        <f>0</f>
        <v/>
      </c>
      <c r="AB460" s="20">
        <f>0</f>
        <v/>
      </c>
      <c r="AC460" s="20">
        <f>0</f>
        <v/>
      </c>
      <c r="AD460" s="20">
        <f>0</f>
        <v/>
      </c>
      <c r="AE460" s="20">
        <f>0</f>
        <v/>
      </c>
      <c r="AF460" s="20">
        <f>0</f>
        <v/>
      </c>
      <c r="AG460" s="20">
        <f>0</f>
        <v/>
      </c>
      <c r="AH460" s="20">
        <f>0</f>
        <v/>
      </c>
      <c r="AI460" s="20">
        <f>0</f>
        <v/>
      </c>
      <c r="AJ460" s="20">
        <f>0</f>
        <v/>
      </c>
      <c r="AK460" s="20">
        <f>0</f>
        <v/>
      </c>
      <c r="AL460" s="20">
        <f>0</f>
        <v/>
      </c>
      <c r="AM460" s="20">
        <f>0</f>
        <v/>
      </c>
      <c r="AN460" s="20">
        <f>0</f>
        <v/>
      </c>
      <c r="AO460" s="20">
        <f>0</f>
        <v/>
      </c>
      <c r="AP460" s="20">
        <f>0</f>
        <v/>
      </c>
      <c r="AQ460" s="20">
        <f>0</f>
        <v/>
      </c>
      <c r="AR460" s="20">
        <f>0</f>
        <v/>
      </c>
      <c r="AS460" s="20">
        <f>0</f>
        <v/>
      </c>
      <c r="AT460" s="20">
        <f>0</f>
        <v/>
      </c>
      <c r="AU460" s="20">
        <f>0</f>
        <v/>
      </c>
    </row>
    <row r="461">
      <c r="D461" t="inlineStr">
        <is>
          <t>R1 decommissioning at end of life</t>
        </is>
      </c>
      <c r="E461" t="inlineStr">
        <is>
          <t>USD m</t>
        </is>
      </c>
      <c r="J461" s="20">
        <f>IF(Time!J$4=YEAR(Inputs!$F$90),Inputs!$F$93*Inputs!$F$88/1000*Time!J$9,0)</f>
        <v/>
      </c>
      <c r="K461" s="20">
        <f>IF(Time!K$4=YEAR(Inputs!$F$90),Inputs!$F$93*Inputs!$F$88/1000*Time!K$9,0)</f>
        <v/>
      </c>
      <c r="L461" s="20">
        <f>IF(Time!L$4=YEAR(Inputs!$F$90),Inputs!$F$93*Inputs!$F$88/1000*Time!L$9,0)</f>
        <v/>
      </c>
      <c r="M461" s="20">
        <f>IF(Time!M$4=YEAR(Inputs!$F$90),Inputs!$F$93*Inputs!$F$88/1000*Time!M$9,0)</f>
        <v/>
      </c>
      <c r="N461" s="20">
        <f>IF(Time!N$4=YEAR(Inputs!$F$90),Inputs!$F$93*Inputs!$F$88/1000*Time!N$9,0)</f>
        <v/>
      </c>
      <c r="O461" s="20">
        <f>IF(Time!O$4=YEAR(Inputs!$F$90),Inputs!$F$93*Inputs!$F$88/1000*Time!O$9,0)</f>
        <v/>
      </c>
      <c r="P461" s="20">
        <f>IF(Time!P$4=YEAR(Inputs!$F$90),Inputs!$F$93*Inputs!$F$88/1000*Time!P$9,0)</f>
        <v/>
      </c>
      <c r="Q461" s="20">
        <f>IF(Time!Q$4=YEAR(Inputs!$F$90),Inputs!$F$93*Inputs!$F$88/1000*Time!Q$9,0)</f>
        <v/>
      </c>
      <c r="R461" s="20">
        <f>IF(Time!R$4=YEAR(Inputs!$F$90),Inputs!$F$93*Inputs!$F$88/1000*Time!R$9,0)</f>
        <v/>
      </c>
      <c r="S461" s="20">
        <f>IF(Time!S$4=YEAR(Inputs!$F$90),Inputs!$F$93*Inputs!$F$88/1000*Time!S$9,0)</f>
        <v/>
      </c>
      <c r="T461" s="20">
        <f>IF(Time!T$4=YEAR(Inputs!$F$90),Inputs!$F$93*Inputs!$F$88/1000*Time!T$9,0)</f>
        <v/>
      </c>
      <c r="U461" s="20">
        <f>IF(Time!U$4=YEAR(Inputs!$F$90),Inputs!$F$93*Inputs!$F$88/1000*Time!U$9,0)</f>
        <v/>
      </c>
      <c r="V461" s="20">
        <f>IF(Time!V$4=YEAR(Inputs!$F$90),Inputs!$F$93*Inputs!$F$88/1000*Time!V$9,0)</f>
        <v/>
      </c>
      <c r="W461" s="20">
        <f>IF(Time!W$4=YEAR(Inputs!$F$90),Inputs!$F$93*Inputs!$F$88/1000*Time!W$9,0)</f>
        <v/>
      </c>
      <c r="X461" s="20">
        <f>IF(Time!X$4=YEAR(Inputs!$F$90),Inputs!$F$93*Inputs!$F$88/1000*Time!X$9,0)</f>
        <v/>
      </c>
      <c r="Y461" s="20">
        <f>IF(Time!Y$4=YEAR(Inputs!$F$90),Inputs!$F$93*Inputs!$F$88/1000*Time!Y$9,0)</f>
        <v/>
      </c>
      <c r="Z461" s="20">
        <f>IF(Time!Z$4=YEAR(Inputs!$F$90),Inputs!$F$93*Inputs!$F$88/1000*Time!Z$9,0)</f>
        <v/>
      </c>
      <c r="AA461" s="20">
        <f>IF(Time!AA$4=YEAR(Inputs!$F$90),Inputs!$F$93*Inputs!$F$88/1000*Time!AA$9,0)</f>
        <v/>
      </c>
      <c r="AB461" s="20">
        <f>IF(Time!AB$4=YEAR(Inputs!$F$90),Inputs!$F$93*Inputs!$F$88/1000*Time!AB$9,0)</f>
        <v/>
      </c>
      <c r="AC461" s="20">
        <f>IF(Time!AC$4=YEAR(Inputs!$F$90),Inputs!$F$93*Inputs!$F$88/1000*Time!AC$9,0)</f>
        <v/>
      </c>
      <c r="AD461" s="20">
        <f>IF(Time!AD$4=YEAR(Inputs!$F$90),Inputs!$F$93*Inputs!$F$88/1000*Time!AD$9,0)</f>
        <v/>
      </c>
      <c r="AE461" s="20">
        <f>IF(Time!AE$4=YEAR(Inputs!$F$90),Inputs!$F$93*Inputs!$F$88/1000*Time!AE$9,0)</f>
        <v/>
      </c>
      <c r="AF461" s="20">
        <f>IF(Time!AF$4=YEAR(Inputs!$F$90),Inputs!$F$93*Inputs!$F$88/1000*Time!AF$9,0)</f>
        <v/>
      </c>
      <c r="AG461" s="20">
        <f>IF(Time!AG$4=YEAR(Inputs!$F$90),Inputs!$F$93*Inputs!$F$88/1000*Time!AG$9,0)</f>
        <v/>
      </c>
      <c r="AH461" s="20">
        <f>IF(Time!AH$4=YEAR(Inputs!$F$90),Inputs!$F$93*Inputs!$F$88/1000*Time!AH$9,0)</f>
        <v/>
      </c>
      <c r="AI461" s="20">
        <f>IF(Time!AI$4=YEAR(Inputs!$F$90),Inputs!$F$93*Inputs!$F$88/1000*Time!AI$9,0)</f>
        <v/>
      </c>
      <c r="AJ461" s="20">
        <f>IF(Time!AJ$4=YEAR(Inputs!$F$90),Inputs!$F$93*Inputs!$F$88/1000*Time!AJ$9,0)</f>
        <v/>
      </c>
      <c r="AK461" s="20">
        <f>IF(Time!AK$4=YEAR(Inputs!$F$90),Inputs!$F$93*Inputs!$F$88/1000*Time!AK$9,0)</f>
        <v/>
      </c>
      <c r="AL461" s="20">
        <f>IF(Time!AL$4=YEAR(Inputs!$F$90),Inputs!$F$93*Inputs!$F$88/1000*Time!AL$9,0)</f>
        <v/>
      </c>
      <c r="AM461" s="20">
        <f>IF(Time!AM$4=YEAR(Inputs!$F$90),Inputs!$F$93*Inputs!$F$88/1000*Time!AM$9,0)</f>
        <v/>
      </c>
      <c r="AN461" s="20">
        <f>IF(Time!AN$4=YEAR(Inputs!$F$90),Inputs!$F$93*Inputs!$F$88/1000*Time!AN$9,0)</f>
        <v/>
      </c>
      <c r="AO461" s="20">
        <f>IF(Time!AO$4=YEAR(Inputs!$F$90),Inputs!$F$93*Inputs!$F$88/1000*Time!AO$9,0)</f>
        <v/>
      </c>
      <c r="AP461" s="20">
        <f>IF(Time!AP$4=YEAR(Inputs!$F$90),Inputs!$F$93*Inputs!$F$88/1000*Time!AP$9,0)</f>
        <v/>
      </c>
      <c r="AQ461" s="20">
        <f>IF(Time!AQ$4=YEAR(Inputs!$F$90),Inputs!$F$93*Inputs!$F$88/1000*Time!AQ$9,0)</f>
        <v/>
      </c>
      <c r="AR461" s="20">
        <f>IF(Time!AR$4=YEAR(Inputs!$F$90),Inputs!$F$93*Inputs!$F$88/1000*Time!AR$9,0)</f>
        <v/>
      </c>
      <c r="AS461" s="20">
        <f>IF(Time!AS$4=YEAR(Inputs!$F$90),Inputs!$F$93*Inputs!$F$88/1000*Time!AS$9,0)</f>
        <v/>
      </c>
      <c r="AT461" s="20">
        <f>IF(Time!AT$4=YEAR(Inputs!$F$90),Inputs!$F$93*Inputs!$F$88/1000*Time!AT$9,0)</f>
        <v/>
      </c>
      <c r="AU461" s="20">
        <f>IF(Time!AU$4=YEAR(Inputs!$F$90),Inputs!$F$93*Inputs!$F$88/1000*Time!AU$9,0)</f>
        <v/>
      </c>
    </row>
    <row r="462">
      <c r="D462" t="inlineStr">
        <is>
          <t>R1 pre-tax cash flow, 100% of asset</t>
        </is>
      </c>
      <c r="E462" t="inlineStr">
        <is>
          <t>USD m</t>
        </is>
      </c>
      <c r="G462" s="20">
        <f>SUM(J462:AU462)</f>
        <v/>
      </c>
      <c r="J462" s="20">
        <f>Operations!J459-Operations!J460-Operations!J461</f>
        <v/>
      </c>
      <c r="K462" s="20">
        <f>Operations!K459-Operations!K460-Operations!K461</f>
        <v/>
      </c>
      <c r="L462" s="20">
        <f>Operations!L459-Operations!L460-Operations!L461</f>
        <v/>
      </c>
      <c r="M462" s="20">
        <f>Operations!M459-Operations!M460-Operations!M461</f>
        <v/>
      </c>
      <c r="N462" s="20">
        <f>Operations!N459-Operations!N460-Operations!N461</f>
        <v/>
      </c>
      <c r="O462" s="20">
        <f>Operations!O459-Operations!O460-Operations!O461</f>
        <v/>
      </c>
      <c r="P462" s="20">
        <f>Operations!P459-Operations!P460-Operations!P461</f>
        <v/>
      </c>
      <c r="Q462" s="20">
        <f>Operations!Q459-Operations!Q460-Operations!Q461</f>
        <v/>
      </c>
      <c r="R462" s="20">
        <f>Operations!R459-Operations!R460-Operations!R461</f>
        <v/>
      </c>
      <c r="S462" s="20">
        <f>Operations!S459-Operations!S460-Operations!S461</f>
        <v/>
      </c>
      <c r="T462" s="20">
        <f>Operations!T459-Operations!T460-Operations!T461</f>
        <v/>
      </c>
      <c r="U462" s="20">
        <f>Operations!U459-Operations!U460-Operations!U461</f>
        <v/>
      </c>
      <c r="V462" s="20">
        <f>Operations!V459-Operations!V460-Operations!V461</f>
        <v/>
      </c>
      <c r="W462" s="20">
        <f>Operations!W459-Operations!W460-Operations!W461</f>
        <v/>
      </c>
      <c r="X462" s="20">
        <f>Operations!X459-Operations!X460-Operations!X461</f>
        <v/>
      </c>
      <c r="Y462" s="20">
        <f>Operations!Y459-Operations!Y460-Operations!Y461</f>
        <v/>
      </c>
      <c r="Z462" s="20">
        <f>Operations!Z459-Operations!Z460-Operations!Z461</f>
        <v/>
      </c>
      <c r="AA462" s="20">
        <f>Operations!AA459-Operations!AA460-Operations!AA461</f>
        <v/>
      </c>
      <c r="AB462" s="20">
        <f>Operations!AB459-Operations!AB460-Operations!AB461</f>
        <v/>
      </c>
      <c r="AC462" s="20">
        <f>Operations!AC459-Operations!AC460-Operations!AC461</f>
        <v/>
      </c>
      <c r="AD462" s="20">
        <f>Operations!AD459-Operations!AD460-Operations!AD461</f>
        <v/>
      </c>
      <c r="AE462" s="20">
        <f>Operations!AE459-Operations!AE460-Operations!AE461</f>
        <v/>
      </c>
      <c r="AF462" s="20">
        <f>Operations!AF459-Operations!AF460-Operations!AF461</f>
        <v/>
      </c>
      <c r="AG462" s="20">
        <f>Operations!AG459-Operations!AG460-Operations!AG461</f>
        <v/>
      </c>
      <c r="AH462" s="20">
        <f>Operations!AH459-Operations!AH460-Operations!AH461</f>
        <v/>
      </c>
      <c r="AI462" s="20">
        <f>Operations!AI459-Operations!AI460-Operations!AI461</f>
        <v/>
      </c>
      <c r="AJ462" s="20">
        <f>Operations!AJ459-Operations!AJ460-Operations!AJ461</f>
        <v/>
      </c>
      <c r="AK462" s="20">
        <f>Operations!AK459-Operations!AK460-Operations!AK461</f>
        <v/>
      </c>
      <c r="AL462" s="20">
        <f>Operations!AL459-Operations!AL460-Operations!AL461</f>
        <v/>
      </c>
      <c r="AM462" s="20">
        <f>Operations!AM459-Operations!AM460-Operations!AM461</f>
        <v/>
      </c>
      <c r="AN462" s="20">
        <f>Operations!AN459-Operations!AN460-Operations!AN461</f>
        <v/>
      </c>
      <c r="AO462" s="20">
        <f>Operations!AO459-Operations!AO460-Operations!AO461</f>
        <v/>
      </c>
      <c r="AP462" s="20">
        <f>Operations!AP459-Operations!AP460-Operations!AP461</f>
        <v/>
      </c>
      <c r="AQ462" s="20">
        <f>Operations!AQ459-Operations!AQ460-Operations!AQ461</f>
        <v/>
      </c>
      <c r="AR462" s="20">
        <f>Operations!AR459-Operations!AR460-Operations!AR461</f>
        <v/>
      </c>
      <c r="AS462" s="20">
        <f>Operations!AS459-Operations!AS460-Operations!AS461</f>
        <v/>
      </c>
      <c r="AT462" s="20">
        <f>Operations!AT459-Operations!AT460-Operations!AT461</f>
        <v/>
      </c>
      <c r="AU462" s="20">
        <f>Operations!AU459-Operations!AU460-Operations!AU461</f>
        <v/>
      </c>
    </row>
    <row r="463">
      <c r="D463" t="inlineStr">
        <is>
          <t>R1 tax equity cash share</t>
        </is>
      </c>
      <c r="E463" t="inlineStr">
        <is>
          <t>fraction</t>
        </is>
      </c>
      <c r="J463" s="14">
        <f>0</f>
        <v/>
      </c>
      <c r="K463" s="14">
        <f>0</f>
        <v/>
      </c>
      <c r="L463" s="14">
        <f>0</f>
        <v/>
      </c>
      <c r="M463" s="14">
        <f>0</f>
        <v/>
      </c>
      <c r="N463" s="14">
        <f>0</f>
        <v/>
      </c>
      <c r="O463" s="14">
        <f>0</f>
        <v/>
      </c>
      <c r="P463" s="14">
        <f>0</f>
        <v/>
      </c>
      <c r="Q463" s="14">
        <f>0</f>
        <v/>
      </c>
      <c r="R463" s="14">
        <f>0</f>
        <v/>
      </c>
      <c r="S463" s="14">
        <f>0</f>
        <v/>
      </c>
      <c r="T463" s="14">
        <f>0</f>
        <v/>
      </c>
      <c r="U463" s="14">
        <f>0</f>
        <v/>
      </c>
      <c r="V463" s="14">
        <f>0</f>
        <v/>
      </c>
      <c r="W463" s="14">
        <f>0</f>
        <v/>
      </c>
      <c r="X463" s="14">
        <f>0</f>
        <v/>
      </c>
      <c r="Y463" s="14">
        <f>0</f>
        <v/>
      </c>
      <c r="Z463" s="14">
        <f>0</f>
        <v/>
      </c>
      <c r="AA463" s="14">
        <f>0</f>
        <v/>
      </c>
      <c r="AB463" s="14">
        <f>0</f>
        <v/>
      </c>
      <c r="AC463" s="14">
        <f>0</f>
        <v/>
      </c>
      <c r="AD463" s="14">
        <f>0</f>
        <v/>
      </c>
      <c r="AE463" s="14">
        <f>0</f>
        <v/>
      </c>
      <c r="AF463" s="14">
        <f>0</f>
        <v/>
      </c>
      <c r="AG463" s="14">
        <f>0</f>
        <v/>
      </c>
      <c r="AH463" s="14">
        <f>0</f>
        <v/>
      </c>
      <c r="AI463" s="14">
        <f>0</f>
        <v/>
      </c>
      <c r="AJ463" s="14">
        <f>0</f>
        <v/>
      </c>
      <c r="AK463" s="14">
        <f>0</f>
        <v/>
      </c>
      <c r="AL463" s="14">
        <f>0</f>
        <v/>
      </c>
      <c r="AM463" s="14">
        <f>0</f>
        <v/>
      </c>
      <c r="AN463" s="14">
        <f>0</f>
        <v/>
      </c>
      <c r="AO463" s="14">
        <f>0</f>
        <v/>
      </c>
      <c r="AP463" s="14">
        <f>0</f>
        <v/>
      </c>
      <c r="AQ463" s="14">
        <f>0</f>
        <v/>
      </c>
      <c r="AR463" s="14">
        <f>0</f>
        <v/>
      </c>
      <c r="AS463" s="14">
        <f>0</f>
        <v/>
      </c>
      <c r="AT463" s="14">
        <f>0</f>
        <v/>
      </c>
      <c r="AU463" s="14">
        <f>0</f>
        <v/>
      </c>
    </row>
    <row r="464">
      <c r="D464" t="inlineStr">
        <is>
          <t>R1 Mesa share of taxable income</t>
        </is>
      </c>
      <c r="E464" t="inlineStr">
        <is>
          <t>fraction</t>
        </is>
      </c>
      <c r="J464" s="14">
        <f>1</f>
        <v/>
      </c>
      <c r="K464" s="14">
        <f>1</f>
        <v/>
      </c>
      <c r="L464" s="14">
        <f>1</f>
        <v/>
      </c>
      <c r="M464" s="14">
        <f>1</f>
        <v/>
      </c>
      <c r="N464" s="14">
        <f>1</f>
        <v/>
      </c>
      <c r="O464" s="14">
        <f>1</f>
        <v/>
      </c>
      <c r="P464" s="14">
        <f>1</f>
        <v/>
      </c>
      <c r="Q464" s="14">
        <f>1</f>
        <v/>
      </c>
      <c r="R464" s="14">
        <f>1</f>
        <v/>
      </c>
      <c r="S464" s="14">
        <f>1</f>
        <v/>
      </c>
      <c r="T464" s="14">
        <f>1</f>
        <v/>
      </c>
      <c r="U464" s="14">
        <f>1</f>
        <v/>
      </c>
      <c r="V464" s="14">
        <f>1</f>
        <v/>
      </c>
      <c r="W464" s="14">
        <f>1</f>
        <v/>
      </c>
      <c r="X464" s="14">
        <f>1</f>
        <v/>
      </c>
      <c r="Y464" s="14">
        <f>1</f>
        <v/>
      </c>
      <c r="Z464" s="14">
        <f>1</f>
        <v/>
      </c>
      <c r="AA464" s="14">
        <f>1</f>
        <v/>
      </c>
      <c r="AB464" s="14">
        <f>1</f>
        <v/>
      </c>
      <c r="AC464" s="14">
        <f>1</f>
        <v/>
      </c>
      <c r="AD464" s="14">
        <f>1</f>
        <v/>
      </c>
      <c r="AE464" s="14">
        <f>1</f>
        <v/>
      </c>
      <c r="AF464" s="14">
        <f>1</f>
        <v/>
      </c>
      <c r="AG464" s="14">
        <f>1</f>
        <v/>
      </c>
      <c r="AH464" s="14">
        <f>1</f>
        <v/>
      </c>
      <c r="AI464" s="14">
        <f>1</f>
        <v/>
      </c>
      <c r="AJ464" s="14">
        <f>1</f>
        <v/>
      </c>
      <c r="AK464" s="14">
        <f>1</f>
        <v/>
      </c>
      <c r="AL464" s="14">
        <f>1</f>
        <v/>
      </c>
      <c r="AM464" s="14">
        <f>1</f>
        <v/>
      </c>
      <c r="AN464" s="14">
        <f>1</f>
        <v/>
      </c>
      <c r="AO464" s="14">
        <f>1</f>
        <v/>
      </c>
      <c r="AP464" s="14">
        <f>1</f>
        <v/>
      </c>
      <c r="AQ464" s="14">
        <f>1</f>
        <v/>
      </c>
      <c r="AR464" s="14">
        <f>1</f>
        <v/>
      </c>
      <c r="AS464" s="14">
        <f>1</f>
        <v/>
      </c>
      <c r="AT464" s="14">
        <f>1</f>
        <v/>
      </c>
      <c r="AU464" s="14">
        <f>1</f>
        <v/>
      </c>
    </row>
    <row r="465">
      <c r="D465" t="inlineStr">
        <is>
          <t>R1 Mesa share of cash flow</t>
        </is>
      </c>
      <c r="E465" t="inlineStr">
        <is>
          <t>USD m</t>
        </is>
      </c>
      <c r="G465" s="20">
        <f>SUM(J465:AU465)</f>
        <v/>
      </c>
      <c r="J465" s="20">
        <f>Operations!J462*(1-Operations!J463)*Operations!J436</f>
        <v/>
      </c>
      <c r="K465" s="20">
        <f>Operations!K462*(1-Operations!K463)*Operations!K436</f>
        <v/>
      </c>
      <c r="L465" s="20">
        <f>Operations!L462*(1-Operations!L463)*Operations!L436</f>
        <v/>
      </c>
      <c r="M465" s="20">
        <f>Operations!M462*(1-Operations!M463)*Operations!M436</f>
        <v/>
      </c>
      <c r="N465" s="20">
        <f>Operations!N462*(1-Operations!N463)*Operations!N436</f>
        <v/>
      </c>
      <c r="O465" s="20">
        <f>Operations!O462*(1-Operations!O463)*Operations!O436</f>
        <v/>
      </c>
      <c r="P465" s="20">
        <f>Operations!P462*(1-Operations!P463)*Operations!P436</f>
        <v/>
      </c>
      <c r="Q465" s="20">
        <f>Operations!Q462*(1-Operations!Q463)*Operations!Q436</f>
        <v/>
      </c>
      <c r="R465" s="20">
        <f>Operations!R462*(1-Operations!R463)*Operations!R436</f>
        <v/>
      </c>
      <c r="S465" s="20">
        <f>Operations!S462*(1-Operations!S463)*Operations!S436</f>
        <v/>
      </c>
      <c r="T465" s="20">
        <f>Operations!T462*(1-Operations!T463)*Operations!T436</f>
        <v/>
      </c>
      <c r="U465" s="20">
        <f>Operations!U462*(1-Operations!U463)*Operations!U436</f>
        <v/>
      </c>
      <c r="V465" s="20">
        <f>Operations!V462*(1-Operations!V463)*Operations!V436</f>
        <v/>
      </c>
      <c r="W465" s="20">
        <f>Operations!W462*(1-Operations!W463)*Operations!W436</f>
        <v/>
      </c>
      <c r="X465" s="20">
        <f>Operations!X462*(1-Operations!X463)*Operations!X436</f>
        <v/>
      </c>
      <c r="Y465" s="20">
        <f>Operations!Y462*(1-Operations!Y463)*Operations!Y436</f>
        <v/>
      </c>
      <c r="Z465" s="20">
        <f>Operations!Z462*(1-Operations!Z463)*Operations!Z436</f>
        <v/>
      </c>
      <c r="AA465" s="20">
        <f>Operations!AA462*(1-Operations!AA463)*Operations!AA436</f>
        <v/>
      </c>
      <c r="AB465" s="20">
        <f>Operations!AB462*(1-Operations!AB463)*Operations!AB436</f>
        <v/>
      </c>
      <c r="AC465" s="20">
        <f>Operations!AC462*(1-Operations!AC463)*Operations!AC436</f>
        <v/>
      </c>
      <c r="AD465" s="20">
        <f>Operations!AD462*(1-Operations!AD463)*Operations!AD436</f>
        <v/>
      </c>
      <c r="AE465" s="20">
        <f>Operations!AE462*(1-Operations!AE463)*Operations!AE436</f>
        <v/>
      </c>
      <c r="AF465" s="20">
        <f>Operations!AF462*(1-Operations!AF463)*Operations!AF436</f>
        <v/>
      </c>
      <c r="AG465" s="20">
        <f>Operations!AG462*(1-Operations!AG463)*Operations!AG436</f>
        <v/>
      </c>
      <c r="AH465" s="20">
        <f>Operations!AH462*(1-Operations!AH463)*Operations!AH436</f>
        <v/>
      </c>
      <c r="AI465" s="20">
        <f>Operations!AI462*(1-Operations!AI463)*Operations!AI436</f>
        <v/>
      </c>
      <c r="AJ465" s="20">
        <f>Operations!AJ462*(1-Operations!AJ463)*Operations!AJ436</f>
        <v/>
      </c>
      <c r="AK465" s="20">
        <f>Operations!AK462*(1-Operations!AK463)*Operations!AK436</f>
        <v/>
      </c>
      <c r="AL465" s="20">
        <f>Operations!AL462*(1-Operations!AL463)*Operations!AL436</f>
        <v/>
      </c>
      <c r="AM465" s="20">
        <f>Operations!AM462*(1-Operations!AM463)*Operations!AM436</f>
        <v/>
      </c>
      <c r="AN465" s="20">
        <f>Operations!AN462*(1-Operations!AN463)*Operations!AN436</f>
        <v/>
      </c>
      <c r="AO465" s="20">
        <f>Operations!AO462*(1-Operations!AO463)*Operations!AO436</f>
        <v/>
      </c>
      <c r="AP465" s="20">
        <f>Operations!AP462*(1-Operations!AP463)*Operations!AP436</f>
        <v/>
      </c>
      <c r="AQ465" s="20">
        <f>Operations!AQ462*(1-Operations!AQ463)*Operations!AQ436</f>
        <v/>
      </c>
      <c r="AR465" s="20">
        <f>Operations!AR462*(1-Operations!AR463)*Operations!AR436</f>
        <v/>
      </c>
      <c r="AS465" s="20">
        <f>Operations!AS462*(1-Operations!AS463)*Operations!AS436</f>
        <v/>
      </c>
      <c r="AT465" s="20">
        <f>Operations!AT462*(1-Operations!AT463)*Operations!AT436</f>
        <v/>
      </c>
      <c r="AU465" s="20">
        <f>Operations!AU462*(1-Operations!AU463)*Operations!AU436</f>
        <v/>
      </c>
    </row>
    <row r="466">
      <c r="D466" t="inlineStr">
        <is>
          <t>R1 Mesa taxable operating income</t>
        </is>
      </c>
      <c r="E466" t="inlineStr">
        <is>
          <t>USD m</t>
        </is>
      </c>
      <c r="J466" s="20">
        <f>Operations!J462*Operations!J464*Operations!J436</f>
        <v/>
      </c>
      <c r="K466" s="20">
        <f>Operations!K462*Operations!K464*Operations!K436</f>
        <v/>
      </c>
      <c r="L466" s="20">
        <f>Operations!L462*Operations!L464*Operations!L436</f>
        <v/>
      </c>
      <c r="M466" s="20">
        <f>Operations!M462*Operations!M464*Operations!M436</f>
        <v/>
      </c>
      <c r="N466" s="20">
        <f>Operations!N462*Operations!N464*Operations!N436</f>
        <v/>
      </c>
      <c r="O466" s="20">
        <f>Operations!O462*Operations!O464*Operations!O436</f>
        <v/>
      </c>
      <c r="P466" s="20">
        <f>Operations!P462*Operations!P464*Operations!P436</f>
        <v/>
      </c>
      <c r="Q466" s="20">
        <f>Operations!Q462*Operations!Q464*Operations!Q436</f>
        <v/>
      </c>
      <c r="R466" s="20">
        <f>Operations!R462*Operations!R464*Operations!R436</f>
        <v/>
      </c>
      <c r="S466" s="20">
        <f>Operations!S462*Operations!S464*Operations!S436</f>
        <v/>
      </c>
      <c r="T466" s="20">
        <f>Operations!T462*Operations!T464*Operations!T436</f>
        <v/>
      </c>
      <c r="U466" s="20">
        <f>Operations!U462*Operations!U464*Operations!U436</f>
        <v/>
      </c>
      <c r="V466" s="20">
        <f>Operations!V462*Operations!V464*Operations!V436</f>
        <v/>
      </c>
      <c r="W466" s="20">
        <f>Operations!W462*Operations!W464*Operations!W436</f>
        <v/>
      </c>
      <c r="X466" s="20">
        <f>Operations!X462*Operations!X464*Operations!X436</f>
        <v/>
      </c>
      <c r="Y466" s="20">
        <f>Operations!Y462*Operations!Y464*Operations!Y436</f>
        <v/>
      </c>
      <c r="Z466" s="20">
        <f>Operations!Z462*Operations!Z464*Operations!Z436</f>
        <v/>
      </c>
      <c r="AA466" s="20">
        <f>Operations!AA462*Operations!AA464*Operations!AA436</f>
        <v/>
      </c>
      <c r="AB466" s="20">
        <f>Operations!AB462*Operations!AB464*Operations!AB436</f>
        <v/>
      </c>
      <c r="AC466" s="20">
        <f>Operations!AC462*Operations!AC464*Operations!AC436</f>
        <v/>
      </c>
      <c r="AD466" s="20">
        <f>Operations!AD462*Operations!AD464*Operations!AD436</f>
        <v/>
      </c>
      <c r="AE466" s="20">
        <f>Operations!AE462*Operations!AE464*Operations!AE436</f>
        <v/>
      </c>
      <c r="AF466" s="20">
        <f>Operations!AF462*Operations!AF464*Operations!AF436</f>
        <v/>
      </c>
      <c r="AG466" s="20">
        <f>Operations!AG462*Operations!AG464*Operations!AG436</f>
        <v/>
      </c>
      <c r="AH466" s="20">
        <f>Operations!AH462*Operations!AH464*Operations!AH436</f>
        <v/>
      </c>
      <c r="AI466" s="20">
        <f>Operations!AI462*Operations!AI464*Operations!AI436</f>
        <v/>
      </c>
      <c r="AJ466" s="20">
        <f>Operations!AJ462*Operations!AJ464*Operations!AJ436</f>
        <v/>
      </c>
      <c r="AK466" s="20">
        <f>Operations!AK462*Operations!AK464*Operations!AK436</f>
        <v/>
      </c>
      <c r="AL466" s="20">
        <f>Operations!AL462*Operations!AL464*Operations!AL436</f>
        <v/>
      </c>
      <c r="AM466" s="20">
        <f>Operations!AM462*Operations!AM464*Operations!AM436</f>
        <v/>
      </c>
      <c r="AN466" s="20">
        <f>Operations!AN462*Operations!AN464*Operations!AN436</f>
        <v/>
      </c>
      <c r="AO466" s="20">
        <f>Operations!AO462*Operations!AO464*Operations!AO436</f>
        <v/>
      </c>
      <c r="AP466" s="20">
        <f>Operations!AP462*Operations!AP464*Operations!AP436</f>
        <v/>
      </c>
      <c r="AQ466" s="20">
        <f>Operations!AQ462*Operations!AQ464*Operations!AQ436</f>
        <v/>
      </c>
      <c r="AR466" s="20">
        <f>Operations!AR462*Operations!AR464*Operations!AR436</f>
        <v/>
      </c>
      <c r="AS466" s="20">
        <f>Operations!AS462*Operations!AS464*Operations!AS436</f>
        <v/>
      </c>
      <c r="AT466" s="20">
        <f>Operations!AT462*Operations!AT464*Operations!AT436</f>
        <v/>
      </c>
      <c r="AU466" s="20">
        <f>Operations!AU462*Operations!AU464*Operations!AU436</f>
        <v/>
      </c>
    </row>
    <row r="467">
      <c r="D467" t="inlineStr">
        <is>
          <t>R1 Mesa unlevered post-tax cash flow (before price shield)</t>
        </is>
      </c>
      <c r="E467" t="inlineStr">
        <is>
          <t>USD m</t>
        </is>
      </c>
      <c r="J467" s="20">
        <f>Operations!J465-Inputs!$F$241/100*Operations!J466</f>
        <v/>
      </c>
      <c r="K467" s="20">
        <f>Operations!K465-Inputs!$F$241/100*Operations!K466</f>
        <v/>
      </c>
      <c r="L467" s="20">
        <f>Operations!L465-Inputs!$F$241/100*Operations!L466</f>
        <v/>
      </c>
      <c r="M467" s="20">
        <f>Operations!M465-Inputs!$F$241/100*Operations!M466</f>
        <v/>
      </c>
      <c r="N467" s="20">
        <f>Operations!N465-Inputs!$F$241/100*Operations!N466</f>
        <v/>
      </c>
      <c r="O467" s="20">
        <f>Operations!O465-Inputs!$F$241/100*Operations!O466</f>
        <v/>
      </c>
      <c r="P467" s="20">
        <f>Operations!P465-Inputs!$F$241/100*Operations!P466</f>
        <v/>
      </c>
      <c r="Q467" s="20">
        <f>Operations!Q465-Inputs!$F$241/100*Operations!Q466</f>
        <v/>
      </c>
      <c r="R467" s="20">
        <f>Operations!R465-Inputs!$F$241/100*Operations!R466</f>
        <v/>
      </c>
      <c r="S467" s="20">
        <f>Operations!S465-Inputs!$F$241/100*Operations!S466</f>
        <v/>
      </c>
      <c r="T467" s="20">
        <f>Operations!T465-Inputs!$F$241/100*Operations!T466</f>
        <v/>
      </c>
      <c r="U467" s="20">
        <f>Operations!U465-Inputs!$F$241/100*Operations!U466</f>
        <v/>
      </c>
      <c r="V467" s="20">
        <f>Operations!V465-Inputs!$F$241/100*Operations!V466</f>
        <v/>
      </c>
      <c r="W467" s="20">
        <f>Operations!W465-Inputs!$F$241/100*Operations!W466</f>
        <v/>
      </c>
      <c r="X467" s="20">
        <f>Operations!X465-Inputs!$F$241/100*Operations!X466</f>
        <v/>
      </c>
      <c r="Y467" s="20">
        <f>Operations!Y465-Inputs!$F$241/100*Operations!Y466</f>
        <v/>
      </c>
      <c r="Z467" s="20">
        <f>Operations!Z465-Inputs!$F$241/100*Operations!Z466</f>
        <v/>
      </c>
      <c r="AA467" s="20">
        <f>Operations!AA465-Inputs!$F$241/100*Operations!AA466</f>
        <v/>
      </c>
      <c r="AB467" s="20">
        <f>Operations!AB465-Inputs!$F$241/100*Operations!AB466</f>
        <v/>
      </c>
      <c r="AC467" s="20">
        <f>Operations!AC465-Inputs!$F$241/100*Operations!AC466</f>
        <v/>
      </c>
      <c r="AD467" s="20">
        <f>Operations!AD465-Inputs!$F$241/100*Operations!AD466</f>
        <v/>
      </c>
      <c r="AE467" s="20">
        <f>Operations!AE465-Inputs!$F$241/100*Operations!AE466</f>
        <v/>
      </c>
      <c r="AF467" s="20">
        <f>Operations!AF465-Inputs!$F$241/100*Operations!AF466</f>
        <v/>
      </c>
      <c r="AG467" s="20">
        <f>Operations!AG465-Inputs!$F$241/100*Operations!AG466</f>
        <v/>
      </c>
      <c r="AH467" s="20">
        <f>Operations!AH465-Inputs!$F$241/100*Operations!AH466</f>
        <v/>
      </c>
      <c r="AI467" s="20">
        <f>Operations!AI465-Inputs!$F$241/100*Operations!AI466</f>
        <v/>
      </c>
      <c r="AJ467" s="20">
        <f>Operations!AJ465-Inputs!$F$241/100*Operations!AJ466</f>
        <v/>
      </c>
      <c r="AK467" s="20">
        <f>Operations!AK465-Inputs!$F$241/100*Operations!AK466</f>
        <v/>
      </c>
      <c r="AL467" s="20">
        <f>Operations!AL465-Inputs!$F$241/100*Operations!AL466</f>
        <v/>
      </c>
      <c r="AM467" s="20">
        <f>Operations!AM465-Inputs!$F$241/100*Operations!AM466</f>
        <v/>
      </c>
      <c r="AN467" s="20">
        <f>Operations!AN465-Inputs!$F$241/100*Operations!AN466</f>
        <v/>
      </c>
      <c r="AO467" s="20">
        <f>Operations!AO465-Inputs!$F$241/100*Operations!AO466</f>
        <v/>
      </c>
      <c r="AP467" s="20">
        <f>Operations!AP465-Inputs!$F$241/100*Operations!AP466</f>
        <v/>
      </c>
      <c r="AQ467" s="20">
        <f>Operations!AQ465-Inputs!$F$241/100*Operations!AQ466</f>
        <v/>
      </c>
      <c r="AR467" s="20">
        <f>Operations!AR465-Inputs!$F$241/100*Operations!AR466</f>
        <v/>
      </c>
      <c r="AS467" s="20">
        <f>Operations!AS465-Inputs!$F$241/100*Operations!AS466</f>
        <v/>
      </c>
      <c r="AT467" s="20">
        <f>Operations!AT465-Inputs!$F$241/100*Operations!AT466</f>
        <v/>
      </c>
      <c r="AU467" s="20">
        <f>Operations!AU465-Inputs!$F$241/100*Operations!AU466</f>
        <v/>
      </c>
    </row>
    <row r="468">
      <c r="D468" t="inlineStr">
        <is>
          <t>R1 contracted share of revenue</t>
        </is>
      </c>
      <c r="E468" t="inlineStr">
        <is>
          <t>fraction</t>
        </is>
      </c>
      <c r="J468" s="14">
        <f>IF(Operations!J453=0,0,Operations!J450/Operations!J453)</f>
        <v/>
      </c>
      <c r="K468" s="14">
        <f>IF(Operations!K453=0,0,Operations!K450/Operations!K453)</f>
        <v/>
      </c>
      <c r="L468" s="14">
        <f>IF(Operations!L453=0,0,Operations!L450/Operations!L453)</f>
        <v/>
      </c>
      <c r="M468" s="14">
        <f>IF(Operations!M453=0,0,Operations!M450/Operations!M453)</f>
        <v/>
      </c>
      <c r="N468" s="14">
        <f>IF(Operations!N453=0,0,Operations!N450/Operations!N453)</f>
        <v/>
      </c>
      <c r="O468" s="14">
        <f>IF(Operations!O453=0,0,Operations!O450/Operations!O453)</f>
        <v/>
      </c>
      <c r="P468" s="14">
        <f>IF(Operations!P453=0,0,Operations!P450/Operations!P453)</f>
        <v/>
      </c>
      <c r="Q468" s="14">
        <f>IF(Operations!Q453=0,0,Operations!Q450/Operations!Q453)</f>
        <v/>
      </c>
      <c r="R468" s="14">
        <f>IF(Operations!R453=0,0,Operations!R450/Operations!R453)</f>
        <v/>
      </c>
      <c r="S468" s="14">
        <f>IF(Operations!S453=0,0,Operations!S450/Operations!S453)</f>
        <v/>
      </c>
      <c r="T468" s="14">
        <f>IF(Operations!T453=0,0,Operations!T450/Operations!T453)</f>
        <v/>
      </c>
      <c r="U468" s="14">
        <f>IF(Operations!U453=0,0,Operations!U450/Operations!U453)</f>
        <v/>
      </c>
      <c r="V468" s="14">
        <f>IF(Operations!V453=0,0,Operations!V450/Operations!V453)</f>
        <v/>
      </c>
      <c r="W468" s="14">
        <f>IF(Operations!W453=0,0,Operations!W450/Operations!W453)</f>
        <v/>
      </c>
      <c r="X468" s="14">
        <f>IF(Operations!X453=0,0,Operations!X450/Operations!X453)</f>
        <v/>
      </c>
      <c r="Y468" s="14">
        <f>IF(Operations!Y453=0,0,Operations!Y450/Operations!Y453)</f>
        <v/>
      </c>
      <c r="Z468" s="14">
        <f>IF(Operations!Z453=0,0,Operations!Z450/Operations!Z453)</f>
        <v/>
      </c>
      <c r="AA468" s="14">
        <f>IF(Operations!AA453=0,0,Operations!AA450/Operations!AA453)</f>
        <v/>
      </c>
      <c r="AB468" s="14">
        <f>IF(Operations!AB453=0,0,Operations!AB450/Operations!AB453)</f>
        <v/>
      </c>
      <c r="AC468" s="14">
        <f>IF(Operations!AC453=0,0,Operations!AC450/Operations!AC453)</f>
        <v/>
      </c>
      <c r="AD468" s="14">
        <f>IF(Operations!AD453=0,0,Operations!AD450/Operations!AD453)</f>
        <v/>
      </c>
      <c r="AE468" s="14">
        <f>IF(Operations!AE453=0,0,Operations!AE450/Operations!AE453)</f>
        <v/>
      </c>
      <c r="AF468" s="14">
        <f>IF(Operations!AF453=0,0,Operations!AF450/Operations!AF453)</f>
        <v/>
      </c>
      <c r="AG468" s="14">
        <f>IF(Operations!AG453=0,0,Operations!AG450/Operations!AG453)</f>
        <v/>
      </c>
      <c r="AH468" s="14">
        <f>IF(Operations!AH453=0,0,Operations!AH450/Operations!AH453)</f>
        <v/>
      </c>
      <c r="AI468" s="14">
        <f>IF(Operations!AI453=0,0,Operations!AI450/Operations!AI453)</f>
        <v/>
      </c>
      <c r="AJ468" s="14">
        <f>IF(Operations!AJ453=0,0,Operations!AJ450/Operations!AJ453)</f>
        <v/>
      </c>
      <c r="AK468" s="14">
        <f>IF(Operations!AK453=0,0,Operations!AK450/Operations!AK453)</f>
        <v/>
      </c>
      <c r="AL468" s="14">
        <f>IF(Operations!AL453=0,0,Operations!AL450/Operations!AL453)</f>
        <v/>
      </c>
      <c r="AM468" s="14">
        <f>IF(Operations!AM453=0,0,Operations!AM450/Operations!AM453)</f>
        <v/>
      </c>
      <c r="AN468" s="14">
        <f>IF(Operations!AN453=0,0,Operations!AN450/Operations!AN453)</f>
        <v/>
      </c>
      <c r="AO468" s="14">
        <f>IF(Operations!AO453=0,0,Operations!AO450/Operations!AO453)</f>
        <v/>
      </c>
      <c r="AP468" s="14">
        <f>IF(Operations!AP453=0,0,Operations!AP450/Operations!AP453)</f>
        <v/>
      </c>
      <c r="AQ468" s="14">
        <f>IF(Operations!AQ453=0,0,Operations!AQ450/Operations!AQ453)</f>
        <v/>
      </c>
      <c r="AR468" s="14">
        <f>IF(Operations!AR453=0,0,Operations!AR450/Operations!AR453)</f>
        <v/>
      </c>
      <c r="AS468" s="14">
        <f>IF(Operations!AS453=0,0,Operations!AS450/Operations!AS453)</f>
        <v/>
      </c>
      <c r="AT468" s="14">
        <f>IF(Operations!AT453=0,0,Operations!AT450/Operations!AT453)</f>
        <v/>
      </c>
      <c r="AU468" s="14">
        <f>IF(Operations!AU453=0,0,Operations!AU450/Operations!AU453)</f>
        <v/>
      </c>
    </row>
    <row r="469">
      <c r="D469" t="inlineStr">
        <is>
          <t>R1 hedged share of revenue</t>
        </is>
      </c>
      <c r="E469" t="inlineStr">
        <is>
          <t>fraction</t>
        </is>
      </c>
      <c r="J469" s="14">
        <f>IF(Operations!J453=0,0,Operations!J451/Operations!J453)</f>
        <v/>
      </c>
      <c r="K469" s="14">
        <f>IF(Operations!K453=0,0,Operations!K451/Operations!K453)</f>
        <v/>
      </c>
      <c r="L469" s="14">
        <f>IF(Operations!L453=0,0,Operations!L451/Operations!L453)</f>
        <v/>
      </c>
      <c r="M469" s="14">
        <f>IF(Operations!M453=0,0,Operations!M451/Operations!M453)</f>
        <v/>
      </c>
      <c r="N469" s="14">
        <f>IF(Operations!N453=0,0,Operations!N451/Operations!N453)</f>
        <v/>
      </c>
      <c r="O469" s="14">
        <f>IF(Operations!O453=0,0,Operations!O451/Operations!O453)</f>
        <v/>
      </c>
      <c r="P469" s="14">
        <f>IF(Operations!P453=0,0,Operations!P451/Operations!P453)</f>
        <v/>
      </c>
      <c r="Q469" s="14">
        <f>IF(Operations!Q453=0,0,Operations!Q451/Operations!Q453)</f>
        <v/>
      </c>
      <c r="R469" s="14">
        <f>IF(Operations!R453=0,0,Operations!R451/Operations!R453)</f>
        <v/>
      </c>
      <c r="S469" s="14">
        <f>IF(Operations!S453=0,0,Operations!S451/Operations!S453)</f>
        <v/>
      </c>
      <c r="T469" s="14">
        <f>IF(Operations!T453=0,0,Operations!T451/Operations!T453)</f>
        <v/>
      </c>
      <c r="U469" s="14">
        <f>IF(Operations!U453=0,0,Operations!U451/Operations!U453)</f>
        <v/>
      </c>
      <c r="V469" s="14">
        <f>IF(Operations!V453=0,0,Operations!V451/Operations!V453)</f>
        <v/>
      </c>
      <c r="W469" s="14">
        <f>IF(Operations!W453=0,0,Operations!W451/Operations!W453)</f>
        <v/>
      </c>
      <c r="X469" s="14">
        <f>IF(Operations!X453=0,0,Operations!X451/Operations!X453)</f>
        <v/>
      </c>
      <c r="Y469" s="14">
        <f>IF(Operations!Y453=0,0,Operations!Y451/Operations!Y453)</f>
        <v/>
      </c>
      <c r="Z469" s="14">
        <f>IF(Operations!Z453=0,0,Operations!Z451/Operations!Z453)</f>
        <v/>
      </c>
      <c r="AA469" s="14">
        <f>IF(Operations!AA453=0,0,Operations!AA451/Operations!AA453)</f>
        <v/>
      </c>
      <c r="AB469" s="14">
        <f>IF(Operations!AB453=0,0,Operations!AB451/Operations!AB453)</f>
        <v/>
      </c>
      <c r="AC469" s="14">
        <f>IF(Operations!AC453=0,0,Operations!AC451/Operations!AC453)</f>
        <v/>
      </c>
      <c r="AD469" s="14">
        <f>IF(Operations!AD453=0,0,Operations!AD451/Operations!AD453)</f>
        <v/>
      </c>
      <c r="AE469" s="14">
        <f>IF(Operations!AE453=0,0,Operations!AE451/Operations!AE453)</f>
        <v/>
      </c>
      <c r="AF469" s="14">
        <f>IF(Operations!AF453=0,0,Operations!AF451/Operations!AF453)</f>
        <v/>
      </c>
      <c r="AG469" s="14">
        <f>IF(Operations!AG453=0,0,Operations!AG451/Operations!AG453)</f>
        <v/>
      </c>
      <c r="AH469" s="14">
        <f>IF(Operations!AH453=0,0,Operations!AH451/Operations!AH453)</f>
        <v/>
      </c>
      <c r="AI469" s="14">
        <f>IF(Operations!AI453=0,0,Operations!AI451/Operations!AI453)</f>
        <v/>
      </c>
      <c r="AJ469" s="14">
        <f>IF(Operations!AJ453=0,0,Operations!AJ451/Operations!AJ453)</f>
        <v/>
      </c>
      <c r="AK469" s="14">
        <f>IF(Operations!AK453=0,0,Operations!AK451/Operations!AK453)</f>
        <v/>
      </c>
      <c r="AL469" s="14">
        <f>IF(Operations!AL453=0,0,Operations!AL451/Operations!AL453)</f>
        <v/>
      </c>
      <c r="AM469" s="14">
        <f>IF(Operations!AM453=0,0,Operations!AM451/Operations!AM453)</f>
        <v/>
      </c>
      <c r="AN469" s="14">
        <f>IF(Operations!AN453=0,0,Operations!AN451/Operations!AN453)</f>
        <v/>
      </c>
      <c r="AO469" s="14">
        <f>IF(Operations!AO453=0,0,Operations!AO451/Operations!AO453)</f>
        <v/>
      </c>
      <c r="AP469" s="14">
        <f>IF(Operations!AP453=0,0,Operations!AP451/Operations!AP453)</f>
        <v/>
      </c>
      <c r="AQ469" s="14">
        <f>IF(Operations!AQ453=0,0,Operations!AQ451/Operations!AQ453)</f>
        <v/>
      </c>
      <c r="AR469" s="14">
        <f>IF(Operations!AR453=0,0,Operations!AR451/Operations!AR453)</f>
        <v/>
      </c>
      <c r="AS469" s="14">
        <f>IF(Operations!AS453=0,0,Operations!AS451/Operations!AS453)</f>
        <v/>
      </c>
      <c r="AT469" s="14">
        <f>IF(Operations!AT453=0,0,Operations!AT451/Operations!AT453)</f>
        <v/>
      </c>
      <c r="AU469" s="14">
        <f>IF(Operations!AU453=0,0,Operations!AU451/Operations!AU453)</f>
        <v/>
      </c>
    </row>
    <row r="470">
      <c r="D470" t="inlineStr">
        <is>
          <t>R1 merchant share of revenue</t>
        </is>
      </c>
      <c r="E470" t="inlineStr">
        <is>
          <t>fraction</t>
        </is>
      </c>
      <c r="J470" s="14">
        <f>1-Operations!J468-Operations!J469</f>
        <v/>
      </c>
      <c r="K470" s="14">
        <f>1-Operations!K468-Operations!K469</f>
        <v/>
      </c>
      <c r="L470" s="14">
        <f>1-Operations!L468-Operations!L469</f>
        <v/>
      </c>
      <c r="M470" s="14">
        <f>1-Operations!M468-Operations!M469</f>
        <v/>
      </c>
      <c r="N470" s="14">
        <f>1-Operations!N468-Operations!N469</f>
        <v/>
      </c>
      <c r="O470" s="14">
        <f>1-Operations!O468-Operations!O469</f>
        <v/>
      </c>
      <c r="P470" s="14">
        <f>1-Operations!P468-Operations!P469</f>
        <v/>
      </c>
      <c r="Q470" s="14">
        <f>1-Operations!Q468-Operations!Q469</f>
        <v/>
      </c>
      <c r="R470" s="14">
        <f>1-Operations!R468-Operations!R469</f>
        <v/>
      </c>
      <c r="S470" s="14">
        <f>1-Operations!S468-Operations!S469</f>
        <v/>
      </c>
      <c r="T470" s="14">
        <f>1-Operations!T468-Operations!T469</f>
        <v/>
      </c>
      <c r="U470" s="14">
        <f>1-Operations!U468-Operations!U469</f>
        <v/>
      </c>
      <c r="V470" s="14">
        <f>1-Operations!V468-Operations!V469</f>
        <v/>
      </c>
      <c r="W470" s="14">
        <f>1-Operations!W468-Operations!W469</f>
        <v/>
      </c>
      <c r="X470" s="14">
        <f>1-Operations!X468-Operations!X469</f>
        <v/>
      </c>
      <c r="Y470" s="14">
        <f>1-Operations!Y468-Operations!Y469</f>
        <v/>
      </c>
      <c r="Z470" s="14">
        <f>1-Operations!Z468-Operations!Z469</f>
        <v/>
      </c>
      <c r="AA470" s="14">
        <f>1-Operations!AA468-Operations!AA469</f>
        <v/>
      </c>
      <c r="AB470" s="14">
        <f>1-Operations!AB468-Operations!AB469</f>
        <v/>
      </c>
      <c r="AC470" s="14">
        <f>1-Operations!AC468-Operations!AC469</f>
        <v/>
      </c>
      <c r="AD470" s="14">
        <f>1-Operations!AD468-Operations!AD469</f>
        <v/>
      </c>
      <c r="AE470" s="14">
        <f>1-Operations!AE468-Operations!AE469</f>
        <v/>
      </c>
      <c r="AF470" s="14">
        <f>1-Operations!AF468-Operations!AF469</f>
        <v/>
      </c>
      <c r="AG470" s="14">
        <f>1-Operations!AG468-Operations!AG469</f>
        <v/>
      </c>
      <c r="AH470" s="14">
        <f>1-Operations!AH468-Operations!AH469</f>
        <v/>
      </c>
      <c r="AI470" s="14">
        <f>1-Operations!AI468-Operations!AI469</f>
        <v/>
      </c>
      <c r="AJ470" s="14">
        <f>1-Operations!AJ468-Operations!AJ469</f>
        <v/>
      </c>
      <c r="AK470" s="14">
        <f>1-Operations!AK468-Operations!AK469</f>
        <v/>
      </c>
      <c r="AL470" s="14">
        <f>1-Operations!AL468-Operations!AL469</f>
        <v/>
      </c>
      <c r="AM470" s="14">
        <f>1-Operations!AM468-Operations!AM469</f>
        <v/>
      </c>
      <c r="AN470" s="14">
        <f>1-Operations!AN468-Operations!AN469</f>
        <v/>
      </c>
      <c r="AO470" s="14">
        <f>1-Operations!AO468-Operations!AO469</f>
        <v/>
      </c>
      <c r="AP470" s="14">
        <f>1-Operations!AP468-Operations!AP469</f>
        <v/>
      </c>
      <c r="AQ470" s="14">
        <f>1-Operations!AQ468-Operations!AQ469</f>
        <v/>
      </c>
      <c r="AR470" s="14">
        <f>1-Operations!AR468-Operations!AR469</f>
        <v/>
      </c>
      <c r="AS470" s="14">
        <f>1-Operations!AS468-Operations!AS469</f>
        <v/>
      </c>
      <c r="AT470" s="14">
        <f>1-Operations!AT468-Operations!AT469</f>
        <v/>
      </c>
      <c r="AU470" s="14">
        <f>1-Operations!AU468-Operations!AU469</f>
        <v/>
      </c>
    </row>
    <row r="471">
      <c r="D471" t="inlineStr">
        <is>
          <t>R1 Mesa-share contracted revenue</t>
        </is>
      </c>
      <c r="E471" t="inlineStr">
        <is>
          <t>USD m</t>
        </is>
      </c>
      <c r="J471" s="20">
        <f>Operations!J450*Operations!J436*(1-Operations!J463)</f>
        <v/>
      </c>
      <c r="K471" s="20">
        <f>Operations!K450*Operations!K436*(1-Operations!K463)</f>
        <v/>
      </c>
      <c r="L471" s="20">
        <f>Operations!L450*Operations!L436*(1-Operations!L463)</f>
        <v/>
      </c>
      <c r="M471" s="20">
        <f>Operations!M450*Operations!M436*(1-Operations!M463)</f>
        <v/>
      </c>
      <c r="N471" s="20">
        <f>Operations!N450*Operations!N436*(1-Operations!N463)</f>
        <v/>
      </c>
      <c r="O471" s="20">
        <f>Operations!O450*Operations!O436*(1-Operations!O463)</f>
        <v/>
      </c>
      <c r="P471" s="20">
        <f>Operations!P450*Operations!P436*(1-Operations!P463)</f>
        <v/>
      </c>
      <c r="Q471" s="20">
        <f>Operations!Q450*Operations!Q436*(1-Operations!Q463)</f>
        <v/>
      </c>
      <c r="R471" s="20">
        <f>Operations!R450*Operations!R436*(1-Operations!R463)</f>
        <v/>
      </c>
      <c r="S471" s="20">
        <f>Operations!S450*Operations!S436*(1-Operations!S463)</f>
        <v/>
      </c>
      <c r="T471" s="20">
        <f>Operations!T450*Operations!T436*(1-Operations!T463)</f>
        <v/>
      </c>
      <c r="U471" s="20">
        <f>Operations!U450*Operations!U436*(1-Operations!U463)</f>
        <v/>
      </c>
      <c r="V471" s="20">
        <f>Operations!V450*Operations!V436*(1-Operations!V463)</f>
        <v/>
      </c>
      <c r="W471" s="20">
        <f>Operations!W450*Operations!W436*(1-Operations!W463)</f>
        <v/>
      </c>
      <c r="X471" s="20">
        <f>Operations!X450*Operations!X436*(1-Operations!X463)</f>
        <v/>
      </c>
      <c r="Y471" s="20">
        <f>Operations!Y450*Operations!Y436*(1-Operations!Y463)</f>
        <v/>
      </c>
      <c r="Z471" s="20">
        <f>Operations!Z450*Operations!Z436*(1-Operations!Z463)</f>
        <v/>
      </c>
      <c r="AA471" s="20">
        <f>Operations!AA450*Operations!AA436*(1-Operations!AA463)</f>
        <v/>
      </c>
      <c r="AB471" s="20">
        <f>Operations!AB450*Operations!AB436*(1-Operations!AB463)</f>
        <v/>
      </c>
      <c r="AC471" s="20">
        <f>Operations!AC450*Operations!AC436*(1-Operations!AC463)</f>
        <v/>
      </c>
      <c r="AD471" s="20">
        <f>Operations!AD450*Operations!AD436*(1-Operations!AD463)</f>
        <v/>
      </c>
      <c r="AE471" s="20">
        <f>Operations!AE450*Operations!AE436*(1-Operations!AE463)</f>
        <v/>
      </c>
      <c r="AF471" s="20">
        <f>Operations!AF450*Operations!AF436*(1-Operations!AF463)</f>
        <v/>
      </c>
      <c r="AG471" s="20">
        <f>Operations!AG450*Operations!AG436*(1-Operations!AG463)</f>
        <v/>
      </c>
      <c r="AH471" s="20">
        <f>Operations!AH450*Operations!AH436*(1-Operations!AH463)</f>
        <v/>
      </c>
      <c r="AI471" s="20">
        <f>Operations!AI450*Operations!AI436*(1-Operations!AI463)</f>
        <v/>
      </c>
      <c r="AJ471" s="20">
        <f>Operations!AJ450*Operations!AJ436*(1-Operations!AJ463)</f>
        <v/>
      </c>
      <c r="AK471" s="20">
        <f>Operations!AK450*Operations!AK436*(1-Operations!AK463)</f>
        <v/>
      </c>
      <c r="AL471" s="20">
        <f>Operations!AL450*Operations!AL436*(1-Operations!AL463)</f>
        <v/>
      </c>
      <c r="AM471" s="20">
        <f>Operations!AM450*Operations!AM436*(1-Operations!AM463)</f>
        <v/>
      </c>
      <c r="AN471" s="20">
        <f>Operations!AN450*Operations!AN436*(1-Operations!AN463)</f>
        <v/>
      </c>
      <c r="AO471" s="20">
        <f>Operations!AO450*Operations!AO436*(1-Operations!AO463)</f>
        <v/>
      </c>
      <c r="AP471" s="20">
        <f>Operations!AP450*Operations!AP436*(1-Operations!AP463)</f>
        <v/>
      </c>
      <c r="AQ471" s="20">
        <f>Operations!AQ450*Operations!AQ436*(1-Operations!AQ463)</f>
        <v/>
      </c>
      <c r="AR471" s="20">
        <f>Operations!AR450*Operations!AR436*(1-Operations!AR463)</f>
        <v/>
      </c>
      <c r="AS471" s="20">
        <f>Operations!AS450*Operations!AS436*(1-Operations!AS463)</f>
        <v/>
      </c>
      <c r="AT471" s="20">
        <f>Operations!AT450*Operations!AT436*(1-Operations!AT463)</f>
        <v/>
      </c>
      <c r="AU471" s="20">
        <f>Operations!AU450*Operations!AU436*(1-Operations!AU463)</f>
        <v/>
      </c>
    </row>
    <row r="472">
      <c r="D472" t="inlineStr">
        <is>
          <t>R1 Mesa-share hedged revenue</t>
        </is>
      </c>
      <c r="E472" t="inlineStr">
        <is>
          <t>USD m</t>
        </is>
      </c>
      <c r="J472" s="20">
        <f>Operations!J451*Operations!J436*(1-Operations!J463)</f>
        <v/>
      </c>
      <c r="K472" s="20">
        <f>Operations!K451*Operations!K436*(1-Operations!K463)</f>
        <v/>
      </c>
      <c r="L472" s="20">
        <f>Operations!L451*Operations!L436*(1-Operations!L463)</f>
        <v/>
      </c>
      <c r="M472" s="20">
        <f>Operations!M451*Operations!M436*(1-Operations!M463)</f>
        <v/>
      </c>
      <c r="N472" s="20">
        <f>Operations!N451*Operations!N436*(1-Operations!N463)</f>
        <v/>
      </c>
      <c r="O472" s="20">
        <f>Operations!O451*Operations!O436*(1-Operations!O463)</f>
        <v/>
      </c>
      <c r="P472" s="20">
        <f>Operations!P451*Operations!P436*(1-Operations!P463)</f>
        <v/>
      </c>
      <c r="Q472" s="20">
        <f>Operations!Q451*Operations!Q436*(1-Operations!Q463)</f>
        <v/>
      </c>
      <c r="R472" s="20">
        <f>Operations!R451*Operations!R436*(1-Operations!R463)</f>
        <v/>
      </c>
      <c r="S472" s="20">
        <f>Operations!S451*Operations!S436*(1-Operations!S463)</f>
        <v/>
      </c>
      <c r="T472" s="20">
        <f>Operations!T451*Operations!T436*(1-Operations!T463)</f>
        <v/>
      </c>
      <c r="U472" s="20">
        <f>Operations!U451*Operations!U436*(1-Operations!U463)</f>
        <v/>
      </c>
      <c r="V472" s="20">
        <f>Operations!V451*Operations!V436*(1-Operations!V463)</f>
        <v/>
      </c>
      <c r="W472" s="20">
        <f>Operations!W451*Operations!W436*(1-Operations!W463)</f>
        <v/>
      </c>
      <c r="X472" s="20">
        <f>Operations!X451*Operations!X436*(1-Operations!X463)</f>
        <v/>
      </c>
      <c r="Y472" s="20">
        <f>Operations!Y451*Operations!Y436*(1-Operations!Y463)</f>
        <v/>
      </c>
      <c r="Z472" s="20">
        <f>Operations!Z451*Operations!Z436*(1-Operations!Z463)</f>
        <v/>
      </c>
      <c r="AA472" s="20">
        <f>Operations!AA451*Operations!AA436*(1-Operations!AA463)</f>
        <v/>
      </c>
      <c r="AB472" s="20">
        <f>Operations!AB451*Operations!AB436*(1-Operations!AB463)</f>
        <v/>
      </c>
      <c r="AC472" s="20">
        <f>Operations!AC451*Operations!AC436*(1-Operations!AC463)</f>
        <v/>
      </c>
      <c r="AD472" s="20">
        <f>Operations!AD451*Operations!AD436*(1-Operations!AD463)</f>
        <v/>
      </c>
      <c r="AE472" s="20">
        <f>Operations!AE451*Operations!AE436*(1-Operations!AE463)</f>
        <v/>
      </c>
      <c r="AF472" s="20">
        <f>Operations!AF451*Operations!AF436*(1-Operations!AF463)</f>
        <v/>
      </c>
      <c r="AG472" s="20">
        <f>Operations!AG451*Operations!AG436*(1-Operations!AG463)</f>
        <v/>
      </c>
      <c r="AH472" s="20">
        <f>Operations!AH451*Operations!AH436*(1-Operations!AH463)</f>
        <v/>
      </c>
      <c r="AI472" s="20">
        <f>Operations!AI451*Operations!AI436*(1-Operations!AI463)</f>
        <v/>
      </c>
      <c r="AJ472" s="20">
        <f>Operations!AJ451*Operations!AJ436*(1-Operations!AJ463)</f>
        <v/>
      </c>
      <c r="AK472" s="20">
        <f>Operations!AK451*Operations!AK436*(1-Operations!AK463)</f>
        <v/>
      </c>
      <c r="AL472" s="20">
        <f>Operations!AL451*Operations!AL436*(1-Operations!AL463)</f>
        <v/>
      </c>
      <c r="AM472" s="20">
        <f>Operations!AM451*Operations!AM436*(1-Operations!AM463)</f>
        <v/>
      </c>
      <c r="AN472" s="20">
        <f>Operations!AN451*Operations!AN436*(1-Operations!AN463)</f>
        <v/>
      </c>
      <c r="AO472" s="20">
        <f>Operations!AO451*Operations!AO436*(1-Operations!AO463)</f>
        <v/>
      </c>
      <c r="AP472" s="20">
        <f>Operations!AP451*Operations!AP436*(1-Operations!AP463)</f>
        <v/>
      </c>
      <c r="AQ472" s="20">
        <f>Operations!AQ451*Operations!AQ436*(1-Operations!AQ463)</f>
        <v/>
      </c>
      <c r="AR472" s="20">
        <f>Operations!AR451*Operations!AR436*(1-Operations!AR463)</f>
        <v/>
      </c>
      <c r="AS472" s="20">
        <f>Operations!AS451*Operations!AS436*(1-Operations!AS463)</f>
        <v/>
      </c>
      <c r="AT472" s="20">
        <f>Operations!AT451*Operations!AT436*(1-Operations!AT463)</f>
        <v/>
      </c>
      <c r="AU472" s="20">
        <f>Operations!AU451*Operations!AU436*(1-Operations!AU463)</f>
        <v/>
      </c>
    </row>
    <row r="473">
      <c r="D473" t="inlineStr">
        <is>
          <t>R1 Mesa-share merchant revenue</t>
        </is>
      </c>
      <c r="E473" t="inlineStr">
        <is>
          <t>USD m</t>
        </is>
      </c>
      <c r="J473" s="20">
        <f>Operations!J454*Operations!J436*(1-Operations!J463)</f>
        <v/>
      </c>
      <c r="K473" s="20">
        <f>Operations!K454*Operations!K436*(1-Operations!K463)</f>
        <v/>
      </c>
      <c r="L473" s="20">
        <f>Operations!L454*Operations!L436*(1-Operations!L463)</f>
        <v/>
      </c>
      <c r="M473" s="20">
        <f>Operations!M454*Operations!M436*(1-Operations!M463)</f>
        <v/>
      </c>
      <c r="N473" s="20">
        <f>Operations!N454*Operations!N436*(1-Operations!N463)</f>
        <v/>
      </c>
      <c r="O473" s="20">
        <f>Operations!O454*Operations!O436*(1-Operations!O463)</f>
        <v/>
      </c>
      <c r="P473" s="20">
        <f>Operations!P454*Operations!P436*(1-Operations!P463)</f>
        <v/>
      </c>
      <c r="Q473" s="20">
        <f>Operations!Q454*Operations!Q436*(1-Operations!Q463)</f>
        <v/>
      </c>
      <c r="R473" s="20">
        <f>Operations!R454*Operations!R436*(1-Operations!R463)</f>
        <v/>
      </c>
      <c r="S473" s="20">
        <f>Operations!S454*Operations!S436*(1-Operations!S463)</f>
        <v/>
      </c>
      <c r="T473" s="20">
        <f>Operations!T454*Operations!T436*(1-Operations!T463)</f>
        <v/>
      </c>
      <c r="U473" s="20">
        <f>Operations!U454*Operations!U436*(1-Operations!U463)</f>
        <v/>
      </c>
      <c r="V473" s="20">
        <f>Operations!V454*Operations!V436*(1-Operations!V463)</f>
        <v/>
      </c>
      <c r="W473" s="20">
        <f>Operations!W454*Operations!W436*(1-Operations!W463)</f>
        <v/>
      </c>
      <c r="X473" s="20">
        <f>Operations!X454*Operations!X436*(1-Operations!X463)</f>
        <v/>
      </c>
      <c r="Y473" s="20">
        <f>Operations!Y454*Operations!Y436*(1-Operations!Y463)</f>
        <v/>
      </c>
      <c r="Z473" s="20">
        <f>Operations!Z454*Operations!Z436*(1-Operations!Z463)</f>
        <v/>
      </c>
      <c r="AA473" s="20">
        <f>Operations!AA454*Operations!AA436*(1-Operations!AA463)</f>
        <v/>
      </c>
      <c r="AB473" s="20">
        <f>Operations!AB454*Operations!AB436*(1-Operations!AB463)</f>
        <v/>
      </c>
      <c r="AC473" s="20">
        <f>Operations!AC454*Operations!AC436*(1-Operations!AC463)</f>
        <v/>
      </c>
      <c r="AD473" s="20">
        <f>Operations!AD454*Operations!AD436*(1-Operations!AD463)</f>
        <v/>
      </c>
      <c r="AE473" s="20">
        <f>Operations!AE454*Operations!AE436*(1-Operations!AE463)</f>
        <v/>
      </c>
      <c r="AF473" s="20">
        <f>Operations!AF454*Operations!AF436*(1-Operations!AF463)</f>
        <v/>
      </c>
      <c r="AG473" s="20">
        <f>Operations!AG454*Operations!AG436*(1-Operations!AG463)</f>
        <v/>
      </c>
      <c r="AH473" s="20">
        <f>Operations!AH454*Operations!AH436*(1-Operations!AH463)</f>
        <v/>
      </c>
      <c r="AI473" s="20">
        <f>Operations!AI454*Operations!AI436*(1-Operations!AI463)</f>
        <v/>
      </c>
      <c r="AJ473" s="20">
        <f>Operations!AJ454*Operations!AJ436*(1-Operations!AJ463)</f>
        <v/>
      </c>
      <c r="AK473" s="20">
        <f>Operations!AK454*Operations!AK436*(1-Operations!AK463)</f>
        <v/>
      </c>
      <c r="AL473" s="20">
        <f>Operations!AL454*Operations!AL436*(1-Operations!AL463)</f>
        <v/>
      </c>
      <c r="AM473" s="20">
        <f>Operations!AM454*Operations!AM436*(1-Operations!AM463)</f>
        <v/>
      </c>
      <c r="AN473" s="20">
        <f>Operations!AN454*Operations!AN436*(1-Operations!AN463)</f>
        <v/>
      </c>
      <c r="AO473" s="20">
        <f>Operations!AO454*Operations!AO436*(1-Operations!AO463)</f>
        <v/>
      </c>
      <c r="AP473" s="20">
        <f>Operations!AP454*Operations!AP436*(1-Operations!AP463)</f>
        <v/>
      </c>
      <c r="AQ473" s="20">
        <f>Operations!AQ454*Operations!AQ436*(1-Operations!AQ463)</f>
        <v/>
      </c>
      <c r="AR473" s="20">
        <f>Operations!AR454*Operations!AR436*(1-Operations!AR463)</f>
        <v/>
      </c>
      <c r="AS473" s="20">
        <f>Operations!AS454*Operations!AS436*(1-Operations!AS463)</f>
        <v/>
      </c>
      <c r="AT473" s="20">
        <f>Operations!AT454*Operations!AT436*(1-Operations!AT463)</f>
        <v/>
      </c>
      <c r="AU473" s="20">
        <f>Operations!AU454*Operations!AU436*(1-Operations!AU463)</f>
        <v/>
      </c>
    </row>
    <row r="474">
      <c r="D474" t="inlineStr">
        <is>
          <t>R1 Mesa-share revenue</t>
        </is>
      </c>
      <c r="E474" t="inlineStr">
        <is>
          <t>USD m</t>
        </is>
      </c>
      <c r="J474" s="20">
        <f>Operations!J453*Operations!J436*(1-Operations!J463)</f>
        <v/>
      </c>
      <c r="K474" s="20">
        <f>Operations!K453*Operations!K436*(1-Operations!K463)</f>
        <v/>
      </c>
      <c r="L474" s="20">
        <f>Operations!L453*Operations!L436*(1-Operations!L463)</f>
        <v/>
      </c>
      <c r="M474" s="20">
        <f>Operations!M453*Operations!M436*(1-Operations!M463)</f>
        <v/>
      </c>
      <c r="N474" s="20">
        <f>Operations!N453*Operations!N436*(1-Operations!N463)</f>
        <v/>
      </c>
      <c r="O474" s="20">
        <f>Operations!O453*Operations!O436*(1-Operations!O463)</f>
        <v/>
      </c>
      <c r="P474" s="20">
        <f>Operations!P453*Operations!P436*(1-Operations!P463)</f>
        <v/>
      </c>
      <c r="Q474" s="20">
        <f>Operations!Q453*Operations!Q436*(1-Operations!Q463)</f>
        <v/>
      </c>
      <c r="R474" s="20">
        <f>Operations!R453*Operations!R436*(1-Operations!R463)</f>
        <v/>
      </c>
      <c r="S474" s="20">
        <f>Operations!S453*Operations!S436*(1-Operations!S463)</f>
        <v/>
      </c>
      <c r="T474" s="20">
        <f>Operations!T453*Operations!T436*(1-Operations!T463)</f>
        <v/>
      </c>
      <c r="U474" s="20">
        <f>Operations!U453*Operations!U436*(1-Operations!U463)</f>
        <v/>
      </c>
      <c r="V474" s="20">
        <f>Operations!V453*Operations!V436*(1-Operations!V463)</f>
        <v/>
      </c>
      <c r="W474" s="20">
        <f>Operations!W453*Operations!W436*(1-Operations!W463)</f>
        <v/>
      </c>
      <c r="X474" s="20">
        <f>Operations!X453*Operations!X436*(1-Operations!X463)</f>
        <v/>
      </c>
      <c r="Y474" s="20">
        <f>Operations!Y453*Operations!Y436*(1-Operations!Y463)</f>
        <v/>
      </c>
      <c r="Z474" s="20">
        <f>Operations!Z453*Operations!Z436*(1-Operations!Z463)</f>
        <v/>
      </c>
      <c r="AA474" s="20">
        <f>Operations!AA453*Operations!AA436*(1-Operations!AA463)</f>
        <v/>
      </c>
      <c r="AB474" s="20">
        <f>Operations!AB453*Operations!AB436*(1-Operations!AB463)</f>
        <v/>
      </c>
      <c r="AC474" s="20">
        <f>Operations!AC453*Operations!AC436*(1-Operations!AC463)</f>
        <v/>
      </c>
      <c r="AD474" s="20">
        <f>Operations!AD453*Operations!AD436*(1-Operations!AD463)</f>
        <v/>
      </c>
      <c r="AE474" s="20">
        <f>Operations!AE453*Operations!AE436*(1-Operations!AE463)</f>
        <v/>
      </c>
      <c r="AF474" s="20">
        <f>Operations!AF453*Operations!AF436*(1-Operations!AF463)</f>
        <v/>
      </c>
      <c r="AG474" s="20">
        <f>Operations!AG453*Operations!AG436*(1-Operations!AG463)</f>
        <v/>
      </c>
      <c r="AH474" s="20">
        <f>Operations!AH453*Operations!AH436*(1-Operations!AH463)</f>
        <v/>
      </c>
      <c r="AI474" s="20">
        <f>Operations!AI453*Operations!AI436*(1-Operations!AI463)</f>
        <v/>
      </c>
      <c r="AJ474" s="20">
        <f>Operations!AJ453*Operations!AJ436*(1-Operations!AJ463)</f>
        <v/>
      </c>
      <c r="AK474" s="20">
        <f>Operations!AK453*Operations!AK436*(1-Operations!AK463)</f>
        <v/>
      </c>
      <c r="AL474" s="20">
        <f>Operations!AL453*Operations!AL436*(1-Operations!AL463)</f>
        <v/>
      </c>
      <c r="AM474" s="20">
        <f>Operations!AM453*Operations!AM436*(1-Operations!AM463)</f>
        <v/>
      </c>
      <c r="AN474" s="20">
        <f>Operations!AN453*Operations!AN436*(1-Operations!AN463)</f>
        <v/>
      </c>
      <c r="AO474" s="20">
        <f>Operations!AO453*Operations!AO436*(1-Operations!AO463)</f>
        <v/>
      </c>
      <c r="AP474" s="20">
        <f>Operations!AP453*Operations!AP436*(1-Operations!AP463)</f>
        <v/>
      </c>
      <c r="AQ474" s="20">
        <f>Operations!AQ453*Operations!AQ436*(1-Operations!AQ463)</f>
        <v/>
      </c>
      <c r="AR474" s="20">
        <f>Operations!AR453*Operations!AR436*(1-Operations!AR463)</f>
        <v/>
      </c>
      <c r="AS474" s="20">
        <f>Operations!AS453*Operations!AS436*(1-Operations!AS463)</f>
        <v/>
      </c>
      <c r="AT474" s="20">
        <f>Operations!AT453*Operations!AT436*(1-Operations!AT463)</f>
        <v/>
      </c>
      <c r="AU474" s="20">
        <f>Operations!AU453*Operations!AU436*(1-Operations!AU463)</f>
        <v/>
      </c>
    </row>
    <row r="475">
      <c r="D475" s="19" t="inlineStr">
        <is>
          <t>R2 Sandoval Hills Wind (onshore wind (coastal))</t>
        </is>
      </c>
    </row>
    <row r="476">
      <c r="D476" t="inlineStr">
        <is>
          <t>R2 operating fraction</t>
        </is>
      </c>
      <c r="E476" t="inlineStr">
        <is>
          <t>fraction</t>
        </is>
      </c>
      <c r="J476" s="14">
        <f>MAX(0,MIN(Inputs!$F$101,Time!J$6)-MAX(Inputs!$F$100,Time!J$5))/Time!J$7</f>
        <v/>
      </c>
      <c r="K476" s="14">
        <f>MAX(0,MIN(Inputs!$F$101,Time!K$6)-MAX(Inputs!$F$100,Time!K$5))/Time!K$7</f>
        <v/>
      </c>
      <c r="L476" s="14">
        <f>MAX(0,MIN(Inputs!$F$101,Time!L$6)-MAX(Inputs!$F$100,Time!L$5))/Time!L$7</f>
        <v/>
      </c>
      <c r="M476" s="14">
        <f>MAX(0,MIN(Inputs!$F$101,Time!M$6)-MAX(Inputs!$F$100,Time!M$5))/Time!M$7</f>
        <v/>
      </c>
      <c r="N476" s="14">
        <f>MAX(0,MIN(Inputs!$F$101,Time!N$6)-MAX(Inputs!$F$100,Time!N$5))/Time!N$7</f>
        <v/>
      </c>
      <c r="O476" s="14">
        <f>MAX(0,MIN(Inputs!$F$101,Time!O$6)-MAX(Inputs!$F$100,Time!O$5))/Time!O$7</f>
        <v/>
      </c>
      <c r="P476" s="14">
        <f>MAX(0,MIN(Inputs!$F$101,Time!P$6)-MAX(Inputs!$F$100,Time!P$5))/Time!P$7</f>
        <v/>
      </c>
      <c r="Q476" s="14">
        <f>MAX(0,MIN(Inputs!$F$101,Time!Q$6)-MAX(Inputs!$F$100,Time!Q$5))/Time!Q$7</f>
        <v/>
      </c>
      <c r="R476" s="14">
        <f>MAX(0,MIN(Inputs!$F$101,Time!R$6)-MAX(Inputs!$F$100,Time!R$5))/Time!R$7</f>
        <v/>
      </c>
      <c r="S476" s="14">
        <f>MAX(0,MIN(Inputs!$F$101,Time!S$6)-MAX(Inputs!$F$100,Time!S$5))/Time!S$7</f>
        <v/>
      </c>
      <c r="T476" s="14">
        <f>MAX(0,MIN(Inputs!$F$101,Time!T$6)-MAX(Inputs!$F$100,Time!T$5))/Time!T$7</f>
        <v/>
      </c>
      <c r="U476" s="14">
        <f>MAX(0,MIN(Inputs!$F$101,Time!U$6)-MAX(Inputs!$F$100,Time!U$5))/Time!U$7</f>
        <v/>
      </c>
      <c r="V476" s="14">
        <f>MAX(0,MIN(Inputs!$F$101,Time!V$6)-MAX(Inputs!$F$100,Time!V$5))/Time!V$7</f>
        <v/>
      </c>
      <c r="W476" s="14">
        <f>MAX(0,MIN(Inputs!$F$101,Time!W$6)-MAX(Inputs!$F$100,Time!W$5))/Time!W$7</f>
        <v/>
      </c>
      <c r="X476" s="14">
        <f>MAX(0,MIN(Inputs!$F$101,Time!X$6)-MAX(Inputs!$F$100,Time!X$5))/Time!X$7</f>
        <v/>
      </c>
      <c r="Y476" s="14">
        <f>MAX(0,MIN(Inputs!$F$101,Time!Y$6)-MAX(Inputs!$F$100,Time!Y$5))/Time!Y$7</f>
        <v/>
      </c>
      <c r="Z476" s="14">
        <f>MAX(0,MIN(Inputs!$F$101,Time!Z$6)-MAX(Inputs!$F$100,Time!Z$5))/Time!Z$7</f>
        <v/>
      </c>
      <c r="AA476" s="14">
        <f>MAX(0,MIN(Inputs!$F$101,Time!AA$6)-MAX(Inputs!$F$100,Time!AA$5))/Time!AA$7</f>
        <v/>
      </c>
      <c r="AB476" s="14">
        <f>MAX(0,MIN(Inputs!$F$101,Time!AB$6)-MAX(Inputs!$F$100,Time!AB$5))/Time!AB$7</f>
        <v/>
      </c>
      <c r="AC476" s="14">
        <f>MAX(0,MIN(Inputs!$F$101,Time!AC$6)-MAX(Inputs!$F$100,Time!AC$5))/Time!AC$7</f>
        <v/>
      </c>
      <c r="AD476" s="14">
        <f>MAX(0,MIN(Inputs!$F$101,Time!AD$6)-MAX(Inputs!$F$100,Time!AD$5))/Time!AD$7</f>
        <v/>
      </c>
      <c r="AE476" s="14">
        <f>MAX(0,MIN(Inputs!$F$101,Time!AE$6)-MAX(Inputs!$F$100,Time!AE$5))/Time!AE$7</f>
        <v/>
      </c>
      <c r="AF476" s="14">
        <f>MAX(0,MIN(Inputs!$F$101,Time!AF$6)-MAX(Inputs!$F$100,Time!AF$5))/Time!AF$7</f>
        <v/>
      </c>
      <c r="AG476" s="14">
        <f>MAX(0,MIN(Inputs!$F$101,Time!AG$6)-MAX(Inputs!$F$100,Time!AG$5))/Time!AG$7</f>
        <v/>
      </c>
      <c r="AH476" s="14">
        <f>MAX(0,MIN(Inputs!$F$101,Time!AH$6)-MAX(Inputs!$F$100,Time!AH$5))/Time!AH$7</f>
        <v/>
      </c>
      <c r="AI476" s="14">
        <f>MAX(0,MIN(Inputs!$F$101,Time!AI$6)-MAX(Inputs!$F$100,Time!AI$5))/Time!AI$7</f>
        <v/>
      </c>
      <c r="AJ476" s="14">
        <f>MAX(0,MIN(Inputs!$F$101,Time!AJ$6)-MAX(Inputs!$F$100,Time!AJ$5))/Time!AJ$7</f>
        <v/>
      </c>
      <c r="AK476" s="14">
        <f>MAX(0,MIN(Inputs!$F$101,Time!AK$6)-MAX(Inputs!$F$100,Time!AK$5))/Time!AK$7</f>
        <v/>
      </c>
      <c r="AL476" s="14">
        <f>MAX(0,MIN(Inputs!$F$101,Time!AL$6)-MAX(Inputs!$F$100,Time!AL$5))/Time!AL$7</f>
        <v/>
      </c>
      <c r="AM476" s="14">
        <f>MAX(0,MIN(Inputs!$F$101,Time!AM$6)-MAX(Inputs!$F$100,Time!AM$5))/Time!AM$7</f>
        <v/>
      </c>
      <c r="AN476" s="14">
        <f>MAX(0,MIN(Inputs!$F$101,Time!AN$6)-MAX(Inputs!$F$100,Time!AN$5))/Time!AN$7</f>
        <v/>
      </c>
      <c r="AO476" s="14">
        <f>MAX(0,MIN(Inputs!$F$101,Time!AO$6)-MAX(Inputs!$F$100,Time!AO$5))/Time!AO$7</f>
        <v/>
      </c>
      <c r="AP476" s="14">
        <f>MAX(0,MIN(Inputs!$F$101,Time!AP$6)-MAX(Inputs!$F$100,Time!AP$5))/Time!AP$7</f>
        <v/>
      </c>
      <c r="AQ476" s="14">
        <f>MAX(0,MIN(Inputs!$F$101,Time!AQ$6)-MAX(Inputs!$F$100,Time!AQ$5))/Time!AQ$7</f>
        <v/>
      </c>
      <c r="AR476" s="14">
        <f>MAX(0,MIN(Inputs!$F$101,Time!AR$6)-MAX(Inputs!$F$100,Time!AR$5))/Time!AR$7</f>
        <v/>
      </c>
      <c r="AS476" s="14">
        <f>MAX(0,MIN(Inputs!$F$101,Time!AS$6)-MAX(Inputs!$F$100,Time!AS$5))/Time!AS$7</f>
        <v/>
      </c>
      <c r="AT476" s="14">
        <f>MAX(0,MIN(Inputs!$F$101,Time!AT$6)-MAX(Inputs!$F$100,Time!AT$5))/Time!AT$7</f>
        <v/>
      </c>
      <c r="AU476" s="14">
        <f>MAX(0,MIN(Inputs!$F$101,Time!AU$6)-MAX(Inputs!$F$100,Time!AU$5))/Time!AU$7</f>
        <v/>
      </c>
    </row>
    <row r="477">
      <c r="D477" t="inlineStr">
        <is>
          <t>R2 owned fraction</t>
        </is>
      </c>
      <c r="E477" t="inlineStr">
        <is>
          <t>fraction</t>
        </is>
      </c>
      <c r="J477" s="14">
        <f>MAX(0,MIN(Inputs!$F$101,Time!J$6)-MAX(MAX(Inputs!$F$102,Inputs!$F$100),Time!J$5))/Time!J$7</f>
        <v/>
      </c>
      <c r="K477" s="14">
        <f>MAX(0,MIN(Inputs!$F$101,Time!K$6)-MAX(MAX(Inputs!$F$102,Inputs!$F$100),Time!K$5))/Time!K$7</f>
        <v/>
      </c>
      <c r="L477" s="14">
        <f>MAX(0,MIN(Inputs!$F$101,Time!L$6)-MAX(MAX(Inputs!$F$102,Inputs!$F$100),Time!L$5))/Time!L$7</f>
        <v/>
      </c>
      <c r="M477" s="14">
        <f>MAX(0,MIN(Inputs!$F$101,Time!M$6)-MAX(MAX(Inputs!$F$102,Inputs!$F$100),Time!M$5))/Time!M$7</f>
        <v/>
      </c>
      <c r="N477" s="14">
        <f>MAX(0,MIN(Inputs!$F$101,Time!N$6)-MAX(MAX(Inputs!$F$102,Inputs!$F$100),Time!N$5))/Time!N$7</f>
        <v/>
      </c>
      <c r="O477" s="14">
        <f>MAX(0,MIN(Inputs!$F$101,Time!O$6)-MAX(MAX(Inputs!$F$102,Inputs!$F$100),Time!O$5))/Time!O$7</f>
        <v/>
      </c>
      <c r="P477" s="14">
        <f>MAX(0,MIN(Inputs!$F$101,Time!P$6)-MAX(MAX(Inputs!$F$102,Inputs!$F$100),Time!P$5))/Time!P$7</f>
        <v/>
      </c>
      <c r="Q477" s="14">
        <f>MAX(0,MIN(Inputs!$F$101,Time!Q$6)-MAX(MAX(Inputs!$F$102,Inputs!$F$100),Time!Q$5))/Time!Q$7</f>
        <v/>
      </c>
      <c r="R477" s="14">
        <f>MAX(0,MIN(Inputs!$F$101,Time!R$6)-MAX(MAX(Inputs!$F$102,Inputs!$F$100),Time!R$5))/Time!R$7</f>
        <v/>
      </c>
      <c r="S477" s="14">
        <f>MAX(0,MIN(Inputs!$F$101,Time!S$6)-MAX(MAX(Inputs!$F$102,Inputs!$F$100),Time!S$5))/Time!S$7</f>
        <v/>
      </c>
      <c r="T477" s="14">
        <f>MAX(0,MIN(Inputs!$F$101,Time!T$6)-MAX(MAX(Inputs!$F$102,Inputs!$F$100),Time!T$5))/Time!T$7</f>
        <v/>
      </c>
      <c r="U477" s="14">
        <f>MAX(0,MIN(Inputs!$F$101,Time!U$6)-MAX(MAX(Inputs!$F$102,Inputs!$F$100),Time!U$5))/Time!U$7</f>
        <v/>
      </c>
      <c r="V477" s="14">
        <f>MAX(0,MIN(Inputs!$F$101,Time!V$6)-MAX(MAX(Inputs!$F$102,Inputs!$F$100),Time!V$5))/Time!V$7</f>
        <v/>
      </c>
      <c r="W477" s="14">
        <f>MAX(0,MIN(Inputs!$F$101,Time!W$6)-MAX(MAX(Inputs!$F$102,Inputs!$F$100),Time!W$5))/Time!W$7</f>
        <v/>
      </c>
      <c r="X477" s="14">
        <f>MAX(0,MIN(Inputs!$F$101,Time!X$6)-MAX(MAX(Inputs!$F$102,Inputs!$F$100),Time!X$5))/Time!X$7</f>
        <v/>
      </c>
      <c r="Y477" s="14">
        <f>MAX(0,MIN(Inputs!$F$101,Time!Y$6)-MAX(MAX(Inputs!$F$102,Inputs!$F$100),Time!Y$5))/Time!Y$7</f>
        <v/>
      </c>
      <c r="Z477" s="14">
        <f>MAX(0,MIN(Inputs!$F$101,Time!Z$6)-MAX(MAX(Inputs!$F$102,Inputs!$F$100),Time!Z$5))/Time!Z$7</f>
        <v/>
      </c>
      <c r="AA477" s="14">
        <f>MAX(0,MIN(Inputs!$F$101,Time!AA$6)-MAX(MAX(Inputs!$F$102,Inputs!$F$100),Time!AA$5))/Time!AA$7</f>
        <v/>
      </c>
      <c r="AB477" s="14">
        <f>MAX(0,MIN(Inputs!$F$101,Time!AB$6)-MAX(MAX(Inputs!$F$102,Inputs!$F$100),Time!AB$5))/Time!AB$7</f>
        <v/>
      </c>
      <c r="AC477" s="14">
        <f>MAX(0,MIN(Inputs!$F$101,Time!AC$6)-MAX(MAX(Inputs!$F$102,Inputs!$F$100),Time!AC$5))/Time!AC$7</f>
        <v/>
      </c>
      <c r="AD477" s="14">
        <f>MAX(0,MIN(Inputs!$F$101,Time!AD$6)-MAX(MAX(Inputs!$F$102,Inputs!$F$100),Time!AD$5))/Time!AD$7</f>
        <v/>
      </c>
      <c r="AE477" s="14">
        <f>MAX(0,MIN(Inputs!$F$101,Time!AE$6)-MAX(MAX(Inputs!$F$102,Inputs!$F$100),Time!AE$5))/Time!AE$7</f>
        <v/>
      </c>
      <c r="AF477" s="14">
        <f>MAX(0,MIN(Inputs!$F$101,Time!AF$6)-MAX(MAX(Inputs!$F$102,Inputs!$F$100),Time!AF$5))/Time!AF$7</f>
        <v/>
      </c>
      <c r="AG477" s="14">
        <f>MAX(0,MIN(Inputs!$F$101,Time!AG$6)-MAX(MAX(Inputs!$F$102,Inputs!$F$100),Time!AG$5))/Time!AG$7</f>
        <v/>
      </c>
      <c r="AH477" s="14">
        <f>MAX(0,MIN(Inputs!$F$101,Time!AH$6)-MAX(MAX(Inputs!$F$102,Inputs!$F$100),Time!AH$5))/Time!AH$7</f>
        <v/>
      </c>
      <c r="AI477" s="14">
        <f>MAX(0,MIN(Inputs!$F$101,Time!AI$6)-MAX(MAX(Inputs!$F$102,Inputs!$F$100),Time!AI$5))/Time!AI$7</f>
        <v/>
      </c>
      <c r="AJ477" s="14">
        <f>MAX(0,MIN(Inputs!$F$101,Time!AJ$6)-MAX(MAX(Inputs!$F$102,Inputs!$F$100),Time!AJ$5))/Time!AJ$7</f>
        <v/>
      </c>
      <c r="AK477" s="14">
        <f>MAX(0,MIN(Inputs!$F$101,Time!AK$6)-MAX(MAX(Inputs!$F$102,Inputs!$F$100),Time!AK$5))/Time!AK$7</f>
        <v/>
      </c>
      <c r="AL477" s="14">
        <f>MAX(0,MIN(Inputs!$F$101,Time!AL$6)-MAX(MAX(Inputs!$F$102,Inputs!$F$100),Time!AL$5))/Time!AL$7</f>
        <v/>
      </c>
      <c r="AM477" s="14">
        <f>MAX(0,MIN(Inputs!$F$101,Time!AM$6)-MAX(MAX(Inputs!$F$102,Inputs!$F$100),Time!AM$5))/Time!AM$7</f>
        <v/>
      </c>
      <c r="AN477" s="14">
        <f>MAX(0,MIN(Inputs!$F$101,Time!AN$6)-MAX(MAX(Inputs!$F$102,Inputs!$F$100),Time!AN$5))/Time!AN$7</f>
        <v/>
      </c>
      <c r="AO477" s="14">
        <f>MAX(0,MIN(Inputs!$F$101,Time!AO$6)-MAX(MAX(Inputs!$F$102,Inputs!$F$100),Time!AO$5))/Time!AO$7</f>
        <v/>
      </c>
      <c r="AP477" s="14">
        <f>MAX(0,MIN(Inputs!$F$101,Time!AP$6)-MAX(MAX(Inputs!$F$102,Inputs!$F$100),Time!AP$5))/Time!AP$7</f>
        <v/>
      </c>
      <c r="AQ477" s="14">
        <f>MAX(0,MIN(Inputs!$F$101,Time!AQ$6)-MAX(MAX(Inputs!$F$102,Inputs!$F$100),Time!AQ$5))/Time!AQ$7</f>
        <v/>
      </c>
      <c r="AR477" s="14">
        <f>MAX(0,MIN(Inputs!$F$101,Time!AR$6)-MAX(MAX(Inputs!$F$102,Inputs!$F$100),Time!AR$5))/Time!AR$7</f>
        <v/>
      </c>
      <c r="AS477" s="14">
        <f>MAX(0,MIN(Inputs!$F$101,Time!AS$6)-MAX(MAX(Inputs!$F$102,Inputs!$F$100),Time!AS$5))/Time!AS$7</f>
        <v/>
      </c>
      <c r="AT477" s="14">
        <f>MAX(0,MIN(Inputs!$F$101,Time!AT$6)-MAX(MAX(Inputs!$F$102,Inputs!$F$100),Time!AT$5))/Time!AT$7</f>
        <v/>
      </c>
      <c r="AU477" s="14">
        <f>MAX(0,MIN(Inputs!$F$101,Time!AU$6)-MAX(MAX(Inputs!$F$102,Inputs!$F$100),Time!AU$5))/Time!AU$7</f>
        <v/>
      </c>
    </row>
    <row r="478">
      <c r="D478" t="inlineStr">
        <is>
          <t>R2 owned share of operating period</t>
        </is>
      </c>
      <c r="E478" t="inlineStr">
        <is>
          <t>fraction</t>
        </is>
      </c>
      <c r="J478" s="14">
        <f>IF(Operations!J476&gt;0,Operations!J477/Operations!J476,0)</f>
        <v/>
      </c>
      <c r="K478" s="14">
        <f>IF(Operations!K476&gt;0,Operations!K477/Operations!K476,0)</f>
        <v/>
      </c>
      <c r="L478" s="14">
        <f>IF(Operations!L476&gt;0,Operations!L477/Operations!L476,0)</f>
        <v/>
      </c>
      <c r="M478" s="14">
        <f>IF(Operations!M476&gt;0,Operations!M477/Operations!M476,0)</f>
        <v/>
      </c>
      <c r="N478" s="14">
        <f>IF(Operations!N476&gt;0,Operations!N477/Operations!N476,0)</f>
        <v/>
      </c>
      <c r="O478" s="14">
        <f>IF(Operations!O476&gt;0,Operations!O477/Operations!O476,0)</f>
        <v/>
      </c>
      <c r="P478" s="14">
        <f>IF(Operations!P476&gt;0,Operations!P477/Operations!P476,0)</f>
        <v/>
      </c>
      <c r="Q478" s="14">
        <f>IF(Operations!Q476&gt;0,Operations!Q477/Operations!Q476,0)</f>
        <v/>
      </c>
      <c r="R478" s="14">
        <f>IF(Operations!R476&gt;0,Operations!R477/Operations!R476,0)</f>
        <v/>
      </c>
      <c r="S478" s="14">
        <f>IF(Operations!S476&gt;0,Operations!S477/Operations!S476,0)</f>
        <v/>
      </c>
      <c r="T478" s="14">
        <f>IF(Operations!T476&gt;0,Operations!T477/Operations!T476,0)</f>
        <v/>
      </c>
      <c r="U478" s="14">
        <f>IF(Operations!U476&gt;0,Operations!U477/Operations!U476,0)</f>
        <v/>
      </c>
      <c r="V478" s="14">
        <f>IF(Operations!V476&gt;0,Operations!V477/Operations!V476,0)</f>
        <v/>
      </c>
      <c r="W478" s="14">
        <f>IF(Operations!W476&gt;0,Operations!W477/Operations!W476,0)</f>
        <v/>
      </c>
      <c r="X478" s="14">
        <f>IF(Operations!X476&gt;0,Operations!X477/Operations!X476,0)</f>
        <v/>
      </c>
      <c r="Y478" s="14">
        <f>IF(Operations!Y476&gt;0,Operations!Y477/Operations!Y476,0)</f>
        <v/>
      </c>
      <c r="Z478" s="14">
        <f>IF(Operations!Z476&gt;0,Operations!Z477/Operations!Z476,0)</f>
        <v/>
      </c>
      <c r="AA478" s="14">
        <f>IF(Operations!AA476&gt;0,Operations!AA477/Operations!AA476,0)</f>
        <v/>
      </c>
      <c r="AB478" s="14">
        <f>IF(Operations!AB476&gt;0,Operations!AB477/Operations!AB476,0)</f>
        <v/>
      </c>
      <c r="AC478" s="14">
        <f>IF(Operations!AC476&gt;0,Operations!AC477/Operations!AC476,0)</f>
        <v/>
      </c>
      <c r="AD478" s="14">
        <f>IF(Operations!AD476&gt;0,Operations!AD477/Operations!AD476,0)</f>
        <v/>
      </c>
      <c r="AE478" s="14">
        <f>IF(Operations!AE476&gt;0,Operations!AE477/Operations!AE476,0)</f>
        <v/>
      </c>
      <c r="AF478" s="14">
        <f>IF(Operations!AF476&gt;0,Operations!AF477/Operations!AF476,0)</f>
        <v/>
      </c>
      <c r="AG478" s="14">
        <f>IF(Operations!AG476&gt;0,Operations!AG477/Operations!AG476,0)</f>
        <v/>
      </c>
      <c r="AH478" s="14">
        <f>IF(Operations!AH476&gt;0,Operations!AH477/Operations!AH476,0)</f>
        <v/>
      </c>
      <c r="AI478" s="14">
        <f>IF(Operations!AI476&gt;0,Operations!AI477/Operations!AI476,0)</f>
        <v/>
      </c>
      <c r="AJ478" s="14">
        <f>IF(Operations!AJ476&gt;0,Operations!AJ477/Operations!AJ476,0)</f>
        <v/>
      </c>
      <c r="AK478" s="14">
        <f>IF(Operations!AK476&gt;0,Operations!AK477/Operations!AK476,0)</f>
        <v/>
      </c>
      <c r="AL478" s="14">
        <f>IF(Operations!AL476&gt;0,Operations!AL477/Operations!AL476,0)</f>
        <v/>
      </c>
      <c r="AM478" s="14">
        <f>IF(Operations!AM476&gt;0,Operations!AM477/Operations!AM476,0)</f>
        <v/>
      </c>
      <c r="AN478" s="14">
        <f>IF(Operations!AN476&gt;0,Operations!AN477/Operations!AN476,0)</f>
        <v/>
      </c>
      <c r="AO478" s="14">
        <f>IF(Operations!AO476&gt;0,Operations!AO477/Operations!AO476,0)</f>
        <v/>
      </c>
      <c r="AP478" s="14">
        <f>IF(Operations!AP476&gt;0,Operations!AP477/Operations!AP476,0)</f>
        <v/>
      </c>
      <c r="AQ478" s="14">
        <f>IF(Operations!AQ476&gt;0,Operations!AQ477/Operations!AQ476,0)</f>
        <v/>
      </c>
      <c r="AR478" s="14">
        <f>IF(Operations!AR476&gt;0,Operations!AR477/Operations!AR476,0)</f>
        <v/>
      </c>
      <c r="AS478" s="14">
        <f>IF(Operations!AS476&gt;0,Operations!AS477/Operations!AS476,0)</f>
        <v/>
      </c>
      <c r="AT478" s="14">
        <f>IF(Operations!AT476&gt;0,Operations!AT477/Operations!AT476,0)</f>
        <v/>
      </c>
      <c r="AU478" s="14">
        <f>IF(Operations!AU476&gt;0,Operations!AU477/Operations!AU476,0)</f>
        <v/>
      </c>
    </row>
    <row r="479">
      <c r="D479" t="inlineStr">
        <is>
          <t>R2 own hub ATC</t>
        </is>
      </c>
      <c r="E479" t="inlineStr">
        <is>
          <t>USD/MWh</t>
        </is>
      </c>
      <c r="J479" s="18">
        <f>Operations!J425</f>
        <v/>
      </c>
      <c r="K479" s="18">
        <f>Operations!K425</f>
        <v/>
      </c>
      <c r="L479" s="18">
        <f>Operations!L425</f>
        <v/>
      </c>
      <c r="M479" s="18">
        <f>Operations!M425</f>
        <v/>
      </c>
      <c r="N479" s="18">
        <f>Operations!N425</f>
        <v/>
      </c>
      <c r="O479" s="18">
        <f>Operations!O425</f>
        <v/>
      </c>
      <c r="P479" s="18">
        <f>Operations!P425</f>
        <v/>
      </c>
      <c r="Q479" s="18">
        <f>Operations!Q425</f>
        <v/>
      </c>
      <c r="R479" s="18">
        <f>Operations!R425</f>
        <v/>
      </c>
      <c r="S479" s="18">
        <f>Operations!S425</f>
        <v/>
      </c>
      <c r="T479" s="18">
        <f>Operations!T425</f>
        <v/>
      </c>
      <c r="U479" s="18">
        <f>Operations!U425</f>
        <v/>
      </c>
      <c r="V479" s="18">
        <f>Operations!V425</f>
        <v/>
      </c>
      <c r="W479" s="18">
        <f>Operations!W425</f>
        <v/>
      </c>
      <c r="X479" s="18">
        <f>Operations!X425</f>
        <v/>
      </c>
      <c r="Y479" s="18">
        <f>Operations!Y425</f>
        <v/>
      </c>
      <c r="Z479" s="18">
        <f>Operations!Z425</f>
        <v/>
      </c>
      <c r="AA479" s="18">
        <f>Operations!AA425</f>
        <v/>
      </c>
      <c r="AB479" s="18">
        <f>Operations!AB425</f>
        <v/>
      </c>
      <c r="AC479" s="18">
        <f>Operations!AC425</f>
        <v/>
      </c>
      <c r="AD479" s="18">
        <f>Operations!AD425</f>
        <v/>
      </c>
      <c r="AE479" s="18">
        <f>Operations!AE425</f>
        <v/>
      </c>
      <c r="AF479" s="18">
        <f>Operations!AF425</f>
        <v/>
      </c>
      <c r="AG479" s="18">
        <f>Operations!AG425</f>
        <v/>
      </c>
      <c r="AH479" s="18">
        <f>Operations!AH425</f>
        <v/>
      </c>
      <c r="AI479" s="18">
        <f>Operations!AI425</f>
        <v/>
      </c>
      <c r="AJ479" s="18">
        <f>Operations!AJ425</f>
        <v/>
      </c>
      <c r="AK479" s="18">
        <f>Operations!AK425</f>
        <v/>
      </c>
      <c r="AL479" s="18">
        <f>Operations!AL425</f>
        <v/>
      </c>
      <c r="AM479" s="18">
        <f>Operations!AM425</f>
        <v/>
      </c>
      <c r="AN479" s="18">
        <f>Operations!AN425</f>
        <v/>
      </c>
      <c r="AO479" s="18">
        <f>Operations!AO425</f>
        <v/>
      </c>
      <c r="AP479" s="18">
        <f>Operations!AP425</f>
        <v/>
      </c>
      <c r="AQ479" s="18">
        <f>Operations!AQ425</f>
        <v/>
      </c>
      <c r="AR479" s="18">
        <f>Operations!AR425</f>
        <v/>
      </c>
      <c r="AS479" s="18">
        <f>Operations!AS425</f>
        <v/>
      </c>
      <c r="AT479" s="18">
        <f>Operations!AT425</f>
        <v/>
      </c>
      <c r="AU479" s="18">
        <f>Operations!AU425</f>
        <v/>
      </c>
    </row>
    <row r="480">
      <c r="D480" t="inlineStr">
        <is>
          <t>R2 volume factor</t>
        </is>
      </c>
      <c r="E480" t="inlineStr">
        <is>
          <t>factor</t>
        </is>
      </c>
      <c r="J480" s="14">
        <f>CHOOSE(Operations!$F$418,1,Inputs!$F$106/100,Inputs!$F$107/100,Operations!$F$18/100)</f>
        <v/>
      </c>
      <c r="K480" s="14">
        <f>CHOOSE(Operations!$F$418,1,Inputs!$F$106/100,Inputs!$F$107/100,Operations!$F$18/100)</f>
        <v/>
      </c>
      <c r="L480" s="14">
        <f>CHOOSE(Operations!$F$418,1,Inputs!$F$106/100,Inputs!$F$107/100,Operations!$F$18/100)</f>
        <v/>
      </c>
      <c r="M480" s="14">
        <f>CHOOSE(Operations!$F$418,1,Inputs!$F$106/100,Inputs!$F$107/100,Operations!$F$18/100)</f>
        <v/>
      </c>
      <c r="N480" s="14">
        <f>CHOOSE(Operations!$F$418,1,Inputs!$F$106/100,Inputs!$F$107/100,Operations!$F$18/100)</f>
        <v/>
      </c>
      <c r="O480" s="14">
        <f>CHOOSE(Operations!$F$418,1,Inputs!$F$106/100,Inputs!$F$107/100,Operations!$F$18/100)</f>
        <v/>
      </c>
      <c r="P480" s="14">
        <f>CHOOSE(Operations!$F$418,1,Inputs!$F$106/100,Inputs!$F$107/100,Operations!$F$18/100)</f>
        <v/>
      </c>
      <c r="Q480" s="14">
        <f>CHOOSE(Operations!$F$418,1,Inputs!$F$106/100,Inputs!$F$107/100,Operations!$F$18/100)</f>
        <v/>
      </c>
      <c r="R480" s="14">
        <f>CHOOSE(Operations!$F$418,1,Inputs!$F$106/100,Inputs!$F$107/100,Operations!$F$18/100)</f>
        <v/>
      </c>
      <c r="S480" s="14">
        <f>CHOOSE(Operations!$F$418,1,Inputs!$F$106/100,Inputs!$F$107/100,Operations!$F$18/100)</f>
        <v/>
      </c>
      <c r="T480" s="14">
        <f>CHOOSE(Operations!$F$418,1,Inputs!$F$106/100,Inputs!$F$107/100,Operations!$F$18/100)</f>
        <v/>
      </c>
      <c r="U480" s="14">
        <f>CHOOSE(Operations!$F$418,1,Inputs!$F$106/100,Inputs!$F$107/100,Operations!$F$18/100)</f>
        <v/>
      </c>
      <c r="V480" s="14">
        <f>CHOOSE(Operations!$F$418,1,Inputs!$F$106/100,Inputs!$F$107/100,Operations!$F$18/100)</f>
        <v/>
      </c>
      <c r="W480" s="14">
        <f>CHOOSE(Operations!$F$418,1,Inputs!$F$106/100,Inputs!$F$107/100,Operations!$F$18/100)</f>
        <v/>
      </c>
      <c r="X480" s="14">
        <f>CHOOSE(Operations!$F$418,1,Inputs!$F$106/100,Inputs!$F$107/100,Operations!$F$18/100)</f>
        <v/>
      </c>
      <c r="Y480" s="14">
        <f>CHOOSE(Operations!$F$418,1,Inputs!$F$106/100,Inputs!$F$107/100,Operations!$F$18/100)</f>
        <v/>
      </c>
      <c r="Z480" s="14">
        <f>CHOOSE(Operations!$F$418,1,Inputs!$F$106/100,Inputs!$F$107/100,Operations!$F$18/100)</f>
        <v/>
      </c>
      <c r="AA480" s="14">
        <f>CHOOSE(Operations!$F$418,1,Inputs!$F$106/100,Inputs!$F$107/100,Operations!$F$18/100)</f>
        <v/>
      </c>
      <c r="AB480" s="14">
        <f>CHOOSE(Operations!$F$418,1,Inputs!$F$106/100,Inputs!$F$107/100,Operations!$F$18/100)</f>
        <v/>
      </c>
      <c r="AC480" s="14">
        <f>CHOOSE(Operations!$F$418,1,Inputs!$F$106/100,Inputs!$F$107/100,Operations!$F$18/100)</f>
        <v/>
      </c>
      <c r="AD480" s="14">
        <f>CHOOSE(Operations!$F$418,1,Inputs!$F$106/100,Inputs!$F$107/100,Operations!$F$18/100)</f>
        <v/>
      </c>
      <c r="AE480" s="14">
        <f>CHOOSE(Operations!$F$418,1,Inputs!$F$106/100,Inputs!$F$107/100,Operations!$F$18/100)</f>
        <v/>
      </c>
      <c r="AF480" s="14">
        <f>CHOOSE(Operations!$F$418,1,Inputs!$F$106/100,Inputs!$F$107/100,Operations!$F$18/100)</f>
        <v/>
      </c>
      <c r="AG480" s="14">
        <f>CHOOSE(Operations!$F$418,1,Inputs!$F$106/100,Inputs!$F$107/100,Operations!$F$18/100)</f>
        <v/>
      </c>
      <c r="AH480" s="14">
        <f>CHOOSE(Operations!$F$418,1,Inputs!$F$106/100,Inputs!$F$107/100,Operations!$F$18/100)</f>
        <v/>
      </c>
      <c r="AI480" s="14">
        <f>CHOOSE(Operations!$F$418,1,Inputs!$F$106/100,Inputs!$F$107/100,Operations!$F$18/100)</f>
        <v/>
      </c>
      <c r="AJ480" s="14">
        <f>CHOOSE(Operations!$F$418,1,Inputs!$F$106/100,Inputs!$F$107/100,Operations!$F$18/100)</f>
        <v/>
      </c>
      <c r="AK480" s="14">
        <f>CHOOSE(Operations!$F$418,1,Inputs!$F$106/100,Inputs!$F$107/100,Operations!$F$18/100)</f>
        <v/>
      </c>
      <c r="AL480" s="14">
        <f>CHOOSE(Operations!$F$418,1,Inputs!$F$106/100,Inputs!$F$107/100,Operations!$F$18/100)</f>
        <v/>
      </c>
      <c r="AM480" s="14">
        <f>CHOOSE(Operations!$F$418,1,Inputs!$F$106/100,Inputs!$F$107/100,Operations!$F$18/100)</f>
        <v/>
      </c>
      <c r="AN480" s="14">
        <f>CHOOSE(Operations!$F$418,1,Inputs!$F$106/100,Inputs!$F$107/100,Operations!$F$18/100)</f>
        <v/>
      </c>
      <c r="AO480" s="14">
        <f>CHOOSE(Operations!$F$418,1,Inputs!$F$106/100,Inputs!$F$107/100,Operations!$F$18/100)</f>
        <v/>
      </c>
      <c r="AP480" s="14">
        <f>CHOOSE(Operations!$F$418,1,Inputs!$F$106/100,Inputs!$F$107/100,Operations!$F$18/100)</f>
        <v/>
      </c>
      <c r="AQ480" s="14">
        <f>CHOOSE(Operations!$F$418,1,Inputs!$F$106/100,Inputs!$F$107/100,Operations!$F$18/100)</f>
        <v/>
      </c>
      <c r="AR480" s="14">
        <f>CHOOSE(Operations!$F$418,1,Inputs!$F$106/100,Inputs!$F$107/100,Operations!$F$18/100)</f>
        <v/>
      </c>
      <c r="AS480" s="14">
        <f>CHOOSE(Operations!$F$418,1,Inputs!$F$106/100,Inputs!$F$107/100,Operations!$F$18/100)</f>
        <v/>
      </c>
      <c r="AT480" s="14">
        <f>CHOOSE(Operations!$F$418,1,Inputs!$F$106/100,Inputs!$F$107/100,Operations!$F$18/100)</f>
        <v/>
      </c>
      <c r="AU480" s="14">
        <f>CHOOSE(Operations!$F$418,1,Inputs!$F$106/100,Inputs!$F$107/100,Operations!$F$18/100)</f>
        <v/>
      </c>
    </row>
    <row r="481">
      <c r="D481" t="inlineStr">
        <is>
          <t>R2 degradation factor</t>
        </is>
      </c>
      <c r="E481" t="inlineStr">
        <is>
          <t>factor</t>
        </is>
      </c>
      <c r="J481" s="14">
        <f>(1-Inputs!$F$108/100)^MAX(0,Time!J$4-Inputs!$F$109)</f>
        <v/>
      </c>
      <c r="K481" s="14">
        <f>(1-Inputs!$F$108/100)^MAX(0,Time!K$4-Inputs!$F$109)</f>
        <v/>
      </c>
      <c r="L481" s="14">
        <f>(1-Inputs!$F$108/100)^MAX(0,Time!L$4-Inputs!$F$109)</f>
        <v/>
      </c>
      <c r="M481" s="14">
        <f>(1-Inputs!$F$108/100)^MAX(0,Time!M$4-Inputs!$F$109)</f>
        <v/>
      </c>
      <c r="N481" s="14">
        <f>(1-Inputs!$F$108/100)^MAX(0,Time!N$4-Inputs!$F$109)</f>
        <v/>
      </c>
      <c r="O481" s="14">
        <f>(1-Inputs!$F$108/100)^MAX(0,Time!O$4-Inputs!$F$109)</f>
        <v/>
      </c>
      <c r="P481" s="14">
        <f>(1-Inputs!$F$108/100)^MAX(0,Time!P$4-Inputs!$F$109)</f>
        <v/>
      </c>
      <c r="Q481" s="14">
        <f>(1-Inputs!$F$108/100)^MAX(0,Time!Q$4-Inputs!$F$109)</f>
        <v/>
      </c>
      <c r="R481" s="14">
        <f>(1-Inputs!$F$108/100)^MAX(0,Time!R$4-Inputs!$F$109)</f>
        <v/>
      </c>
      <c r="S481" s="14">
        <f>(1-Inputs!$F$108/100)^MAX(0,Time!S$4-Inputs!$F$109)</f>
        <v/>
      </c>
      <c r="T481" s="14">
        <f>(1-Inputs!$F$108/100)^MAX(0,Time!T$4-Inputs!$F$109)</f>
        <v/>
      </c>
      <c r="U481" s="14">
        <f>(1-Inputs!$F$108/100)^MAX(0,Time!U$4-Inputs!$F$109)</f>
        <v/>
      </c>
      <c r="V481" s="14">
        <f>(1-Inputs!$F$108/100)^MAX(0,Time!V$4-Inputs!$F$109)</f>
        <v/>
      </c>
      <c r="W481" s="14">
        <f>(1-Inputs!$F$108/100)^MAX(0,Time!W$4-Inputs!$F$109)</f>
        <v/>
      </c>
      <c r="X481" s="14">
        <f>(1-Inputs!$F$108/100)^MAX(0,Time!X$4-Inputs!$F$109)</f>
        <v/>
      </c>
      <c r="Y481" s="14">
        <f>(1-Inputs!$F$108/100)^MAX(0,Time!Y$4-Inputs!$F$109)</f>
        <v/>
      </c>
      <c r="Z481" s="14">
        <f>(1-Inputs!$F$108/100)^MAX(0,Time!Z$4-Inputs!$F$109)</f>
        <v/>
      </c>
      <c r="AA481" s="14">
        <f>(1-Inputs!$F$108/100)^MAX(0,Time!AA$4-Inputs!$F$109)</f>
        <v/>
      </c>
      <c r="AB481" s="14">
        <f>(1-Inputs!$F$108/100)^MAX(0,Time!AB$4-Inputs!$F$109)</f>
        <v/>
      </c>
      <c r="AC481" s="14">
        <f>(1-Inputs!$F$108/100)^MAX(0,Time!AC$4-Inputs!$F$109)</f>
        <v/>
      </c>
      <c r="AD481" s="14">
        <f>(1-Inputs!$F$108/100)^MAX(0,Time!AD$4-Inputs!$F$109)</f>
        <v/>
      </c>
      <c r="AE481" s="14">
        <f>(1-Inputs!$F$108/100)^MAX(0,Time!AE$4-Inputs!$F$109)</f>
        <v/>
      </c>
      <c r="AF481" s="14">
        <f>(1-Inputs!$F$108/100)^MAX(0,Time!AF$4-Inputs!$F$109)</f>
        <v/>
      </c>
      <c r="AG481" s="14">
        <f>(1-Inputs!$F$108/100)^MAX(0,Time!AG$4-Inputs!$F$109)</f>
        <v/>
      </c>
      <c r="AH481" s="14">
        <f>(1-Inputs!$F$108/100)^MAX(0,Time!AH$4-Inputs!$F$109)</f>
        <v/>
      </c>
      <c r="AI481" s="14">
        <f>(1-Inputs!$F$108/100)^MAX(0,Time!AI$4-Inputs!$F$109)</f>
        <v/>
      </c>
      <c r="AJ481" s="14">
        <f>(1-Inputs!$F$108/100)^MAX(0,Time!AJ$4-Inputs!$F$109)</f>
        <v/>
      </c>
      <c r="AK481" s="14">
        <f>(1-Inputs!$F$108/100)^MAX(0,Time!AK$4-Inputs!$F$109)</f>
        <v/>
      </c>
      <c r="AL481" s="14">
        <f>(1-Inputs!$F$108/100)^MAX(0,Time!AL$4-Inputs!$F$109)</f>
        <v/>
      </c>
      <c r="AM481" s="14">
        <f>(1-Inputs!$F$108/100)^MAX(0,Time!AM$4-Inputs!$F$109)</f>
        <v/>
      </c>
      <c r="AN481" s="14">
        <f>(1-Inputs!$F$108/100)^MAX(0,Time!AN$4-Inputs!$F$109)</f>
        <v/>
      </c>
      <c r="AO481" s="14">
        <f>(1-Inputs!$F$108/100)^MAX(0,Time!AO$4-Inputs!$F$109)</f>
        <v/>
      </c>
      <c r="AP481" s="14">
        <f>(1-Inputs!$F$108/100)^MAX(0,Time!AP$4-Inputs!$F$109)</f>
        <v/>
      </c>
      <c r="AQ481" s="14">
        <f>(1-Inputs!$F$108/100)^MAX(0,Time!AQ$4-Inputs!$F$109)</f>
        <v/>
      </c>
      <c r="AR481" s="14">
        <f>(1-Inputs!$F$108/100)^MAX(0,Time!AR$4-Inputs!$F$109)</f>
        <v/>
      </c>
      <c r="AS481" s="14">
        <f>(1-Inputs!$F$108/100)^MAX(0,Time!AS$4-Inputs!$F$109)</f>
        <v/>
      </c>
      <c r="AT481" s="14">
        <f>(1-Inputs!$F$108/100)^MAX(0,Time!AT$4-Inputs!$F$109)</f>
        <v/>
      </c>
      <c r="AU481" s="14">
        <f>(1-Inputs!$F$108/100)^MAX(0,Time!AU$4-Inputs!$F$109)</f>
        <v/>
      </c>
    </row>
    <row r="482">
      <c r="D482" t="inlineStr">
        <is>
          <t>R2 curtailment</t>
        </is>
      </c>
      <c r="E482" t="inlineStr">
        <is>
          <t>fraction</t>
        </is>
      </c>
      <c r="J482" s="14">
        <f>(IF(Time!J$4&gt;=Inputs!$F$61,Inputs!$F$71,Inputs!$F$70+(Inputs!$F$71-Inputs!$F$70)*(Time!J$4-Inputs!$F$23)/(Inputs!$F$61-Inputs!$F$23))+Operations!$F$420)/100</f>
        <v/>
      </c>
      <c r="K482" s="14">
        <f>(IF(Time!K$4&gt;=Inputs!$F$61,Inputs!$F$71,Inputs!$F$70+(Inputs!$F$71-Inputs!$F$70)*(Time!K$4-Inputs!$F$23)/(Inputs!$F$61-Inputs!$F$23))+Operations!$F$420)/100</f>
        <v/>
      </c>
      <c r="L482" s="14">
        <f>(IF(Time!L$4&gt;=Inputs!$F$61,Inputs!$F$71,Inputs!$F$70+(Inputs!$F$71-Inputs!$F$70)*(Time!L$4-Inputs!$F$23)/(Inputs!$F$61-Inputs!$F$23))+Operations!$F$420)/100</f>
        <v/>
      </c>
      <c r="M482" s="14">
        <f>(IF(Time!M$4&gt;=Inputs!$F$61,Inputs!$F$71,Inputs!$F$70+(Inputs!$F$71-Inputs!$F$70)*(Time!M$4-Inputs!$F$23)/(Inputs!$F$61-Inputs!$F$23))+Operations!$F$420)/100</f>
        <v/>
      </c>
      <c r="N482" s="14">
        <f>(IF(Time!N$4&gt;=Inputs!$F$61,Inputs!$F$71,Inputs!$F$70+(Inputs!$F$71-Inputs!$F$70)*(Time!N$4-Inputs!$F$23)/(Inputs!$F$61-Inputs!$F$23))+Operations!$F$420)/100</f>
        <v/>
      </c>
      <c r="O482" s="14">
        <f>(IF(Time!O$4&gt;=Inputs!$F$61,Inputs!$F$71,Inputs!$F$70+(Inputs!$F$71-Inputs!$F$70)*(Time!O$4-Inputs!$F$23)/(Inputs!$F$61-Inputs!$F$23))+Operations!$F$420)/100</f>
        <v/>
      </c>
      <c r="P482" s="14">
        <f>(IF(Time!P$4&gt;=Inputs!$F$61,Inputs!$F$71,Inputs!$F$70+(Inputs!$F$71-Inputs!$F$70)*(Time!P$4-Inputs!$F$23)/(Inputs!$F$61-Inputs!$F$23))+Operations!$F$420)/100</f>
        <v/>
      </c>
      <c r="Q482" s="14">
        <f>(IF(Time!Q$4&gt;=Inputs!$F$61,Inputs!$F$71,Inputs!$F$70+(Inputs!$F$71-Inputs!$F$70)*(Time!Q$4-Inputs!$F$23)/(Inputs!$F$61-Inputs!$F$23))+Operations!$F$420)/100</f>
        <v/>
      </c>
      <c r="R482" s="14">
        <f>(IF(Time!R$4&gt;=Inputs!$F$61,Inputs!$F$71,Inputs!$F$70+(Inputs!$F$71-Inputs!$F$70)*(Time!R$4-Inputs!$F$23)/(Inputs!$F$61-Inputs!$F$23))+Operations!$F$420)/100</f>
        <v/>
      </c>
      <c r="S482" s="14">
        <f>(IF(Time!S$4&gt;=Inputs!$F$61,Inputs!$F$71,Inputs!$F$70+(Inputs!$F$71-Inputs!$F$70)*(Time!S$4-Inputs!$F$23)/(Inputs!$F$61-Inputs!$F$23))+Operations!$F$420)/100</f>
        <v/>
      </c>
      <c r="T482" s="14">
        <f>(IF(Time!T$4&gt;=Inputs!$F$61,Inputs!$F$71,Inputs!$F$70+(Inputs!$F$71-Inputs!$F$70)*(Time!T$4-Inputs!$F$23)/(Inputs!$F$61-Inputs!$F$23))+Operations!$F$420)/100</f>
        <v/>
      </c>
      <c r="U482" s="14">
        <f>(IF(Time!U$4&gt;=Inputs!$F$61,Inputs!$F$71,Inputs!$F$70+(Inputs!$F$71-Inputs!$F$70)*(Time!U$4-Inputs!$F$23)/(Inputs!$F$61-Inputs!$F$23))+Operations!$F$420)/100</f>
        <v/>
      </c>
      <c r="V482" s="14">
        <f>(IF(Time!V$4&gt;=Inputs!$F$61,Inputs!$F$71,Inputs!$F$70+(Inputs!$F$71-Inputs!$F$70)*(Time!V$4-Inputs!$F$23)/(Inputs!$F$61-Inputs!$F$23))+Operations!$F$420)/100</f>
        <v/>
      </c>
      <c r="W482" s="14">
        <f>(IF(Time!W$4&gt;=Inputs!$F$61,Inputs!$F$71,Inputs!$F$70+(Inputs!$F$71-Inputs!$F$70)*(Time!W$4-Inputs!$F$23)/(Inputs!$F$61-Inputs!$F$23))+Operations!$F$420)/100</f>
        <v/>
      </c>
      <c r="X482" s="14">
        <f>(IF(Time!X$4&gt;=Inputs!$F$61,Inputs!$F$71,Inputs!$F$70+(Inputs!$F$71-Inputs!$F$70)*(Time!X$4-Inputs!$F$23)/(Inputs!$F$61-Inputs!$F$23))+Operations!$F$420)/100</f>
        <v/>
      </c>
      <c r="Y482" s="14">
        <f>(IF(Time!Y$4&gt;=Inputs!$F$61,Inputs!$F$71,Inputs!$F$70+(Inputs!$F$71-Inputs!$F$70)*(Time!Y$4-Inputs!$F$23)/(Inputs!$F$61-Inputs!$F$23))+Operations!$F$420)/100</f>
        <v/>
      </c>
      <c r="Z482" s="14">
        <f>(IF(Time!Z$4&gt;=Inputs!$F$61,Inputs!$F$71,Inputs!$F$70+(Inputs!$F$71-Inputs!$F$70)*(Time!Z$4-Inputs!$F$23)/(Inputs!$F$61-Inputs!$F$23))+Operations!$F$420)/100</f>
        <v/>
      </c>
      <c r="AA482" s="14">
        <f>(IF(Time!AA$4&gt;=Inputs!$F$61,Inputs!$F$71,Inputs!$F$70+(Inputs!$F$71-Inputs!$F$70)*(Time!AA$4-Inputs!$F$23)/(Inputs!$F$61-Inputs!$F$23))+Operations!$F$420)/100</f>
        <v/>
      </c>
      <c r="AB482" s="14">
        <f>(IF(Time!AB$4&gt;=Inputs!$F$61,Inputs!$F$71,Inputs!$F$70+(Inputs!$F$71-Inputs!$F$70)*(Time!AB$4-Inputs!$F$23)/(Inputs!$F$61-Inputs!$F$23))+Operations!$F$420)/100</f>
        <v/>
      </c>
      <c r="AC482" s="14">
        <f>(IF(Time!AC$4&gt;=Inputs!$F$61,Inputs!$F$71,Inputs!$F$70+(Inputs!$F$71-Inputs!$F$70)*(Time!AC$4-Inputs!$F$23)/(Inputs!$F$61-Inputs!$F$23))+Operations!$F$420)/100</f>
        <v/>
      </c>
      <c r="AD482" s="14">
        <f>(IF(Time!AD$4&gt;=Inputs!$F$61,Inputs!$F$71,Inputs!$F$70+(Inputs!$F$71-Inputs!$F$70)*(Time!AD$4-Inputs!$F$23)/(Inputs!$F$61-Inputs!$F$23))+Operations!$F$420)/100</f>
        <v/>
      </c>
      <c r="AE482" s="14">
        <f>(IF(Time!AE$4&gt;=Inputs!$F$61,Inputs!$F$71,Inputs!$F$70+(Inputs!$F$71-Inputs!$F$70)*(Time!AE$4-Inputs!$F$23)/(Inputs!$F$61-Inputs!$F$23))+Operations!$F$420)/100</f>
        <v/>
      </c>
      <c r="AF482" s="14">
        <f>(IF(Time!AF$4&gt;=Inputs!$F$61,Inputs!$F$71,Inputs!$F$70+(Inputs!$F$71-Inputs!$F$70)*(Time!AF$4-Inputs!$F$23)/(Inputs!$F$61-Inputs!$F$23))+Operations!$F$420)/100</f>
        <v/>
      </c>
      <c r="AG482" s="14">
        <f>(IF(Time!AG$4&gt;=Inputs!$F$61,Inputs!$F$71,Inputs!$F$70+(Inputs!$F$71-Inputs!$F$70)*(Time!AG$4-Inputs!$F$23)/(Inputs!$F$61-Inputs!$F$23))+Operations!$F$420)/100</f>
        <v/>
      </c>
      <c r="AH482" s="14">
        <f>(IF(Time!AH$4&gt;=Inputs!$F$61,Inputs!$F$71,Inputs!$F$70+(Inputs!$F$71-Inputs!$F$70)*(Time!AH$4-Inputs!$F$23)/(Inputs!$F$61-Inputs!$F$23))+Operations!$F$420)/100</f>
        <v/>
      </c>
      <c r="AI482" s="14">
        <f>(IF(Time!AI$4&gt;=Inputs!$F$61,Inputs!$F$71,Inputs!$F$70+(Inputs!$F$71-Inputs!$F$70)*(Time!AI$4-Inputs!$F$23)/(Inputs!$F$61-Inputs!$F$23))+Operations!$F$420)/100</f>
        <v/>
      </c>
      <c r="AJ482" s="14">
        <f>(IF(Time!AJ$4&gt;=Inputs!$F$61,Inputs!$F$71,Inputs!$F$70+(Inputs!$F$71-Inputs!$F$70)*(Time!AJ$4-Inputs!$F$23)/(Inputs!$F$61-Inputs!$F$23))+Operations!$F$420)/100</f>
        <v/>
      </c>
      <c r="AK482" s="14">
        <f>(IF(Time!AK$4&gt;=Inputs!$F$61,Inputs!$F$71,Inputs!$F$70+(Inputs!$F$71-Inputs!$F$70)*(Time!AK$4-Inputs!$F$23)/(Inputs!$F$61-Inputs!$F$23))+Operations!$F$420)/100</f>
        <v/>
      </c>
      <c r="AL482" s="14">
        <f>(IF(Time!AL$4&gt;=Inputs!$F$61,Inputs!$F$71,Inputs!$F$70+(Inputs!$F$71-Inputs!$F$70)*(Time!AL$4-Inputs!$F$23)/(Inputs!$F$61-Inputs!$F$23))+Operations!$F$420)/100</f>
        <v/>
      </c>
      <c r="AM482" s="14">
        <f>(IF(Time!AM$4&gt;=Inputs!$F$61,Inputs!$F$71,Inputs!$F$70+(Inputs!$F$71-Inputs!$F$70)*(Time!AM$4-Inputs!$F$23)/(Inputs!$F$61-Inputs!$F$23))+Operations!$F$420)/100</f>
        <v/>
      </c>
      <c r="AN482" s="14">
        <f>(IF(Time!AN$4&gt;=Inputs!$F$61,Inputs!$F$71,Inputs!$F$70+(Inputs!$F$71-Inputs!$F$70)*(Time!AN$4-Inputs!$F$23)/(Inputs!$F$61-Inputs!$F$23))+Operations!$F$420)/100</f>
        <v/>
      </c>
      <c r="AO482" s="14">
        <f>(IF(Time!AO$4&gt;=Inputs!$F$61,Inputs!$F$71,Inputs!$F$70+(Inputs!$F$71-Inputs!$F$70)*(Time!AO$4-Inputs!$F$23)/(Inputs!$F$61-Inputs!$F$23))+Operations!$F$420)/100</f>
        <v/>
      </c>
      <c r="AP482" s="14">
        <f>(IF(Time!AP$4&gt;=Inputs!$F$61,Inputs!$F$71,Inputs!$F$70+(Inputs!$F$71-Inputs!$F$70)*(Time!AP$4-Inputs!$F$23)/(Inputs!$F$61-Inputs!$F$23))+Operations!$F$420)/100</f>
        <v/>
      </c>
      <c r="AQ482" s="14">
        <f>(IF(Time!AQ$4&gt;=Inputs!$F$61,Inputs!$F$71,Inputs!$F$70+(Inputs!$F$71-Inputs!$F$70)*(Time!AQ$4-Inputs!$F$23)/(Inputs!$F$61-Inputs!$F$23))+Operations!$F$420)/100</f>
        <v/>
      </c>
      <c r="AR482" s="14">
        <f>(IF(Time!AR$4&gt;=Inputs!$F$61,Inputs!$F$71,Inputs!$F$70+(Inputs!$F$71-Inputs!$F$70)*(Time!AR$4-Inputs!$F$23)/(Inputs!$F$61-Inputs!$F$23))+Operations!$F$420)/100</f>
        <v/>
      </c>
      <c r="AS482" s="14">
        <f>(IF(Time!AS$4&gt;=Inputs!$F$61,Inputs!$F$71,Inputs!$F$70+(Inputs!$F$71-Inputs!$F$70)*(Time!AS$4-Inputs!$F$23)/(Inputs!$F$61-Inputs!$F$23))+Operations!$F$420)/100</f>
        <v/>
      </c>
      <c r="AT482" s="14">
        <f>(IF(Time!AT$4&gt;=Inputs!$F$61,Inputs!$F$71,Inputs!$F$70+(Inputs!$F$71-Inputs!$F$70)*(Time!AT$4-Inputs!$F$23)/(Inputs!$F$61-Inputs!$F$23))+Operations!$F$420)/100</f>
        <v/>
      </c>
      <c r="AU482" s="14">
        <f>(IF(Time!AU$4&gt;=Inputs!$F$61,Inputs!$F$71,Inputs!$F$70+(Inputs!$F$71-Inputs!$F$70)*(Time!AU$4-Inputs!$F$23)/(Inputs!$F$61-Inputs!$F$23))+Operations!$F$420)/100</f>
        <v/>
      </c>
    </row>
    <row r="483">
      <c r="D483" t="inlineStr">
        <is>
          <t>R2 net generation, full year</t>
        </is>
      </c>
      <c r="E483" t="inlineStr">
        <is>
          <t>GWh</t>
        </is>
      </c>
      <c r="J483" s="20">
        <f>Inputs!$F$105*Operations!J480*Inputs!$F$185/100*Operations!J481*(1-Operations!J482)</f>
        <v/>
      </c>
      <c r="K483" s="20">
        <f>Inputs!$F$105*Operations!K480*Inputs!$F$185/100*Operations!K481*(1-Operations!K482)</f>
        <v/>
      </c>
      <c r="L483" s="20">
        <f>Inputs!$F$105*Operations!L480*Inputs!$F$185/100*Operations!L481*(1-Operations!L482)</f>
        <v/>
      </c>
      <c r="M483" s="20">
        <f>Inputs!$F$105*Operations!M480*Inputs!$F$185/100*Operations!M481*(1-Operations!M482)</f>
        <v/>
      </c>
      <c r="N483" s="20">
        <f>Inputs!$F$105*Operations!N480*Inputs!$F$185/100*Operations!N481*(1-Operations!N482)</f>
        <v/>
      </c>
      <c r="O483" s="20">
        <f>Inputs!$F$105*Operations!O480*Inputs!$F$185/100*Operations!O481*(1-Operations!O482)</f>
        <v/>
      </c>
      <c r="P483" s="20">
        <f>Inputs!$F$105*Operations!P480*Inputs!$F$185/100*Operations!P481*(1-Operations!P482)</f>
        <v/>
      </c>
      <c r="Q483" s="20">
        <f>Inputs!$F$105*Operations!Q480*Inputs!$F$185/100*Operations!Q481*(1-Operations!Q482)</f>
        <v/>
      </c>
      <c r="R483" s="20">
        <f>Inputs!$F$105*Operations!R480*Inputs!$F$185/100*Operations!R481*(1-Operations!R482)</f>
        <v/>
      </c>
      <c r="S483" s="20">
        <f>Inputs!$F$105*Operations!S480*Inputs!$F$185/100*Operations!S481*(1-Operations!S482)</f>
        <v/>
      </c>
      <c r="T483" s="20">
        <f>Inputs!$F$105*Operations!T480*Inputs!$F$185/100*Operations!T481*(1-Operations!T482)</f>
        <v/>
      </c>
      <c r="U483" s="20">
        <f>Inputs!$F$105*Operations!U480*Inputs!$F$185/100*Operations!U481*(1-Operations!U482)</f>
        <v/>
      </c>
      <c r="V483" s="20">
        <f>Inputs!$F$105*Operations!V480*Inputs!$F$185/100*Operations!V481*(1-Operations!V482)</f>
        <v/>
      </c>
      <c r="W483" s="20">
        <f>Inputs!$F$105*Operations!W480*Inputs!$F$185/100*Operations!W481*(1-Operations!W482)</f>
        <v/>
      </c>
      <c r="X483" s="20">
        <f>Inputs!$F$105*Operations!X480*Inputs!$F$185/100*Operations!X481*(1-Operations!X482)</f>
        <v/>
      </c>
      <c r="Y483" s="20">
        <f>Inputs!$F$105*Operations!Y480*Inputs!$F$185/100*Operations!Y481*(1-Operations!Y482)</f>
        <v/>
      </c>
      <c r="Z483" s="20">
        <f>Inputs!$F$105*Operations!Z480*Inputs!$F$185/100*Operations!Z481*(1-Operations!Z482)</f>
        <v/>
      </c>
      <c r="AA483" s="20">
        <f>Inputs!$F$105*Operations!AA480*Inputs!$F$185/100*Operations!AA481*(1-Operations!AA482)</f>
        <v/>
      </c>
      <c r="AB483" s="20">
        <f>Inputs!$F$105*Operations!AB480*Inputs!$F$185/100*Operations!AB481*(1-Operations!AB482)</f>
        <v/>
      </c>
      <c r="AC483" s="20">
        <f>Inputs!$F$105*Operations!AC480*Inputs!$F$185/100*Operations!AC481*(1-Operations!AC482)</f>
        <v/>
      </c>
      <c r="AD483" s="20">
        <f>Inputs!$F$105*Operations!AD480*Inputs!$F$185/100*Operations!AD481*(1-Operations!AD482)</f>
        <v/>
      </c>
      <c r="AE483" s="20">
        <f>Inputs!$F$105*Operations!AE480*Inputs!$F$185/100*Operations!AE481*(1-Operations!AE482)</f>
        <v/>
      </c>
      <c r="AF483" s="20">
        <f>Inputs!$F$105*Operations!AF480*Inputs!$F$185/100*Operations!AF481*(1-Operations!AF482)</f>
        <v/>
      </c>
      <c r="AG483" s="20">
        <f>Inputs!$F$105*Operations!AG480*Inputs!$F$185/100*Operations!AG481*(1-Operations!AG482)</f>
        <v/>
      </c>
      <c r="AH483" s="20">
        <f>Inputs!$F$105*Operations!AH480*Inputs!$F$185/100*Operations!AH481*(1-Operations!AH482)</f>
        <v/>
      </c>
      <c r="AI483" s="20">
        <f>Inputs!$F$105*Operations!AI480*Inputs!$F$185/100*Operations!AI481*(1-Operations!AI482)</f>
        <v/>
      </c>
      <c r="AJ483" s="20">
        <f>Inputs!$F$105*Operations!AJ480*Inputs!$F$185/100*Operations!AJ481*(1-Operations!AJ482)</f>
        <v/>
      </c>
      <c r="AK483" s="20">
        <f>Inputs!$F$105*Operations!AK480*Inputs!$F$185/100*Operations!AK481*(1-Operations!AK482)</f>
        <v/>
      </c>
      <c r="AL483" s="20">
        <f>Inputs!$F$105*Operations!AL480*Inputs!$F$185/100*Operations!AL481*(1-Operations!AL482)</f>
        <v/>
      </c>
      <c r="AM483" s="20">
        <f>Inputs!$F$105*Operations!AM480*Inputs!$F$185/100*Operations!AM481*(1-Operations!AM482)</f>
        <v/>
      </c>
      <c r="AN483" s="20">
        <f>Inputs!$F$105*Operations!AN480*Inputs!$F$185/100*Operations!AN481*(1-Operations!AN482)</f>
        <v/>
      </c>
      <c r="AO483" s="20">
        <f>Inputs!$F$105*Operations!AO480*Inputs!$F$185/100*Operations!AO481*(1-Operations!AO482)</f>
        <v/>
      </c>
      <c r="AP483" s="20">
        <f>Inputs!$F$105*Operations!AP480*Inputs!$F$185/100*Operations!AP481*(1-Operations!AP482)</f>
        <v/>
      </c>
      <c r="AQ483" s="20">
        <f>Inputs!$F$105*Operations!AQ480*Inputs!$F$185/100*Operations!AQ481*(1-Operations!AQ482)</f>
        <v/>
      </c>
      <c r="AR483" s="20">
        <f>Inputs!$F$105*Operations!AR480*Inputs!$F$185/100*Operations!AR481*(1-Operations!AR482)</f>
        <v/>
      </c>
      <c r="AS483" s="20">
        <f>Inputs!$F$105*Operations!AS480*Inputs!$F$185/100*Operations!AS481*(1-Operations!AS482)</f>
        <v/>
      </c>
      <c r="AT483" s="20">
        <f>Inputs!$F$105*Operations!AT480*Inputs!$F$185/100*Operations!AT481*(1-Operations!AT482)</f>
        <v/>
      </c>
      <c r="AU483" s="20">
        <f>Inputs!$F$105*Operations!AU480*Inputs!$F$185/100*Operations!AU481*(1-Operations!AU482)</f>
        <v/>
      </c>
    </row>
    <row r="484">
      <c r="D484" t="inlineStr">
        <is>
          <t>R2 net generation</t>
        </is>
      </c>
      <c r="E484" t="inlineStr">
        <is>
          <t>GWh</t>
        </is>
      </c>
      <c r="G484" s="20">
        <f>SUM(J484:AU484)</f>
        <v/>
      </c>
      <c r="J484" s="20">
        <f>Operations!J483*Operations!J476</f>
        <v/>
      </c>
      <c r="K484" s="20">
        <f>Operations!K483*Operations!K476</f>
        <v/>
      </c>
      <c r="L484" s="20">
        <f>Operations!L483*Operations!L476</f>
        <v/>
      </c>
      <c r="M484" s="20">
        <f>Operations!M483*Operations!M476</f>
        <v/>
      </c>
      <c r="N484" s="20">
        <f>Operations!N483*Operations!N476</f>
        <v/>
      </c>
      <c r="O484" s="20">
        <f>Operations!O483*Operations!O476</f>
        <v/>
      </c>
      <c r="P484" s="20">
        <f>Operations!P483*Operations!P476</f>
        <v/>
      </c>
      <c r="Q484" s="20">
        <f>Operations!Q483*Operations!Q476</f>
        <v/>
      </c>
      <c r="R484" s="20">
        <f>Operations!R483*Operations!R476</f>
        <v/>
      </c>
      <c r="S484" s="20">
        <f>Operations!S483*Operations!S476</f>
        <v/>
      </c>
      <c r="T484" s="20">
        <f>Operations!T483*Operations!T476</f>
        <v/>
      </c>
      <c r="U484" s="20">
        <f>Operations!U483*Operations!U476</f>
        <v/>
      </c>
      <c r="V484" s="20">
        <f>Operations!V483*Operations!V476</f>
        <v/>
      </c>
      <c r="W484" s="20">
        <f>Operations!W483*Operations!W476</f>
        <v/>
      </c>
      <c r="X484" s="20">
        <f>Operations!X483*Operations!X476</f>
        <v/>
      </c>
      <c r="Y484" s="20">
        <f>Operations!Y483*Operations!Y476</f>
        <v/>
      </c>
      <c r="Z484" s="20">
        <f>Operations!Z483*Operations!Z476</f>
        <v/>
      </c>
      <c r="AA484" s="20">
        <f>Operations!AA483*Operations!AA476</f>
        <v/>
      </c>
      <c r="AB484" s="20">
        <f>Operations!AB483*Operations!AB476</f>
        <v/>
      </c>
      <c r="AC484" s="20">
        <f>Operations!AC483*Operations!AC476</f>
        <v/>
      </c>
      <c r="AD484" s="20">
        <f>Operations!AD483*Operations!AD476</f>
        <v/>
      </c>
      <c r="AE484" s="20">
        <f>Operations!AE483*Operations!AE476</f>
        <v/>
      </c>
      <c r="AF484" s="20">
        <f>Operations!AF483*Operations!AF476</f>
        <v/>
      </c>
      <c r="AG484" s="20">
        <f>Operations!AG483*Operations!AG476</f>
        <v/>
      </c>
      <c r="AH484" s="20">
        <f>Operations!AH483*Operations!AH476</f>
        <v/>
      </c>
      <c r="AI484" s="20">
        <f>Operations!AI483*Operations!AI476</f>
        <v/>
      </c>
      <c r="AJ484" s="20">
        <f>Operations!AJ483*Operations!AJ476</f>
        <v/>
      </c>
      <c r="AK484" s="20">
        <f>Operations!AK483*Operations!AK476</f>
        <v/>
      </c>
      <c r="AL484" s="20">
        <f>Operations!AL483*Operations!AL476</f>
        <v/>
      </c>
      <c r="AM484" s="20">
        <f>Operations!AM483*Operations!AM476</f>
        <v/>
      </c>
      <c r="AN484" s="20">
        <f>Operations!AN483*Operations!AN476</f>
        <v/>
      </c>
      <c r="AO484" s="20">
        <f>Operations!AO483*Operations!AO476</f>
        <v/>
      </c>
      <c r="AP484" s="20">
        <f>Operations!AP483*Operations!AP476</f>
        <v/>
      </c>
      <c r="AQ484" s="20">
        <f>Operations!AQ483*Operations!AQ476</f>
        <v/>
      </c>
      <c r="AR484" s="20">
        <f>Operations!AR483*Operations!AR476</f>
        <v/>
      </c>
      <c r="AS484" s="20">
        <f>Operations!AS483*Operations!AS476</f>
        <v/>
      </c>
      <c r="AT484" s="20">
        <f>Operations!AT483*Operations!AT476</f>
        <v/>
      </c>
      <c r="AU484" s="20">
        <f>Operations!AU483*Operations!AU476</f>
        <v/>
      </c>
    </row>
    <row r="485">
      <c r="D485" t="inlineStr">
        <is>
          <t>R2 hub capture ratio</t>
        </is>
      </c>
      <c r="E485" t="inlineStr">
        <is>
          <t>ratio</t>
        </is>
      </c>
      <c r="J485" s="14">
        <f>Operations!J432</f>
        <v/>
      </c>
      <c r="K485" s="14">
        <f>Operations!K432</f>
        <v/>
      </c>
      <c r="L485" s="14">
        <f>Operations!L432</f>
        <v/>
      </c>
      <c r="M485" s="14">
        <f>Operations!M432</f>
        <v/>
      </c>
      <c r="N485" s="14">
        <f>Operations!N432</f>
        <v/>
      </c>
      <c r="O485" s="14">
        <f>Operations!O432</f>
        <v/>
      </c>
      <c r="P485" s="14">
        <f>Operations!P432</f>
        <v/>
      </c>
      <c r="Q485" s="14">
        <f>Operations!Q432</f>
        <v/>
      </c>
      <c r="R485" s="14">
        <f>Operations!R432</f>
        <v/>
      </c>
      <c r="S485" s="14">
        <f>Operations!S432</f>
        <v/>
      </c>
      <c r="T485" s="14">
        <f>Operations!T432</f>
        <v/>
      </c>
      <c r="U485" s="14">
        <f>Operations!U432</f>
        <v/>
      </c>
      <c r="V485" s="14">
        <f>Operations!V432</f>
        <v/>
      </c>
      <c r="W485" s="14">
        <f>Operations!W432</f>
        <v/>
      </c>
      <c r="X485" s="14">
        <f>Operations!X432</f>
        <v/>
      </c>
      <c r="Y485" s="14">
        <f>Operations!Y432</f>
        <v/>
      </c>
      <c r="Z485" s="14">
        <f>Operations!Z432</f>
        <v/>
      </c>
      <c r="AA485" s="14">
        <f>Operations!AA432</f>
        <v/>
      </c>
      <c r="AB485" s="14">
        <f>Operations!AB432</f>
        <v/>
      </c>
      <c r="AC485" s="14">
        <f>Operations!AC432</f>
        <v/>
      </c>
      <c r="AD485" s="14">
        <f>Operations!AD432</f>
        <v/>
      </c>
      <c r="AE485" s="14">
        <f>Operations!AE432</f>
        <v/>
      </c>
      <c r="AF485" s="14">
        <f>Operations!AF432</f>
        <v/>
      </c>
      <c r="AG485" s="14">
        <f>Operations!AG432</f>
        <v/>
      </c>
      <c r="AH485" s="14">
        <f>Operations!AH432</f>
        <v/>
      </c>
      <c r="AI485" s="14">
        <f>Operations!AI432</f>
        <v/>
      </c>
      <c r="AJ485" s="14">
        <f>Operations!AJ432</f>
        <v/>
      </c>
      <c r="AK485" s="14">
        <f>Operations!AK432</f>
        <v/>
      </c>
      <c r="AL485" s="14">
        <f>Operations!AL432</f>
        <v/>
      </c>
      <c r="AM485" s="14">
        <f>Operations!AM432</f>
        <v/>
      </c>
      <c r="AN485" s="14">
        <f>Operations!AN432</f>
        <v/>
      </c>
      <c r="AO485" s="14">
        <f>Operations!AO432</f>
        <v/>
      </c>
      <c r="AP485" s="14">
        <f>Operations!AP432</f>
        <v/>
      </c>
      <c r="AQ485" s="14">
        <f>Operations!AQ432</f>
        <v/>
      </c>
      <c r="AR485" s="14">
        <f>Operations!AR432</f>
        <v/>
      </c>
      <c r="AS485" s="14">
        <f>Operations!AS432</f>
        <v/>
      </c>
      <c r="AT485" s="14">
        <f>Operations!AT432</f>
        <v/>
      </c>
      <c r="AU485" s="14">
        <f>Operations!AU432</f>
        <v/>
      </c>
    </row>
    <row r="486">
      <c r="D486" t="inlineStr">
        <is>
          <t>R2 node capture ratio</t>
        </is>
      </c>
      <c r="E486" t="inlineStr">
        <is>
          <t>ratio</t>
        </is>
      </c>
      <c r="J486" s="14">
        <f>Operations!J485-Inputs!$F$60</f>
        <v/>
      </c>
      <c r="K486" s="14">
        <f>Operations!K485-Inputs!$F$60</f>
        <v/>
      </c>
      <c r="L486" s="14">
        <f>Operations!L485-Inputs!$F$60</f>
        <v/>
      </c>
      <c r="M486" s="14">
        <f>Operations!M485-Inputs!$F$60</f>
        <v/>
      </c>
      <c r="N486" s="14">
        <f>Operations!N485-Inputs!$F$60</f>
        <v/>
      </c>
      <c r="O486" s="14">
        <f>Operations!O485-Inputs!$F$60</f>
        <v/>
      </c>
      <c r="P486" s="14">
        <f>Operations!P485-Inputs!$F$60</f>
        <v/>
      </c>
      <c r="Q486" s="14">
        <f>Operations!Q485-Inputs!$F$60</f>
        <v/>
      </c>
      <c r="R486" s="14">
        <f>Operations!R485-Inputs!$F$60</f>
        <v/>
      </c>
      <c r="S486" s="14">
        <f>Operations!S485-Inputs!$F$60</f>
        <v/>
      </c>
      <c r="T486" s="14">
        <f>Operations!T485-Inputs!$F$60</f>
        <v/>
      </c>
      <c r="U486" s="14">
        <f>Operations!U485-Inputs!$F$60</f>
        <v/>
      </c>
      <c r="V486" s="14">
        <f>Operations!V485-Inputs!$F$60</f>
        <v/>
      </c>
      <c r="W486" s="14">
        <f>Operations!W485-Inputs!$F$60</f>
        <v/>
      </c>
      <c r="X486" s="14">
        <f>Operations!X485-Inputs!$F$60</f>
        <v/>
      </c>
      <c r="Y486" s="14">
        <f>Operations!Y485-Inputs!$F$60</f>
        <v/>
      </c>
      <c r="Z486" s="14">
        <f>Operations!Z485-Inputs!$F$60</f>
        <v/>
      </c>
      <c r="AA486" s="14">
        <f>Operations!AA485-Inputs!$F$60</f>
        <v/>
      </c>
      <c r="AB486" s="14">
        <f>Operations!AB485-Inputs!$F$60</f>
        <v/>
      </c>
      <c r="AC486" s="14">
        <f>Operations!AC485-Inputs!$F$60</f>
        <v/>
      </c>
      <c r="AD486" s="14">
        <f>Operations!AD485-Inputs!$F$60</f>
        <v/>
      </c>
      <c r="AE486" s="14">
        <f>Operations!AE485-Inputs!$F$60</f>
        <v/>
      </c>
      <c r="AF486" s="14">
        <f>Operations!AF485-Inputs!$F$60</f>
        <v/>
      </c>
      <c r="AG486" s="14">
        <f>Operations!AG485-Inputs!$F$60</f>
        <v/>
      </c>
      <c r="AH486" s="14">
        <f>Operations!AH485-Inputs!$F$60</f>
        <v/>
      </c>
      <c r="AI486" s="14">
        <f>Operations!AI485-Inputs!$F$60</f>
        <v/>
      </c>
      <c r="AJ486" s="14">
        <f>Operations!AJ485-Inputs!$F$60</f>
        <v/>
      </c>
      <c r="AK486" s="14">
        <f>Operations!AK485-Inputs!$F$60</f>
        <v/>
      </c>
      <c r="AL486" s="14">
        <f>Operations!AL485-Inputs!$F$60</f>
        <v/>
      </c>
      <c r="AM486" s="14">
        <f>Operations!AM485-Inputs!$F$60</f>
        <v/>
      </c>
      <c r="AN486" s="14">
        <f>Operations!AN485-Inputs!$F$60</f>
        <v/>
      </c>
      <c r="AO486" s="14">
        <f>Operations!AO485-Inputs!$F$60</f>
        <v/>
      </c>
      <c r="AP486" s="14">
        <f>Operations!AP485-Inputs!$F$60</f>
        <v/>
      </c>
      <c r="AQ486" s="14">
        <f>Operations!AQ485-Inputs!$F$60</f>
        <v/>
      </c>
      <c r="AR486" s="14">
        <f>Operations!AR485-Inputs!$F$60</f>
        <v/>
      </c>
      <c r="AS486" s="14">
        <f>Operations!AS485-Inputs!$F$60</f>
        <v/>
      </c>
      <c r="AT486" s="14">
        <f>Operations!AT485-Inputs!$F$60</f>
        <v/>
      </c>
      <c r="AU486" s="14">
        <f>Operations!AU485-Inputs!$F$60</f>
        <v/>
      </c>
    </row>
    <row r="487">
      <c r="D487" t="inlineStr">
        <is>
          <t>R2 realized node price</t>
        </is>
      </c>
      <c r="E487" t="inlineStr">
        <is>
          <t>USD/MWh</t>
        </is>
      </c>
      <c r="J487" s="18">
        <f>Operations!J479*Operations!J486</f>
        <v/>
      </c>
      <c r="K487" s="18">
        <f>Operations!K479*Operations!K486</f>
        <v/>
      </c>
      <c r="L487" s="18">
        <f>Operations!L479*Operations!L486</f>
        <v/>
      </c>
      <c r="M487" s="18">
        <f>Operations!M479*Operations!M486</f>
        <v/>
      </c>
      <c r="N487" s="18">
        <f>Operations!N479*Operations!N486</f>
        <v/>
      </c>
      <c r="O487" s="18">
        <f>Operations!O479*Operations!O486</f>
        <v/>
      </c>
      <c r="P487" s="18">
        <f>Operations!P479*Operations!P486</f>
        <v/>
      </c>
      <c r="Q487" s="18">
        <f>Operations!Q479*Operations!Q486</f>
        <v/>
      </c>
      <c r="R487" s="18">
        <f>Operations!R479*Operations!R486</f>
        <v/>
      </c>
      <c r="S487" s="18">
        <f>Operations!S479*Operations!S486</f>
        <v/>
      </c>
      <c r="T487" s="18">
        <f>Operations!T479*Operations!T486</f>
        <v/>
      </c>
      <c r="U487" s="18">
        <f>Operations!U479*Operations!U486</f>
        <v/>
      </c>
      <c r="V487" s="18">
        <f>Operations!V479*Operations!V486</f>
        <v/>
      </c>
      <c r="W487" s="18">
        <f>Operations!W479*Operations!W486</f>
        <v/>
      </c>
      <c r="X487" s="18">
        <f>Operations!X479*Operations!X486</f>
        <v/>
      </c>
      <c r="Y487" s="18">
        <f>Operations!Y479*Operations!Y486</f>
        <v/>
      </c>
      <c r="Z487" s="18">
        <f>Operations!Z479*Operations!Z486</f>
        <v/>
      </c>
      <c r="AA487" s="18">
        <f>Operations!AA479*Operations!AA486</f>
        <v/>
      </c>
      <c r="AB487" s="18">
        <f>Operations!AB479*Operations!AB486</f>
        <v/>
      </c>
      <c r="AC487" s="18">
        <f>Operations!AC479*Operations!AC486</f>
        <v/>
      </c>
      <c r="AD487" s="18">
        <f>Operations!AD479*Operations!AD486</f>
        <v/>
      </c>
      <c r="AE487" s="18">
        <f>Operations!AE479*Operations!AE486</f>
        <v/>
      </c>
      <c r="AF487" s="18">
        <f>Operations!AF479*Operations!AF486</f>
        <v/>
      </c>
      <c r="AG487" s="18">
        <f>Operations!AG479*Operations!AG486</f>
        <v/>
      </c>
      <c r="AH487" s="18">
        <f>Operations!AH479*Operations!AH486</f>
        <v/>
      </c>
      <c r="AI487" s="18">
        <f>Operations!AI479*Operations!AI486</f>
        <v/>
      </c>
      <c r="AJ487" s="18">
        <f>Operations!AJ479*Operations!AJ486</f>
        <v/>
      </c>
      <c r="AK487" s="18">
        <f>Operations!AK479*Operations!AK486</f>
        <v/>
      </c>
      <c r="AL487" s="18">
        <f>Operations!AL479*Operations!AL486</f>
        <v/>
      </c>
      <c r="AM487" s="18">
        <f>Operations!AM479*Operations!AM486</f>
        <v/>
      </c>
      <c r="AN487" s="18">
        <f>Operations!AN479*Operations!AN486</f>
        <v/>
      </c>
      <c r="AO487" s="18">
        <f>Operations!AO479*Operations!AO486</f>
        <v/>
      </c>
      <c r="AP487" s="18">
        <f>Operations!AP479*Operations!AP486</f>
        <v/>
      </c>
      <c r="AQ487" s="18">
        <f>Operations!AQ479*Operations!AQ486</f>
        <v/>
      </c>
      <c r="AR487" s="18">
        <f>Operations!AR479*Operations!AR486</f>
        <v/>
      </c>
      <c r="AS487" s="18">
        <f>Operations!AS479*Operations!AS486</f>
        <v/>
      </c>
      <c r="AT487" s="18">
        <f>Operations!AT479*Operations!AT486</f>
        <v/>
      </c>
      <c r="AU487" s="18">
        <f>Operations!AU479*Operations!AU486</f>
        <v/>
      </c>
    </row>
    <row r="488">
      <c r="D488" t="inlineStr">
        <is>
          <t>R2 PPA term fraction</t>
        </is>
      </c>
      <c r="E488" t="inlineStr">
        <is>
          <t>fraction</t>
        </is>
      </c>
      <c r="J488" s="14">
        <f>MAX(0,MIN(Inputs!$F$196,Time!J$6)-MAX(Inputs!$F$100,Time!J$5))/Time!J$7</f>
        <v/>
      </c>
      <c r="K488" s="14">
        <f>MAX(0,MIN(Inputs!$F$196,Time!K$6)-MAX(Inputs!$F$100,Time!K$5))/Time!K$7</f>
        <v/>
      </c>
      <c r="L488" s="14">
        <f>MAX(0,MIN(Inputs!$F$196,Time!L$6)-MAX(Inputs!$F$100,Time!L$5))/Time!L$7</f>
        <v/>
      </c>
      <c r="M488" s="14">
        <f>MAX(0,MIN(Inputs!$F$196,Time!M$6)-MAX(Inputs!$F$100,Time!M$5))/Time!M$7</f>
        <v/>
      </c>
      <c r="N488" s="14">
        <f>MAX(0,MIN(Inputs!$F$196,Time!N$6)-MAX(Inputs!$F$100,Time!N$5))/Time!N$7</f>
        <v/>
      </c>
      <c r="O488" s="14">
        <f>MAX(0,MIN(Inputs!$F$196,Time!O$6)-MAX(Inputs!$F$100,Time!O$5))/Time!O$7</f>
        <v/>
      </c>
      <c r="P488" s="14">
        <f>MAX(0,MIN(Inputs!$F$196,Time!P$6)-MAX(Inputs!$F$100,Time!P$5))/Time!P$7</f>
        <v/>
      </c>
      <c r="Q488" s="14">
        <f>MAX(0,MIN(Inputs!$F$196,Time!Q$6)-MAX(Inputs!$F$100,Time!Q$5))/Time!Q$7</f>
        <v/>
      </c>
      <c r="R488" s="14">
        <f>MAX(0,MIN(Inputs!$F$196,Time!R$6)-MAX(Inputs!$F$100,Time!R$5))/Time!R$7</f>
        <v/>
      </c>
      <c r="S488" s="14">
        <f>MAX(0,MIN(Inputs!$F$196,Time!S$6)-MAX(Inputs!$F$100,Time!S$5))/Time!S$7</f>
        <v/>
      </c>
      <c r="T488" s="14">
        <f>MAX(0,MIN(Inputs!$F$196,Time!T$6)-MAX(Inputs!$F$100,Time!T$5))/Time!T$7</f>
        <v/>
      </c>
      <c r="U488" s="14">
        <f>MAX(0,MIN(Inputs!$F$196,Time!U$6)-MAX(Inputs!$F$100,Time!U$5))/Time!U$7</f>
        <v/>
      </c>
      <c r="V488" s="14">
        <f>MAX(0,MIN(Inputs!$F$196,Time!V$6)-MAX(Inputs!$F$100,Time!V$5))/Time!V$7</f>
        <v/>
      </c>
      <c r="W488" s="14">
        <f>MAX(0,MIN(Inputs!$F$196,Time!W$6)-MAX(Inputs!$F$100,Time!W$5))/Time!W$7</f>
        <v/>
      </c>
      <c r="X488" s="14">
        <f>MAX(0,MIN(Inputs!$F$196,Time!X$6)-MAX(Inputs!$F$100,Time!X$5))/Time!X$7</f>
        <v/>
      </c>
      <c r="Y488" s="14">
        <f>MAX(0,MIN(Inputs!$F$196,Time!Y$6)-MAX(Inputs!$F$100,Time!Y$5))/Time!Y$7</f>
        <v/>
      </c>
      <c r="Z488" s="14">
        <f>MAX(0,MIN(Inputs!$F$196,Time!Z$6)-MAX(Inputs!$F$100,Time!Z$5))/Time!Z$7</f>
        <v/>
      </c>
      <c r="AA488" s="14">
        <f>MAX(0,MIN(Inputs!$F$196,Time!AA$6)-MAX(Inputs!$F$100,Time!AA$5))/Time!AA$7</f>
        <v/>
      </c>
      <c r="AB488" s="14">
        <f>MAX(0,MIN(Inputs!$F$196,Time!AB$6)-MAX(Inputs!$F$100,Time!AB$5))/Time!AB$7</f>
        <v/>
      </c>
      <c r="AC488" s="14">
        <f>MAX(0,MIN(Inputs!$F$196,Time!AC$6)-MAX(Inputs!$F$100,Time!AC$5))/Time!AC$7</f>
        <v/>
      </c>
      <c r="AD488" s="14">
        <f>MAX(0,MIN(Inputs!$F$196,Time!AD$6)-MAX(Inputs!$F$100,Time!AD$5))/Time!AD$7</f>
        <v/>
      </c>
      <c r="AE488" s="14">
        <f>MAX(0,MIN(Inputs!$F$196,Time!AE$6)-MAX(Inputs!$F$100,Time!AE$5))/Time!AE$7</f>
        <v/>
      </c>
      <c r="AF488" s="14">
        <f>MAX(0,MIN(Inputs!$F$196,Time!AF$6)-MAX(Inputs!$F$100,Time!AF$5))/Time!AF$7</f>
        <v/>
      </c>
      <c r="AG488" s="14">
        <f>MAX(0,MIN(Inputs!$F$196,Time!AG$6)-MAX(Inputs!$F$100,Time!AG$5))/Time!AG$7</f>
        <v/>
      </c>
      <c r="AH488" s="14">
        <f>MAX(0,MIN(Inputs!$F$196,Time!AH$6)-MAX(Inputs!$F$100,Time!AH$5))/Time!AH$7</f>
        <v/>
      </c>
      <c r="AI488" s="14">
        <f>MAX(0,MIN(Inputs!$F$196,Time!AI$6)-MAX(Inputs!$F$100,Time!AI$5))/Time!AI$7</f>
        <v/>
      </c>
      <c r="AJ488" s="14">
        <f>MAX(0,MIN(Inputs!$F$196,Time!AJ$6)-MAX(Inputs!$F$100,Time!AJ$5))/Time!AJ$7</f>
        <v/>
      </c>
      <c r="AK488" s="14">
        <f>MAX(0,MIN(Inputs!$F$196,Time!AK$6)-MAX(Inputs!$F$100,Time!AK$5))/Time!AK$7</f>
        <v/>
      </c>
      <c r="AL488" s="14">
        <f>MAX(0,MIN(Inputs!$F$196,Time!AL$6)-MAX(Inputs!$F$100,Time!AL$5))/Time!AL$7</f>
        <v/>
      </c>
      <c r="AM488" s="14">
        <f>MAX(0,MIN(Inputs!$F$196,Time!AM$6)-MAX(Inputs!$F$100,Time!AM$5))/Time!AM$7</f>
        <v/>
      </c>
      <c r="AN488" s="14">
        <f>MAX(0,MIN(Inputs!$F$196,Time!AN$6)-MAX(Inputs!$F$100,Time!AN$5))/Time!AN$7</f>
        <v/>
      </c>
      <c r="AO488" s="14">
        <f>MAX(0,MIN(Inputs!$F$196,Time!AO$6)-MAX(Inputs!$F$100,Time!AO$5))/Time!AO$7</f>
        <v/>
      </c>
      <c r="AP488" s="14">
        <f>MAX(0,MIN(Inputs!$F$196,Time!AP$6)-MAX(Inputs!$F$100,Time!AP$5))/Time!AP$7</f>
        <v/>
      </c>
      <c r="AQ488" s="14">
        <f>MAX(0,MIN(Inputs!$F$196,Time!AQ$6)-MAX(Inputs!$F$100,Time!AQ$5))/Time!AQ$7</f>
        <v/>
      </c>
      <c r="AR488" s="14">
        <f>MAX(0,MIN(Inputs!$F$196,Time!AR$6)-MAX(Inputs!$F$100,Time!AR$5))/Time!AR$7</f>
        <v/>
      </c>
      <c r="AS488" s="14">
        <f>MAX(0,MIN(Inputs!$F$196,Time!AS$6)-MAX(Inputs!$F$100,Time!AS$5))/Time!AS$7</f>
        <v/>
      </c>
      <c r="AT488" s="14">
        <f>MAX(0,MIN(Inputs!$F$196,Time!AT$6)-MAX(Inputs!$F$100,Time!AT$5))/Time!AT$7</f>
        <v/>
      </c>
      <c r="AU488" s="14">
        <f>MAX(0,MIN(Inputs!$F$196,Time!AU$6)-MAX(Inputs!$F$100,Time!AU$5))/Time!AU$7</f>
        <v/>
      </c>
    </row>
    <row r="489">
      <c r="D489" t="inlineStr">
        <is>
          <t>R2 PPA volume (as generated)</t>
        </is>
      </c>
      <c r="E489" t="inlineStr">
        <is>
          <t>GWh</t>
        </is>
      </c>
      <c r="J489" s="20">
        <f>Operations!J483*Operations!J488</f>
        <v/>
      </c>
      <c r="K489" s="20">
        <f>Operations!K483*Operations!K488</f>
        <v/>
      </c>
      <c r="L489" s="20">
        <f>Operations!L483*Operations!L488</f>
        <v/>
      </c>
      <c r="M489" s="20">
        <f>Operations!M483*Operations!M488</f>
        <v/>
      </c>
      <c r="N489" s="20">
        <f>Operations!N483*Operations!N488</f>
        <v/>
      </c>
      <c r="O489" s="20">
        <f>Operations!O483*Operations!O488</f>
        <v/>
      </c>
      <c r="P489" s="20">
        <f>Operations!P483*Operations!P488</f>
        <v/>
      </c>
      <c r="Q489" s="20">
        <f>Operations!Q483*Operations!Q488</f>
        <v/>
      </c>
      <c r="R489" s="20">
        <f>Operations!R483*Operations!R488</f>
        <v/>
      </c>
      <c r="S489" s="20">
        <f>Operations!S483*Operations!S488</f>
        <v/>
      </c>
      <c r="T489" s="20">
        <f>Operations!T483*Operations!T488</f>
        <v/>
      </c>
      <c r="U489" s="20">
        <f>Operations!U483*Operations!U488</f>
        <v/>
      </c>
      <c r="V489" s="20">
        <f>Operations!V483*Operations!V488</f>
        <v/>
      </c>
      <c r="W489" s="20">
        <f>Operations!W483*Operations!W488</f>
        <v/>
      </c>
      <c r="X489" s="20">
        <f>Operations!X483*Operations!X488</f>
        <v/>
      </c>
      <c r="Y489" s="20">
        <f>Operations!Y483*Operations!Y488</f>
        <v/>
      </c>
      <c r="Z489" s="20">
        <f>Operations!Z483*Operations!Z488</f>
        <v/>
      </c>
      <c r="AA489" s="20">
        <f>Operations!AA483*Operations!AA488</f>
        <v/>
      </c>
      <c r="AB489" s="20">
        <f>Operations!AB483*Operations!AB488</f>
        <v/>
      </c>
      <c r="AC489" s="20">
        <f>Operations!AC483*Operations!AC488</f>
        <v/>
      </c>
      <c r="AD489" s="20">
        <f>Operations!AD483*Operations!AD488</f>
        <v/>
      </c>
      <c r="AE489" s="20">
        <f>Operations!AE483*Operations!AE488</f>
        <v/>
      </c>
      <c r="AF489" s="20">
        <f>Operations!AF483*Operations!AF488</f>
        <v/>
      </c>
      <c r="AG489" s="20">
        <f>Operations!AG483*Operations!AG488</f>
        <v/>
      </c>
      <c r="AH489" s="20">
        <f>Operations!AH483*Operations!AH488</f>
        <v/>
      </c>
      <c r="AI489" s="20">
        <f>Operations!AI483*Operations!AI488</f>
        <v/>
      </c>
      <c r="AJ489" s="20">
        <f>Operations!AJ483*Operations!AJ488</f>
        <v/>
      </c>
      <c r="AK489" s="20">
        <f>Operations!AK483*Operations!AK488</f>
        <v/>
      </c>
      <c r="AL489" s="20">
        <f>Operations!AL483*Operations!AL488</f>
        <v/>
      </c>
      <c r="AM489" s="20">
        <f>Operations!AM483*Operations!AM488</f>
        <v/>
      </c>
      <c r="AN489" s="20">
        <f>Operations!AN483*Operations!AN488</f>
        <v/>
      </c>
      <c r="AO489" s="20">
        <f>Operations!AO483*Operations!AO488</f>
        <v/>
      </c>
      <c r="AP489" s="20">
        <f>Operations!AP483*Operations!AP488</f>
        <v/>
      </c>
      <c r="AQ489" s="20">
        <f>Operations!AQ483*Operations!AQ488</f>
        <v/>
      </c>
      <c r="AR489" s="20">
        <f>Operations!AR483*Operations!AR488</f>
        <v/>
      </c>
      <c r="AS489" s="20">
        <f>Operations!AS483*Operations!AS488</f>
        <v/>
      </c>
      <c r="AT489" s="20">
        <f>Operations!AT483*Operations!AT488</f>
        <v/>
      </c>
      <c r="AU489" s="20">
        <f>Operations!AU483*Operations!AU488</f>
        <v/>
      </c>
    </row>
    <row r="490">
      <c r="D490" t="inlineStr">
        <is>
          <t>R2 PPA revenue</t>
        </is>
      </c>
      <c r="E490" t="inlineStr">
        <is>
          <t>USD m</t>
        </is>
      </c>
      <c r="G490" s="20">
        <f>SUM(J490:AU490)</f>
        <v/>
      </c>
      <c r="J490" s="20">
        <f>Operations!J489*Inputs!$F$195/1000</f>
        <v/>
      </c>
      <c r="K490" s="20">
        <f>Operations!K489*Inputs!$F$195/1000</f>
        <v/>
      </c>
      <c r="L490" s="20">
        <f>Operations!L489*Inputs!$F$195/1000</f>
        <v/>
      </c>
      <c r="M490" s="20">
        <f>Operations!M489*Inputs!$F$195/1000</f>
        <v/>
      </c>
      <c r="N490" s="20">
        <f>Operations!N489*Inputs!$F$195/1000</f>
        <v/>
      </c>
      <c r="O490" s="20">
        <f>Operations!O489*Inputs!$F$195/1000</f>
        <v/>
      </c>
      <c r="P490" s="20">
        <f>Operations!P489*Inputs!$F$195/1000</f>
        <v/>
      </c>
      <c r="Q490" s="20">
        <f>Operations!Q489*Inputs!$F$195/1000</f>
        <v/>
      </c>
      <c r="R490" s="20">
        <f>Operations!R489*Inputs!$F$195/1000</f>
        <v/>
      </c>
      <c r="S490" s="20">
        <f>Operations!S489*Inputs!$F$195/1000</f>
        <v/>
      </c>
      <c r="T490" s="20">
        <f>Operations!T489*Inputs!$F$195/1000</f>
        <v/>
      </c>
      <c r="U490" s="20">
        <f>Operations!U489*Inputs!$F$195/1000</f>
        <v/>
      </c>
      <c r="V490" s="20">
        <f>Operations!V489*Inputs!$F$195/1000</f>
        <v/>
      </c>
      <c r="W490" s="20">
        <f>Operations!W489*Inputs!$F$195/1000</f>
        <v/>
      </c>
      <c r="X490" s="20">
        <f>Operations!X489*Inputs!$F$195/1000</f>
        <v/>
      </c>
      <c r="Y490" s="20">
        <f>Operations!Y489*Inputs!$F$195/1000</f>
        <v/>
      </c>
      <c r="Z490" s="20">
        <f>Operations!Z489*Inputs!$F$195/1000</f>
        <v/>
      </c>
      <c r="AA490" s="20">
        <f>Operations!AA489*Inputs!$F$195/1000</f>
        <v/>
      </c>
      <c r="AB490" s="20">
        <f>Operations!AB489*Inputs!$F$195/1000</f>
        <v/>
      </c>
      <c r="AC490" s="20">
        <f>Operations!AC489*Inputs!$F$195/1000</f>
        <v/>
      </c>
      <c r="AD490" s="20">
        <f>Operations!AD489*Inputs!$F$195/1000</f>
        <v/>
      </c>
      <c r="AE490" s="20">
        <f>Operations!AE489*Inputs!$F$195/1000</f>
        <v/>
      </c>
      <c r="AF490" s="20">
        <f>Operations!AF489*Inputs!$F$195/1000</f>
        <v/>
      </c>
      <c r="AG490" s="20">
        <f>Operations!AG489*Inputs!$F$195/1000</f>
        <v/>
      </c>
      <c r="AH490" s="20">
        <f>Operations!AH489*Inputs!$F$195/1000</f>
        <v/>
      </c>
      <c r="AI490" s="20">
        <f>Operations!AI489*Inputs!$F$195/1000</f>
        <v/>
      </c>
      <c r="AJ490" s="20">
        <f>Operations!AJ489*Inputs!$F$195/1000</f>
        <v/>
      </c>
      <c r="AK490" s="20">
        <f>Operations!AK489*Inputs!$F$195/1000</f>
        <v/>
      </c>
      <c r="AL490" s="20">
        <f>Operations!AL489*Inputs!$F$195/1000</f>
        <v/>
      </c>
      <c r="AM490" s="20">
        <f>Operations!AM489*Inputs!$F$195/1000</f>
        <v/>
      </c>
      <c r="AN490" s="20">
        <f>Operations!AN489*Inputs!$F$195/1000</f>
        <v/>
      </c>
      <c r="AO490" s="20">
        <f>Operations!AO489*Inputs!$F$195/1000</f>
        <v/>
      </c>
      <c r="AP490" s="20">
        <f>Operations!AP489*Inputs!$F$195/1000</f>
        <v/>
      </c>
      <c r="AQ490" s="20">
        <f>Operations!AQ489*Inputs!$F$195/1000</f>
        <v/>
      </c>
      <c r="AR490" s="20">
        <f>Operations!AR489*Inputs!$F$195/1000</f>
        <v/>
      </c>
      <c r="AS490" s="20">
        <f>Operations!AS489*Inputs!$F$195/1000</f>
        <v/>
      </c>
      <c r="AT490" s="20">
        <f>Operations!AT489*Inputs!$F$195/1000</f>
        <v/>
      </c>
      <c r="AU490" s="20">
        <f>Operations!AU489*Inputs!$F$195/1000</f>
        <v/>
      </c>
    </row>
    <row r="491">
      <c r="D491" t="inlineStr">
        <is>
          <t>R2 generation sold at node</t>
        </is>
      </c>
      <c r="E491" t="inlineStr">
        <is>
          <t>GWh</t>
        </is>
      </c>
      <c r="J491" s="20">
        <f>Operations!J484-Operations!J489</f>
        <v/>
      </c>
      <c r="K491" s="20">
        <f>Operations!K484-Operations!K489</f>
        <v/>
      </c>
      <c r="L491" s="20">
        <f>Operations!L484-Operations!L489</f>
        <v/>
      </c>
      <c r="M491" s="20">
        <f>Operations!M484-Operations!M489</f>
        <v/>
      </c>
      <c r="N491" s="20">
        <f>Operations!N484-Operations!N489</f>
        <v/>
      </c>
      <c r="O491" s="20">
        <f>Operations!O484-Operations!O489</f>
        <v/>
      </c>
      <c r="P491" s="20">
        <f>Operations!P484-Operations!P489</f>
        <v/>
      </c>
      <c r="Q491" s="20">
        <f>Operations!Q484-Operations!Q489</f>
        <v/>
      </c>
      <c r="R491" s="20">
        <f>Operations!R484-Operations!R489</f>
        <v/>
      </c>
      <c r="S491" s="20">
        <f>Operations!S484-Operations!S489</f>
        <v/>
      </c>
      <c r="T491" s="20">
        <f>Operations!T484-Operations!T489</f>
        <v/>
      </c>
      <c r="U491" s="20">
        <f>Operations!U484-Operations!U489</f>
        <v/>
      </c>
      <c r="V491" s="20">
        <f>Operations!V484-Operations!V489</f>
        <v/>
      </c>
      <c r="W491" s="20">
        <f>Operations!W484-Operations!W489</f>
        <v/>
      </c>
      <c r="X491" s="20">
        <f>Operations!X484-Operations!X489</f>
        <v/>
      </c>
      <c r="Y491" s="20">
        <f>Operations!Y484-Operations!Y489</f>
        <v/>
      </c>
      <c r="Z491" s="20">
        <f>Operations!Z484-Operations!Z489</f>
        <v/>
      </c>
      <c r="AA491" s="20">
        <f>Operations!AA484-Operations!AA489</f>
        <v/>
      </c>
      <c r="AB491" s="20">
        <f>Operations!AB484-Operations!AB489</f>
        <v/>
      </c>
      <c r="AC491" s="20">
        <f>Operations!AC484-Operations!AC489</f>
        <v/>
      </c>
      <c r="AD491" s="20">
        <f>Operations!AD484-Operations!AD489</f>
        <v/>
      </c>
      <c r="AE491" s="20">
        <f>Operations!AE484-Operations!AE489</f>
        <v/>
      </c>
      <c r="AF491" s="20">
        <f>Operations!AF484-Operations!AF489</f>
        <v/>
      </c>
      <c r="AG491" s="20">
        <f>Operations!AG484-Operations!AG489</f>
        <v/>
      </c>
      <c r="AH491" s="20">
        <f>Operations!AH484-Operations!AH489</f>
        <v/>
      </c>
      <c r="AI491" s="20">
        <f>Operations!AI484-Operations!AI489</f>
        <v/>
      </c>
      <c r="AJ491" s="20">
        <f>Operations!AJ484-Operations!AJ489</f>
        <v/>
      </c>
      <c r="AK491" s="20">
        <f>Operations!AK484-Operations!AK489</f>
        <v/>
      </c>
      <c r="AL491" s="20">
        <f>Operations!AL484-Operations!AL489</f>
        <v/>
      </c>
      <c r="AM491" s="20">
        <f>Operations!AM484-Operations!AM489</f>
        <v/>
      </c>
      <c r="AN491" s="20">
        <f>Operations!AN484-Operations!AN489</f>
        <v/>
      </c>
      <c r="AO491" s="20">
        <f>Operations!AO484-Operations!AO489</f>
        <v/>
      </c>
      <c r="AP491" s="20">
        <f>Operations!AP484-Operations!AP489</f>
        <v/>
      </c>
      <c r="AQ491" s="20">
        <f>Operations!AQ484-Operations!AQ489</f>
        <v/>
      </c>
      <c r="AR491" s="20">
        <f>Operations!AR484-Operations!AR489</f>
        <v/>
      </c>
      <c r="AS491" s="20">
        <f>Operations!AS484-Operations!AS489</f>
        <v/>
      </c>
      <c r="AT491" s="20">
        <f>Operations!AT484-Operations!AT489</f>
        <v/>
      </c>
      <c r="AU491" s="20">
        <f>Operations!AU484-Operations!AU489</f>
        <v/>
      </c>
    </row>
    <row r="492">
      <c r="D492" t="inlineStr">
        <is>
          <t>R2 contracted revenue</t>
        </is>
      </c>
      <c r="E492" t="inlineStr">
        <is>
          <t>USD m</t>
        </is>
      </c>
      <c r="J492" s="20">
        <f>Operations!J490</f>
        <v/>
      </c>
      <c r="K492" s="20">
        <f>Operations!K490</f>
        <v/>
      </c>
      <c r="L492" s="20">
        <f>Operations!L490</f>
        <v/>
      </c>
      <c r="M492" s="20">
        <f>Operations!M490</f>
        <v/>
      </c>
      <c r="N492" s="20">
        <f>Operations!N490</f>
        <v/>
      </c>
      <c r="O492" s="20">
        <f>Operations!O490</f>
        <v/>
      </c>
      <c r="P492" s="20">
        <f>Operations!P490</f>
        <v/>
      </c>
      <c r="Q492" s="20">
        <f>Operations!Q490</f>
        <v/>
      </c>
      <c r="R492" s="20">
        <f>Operations!R490</f>
        <v/>
      </c>
      <c r="S492" s="20">
        <f>Operations!S490</f>
        <v/>
      </c>
      <c r="T492" s="20">
        <f>Operations!T490</f>
        <v/>
      </c>
      <c r="U492" s="20">
        <f>Operations!U490</f>
        <v/>
      </c>
      <c r="V492" s="20">
        <f>Operations!V490</f>
        <v/>
      </c>
      <c r="W492" s="20">
        <f>Operations!W490</f>
        <v/>
      </c>
      <c r="X492" s="20">
        <f>Operations!X490</f>
        <v/>
      </c>
      <c r="Y492" s="20">
        <f>Operations!Y490</f>
        <v/>
      </c>
      <c r="Z492" s="20">
        <f>Operations!Z490</f>
        <v/>
      </c>
      <c r="AA492" s="20">
        <f>Operations!AA490</f>
        <v/>
      </c>
      <c r="AB492" s="20">
        <f>Operations!AB490</f>
        <v/>
      </c>
      <c r="AC492" s="20">
        <f>Operations!AC490</f>
        <v/>
      </c>
      <c r="AD492" s="20">
        <f>Operations!AD490</f>
        <v/>
      </c>
      <c r="AE492" s="20">
        <f>Operations!AE490</f>
        <v/>
      </c>
      <c r="AF492" s="20">
        <f>Operations!AF490</f>
        <v/>
      </c>
      <c r="AG492" s="20">
        <f>Operations!AG490</f>
        <v/>
      </c>
      <c r="AH492" s="20">
        <f>Operations!AH490</f>
        <v/>
      </c>
      <c r="AI492" s="20">
        <f>Operations!AI490</f>
        <v/>
      </c>
      <c r="AJ492" s="20">
        <f>Operations!AJ490</f>
        <v/>
      </c>
      <c r="AK492" s="20">
        <f>Operations!AK490</f>
        <v/>
      </c>
      <c r="AL492" s="20">
        <f>Operations!AL490</f>
        <v/>
      </c>
      <c r="AM492" s="20">
        <f>Operations!AM490</f>
        <v/>
      </c>
      <c r="AN492" s="20">
        <f>Operations!AN490</f>
        <v/>
      </c>
      <c r="AO492" s="20">
        <f>Operations!AO490</f>
        <v/>
      </c>
      <c r="AP492" s="20">
        <f>Operations!AP490</f>
        <v/>
      </c>
      <c r="AQ492" s="20">
        <f>Operations!AQ490</f>
        <v/>
      </c>
      <c r="AR492" s="20">
        <f>Operations!AR490</f>
        <v/>
      </c>
      <c r="AS492" s="20">
        <f>Operations!AS490</f>
        <v/>
      </c>
      <c r="AT492" s="20">
        <f>Operations!AT490</f>
        <v/>
      </c>
      <c r="AU492" s="20">
        <f>Operations!AU490</f>
        <v/>
      </c>
    </row>
    <row r="493">
      <c r="D493" t="inlineStr">
        <is>
          <t>R2 hedged revenue</t>
        </is>
      </c>
      <c r="E493" t="inlineStr">
        <is>
          <t>USD m</t>
        </is>
      </c>
      <c r="J493" s="20">
        <f>0</f>
        <v/>
      </c>
      <c r="K493" s="20">
        <f>0</f>
        <v/>
      </c>
      <c r="L493" s="20">
        <f>0</f>
        <v/>
      </c>
      <c r="M493" s="20">
        <f>0</f>
        <v/>
      </c>
      <c r="N493" s="20">
        <f>0</f>
        <v/>
      </c>
      <c r="O493" s="20">
        <f>0</f>
        <v/>
      </c>
      <c r="P493" s="20">
        <f>0</f>
        <v/>
      </c>
      <c r="Q493" s="20">
        <f>0</f>
        <v/>
      </c>
      <c r="R493" s="20">
        <f>0</f>
        <v/>
      </c>
      <c r="S493" s="20">
        <f>0</f>
        <v/>
      </c>
      <c r="T493" s="20">
        <f>0</f>
        <v/>
      </c>
      <c r="U493" s="20">
        <f>0</f>
        <v/>
      </c>
      <c r="V493" s="20">
        <f>0</f>
        <v/>
      </c>
      <c r="W493" s="20">
        <f>0</f>
        <v/>
      </c>
      <c r="X493" s="20">
        <f>0</f>
        <v/>
      </c>
      <c r="Y493" s="20">
        <f>0</f>
        <v/>
      </c>
      <c r="Z493" s="20">
        <f>0</f>
        <v/>
      </c>
      <c r="AA493" s="20">
        <f>0</f>
        <v/>
      </c>
      <c r="AB493" s="20">
        <f>0</f>
        <v/>
      </c>
      <c r="AC493" s="20">
        <f>0</f>
        <v/>
      </c>
      <c r="AD493" s="20">
        <f>0</f>
        <v/>
      </c>
      <c r="AE493" s="20">
        <f>0</f>
        <v/>
      </c>
      <c r="AF493" s="20">
        <f>0</f>
        <v/>
      </c>
      <c r="AG493" s="20">
        <f>0</f>
        <v/>
      </c>
      <c r="AH493" s="20">
        <f>0</f>
        <v/>
      </c>
      <c r="AI493" s="20">
        <f>0</f>
        <v/>
      </c>
      <c r="AJ493" s="20">
        <f>0</f>
        <v/>
      </c>
      <c r="AK493" s="20">
        <f>0</f>
        <v/>
      </c>
      <c r="AL493" s="20">
        <f>0</f>
        <v/>
      </c>
      <c r="AM493" s="20">
        <f>0</f>
        <v/>
      </c>
      <c r="AN493" s="20">
        <f>0</f>
        <v/>
      </c>
      <c r="AO493" s="20">
        <f>0</f>
        <v/>
      </c>
      <c r="AP493" s="20">
        <f>0</f>
        <v/>
      </c>
      <c r="AQ493" s="20">
        <f>0</f>
        <v/>
      </c>
      <c r="AR493" s="20">
        <f>0</f>
        <v/>
      </c>
      <c r="AS493" s="20">
        <f>0</f>
        <v/>
      </c>
      <c r="AT493" s="20">
        <f>0</f>
        <v/>
      </c>
      <c r="AU493" s="20">
        <f>0</f>
        <v/>
      </c>
    </row>
    <row r="494">
      <c r="D494" t="inlineStr">
        <is>
          <t>R2 market revenue at node</t>
        </is>
      </c>
      <c r="E494" t="inlineStr">
        <is>
          <t>USD m</t>
        </is>
      </c>
      <c r="G494" s="20">
        <f>SUM(J494:AU494)</f>
        <v/>
      </c>
      <c r="J494" s="20">
        <f>Operations!J491*Operations!J487/1000</f>
        <v/>
      </c>
      <c r="K494" s="20">
        <f>Operations!K491*Operations!K487/1000</f>
        <v/>
      </c>
      <c r="L494" s="20">
        <f>Operations!L491*Operations!L487/1000</f>
        <v/>
      </c>
      <c r="M494" s="20">
        <f>Operations!M491*Operations!M487/1000</f>
        <v/>
      </c>
      <c r="N494" s="20">
        <f>Operations!N491*Operations!N487/1000</f>
        <v/>
      </c>
      <c r="O494" s="20">
        <f>Operations!O491*Operations!O487/1000</f>
        <v/>
      </c>
      <c r="P494" s="20">
        <f>Operations!P491*Operations!P487/1000</f>
        <v/>
      </c>
      <c r="Q494" s="20">
        <f>Operations!Q491*Operations!Q487/1000</f>
        <v/>
      </c>
      <c r="R494" s="20">
        <f>Operations!R491*Operations!R487/1000</f>
        <v/>
      </c>
      <c r="S494" s="20">
        <f>Operations!S491*Operations!S487/1000</f>
        <v/>
      </c>
      <c r="T494" s="20">
        <f>Operations!T491*Operations!T487/1000</f>
        <v/>
      </c>
      <c r="U494" s="20">
        <f>Operations!U491*Operations!U487/1000</f>
        <v/>
      </c>
      <c r="V494" s="20">
        <f>Operations!V491*Operations!V487/1000</f>
        <v/>
      </c>
      <c r="W494" s="20">
        <f>Operations!W491*Operations!W487/1000</f>
        <v/>
      </c>
      <c r="X494" s="20">
        <f>Operations!X491*Operations!X487/1000</f>
        <v/>
      </c>
      <c r="Y494" s="20">
        <f>Operations!Y491*Operations!Y487/1000</f>
        <v/>
      </c>
      <c r="Z494" s="20">
        <f>Operations!Z491*Operations!Z487/1000</f>
        <v/>
      </c>
      <c r="AA494" s="20">
        <f>Operations!AA491*Operations!AA487/1000</f>
        <v/>
      </c>
      <c r="AB494" s="20">
        <f>Operations!AB491*Operations!AB487/1000</f>
        <v/>
      </c>
      <c r="AC494" s="20">
        <f>Operations!AC491*Operations!AC487/1000</f>
        <v/>
      </c>
      <c r="AD494" s="20">
        <f>Operations!AD491*Operations!AD487/1000</f>
        <v/>
      </c>
      <c r="AE494" s="20">
        <f>Operations!AE491*Operations!AE487/1000</f>
        <v/>
      </c>
      <c r="AF494" s="20">
        <f>Operations!AF491*Operations!AF487/1000</f>
        <v/>
      </c>
      <c r="AG494" s="20">
        <f>Operations!AG491*Operations!AG487/1000</f>
        <v/>
      </c>
      <c r="AH494" s="20">
        <f>Operations!AH491*Operations!AH487/1000</f>
        <v/>
      </c>
      <c r="AI494" s="20">
        <f>Operations!AI491*Operations!AI487/1000</f>
        <v/>
      </c>
      <c r="AJ494" s="20">
        <f>Operations!AJ491*Operations!AJ487/1000</f>
        <v/>
      </c>
      <c r="AK494" s="20">
        <f>Operations!AK491*Operations!AK487/1000</f>
        <v/>
      </c>
      <c r="AL494" s="20">
        <f>Operations!AL491*Operations!AL487/1000</f>
        <v/>
      </c>
      <c r="AM494" s="20">
        <f>Operations!AM491*Operations!AM487/1000</f>
        <v/>
      </c>
      <c r="AN494" s="20">
        <f>Operations!AN491*Operations!AN487/1000</f>
        <v/>
      </c>
      <c r="AO494" s="20">
        <f>Operations!AO491*Operations!AO487/1000</f>
        <v/>
      </c>
      <c r="AP494" s="20">
        <f>Operations!AP491*Operations!AP487/1000</f>
        <v/>
      </c>
      <c r="AQ494" s="20">
        <f>Operations!AQ491*Operations!AQ487/1000</f>
        <v/>
      </c>
      <c r="AR494" s="20">
        <f>Operations!AR491*Operations!AR487/1000</f>
        <v/>
      </c>
      <c r="AS494" s="20">
        <f>Operations!AS491*Operations!AS487/1000</f>
        <v/>
      </c>
      <c r="AT494" s="20">
        <f>Operations!AT491*Operations!AT487/1000</f>
        <v/>
      </c>
      <c r="AU494" s="20">
        <f>Operations!AU491*Operations!AU487/1000</f>
        <v/>
      </c>
    </row>
    <row r="495">
      <c r="D495" t="inlineStr">
        <is>
          <t>R2 total revenue</t>
        </is>
      </c>
      <c r="E495" t="inlineStr">
        <is>
          <t>USD m</t>
        </is>
      </c>
      <c r="G495" s="20">
        <f>SUM(J495:AU495)</f>
        <v/>
      </c>
      <c r="J495" s="20">
        <f>Operations!J494+Operations!J490</f>
        <v/>
      </c>
      <c r="K495" s="20">
        <f>Operations!K494+Operations!K490</f>
        <v/>
      </c>
      <c r="L495" s="20">
        <f>Operations!L494+Operations!L490</f>
        <v/>
      </c>
      <c r="M495" s="20">
        <f>Operations!M494+Operations!M490</f>
        <v/>
      </c>
      <c r="N495" s="20">
        <f>Operations!N494+Operations!N490</f>
        <v/>
      </c>
      <c r="O495" s="20">
        <f>Operations!O494+Operations!O490</f>
        <v/>
      </c>
      <c r="P495" s="20">
        <f>Operations!P494+Operations!P490</f>
        <v/>
      </c>
      <c r="Q495" s="20">
        <f>Operations!Q494+Operations!Q490</f>
        <v/>
      </c>
      <c r="R495" s="20">
        <f>Operations!R494+Operations!R490</f>
        <v/>
      </c>
      <c r="S495" s="20">
        <f>Operations!S494+Operations!S490</f>
        <v/>
      </c>
      <c r="T495" s="20">
        <f>Operations!T494+Operations!T490</f>
        <v/>
      </c>
      <c r="U495" s="20">
        <f>Operations!U494+Operations!U490</f>
        <v/>
      </c>
      <c r="V495" s="20">
        <f>Operations!V494+Operations!V490</f>
        <v/>
      </c>
      <c r="W495" s="20">
        <f>Operations!W494+Operations!W490</f>
        <v/>
      </c>
      <c r="X495" s="20">
        <f>Operations!X494+Operations!X490</f>
        <v/>
      </c>
      <c r="Y495" s="20">
        <f>Operations!Y494+Operations!Y490</f>
        <v/>
      </c>
      <c r="Z495" s="20">
        <f>Operations!Z494+Operations!Z490</f>
        <v/>
      </c>
      <c r="AA495" s="20">
        <f>Operations!AA494+Operations!AA490</f>
        <v/>
      </c>
      <c r="AB495" s="20">
        <f>Operations!AB494+Operations!AB490</f>
        <v/>
      </c>
      <c r="AC495" s="20">
        <f>Operations!AC494+Operations!AC490</f>
        <v/>
      </c>
      <c r="AD495" s="20">
        <f>Operations!AD494+Operations!AD490</f>
        <v/>
      </c>
      <c r="AE495" s="20">
        <f>Operations!AE494+Operations!AE490</f>
        <v/>
      </c>
      <c r="AF495" s="20">
        <f>Operations!AF494+Operations!AF490</f>
        <v/>
      </c>
      <c r="AG495" s="20">
        <f>Operations!AG494+Operations!AG490</f>
        <v/>
      </c>
      <c r="AH495" s="20">
        <f>Operations!AH494+Operations!AH490</f>
        <v/>
      </c>
      <c r="AI495" s="20">
        <f>Operations!AI494+Operations!AI490</f>
        <v/>
      </c>
      <c r="AJ495" s="20">
        <f>Operations!AJ494+Operations!AJ490</f>
        <v/>
      </c>
      <c r="AK495" s="20">
        <f>Operations!AK494+Operations!AK490</f>
        <v/>
      </c>
      <c r="AL495" s="20">
        <f>Operations!AL494+Operations!AL490</f>
        <v/>
      </c>
      <c r="AM495" s="20">
        <f>Operations!AM494+Operations!AM490</f>
        <v/>
      </c>
      <c r="AN495" s="20">
        <f>Operations!AN494+Operations!AN490</f>
        <v/>
      </c>
      <c r="AO495" s="20">
        <f>Operations!AO494+Operations!AO490</f>
        <v/>
      </c>
      <c r="AP495" s="20">
        <f>Operations!AP494+Operations!AP490</f>
        <v/>
      </c>
      <c r="AQ495" s="20">
        <f>Operations!AQ494+Operations!AQ490</f>
        <v/>
      </c>
      <c r="AR495" s="20">
        <f>Operations!AR494+Operations!AR490</f>
        <v/>
      </c>
      <c r="AS495" s="20">
        <f>Operations!AS494+Operations!AS490</f>
        <v/>
      </c>
      <c r="AT495" s="20">
        <f>Operations!AT494+Operations!AT490</f>
        <v/>
      </c>
      <c r="AU495" s="20">
        <f>Operations!AU494+Operations!AU490</f>
        <v/>
      </c>
    </row>
    <row r="496">
      <c r="D496" t="inlineStr">
        <is>
          <t>R2 merchant revenue (total less contracted and hedged)</t>
        </is>
      </c>
      <c r="E496" t="inlineStr">
        <is>
          <t>USD m</t>
        </is>
      </c>
      <c r="J496" s="20">
        <f>Operations!J495-Operations!J492-Operations!J493</f>
        <v/>
      </c>
      <c r="K496" s="20">
        <f>Operations!K495-Operations!K492-Operations!K493</f>
        <v/>
      </c>
      <c r="L496" s="20">
        <f>Operations!L495-Operations!L492-Operations!L493</f>
        <v/>
      </c>
      <c r="M496" s="20">
        <f>Operations!M495-Operations!M492-Operations!M493</f>
        <v/>
      </c>
      <c r="N496" s="20">
        <f>Operations!N495-Operations!N492-Operations!N493</f>
        <v/>
      </c>
      <c r="O496" s="20">
        <f>Operations!O495-Operations!O492-Operations!O493</f>
        <v/>
      </c>
      <c r="P496" s="20">
        <f>Operations!P495-Operations!P492-Operations!P493</f>
        <v/>
      </c>
      <c r="Q496" s="20">
        <f>Operations!Q495-Operations!Q492-Operations!Q493</f>
        <v/>
      </c>
      <c r="R496" s="20">
        <f>Operations!R495-Operations!R492-Operations!R493</f>
        <v/>
      </c>
      <c r="S496" s="20">
        <f>Operations!S495-Operations!S492-Operations!S493</f>
        <v/>
      </c>
      <c r="T496" s="20">
        <f>Operations!T495-Operations!T492-Operations!T493</f>
        <v/>
      </c>
      <c r="U496" s="20">
        <f>Operations!U495-Operations!U492-Operations!U493</f>
        <v/>
      </c>
      <c r="V496" s="20">
        <f>Operations!V495-Operations!V492-Operations!V493</f>
        <v/>
      </c>
      <c r="W496" s="20">
        <f>Operations!W495-Operations!W492-Operations!W493</f>
        <v/>
      </c>
      <c r="X496" s="20">
        <f>Operations!X495-Operations!X492-Operations!X493</f>
        <v/>
      </c>
      <c r="Y496" s="20">
        <f>Operations!Y495-Operations!Y492-Operations!Y493</f>
        <v/>
      </c>
      <c r="Z496" s="20">
        <f>Operations!Z495-Operations!Z492-Operations!Z493</f>
        <v/>
      </c>
      <c r="AA496" s="20">
        <f>Operations!AA495-Operations!AA492-Operations!AA493</f>
        <v/>
      </c>
      <c r="AB496" s="20">
        <f>Operations!AB495-Operations!AB492-Operations!AB493</f>
        <v/>
      </c>
      <c r="AC496" s="20">
        <f>Operations!AC495-Operations!AC492-Operations!AC493</f>
        <v/>
      </c>
      <c r="AD496" s="20">
        <f>Operations!AD495-Operations!AD492-Operations!AD493</f>
        <v/>
      </c>
      <c r="AE496" s="20">
        <f>Operations!AE495-Operations!AE492-Operations!AE493</f>
        <v/>
      </c>
      <c r="AF496" s="20">
        <f>Operations!AF495-Operations!AF492-Operations!AF493</f>
        <v/>
      </c>
      <c r="AG496" s="20">
        <f>Operations!AG495-Operations!AG492-Operations!AG493</f>
        <v/>
      </c>
      <c r="AH496" s="20">
        <f>Operations!AH495-Operations!AH492-Operations!AH493</f>
        <v/>
      </c>
      <c r="AI496" s="20">
        <f>Operations!AI495-Operations!AI492-Operations!AI493</f>
        <v/>
      </c>
      <c r="AJ496" s="20">
        <f>Operations!AJ495-Operations!AJ492-Operations!AJ493</f>
        <v/>
      </c>
      <c r="AK496" s="20">
        <f>Operations!AK495-Operations!AK492-Operations!AK493</f>
        <v/>
      </c>
      <c r="AL496" s="20">
        <f>Operations!AL495-Operations!AL492-Operations!AL493</f>
        <v/>
      </c>
      <c r="AM496" s="20">
        <f>Operations!AM495-Operations!AM492-Operations!AM493</f>
        <v/>
      </c>
      <c r="AN496" s="20">
        <f>Operations!AN495-Operations!AN492-Operations!AN493</f>
        <v/>
      </c>
      <c r="AO496" s="20">
        <f>Operations!AO495-Operations!AO492-Operations!AO493</f>
        <v/>
      </c>
      <c r="AP496" s="20">
        <f>Operations!AP495-Operations!AP492-Operations!AP493</f>
        <v/>
      </c>
      <c r="AQ496" s="20">
        <f>Operations!AQ495-Operations!AQ492-Operations!AQ493</f>
        <v/>
      </c>
      <c r="AR496" s="20">
        <f>Operations!AR495-Operations!AR492-Operations!AR493</f>
        <v/>
      </c>
      <c r="AS496" s="20">
        <f>Operations!AS495-Operations!AS492-Operations!AS493</f>
        <v/>
      </c>
      <c r="AT496" s="20">
        <f>Operations!AT495-Operations!AT492-Operations!AT493</f>
        <v/>
      </c>
      <c r="AU496" s="20">
        <f>Operations!AU495-Operations!AU492-Operations!AU493</f>
        <v/>
      </c>
    </row>
    <row r="497">
      <c r="D497" t="inlineStr">
        <is>
          <t>R2 opex (O&amp;M, land, insurance, property tax, site)</t>
        </is>
      </c>
      <c r="E497" t="inlineStr">
        <is>
          <t>USD m</t>
        </is>
      </c>
      <c r="J497" s="20">
        <f>Inputs!$F$103*Inputs!$F$99/1000*Time!J$9*Time!J$10*Operations!J476*Operations!$F$421</f>
        <v/>
      </c>
      <c r="K497" s="20">
        <f>Inputs!$F$103*Inputs!$F$99/1000*Time!K$9*Time!K$10*Operations!K476*Operations!$F$421</f>
        <v/>
      </c>
      <c r="L497" s="20">
        <f>Inputs!$F$103*Inputs!$F$99/1000*Time!L$9*Time!L$10*Operations!L476*Operations!$F$421</f>
        <v/>
      </c>
      <c r="M497" s="20">
        <f>Inputs!$F$103*Inputs!$F$99/1000*Time!M$9*Time!M$10*Operations!M476*Operations!$F$421</f>
        <v/>
      </c>
      <c r="N497" s="20">
        <f>Inputs!$F$103*Inputs!$F$99/1000*Time!N$9*Time!N$10*Operations!N476*Operations!$F$421</f>
        <v/>
      </c>
      <c r="O497" s="20">
        <f>Inputs!$F$103*Inputs!$F$99/1000*Time!O$9*Time!O$10*Operations!O476*Operations!$F$421</f>
        <v/>
      </c>
      <c r="P497" s="20">
        <f>Inputs!$F$103*Inputs!$F$99/1000*Time!P$9*Time!P$10*Operations!P476*Operations!$F$421</f>
        <v/>
      </c>
      <c r="Q497" s="20">
        <f>Inputs!$F$103*Inputs!$F$99/1000*Time!Q$9*Time!Q$10*Operations!Q476*Operations!$F$421</f>
        <v/>
      </c>
      <c r="R497" s="20">
        <f>Inputs!$F$103*Inputs!$F$99/1000*Time!R$9*Time!R$10*Operations!R476*Operations!$F$421</f>
        <v/>
      </c>
      <c r="S497" s="20">
        <f>Inputs!$F$103*Inputs!$F$99/1000*Time!S$9*Time!S$10*Operations!S476*Operations!$F$421</f>
        <v/>
      </c>
      <c r="T497" s="20">
        <f>Inputs!$F$103*Inputs!$F$99/1000*Time!T$9*Time!T$10*Operations!T476*Operations!$F$421</f>
        <v/>
      </c>
      <c r="U497" s="20">
        <f>Inputs!$F$103*Inputs!$F$99/1000*Time!U$9*Time!U$10*Operations!U476*Operations!$F$421</f>
        <v/>
      </c>
      <c r="V497" s="20">
        <f>Inputs!$F$103*Inputs!$F$99/1000*Time!V$9*Time!V$10*Operations!V476*Operations!$F$421</f>
        <v/>
      </c>
      <c r="W497" s="20">
        <f>Inputs!$F$103*Inputs!$F$99/1000*Time!W$9*Time!W$10*Operations!W476*Operations!$F$421</f>
        <v/>
      </c>
      <c r="X497" s="20">
        <f>Inputs!$F$103*Inputs!$F$99/1000*Time!X$9*Time!X$10*Operations!X476*Operations!$F$421</f>
        <v/>
      </c>
      <c r="Y497" s="20">
        <f>Inputs!$F$103*Inputs!$F$99/1000*Time!Y$9*Time!Y$10*Operations!Y476*Operations!$F$421</f>
        <v/>
      </c>
      <c r="Z497" s="20">
        <f>Inputs!$F$103*Inputs!$F$99/1000*Time!Z$9*Time!Z$10*Operations!Z476*Operations!$F$421</f>
        <v/>
      </c>
      <c r="AA497" s="20">
        <f>Inputs!$F$103*Inputs!$F$99/1000*Time!AA$9*Time!AA$10*Operations!AA476*Operations!$F$421</f>
        <v/>
      </c>
      <c r="AB497" s="20">
        <f>Inputs!$F$103*Inputs!$F$99/1000*Time!AB$9*Time!AB$10*Operations!AB476*Operations!$F$421</f>
        <v/>
      </c>
      <c r="AC497" s="20">
        <f>Inputs!$F$103*Inputs!$F$99/1000*Time!AC$9*Time!AC$10*Operations!AC476*Operations!$F$421</f>
        <v/>
      </c>
      <c r="AD497" s="20">
        <f>Inputs!$F$103*Inputs!$F$99/1000*Time!AD$9*Time!AD$10*Operations!AD476*Operations!$F$421</f>
        <v/>
      </c>
      <c r="AE497" s="20">
        <f>Inputs!$F$103*Inputs!$F$99/1000*Time!AE$9*Time!AE$10*Operations!AE476*Operations!$F$421</f>
        <v/>
      </c>
      <c r="AF497" s="20">
        <f>Inputs!$F$103*Inputs!$F$99/1000*Time!AF$9*Time!AF$10*Operations!AF476*Operations!$F$421</f>
        <v/>
      </c>
      <c r="AG497" s="20">
        <f>Inputs!$F$103*Inputs!$F$99/1000*Time!AG$9*Time!AG$10*Operations!AG476*Operations!$F$421</f>
        <v/>
      </c>
      <c r="AH497" s="20">
        <f>Inputs!$F$103*Inputs!$F$99/1000*Time!AH$9*Time!AH$10*Operations!AH476*Operations!$F$421</f>
        <v/>
      </c>
      <c r="AI497" s="20">
        <f>Inputs!$F$103*Inputs!$F$99/1000*Time!AI$9*Time!AI$10*Operations!AI476*Operations!$F$421</f>
        <v/>
      </c>
      <c r="AJ497" s="20">
        <f>Inputs!$F$103*Inputs!$F$99/1000*Time!AJ$9*Time!AJ$10*Operations!AJ476*Operations!$F$421</f>
        <v/>
      </c>
      <c r="AK497" s="20">
        <f>Inputs!$F$103*Inputs!$F$99/1000*Time!AK$9*Time!AK$10*Operations!AK476*Operations!$F$421</f>
        <v/>
      </c>
      <c r="AL497" s="20">
        <f>Inputs!$F$103*Inputs!$F$99/1000*Time!AL$9*Time!AL$10*Operations!AL476*Operations!$F$421</f>
        <v/>
      </c>
      <c r="AM497" s="20">
        <f>Inputs!$F$103*Inputs!$F$99/1000*Time!AM$9*Time!AM$10*Operations!AM476*Operations!$F$421</f>
        <v/>
      </c>
      <c r="AN497" s="20">
        <f>Inputs!$F$103*Inputs!$F$99/1000*Time!AN$9*Time!AN$10*Operations!AN476*Operations!$F$421</f>
        <v/>
      </c>
      <c r="AO497" s="20">
        <f>Inputs!$F$103*Inputs!$F$99/1000*Time!AO$9*Time!AO$10*Operations!AO476*Operations!$F$421</f>
        <v/>
      </c>
      <c r="AP497" s="20">
        <f>Inputs!$F$103*Inputs!$F$99/1000*Time!AP$9*Time!AP$10*Operations!AP476*Operations!$F$421</f>
        <v/>
      </c>
      <c r="AQ497" s="20">
        <f>Inputs!$F$103*Inputs!$F$99/1000*Time!AQ$9*Time!AQ$10*Operations!AQ476*Operations!$F$421</f>
        <v/>
      </c>
      <c r="AR497" s="20">
        <f>Inputs!$F$103*Inputs!$F$99/1000*Time!AR$9*Time!AR$10*Operations!AR476*Operations!$F$421</f>
        <v/>
      </c>
      <c r="AS497" s="20">
        <f>Inputs!$F$103*Inputs!$F$99/1000*Time!AS$9*Time!AS$10*Operations!AS476*Operations!$F$421</f>
        <v/>
      </c>
      <c r="AT497" s="20">
        <f>Inputs!$F$103*Inputs!$F$99/1000*Time!AT$9*Time!AT$10*Operations!AT476*Operations!$F$421</f>
        <v/>
      </c>
      <c r="AU497" s="20">
        <f>Inputs!$F$103*Inputs!$F$99/1000*Time!AU$9*Time!AU$10*Operations!AU476*Operations!$F$421</f>
        <v/>
      </c>
    </row>
    <row r="498">
      <c r="D498" t="inlineStr">
        <is>
          <t>R2 wind land lease</t>
        </is>
      </c>
      <c r="E498" t="inlineStr">
        <is>
          <t>USD m</t>
        </is>
      </c>
      <c r="J498" s="20">
        <f>Inputs!$F$232/100*Operations!J495</f>
        <v/>
      </c>
      <c r="K498" s="20">
        <f>Inputs!$F$232/100*Operations!K495</f>
        <v/>
      </c>
      <c r="L498" s="20">
        <f>Inputs!$F$232/100*Operations!L495</f>
        <v/>
      </c>
      <c r="M498" s="20">
        <f>Inputs!$F$232/100*Operations!M495</f>
        <v/>
      </c>
      <c r="N498" s="20">
        <f>Inputs!$F$232/100*Operations!N495</f>
        <v/>
      </c>
      <c r="O498" s="20">
        <f>Inputs!$F$232/100*Operations!O495</f>
        <v/>
      </c>
      <c r="P498" s="20">
        <f>Inputs!$F$232/100*Operations!P495</f>
        <v/>
      </c>
      <c r="Q498" s="20">
        <f>Inputs!$F$232/100*Operations!Q495</f>
        <v/>
      </c>
      <c r="R498" s="20">
        <f>Inputs!$F$232/100*Operations!R495</f>
        <v/>
      </c>
      <c r="S498" s="20">
        <f>Inputs!$F$232/100*Operations!S495</f>
        <v/>
      </c>
      <c r="T498" s="20">
        <f>Inputs!$F$232/100*Operations!T495</f>
        <v/>
      </c>
      <c r="U498" s="20">
        <f>Inputs!$F$232/100*Operations!U495</f>
        <v/>
      </c>
      <c r="V498" s="20">
        <f>Inputs!$F$232/100*Operations!V495</f>
        <v/>
      </c>
      <c r="W498" s="20">
        <f>Inputs!$F$232/100*Operations!W495</f>
        <v/>
      </c>
      <c r="X498" s="20">
        <f>Inputs!$F$232/100*Operations!X495</f>
        <v/>
      </c>
      <c r="Y498" s="20">
        <f>Inputs!$F$232/100*Operations!Y495</f>
        <v/>
      </c>
      <c r="Z498" s="20">
        <f>Inputs!$F$232/100*Operations!Z495</f>
        <v/>
      </c>
      <c r="AA498" s="20">
        <f>Inputs!$F$232/100*Operations!AA495</f>
        <v/>
      </c>
      <c r="AB498" s="20">
        <f>Inputs!$F$232/100*Operations!AB495</f>
        <v/>
      </c>
      <c r="AC498" s="20">
        <f>Inputs!$F$232/100*Operations!AC495</f>
        <v/>
      </c>
      <c r="AD498" s="20">
        <f>Inputs!$F$232/100*Operations!AD495</f>
        <v/>
      </c>
      <c r="AE498" s="20">
        <f>Inputs!$F$232/100*Operations!AE495</f>
        <v/>
      </c>
      <c r="AF498" s="20">
        <f>Inputs!$F$232/100*Operations!AF495</f>
        <v/>
      </c>
      <c r="AG498" s="20">
        <f>Inputs!$F$232/100*Operations!AG495</f>
        <v/>
      </c>
      <c r="AH498" s="20">
        <f>Inputs!$F$232/100*Operations!AH495</f>
        <v/>
      </c>
      <c r="AI498" s="20">
        <f>Inputs!$F$232/100*Operations!AI495</f>
        <v/>
      </c>
      <c r="AJ498" s="20">
        <f>Inputs!$F$232/100*Operations!AJ495</f>
        <v/>
      </c>
      <c r="AK498" s="20">
        <f>Inputs!$F$232/100*Operations!AK495</f>
        <v/>
      </c>
      <c r="AL498" s="20">
        <f>Inputs!$F$232/100*Operations!AL495</f>
        <v/>
      </c>
      <c r="AM498" s="20">
        <f>Inputs!$F$232/100*Operations!AM495</f>
        <v/>
      </c>
      <c r="AN498" s="20">
        <f>Inputs!$F$232/100*Operations!AN495</f>
        <v/>
      </c>
      <c r="AO498" s="20">
        <f>Inputs!$F$232/100*Operations!AO495</f>
        <v/>
      </c>
      <c r="AP498" s="20">
        <f>Inputs!$F$232/100*Operations!AP495</f>
        <v/>
      </c>
      <c r="AQ498" s="20">
        <f>Inputs!$F$232/100*Operations!AQ495</f>
        <v/>
      </c>
      <c r="AR498" s="20">
        <f>Inputs!$F$232/100*Operations!AR495</f>
        <v/>
      </c>
      <c r="AS498" s="20">
        <f>Inputs!$F$232/100*Operations!AS495</f>
        <v/>
      </c>
      <c r="AT498" s="20">
        <f>Inputs!$F$232/100*Operations!AT495</f>
        <v/>
      </c>
      <c r="AU498" s="20">
        <f>Inputs!$F$232/100*Operations!AU495</f>
        <v/>
      </c>
    </row>
    <row r="499">
      <c r="D499" t="inlineStr">
        <is>
          <t>R2 decommissioning surety cost</t>
        </is>
      </c>
      <c r="E499" t="inlineStr">
        <is>
          <t>USD m</t>
        </is>
      </c>
      <c r="J499" s="20">
        <f>Inputs!$F$236/100*Inputs!$F$104*Inputs!$F$99/1000*Time!J$9*Operations!J476</f>
        <v/>
      </c>
      <c r="K499" s="20">
        <f>Inputs!$F$236/100*Inputs!$F$104*Inputs!$F$99/1000*Time!K$9*Operations!K476</f>
        <v/>
      </c>
      <c r="L499" s="20">
        <f>Inputs!$F$236/100*Inputs!$F$104*Inputs!$F$99/1000*Time!L$9*Operations!L476</f>
        <v/>
      </c>
      <c r="M499" s="20">
        <f>Inputs!$F$236/100*Inputs!$F$104*Inputs!$F$99/1000*Time!M$9*Operations!M476</f>
        <v/>
      </c>
      <c r="N499" s="20">
        <f>Inputs!$F$236/100*Inputs!$F$104*Inputs!$F$99/1000*Time!N$9*Operations!N476</f>
        <v/>
      </c>
      <c r="O499" s="20">
        <f>Inputs!$F$236/100*Inputs!$F$104*Inputs!$F$99/1000*Time!O$9*Operations!O476</f>
        <v/>
      </c>
      <c r="P499" s="20">
        <f>Inputs!$F$236/100*Inputs!$F$104*Inputs!$F$99/1000*Time!P$9*Operations!P476</f>
        <v/>
      </c>
      <c r="Q499" s="20">
        <f>Inputs!$F$236/100*Inputs!$F$104*Inputs!$F$99/1000*Time!Q$9*Operations!Q476</f>
        <v/>
      </c>
      <c r="R499" s="20">
        <f>Inputs!$F$236/100*Inputs!$F$104*Inputs!$F$99/1000*Time!R$9*Operations!R476</f>
        <v/>
      </c>
      <c r="S499" s="20">
        <f>Inputs!$F$236/100*Inputs!$F$104*Inputs!$F$99/1000*Time!S$9*Operations!S476</f>
        <v/>
      </c>
      <c r="T499" s="20">
        <f>Inputs!$F$236/100*Inputs!$F$104*Inputs!$F$99/1000*Time!T$9*Operations!T476</f>
        <v/>
      </c>
      <c r="U499" s="20">
        <f>Inputs!$F$236/100*Inputs!$F$104*Inputs!$F$99/1000*Time!U$9*Operations!U476</f>
        <v/>
      </c>
      <c r="V499" s="20">
        <f>Inputs!$F$236/100*Inputs!$F$104*Inputs!$F$99/1000*Time!V$9*Operations!V476</f>
        <v/>
      </c>
      <c r="W499" s="20">
        <f>Inputs!$F$236/100*Inputs!$F$104*Inputs!$F$99/1000*Time!W$9*Operations!W476</f>
        <v/>
      </c>
      <c r="X499" s="20">
        <f>Inputs!$F$236/100*Inputs!$F$104*Inputs!$F$99/1000*Time!X$9*Operations!X476</f>
        <v/>
      </c>
      <c r="Y499" s="20">
        <f>Inputs!$F$236/100*Inputs!$F$104*Inputs!$F$99/1000*Time!Y$9*Operations!Y476</f>
        <v/>
      </c>
      <c r="Z499" s="20">
        <f>Inputs!$F$236/100*Inputs!$F$104*Inputs!$F$99/1000*Time!Z$9*Operations!Z476</f>
        <v/>
      </c>
      <c r="AA499" s="20">
        <f>Inputs!$F$236/100*Inputs!$F$104*Inputs!$F$99/1000*Time!AA$9*Operations!AA476</f>
        <v/>
      </c>
      <c r="AB499" s="20">
        <f>Inputs!$F$236/100*Inputs!$F$104*Inputs!$F$99/1000*Time!AB$9*Operations!AB476</f>
        <v/>
      </c>
      <c r="AC499" s="20">
        <f>Inputs!$F$236/100*Inputs!$F$104*Inputs!$F$99/1000*Time!AC$9*Operations!AC476</f>
        <v/>
      </c>
      <c r="AD499" s="20">
        <f>Inputs!$F$236/100*Inputs!$F$104*Inputs!$F$99/1000*Time!AD$9*Operations!AD476</f>
        <v/>
      </c>
      <c r="AE499" s="20">
        <f>Inputs!$F$236/100*Inputs!$F$104*Inputs!$F$99/1000*Time!AE$9*Operations!AE476</f>
        <v/>
      </c>
      <c r="AF499" s="20">
        <f>Inputs!$F$236/100*Inputs!$F$104*Inputs!$F$99/1000*Time!AF$9*Operations!AF476</f>
        <v/>
      </c>
      <c r="AG499" s="20">
        <f>Inputs!$F$236/100*Inputs!$F$104*Inputs!$F$99/1000*Time!AG$9*Operations!AG476</f>
        <v/>
      </c>
      <c r="AH499" s="20">
        <f>Inputs!$F$236/100*Inputs!$F$104*Inputs!$F$99/1000*Time!AH$9*Operations!AH476</f>
        <v/>
      </c>
      <c r="AI499" s="20">
        <f>Inputs!$F$236/100*Inputs!$F$104*Inputs!$F$99/1000*Time!AI$9*Operations!AI476</f>
        <v/>
      </c>
      <c r="AJ499" s="20">
        <f>Inputs!$F$236/100*Inputs!$F$104*Inputs!$F$99/1000*Time!AJ$9*Operations!AJ476</f>
        <v/>
      </c>
      <c r="AK499" s="20">
        <f>Inputs!$F$236/100*Inputs!$F$104*Inputs!$F$99/1000*Time!AK$9*Operations!AK476</f>
        <v/>
      </c>
      <c r="AL499" s="20">
        <f>Inputs!$F$236/100*Inputs!$F$104*Inputs!$F$99/1000*Time!AL$9*Operations!AL476</f>
        <v/>
      </c>
      <c r="AM499" s="20">
        <f>Inputs!$F$236/100*Inputs!$F$104*Inputs!$F$99/1000*Time!AM$9*Operations!AM476</f>
        <v/>
      </c>
      <c r="AN499" s="20">
        <f>Inputs!$F$236/100*Inputs!$F$104*Inputs!$F$99/1000*Time!AN$9*Operations!AN476</f>
        <v/>
      </c>
      <c r="AO499" s="20">
        <f>Inputs!$F$236/100*Inputs!$F$104*Inputs!$F$99/1000*Time!AO$9*Operations!AO476</f>
        <v/>
      </c>
      <c r="AP499" s="20">
        <f>Inputs!$F$236/100*Inputs!$F$104*Inputs!$F$99/1000*Time!AP$9*Operations!AP476</f>
        <v/>
      </c>
      <c r="AQ499" s="20">
        <f>Inputs!$F$236/100*Inputs!$F$104*Inputs!$F$99/1000*Time!AQ$9*Operations!AQ476</f>
        <v/>
      </c>
      <c r="AR499" s="20">
        <f>Inputs!$F$236/100*Inputs!$F$104*Inputs!$F$99/1000*Time!AR$9*Operations!AR476</f>
        <v/>
      </c>
      <c r="AS499" s="20">
        <f>Inputs!$F$236/100*Inputs!$F$104*Inputs!$F$99/1000*Time!AS$9*Operations!AS476</f>
        <v/>
      </c>
      <c r="AT499" s="20">
        <f>Inputs!$F$236/100*Inputs!$F$104*Inputs!$F$99/1000*Time!AT$9*Operations!AT476</f>
        <v/>
      </c>
      <c r="AU499" s="20">
        <f>Inputs!$F$236/100*Inputs!$F$104*Inputs!$F$99/1000*Time!AU$9*Operations!AU476</f>
        <v/>
      </c>
    </row>
    <row r="500">
      <c r="D500" t="inlineStr">
        <is>
          <t>R2 Texas margin tax</t>
        </is>
      </c>
      <c r="E500" t="inlineStr">
        <is>
          <t>USD m</t>
        </is>
      </c>
      <c r="J500" s="20">
        <f>Inputs!$F$237/100*Inputs!$F$238/100*Operations!J495</f>
        <v/>
      </c>
      <c r="K500" s="20">
        <f>Inputs!$F$237/100*Inputs!$F$238/100*Operations!K495</f>
        <v/>
      </c>
      <c r="L500" s="20">
        <f>Inputs!$F$237/100*Inputs!$F$238/100*Operations!L495</f>
        <v/>
      </c>
      <c r="M500" s="20">
        <f>Inputs!$F$237/100*Inputs!$F$238/100*Operations!M495</f>
        <v/>
      </c>
      <c r="N500" s="20">
        <f>Inputs!$F$237/100*Inputs!$F$238/100*Operations!N495</f>
        <v/>
      </c>
      <c r="O500" s="20">
        <f>Inputs!$F$237/100*Inputs!$F$238/100*Operations!O495</f>
        <v/>
      </c>
      <c r="P500" s="20">
        <f>Inputs!$F$237/100*Inputs!$F$238/100*Operations!P495</f>
        <v/>
      </c>
      <c r="Q500" s="20">
        <f>Inputs!$F$237/100*Inputs!$F$238/100*Operations!Q495</f>
        <v/>
      </c>
      <c r="R500" s="20">
        <f>Inputs!$F$237/100*Inputs!$F$238/100*Operations!R495</f>
        <v/>
      </c>
      <c r="S500" s="20">
        <f>Inputs!$F$237/100*Inputs!$F$238/100*Operations!S495</f>
        <v/>
      </c>
      <c r="T500" s="20">
        <f>Inputs!$F$237/100*Inputs!$F$238/100*Operations!T495</f>
        <v/>
      </c>
      <c r="U500" s="20">
        <f>Inputs!$F$237/100*Inputs!$F$238/100*Operations!U495</f>
        <v/>
      </c>
      <c r="V500" s="20">
        <f>Inputs!$F$237/100*Inputs!$F$238/100*Operations!V495</f>
        <v/>
      </c>
      <c r="W500" s="20">
        <f>Inputs!$F$237/100*Inputs!$F$238/100*Operations!W495</f>
        <v/>
      </c>
      <c r="X500" s="20">
        <f>Inputs!$F$237/100*Inputs!$F$238/100*Operations!X495</f>
        <v/>
      </c>
      <c r="Y500" s="20">
        <f>Inputs!$F$237/100*Inputs!$F$238/100*Operations!Y495</f>
        <v/>
      </c>
      <c r="Z500" s="20">
        <f>Inputs!$F$237/100*Inputs!$F$238/100*Operations!Z495</f>
        <v/>
      </c>
      <c r="AA500" s="20">
        <f>Inputs!$F$237/100*Inputs!$F$238/100*Operations!AA495</f>
        <v/>
      </c>
      <c r="AB500" s="20">
        <f>Inputs!$F$237/100*Inputs!$F$238/100*Operations!AB495</f>
        <v/>
      </c>
      <c r="AC500" s="20">
        <f>Inputs!$F$237/100*Inputs!$F$238/100*Operations!AC495</f>
        <v/>
      </c>
      <c r="AD500" s="20">
        <f>Inputs!$F$237/100*Inputs!$F$238/100*Operations!AD495</f>
        <v/>
      </c>
      <c r="AE500" s="20">
        <f>Inputs!$F$237/100*Inputs!$F$238/100*Operations!AE495</f>
        <v/>
      </c>
      <c r="AF500" s="20">
        <f>Inputs!$F$237/100*Inputs!$F$238/100*Operations!AF495</f>
        <v/>
      </c>
      <c r="AG500" s="20">
        <f>Inputs!$F$237/100*Inputs!$F$238/100*Operations!AG495</f>
        <v/>
      </c>
      <c r="AH500" s="20">
        <f>Inputs!$F$237/100*Inputs!$F$238/100*Operations!AH495</f>
        <v/>
      </c>
      <c r="AI500" s="20">
        <f>Inputs!$F$237/100*Inputs!$F$238/100*Operations!AI495</f>
        <v/>
      </c>
      <c r="AJ500" s="20">
        <f>Inputs!$F$237/100*Inputs!$F$238/100*Operations!AJ495</f>
        <v/>
      </c>
      <c r="AK500" s="20">
        <f>Inputs!$F$237/100*Inputs!$F$238/100*Operations!AK495</f>
        <v/>
      </c>
      <c r="AL500" s="20">
        <f>Inputs!$F$237/100*Inputs!$F$238/100*Operations!AL495</f>
        <v/>
      </c>
      <c r="AM500" s="20">
        <f>Inputs!$F$237/100*Inputs!$F$238/100*Operations!AM495</f>
        <v/>
      </c>
      <c r="AN500" s="20">
        <f>Inputs!$F$237/100*Inputs!$F$238/100*Operations!AN495</f>
        <v/>
      </c>
      <c r="AO500" s="20">
        <f>Inputs!$F$237/100*Inputs!$F$238/100*Operations!AO495</f>
        <v/>
      </c>
      <c r="AP500" s="20">
        <f>Inputs!$F$237/100*Inputs!$F$238/100*Operations!AP495</f>
        <v/>
      </c>
      <c r="AQ500" s="20">
        <f>Inputs!$F$237/100*Inputs!$F$238/100*Operations!AQ495</f>
        <v/>
      </c>
      <c r="AR500" s="20">
        <f>Inputs!$F$237/100*Inputs!$F$238/100*Operations!AR495</f>
        <v/>
      </c>
      <c r="AS500" s="20">
        <f>Inputs!$F$237/100*Inputs!$F$238/100*Operations!AS495</f>
        <v/>
      </c>
      <c r="AT500" s="20">
        <f>Inputs!$F$237/100*Inputs!$F$238/100*Operations!AT495</f>
        <v/>
      </c>
      <c r="AU500" s="20">
        <f>Inputs!$F$237/100*Inputs!$F$238/100*Operations!AU495</f>
        <v/>
      </c>
    </row>
    <row r="501">
      <c r="D501" t="inlineStr">
        <is>
          <t>R2 EBITDA</t>
        </is>
      </c>
      <c r="E501" t="inlineStr">
        <is>
          <t>USD m</t>
        </is>
      </c>
      <c r="G501" s="20">
        <f>SUM(J501:AU501)</f>
        <v/>
      </c>
      <c r="J501" s="20">
        <f>Operations!J495-Operations!J497-Operations!J498-Operations!J499-Operations!J500</f>
        <v/>
      </c>
      <c r="K501" s="20">
        <f>Operations!K495-Operations!K497-Operations!K498-Operations!K499-Operations!K500</f>
        <v/>
      </c>
      <c r="L501" s="20">
        <f>Operations!L495-Operations!L497-Operations!L498-Operations!L499-Operations!L500</f>
        <v/>
      </c>
      <c r="M501" s="20">
        <f>Operations!M495-Operations!M497-Operations!M498-Operations!M499-Operations!M500</f>
        <v/>
      </c>
      <c r="N501" s="20">
        <f>Operations!N495-Operations!N497-Operations!N498-Operations!N499-Operations!N500</f>
        <v/>
      </c>
      <c r="O501" s="20">
        <f>Operations!O495-Operations!O497-Operations!O498-Operations!O499-Operations!O500</f>
        <v/>
      </c>
      <c r="P501" s="20">
        <f>Operations!P495-Operations!P497-Operations!P498-Operations!P499-Operations!P500</f>
        <v/>
      </c>
      <c r="Q501" s="20">
        <f>Operations!Q495-Operations!Q497-Operations!Q498-Operations!Q499-Operations!Q500</f>
        <v/>
      </c>
      <c r="R501" s="20">
        <f>Operations!R495-Operations!R497-Operations!R498-Operations!R499-Operations!R500</f>
        <v/>
      </c>
      <c r="S501" s="20">
        <f>Operations!S495-Operations!S497-Operations!S498-Operations!S499-Operations!S500</f>
        <v/>
      </c>
      <c r="T501" s="20">
        <f>Operations!T495-Operations!T497-Operations!T498-Operations!T499-Operations!T500</f>
        <v/>
      </c>
      <c r="U501" s="20">
        <f>Operations!U495-Operations!U497-Operations!U498-Operations!U499-Operations!U500</f>
        <v/>
      </c>
      <c r="V501" s="20">
        <f>Operations!V495-Operations!V497-Operations!V498-Operations!V499-Operations!V500</f>
        <v/>
      </c>
      <c r="W501" s="20">
        <f>Operations!W495-Operations!W497-Operations!W498-Operations!W499-Operations!W500</f>
        <v/>
      </c>
      <c r="X501" s="20">
        <f>Operations!X495-Operations!X497-Operations!X498-Operations!X499-Operations!X500</f>
        <v/>
      </c>
      <c r="Y501" s="20">
        <f>Operations!Y495-Operations!Y497-Operations!Y498-Operations!Y499-Operations!Y500</f>
        <v/>
      </c>
      <c r="Z501" s="20">
        <f>Operations!Z495-Operations!Z497-Operations!Z498-Operations!Z499-Operations!Z500</f>
        <v/>
      </c>
      <c r="AA501" s="20">
        <f>Operations!AA495-Operations!AA497-Operations!AA498-Operations!AA499-Operations!AA500</f>
        <v/>
      </c>
      <c r="AB501" s="20">
        <f>Operations!AB495-Operations!AB497-Operations!AB498-Operations!AB499-Operations!AB500</f>
        <v/>
      </c>
      <c r="AC501" s="20">
        <f>Operations!AC495-Operations!AC497-Operations!AC498-Operations!AC499-Operations!AC500</f>
        <v/>
      </c>
      <c r="AD501" s="20">
        <f>Operations!AD495-Operations!AD497-Operations!AD498-Operations!AD499-Operations!AD500</f>
        <v/>
      </c>
      <c r="AE501" s="20">
        <f>Operations!AE495-Operations!AE497-Operations!AE498-Operations!AE499-Operations!AE500</f>
        <v/>
      </c>
      <c r="AF501" s="20">
        <f>Operations!AF495-Operations!AF497-Operations!AF498-Operations!AF499-Operations!AF500</f>
        <v/>
      </c>
      <c r="AG501" s="20">
        <f>Operations!AG495-Operations!AG497-Operations!AG498-Operations!AG499-Operations!AG500</f>
        <v/>
      </c>
      <c r="AH501" s="20">
        <f>Operations!AH495-Operations!AH497-Operations!AH498-Operations!AH499-Operations!AH500</f>
        <v/>
      </c>
      <c r="AI501" s="20">
        <f>Operations!AI495-Operations!AI497-Operations!AI498-Operations!AI499-Operations!AI500</f>
        <v/>
      </c>
      <c r="AJ501" s="20">
        <f>Operations!AJ495-Operations!AJ497-Operations!AJ498-Operations!AJ499-Operations!AJ500</f>
        <v/>
      </c>
      <c r="AK501" s="20">
        <f>Operations!AK495-Operations!AK497-Operations!AK498-Operations!AK499-Operations!AK500</f>
        <v/>
      </c>
      <c r="AL501" s="20">
        <f>Operations!AL495-Operations!AL497-Operations!AL498-Operations!AL499-Operations!AL500</f>
        <v/>
      </c>
      <c r="AM501" s="20">
        <f>Operations!AM495-Operations!AM497-Operations!AM498-Operations!AM499-Operations!AM500</f>
        <v/>
      </c>
      <c r="AN501" s="20">
        <f>Operations!AN495-Operations!AN497-Operations!AN498-Operations!AN499-Operations!AN500</f>
        <v/>
      </c>
      <c r="AO501" s="20">
        <f>Operations!AO495-Operations!AO497-Operations!AO498-Operations!AO499-Operations!AO500</f>
        <v/>
      </c>
      <c r="AP501" s="20">
        <f>Operations!AP495-Operations!AP497-Operations!AP498-Operations!AP499-Operations!AP500</f>
        <v/>
      </c>
      <c r="AQ501" s="20">
        <f>Operations!AQ495-Operations!AQ497-Operations!AQ498-Operations!AQ499-Operations!AQ500</f>
        <v/>
      </c>
      <c r="AR501" s="20">
        <f>Operations!AR495-Operations!AR497-Operations!AR498-Operations!AR499-Operations!AR500</f>
        <v/>
      </c>
      <c r="AS501" s="20">
        <f>Operations!AS495-Operations!AS497-Operations!AS498-Operations!AS499-Operations!AS500</f>
        <v/>
      </c>
      <c r="AT501" s="20">
        <f>Operations!AT495-Operations!AT497-Operations!AT498-Operations!AT499-Operations!AT500</f>
        <v/>
      </c>
      <c r="AU501" s="20">
        <f>Operations!AU495-Operations!AU497-Operations!AU498-Operations!AU499-Operations!AU500</f>
        <v/>
      </c>
    </row>
    <row r="502">
      <c r="D502" t="inlineStr">
        <is>
          <t>R2 capex</t>
        </is>
      </c>
      <c r="E502" t="inlineStr">
        <is>
          <t>USD m</t>
        </is>
      </c>
      <c r="J502" s="20">
        <f>0</f>
        <v/>
      </c>
      <c r="K502" s="20">
        <f>0</f>
        <v/>
      </c>
      <c r="L502" s="20">
        <f>0</f>
        <v/>
      </c>
      <c r="M502" s="20">
        <f>0</f>
        <v/>
      </c>
      <c r="N502" s="20">
        <f>0</f>
        <v/>
      </c>
      <c r="O502" s="20">
        <f>0</f>
        <v/>
      </c>
      <c r="P502" s="20">
        <f>0</f>
        <v/>
      </c>
      <c r="Q502" s="20">
        <f>0</f>
        <v/>
      </c>
      <c r="R502" s="20">
        <f>0</f>
        <v/>
      </c>
      <c r="S502" s="20">
        <f>0</f>
        <v/>
      </c>
      <c r="T502" s="20">
        <f>0</f>
        <v/>
      </c>
      <c r="U502" s="20">
        <f>0</f>
        <v/>
      </c>
      <c r="V502" s="20">
        <f>0</f>
        <v/>
      </c>
      <c r="W502" s="20">
        <f>0</f>
        <v/>
      </c>
      <c r="X502" s="20">
        <f>0</f>
        <v/>
      </c>
      <c r="Y502" s="20">
        <f>0</f>
        <v/>
      </c>
      <c r="Z502" s="20">
        <f>0</f>
        <v/>
      </c>
      <c r="AA502" s="20">
        <f>0</f>
        <v/>
      </c>
      <c r="AB502" s="20">
        <f>0</f>
        <v/>
      </c>
      <c r="AC502" s="20">
        <f>0</f>
        <v/>
      </c>
      <c r="AD502" s="20">
        <f>0</f>
        <v/>
      </c>
      <c r="AE502" s="20">
        <f>0</f>
        <v/>
      </c>
      <c r="AF502" s="20">
        <f>0</f>
        <v/>
      </c>
      <c r="AG502" s="20">
        <f>0</f>
        <v/>
      </c>
      <c r="AH502" s="20">
        <f>0</f>
        <v/>
      </c>
      <c r="AI502" s="20">
        <f>0</f>
        <v/>
      </c>
      <c r="AJ502" s="20">
        <f>0</f>
        <v/>
      </c>
      <c r="AK502" s="20">
        <f>0</f>
        <v/>
      </c>
      <c r="AL502" s="20">
        <f>0</f>
        <v/>
      </c>
      <c r="AM502" s="20">
        <f>0</f>
        <v/>
      </c>
      <c r="AN502" s="20">
        <f>0</f>
        <v/>
      </c>
      <c r="AO502" s="20">
        <f>0</f>
        <v/>
      </c>
      <c r="AP502" s="20">
        <f>0</f>
        <v/>
      </c>
      <c r="AQ502" s="20">
        <f>0</f>
        <v/>
      </c>
      <c r="AR502" s="20">
        <f>0</f>
        <v/>
      </c>
      <c r="AS502" s="20">
        <f>0</f>
        <v/>
      </c>
      <c r="AT502" s="20">
        <f>0</f>
        <v/>
      </c>
      <c r="AU502" s="20">
        <f>0</f>
        <v/>
      </c>
    </row>
    <row r="503">
      <c r="D503" t="inlineStr">
        <is>
          <t>R2 decommissioning at end of life</t>
        </is>
      </c>
      <c r="E503" t="inlineStr">
        <is>
          <t>USD m</t>
        </is>
      </c>
      <c r="J503" s="20">
        <f>IF(Time!J$4=YEAR(Inputs!$F$101),Inputs!$F$104*Inputs!$F$99/1000*Time!J$9,0)</f>
        <v/>
      </c>
      <c r="K503" s="20">
        <f>IF(Time!K$4=YEAR(Inputs!$F$101),Inputs!$F$104*Inputs!$F$99/1000*Time!K$9,0)</f>
        <v/>
      </c>
      <c r="L503" s="20">
        <f>IF(Time!L$4=YEAR(Inputs!$F$101),Inputs!$F$104*Inputs!$F$99/1000*Time!L$9,0)</f>
        <v/>
      </c>
      <c r="M503" s="20">
        <f>IF(Time!M$4=YEAR(Inputs!$F$101),Inputs!$F$104*Inputs!$F$99/1000*Time!M$9,0)</f>
        <v/>
      </c>
      <c r="N503" s="20">
        <f>IF(Time!N$4=YEAR(Inputs!$F$101),Inputs!$F$104*Inputs!$F$99/1000*Time!N$9,0)</f>
        <v/>
      </c>
      <c r="O503" s="20">
        <f>IF(Time!O$4=YEAR(Inputs!$F$101),Inputs!$F$104*Inputs!$F$99/1000*Time!O$9,0)</f>
        <v/>
      </c>
      <c r="P503" s="20">
        <f>IF(Time!P$4=YEAR(Inputs!$F$101),Inputs!$F$104*Inputs!$F$99/1000*Time!P$9,0)</f>
        <v/>
      </c>
      <c r="Q503" s="20">
        <f>IF(Time!Q$4=YEAR(Inputs!$F$101),Inputs!$F$104*Inputs!$F$99/1000*Time!Q$9,0)</f>
        <v/>
      </c>
      <c r="R503" s="20">
        <f>IF(Time!R$4=YEAR(Inputs!$F$101),Inputs!$F$104*Inputs!$F$99/1000*Time!R$9,0)</f>
        <v/>
      </c>
      <c r="S503" s="20">
        <f>IF(Time!S$4=YEAR(Inputs!$F$101),Inputs!$F$104*Inputs!$F$99/1000*Time!S$9,0)</f>
        <v/>
      </c>
      <c r="T503" s="20">
        <f>IF(Time!T$4=YEAR(Inputs!$F$101),Inputs!$F$104*Inputs!$F$99/1000*Time!T$9,0)</f>
        <v/>
      </c>
      <c r="U503" s="20">
        <f>IF(Time!U$4=YEAR(Inputs!$F$101),Inputs!$F$104*Inputs!$F$99/1000*Time!U$9,0)</f>
        <v/>
      </c>
      <c r="V503" s="20">
        <f>IF(Time!V$4=YEAR(Inputs!$F$101),Inputs!$F$104*Inputs!$F$99/1000*Time!V$9,0)</f>
        <v/>
      </c>
      <c r="W503" s="20">
        <f>IF(Time!W$4=YEAR(Inputs!$F$101),Inputs!$F$104*Inputs!$F$99/1000*Time!W$9,0)</f>
        <v/>
      </c>
      <c r="X503" s="20">
        <f>IF(Time!X$4=YEAR(Inputs!$F$101),Inputs!$F$104*Inputs!$F$99/1000*Time!X$9,0)</f>
        <v/>
      </c>
      <c r="Y503" s="20">
        <f>IF(Time!Y$4=YEAR(Inputs!$F$101),Inputs!$F$104*Inputs!$F$99/1000*Time!Y$9,0)</f>
        <v/>
      </c>
      <c r="Z503" s="20">
        <f>IF(Time!Z$4=YEAR(Inputs!$F$101),Inputs!$F$104*Inputs!$F$99/1000*Time!Z$9,0)</f>
        <v/>
      </c>
      <c r="AA503" s="20">
        <f>IF(Time!AA$4=YEAR(Inputs!$F$101),Inputs!$F$104*Inputs!$F$99/1000*Time!AA$9,0)</f>
        <v/>
      </c>
      <c r="AB503" s="20">
        <f>IF(Time!AB$4=YEAR(Inputs!$F$101),Inputs!$F$104*Inputs!$F$99/1000*Time!AB$9,0)</f>
        <v/>
      </c>
      <c r="AC503" s="20">
        <f>IF(Time!AC$4=YEAR(Inputs!$F$101),Inputs!$F$104*Inputs!$F$99/1000*Time!AC$9,0)</f>
        <v/>
      </c>
      <c r="AD503" s="20">
        <f>IF(Time!AD$4=YEAR(Inputs!$F$101),Inputs!$F$104*Inputs!$F$99/1000*Time!AD$9,0)</f>
        <v/>
      </c>
      <c r="AE503" s="20">
        <f>IF(Time!AE$4=YEAR(Inputs!$F$101),Inputs!$F$104*Inputs!$F$99/1000*Time!AE$9,0)</f>
        <v/>
      </c>
      <c r="AF503" s="20">
        <f>IF(Time!AF$4=YEAR(Inputs!$F$101),Inputs!$F$104*Inputs!$F$99/1000*Time!AF$9,0)</f>
        <v/>
      </c>
      <c r="AG503" s="20">
        <f>IF(Time!AG$4=YEAR(Inputs!$F$101),Inputs!$F$104*Inputs!$F$99/1000*Time!AG$9,0)</f>
        <v/>
      </c>
      <c r="AH503" s="20">
        <f>IF(Time!AH$4=YEAR(Inputs!$F$101),Inputs!$F$104*Inputs!$F$99/1000*Time!AH$9,0)</f>
        <v/>
      </c>
      <c r="AI503" s="20">
        <f>IF(Time!AI$4=YEAR(Inputs!$F$101),Inputs!$F$104*Inputs!$F$99/1000*Time!AI$9,0)</f>
        <v/>
      </c>
      <c r="AJ503" s="20">
        <f>IF(Time!AJ$4=YEAR(Inputs!$F$101),Inputs!$F$104*Inputs!$F$99/1000*Time!AJ$9,0)</f>
        <v/>
      </c>
      <c r="AK503" s="20">
        <f>IF(Time!AK$4=YEAR(Inputs!$F$101),Inputs!$F$104*Inputs!$F$99/1000*Time!AK$9,0)</f>
        <v/>
      </c>
      <c r="AL503" s="20">
        <f>IF(Time!AL$4=YEAR(Inputs!$F$101),Inputs!$F$104*Inputs!$F$99/1000*Time!AL$9,0)</f>
        <v/>
      </c>
      <c r="AM503" s="20">
        <f>IF(Time!AM$4=YEAR(Inputs!$F$101),Inputs!$F$104*Inputs!$F$99/1000*Time!AM$9,0)</f>
        <v/>
      </c>
      <c r="AN503" s="20">
        <f>IF(Time!AN$4=YEAR(Inputs!$F$101),Inputs!$F$104*Inputs!$F$99/1000*Time!AN$9,0)</f>
        <v/>
      </c>
      <c r="AO503" s="20">
        <f>IF(Time!AO$4=YEAR(Inputs!$F$101),Inputs!$F$104*Inputs!$F$99/1000*Time!AO$9,0)</f>
        <v/>
      </c>
      <c r="AP503" s="20">
        <f>IF(Time!AP$4=YEAR(Inputs!$F$101),Inputs!$F$104*Inputs!$F$99/1000*Time!AP$9,0)</f>
        <v/>
      </c>
      <c r="AQ503" s="20">
        <f>IF(Time!AQ$4=YEAR(Inputs!$F$101),Inputs!$F$104*Inputs!$F$99/1000*Time!AQ$9,0)</f>
        <v/>
      </c>
      <c r="AR503" s="20">
        <f>IF(Time!AR$4=YEAR(Inputs!$F$101),Inputs!$F$104*Inputs!$F$99/1000*Time!AR$9,0)</f>
        <v/>
      </c>
      <c r="AS503" s="20">
        <f>IF(Time!AS$4=YEAR(Inputs!$F$101),Inputs!$F$104*Inputs!$F$99/1000*Time!AS$9,0)</f>
        <v/>
      </c>
      <c r="AT503" s="20">
        <f>IF(Time!AT$4=YEAR(Inputs!$F$101),Inputs!$F$104*Inputs!$F$99/1000*Time!AT$9,0)</f>
        <v/>
      </c>
      <c r="AU503" s="20">
        <f>IF(Time!AU$4=YEAR(Inputs!$F$101),Inputs!$F$104*Inputs!$F$99/1000*Time!AU$9,0)</f>
        <v/>
      </c>
    </row>
    <row r="504">
      <c r="D504" t="inlineStr">
        <is>
          <t>R2 pre-tax cash flow, 100% of asset</t>
        </is>
      </c>
      <c r="E504" t="inlineStr">
        <is>
          <t>USD m</t>
        </is>
      </c>
      <c r="G504" s="20">
        <f>SUM(J504:AU504)</f>
        <v/>
      </c>
      <c r="J504" s="20">
        <f>Operations!J501-Operations!J502-Operations!J503</f>
        <v/>
      </c>
      <c r="K504" s="20">
        <f>Operations!K501-Operations!K502-Operations!K503</f>
        <v/>
      </c>
      <c r="L504" s="20">
        <f>Operations!L501-Operations!L502-Operations!L503</f>
        <v/>
      </c>
      <c r="M504" s="20">
        <f>Operations!M501-Operations!M502-Operations!M503</f>
        <v/>
      </c>
      <c r="N504" s="20">
        <f>Operations!N501-Operations!N502-Operations!N503</f>
        <v/>
      </c>
      <c r="O504" s="20">
        <f>Operations!O501-Operations!O502-Operations!O503</f>
        <v/>
      </c>
      <c r="P504" s="20">
        <f>Operations!P501-Operations!P502-Operations!P503</f>
        <v/>
      </c>
      <c r="Q504" s="20">
        <f>Operations!Q501-Operations!Q502-Operations!Q503</f>
        <v/>
      </c>
      <c r="R504" s="20">
        <f>Operations!R501-Operations!R502-Operations!R503</f>
        <v/>
      </c>
      <c r="S504" s="20">
        <f>Operations!S501-Operations!S502-Operations!S503</f>
        <v/>
      </c>
      <c r="T504" s="20">
        <f>Operations!T501-Operations!T502-Operations!T503</f>
        <v/>
      </c>
      <c r="U504" s="20">
        <f>Operations!U501-Operations!U502-Operations!U503</f>
        <v/>
      </c>
      <c r="V504" s="20">
        <f>Operations!V501-Operations!V502-Operations!V503</f>
        <v/>
      </c>
      <c r="W504" s="20">
        <f>Operations!W501-Operations!W502-Operations!W503</f>
        <v/>
      </c>
      <c r="X504" s="20">
        <f>Operations!X501-Operations!X502-Operations!X503</f>
        <v/>
      </c>
      <c r="Y504" s="20">
        <f>Operations!Y501-Operations!Y502-Operations!Y503</f>
        <v/>
      </c>
      <c r="Z504" s="20">
        <f>Operations!Z501-Operations!Z502-Operations!Z503</f>
        <v/>
      </c>
      <c r="AA504" s="20">
        <f>Operations!AA501-Operations!AA502-Operations!AA503</f>
        <v/>
      </c>
      <c r="AB504" s="20">
        <f>Operations!AB501-Operations!AB502-Operations!AB503</f>
        <v/>
      </c>
      <c r="AC504" s="20">
        <f>Operations!AC501-Operations!AC502-Operations!AC503</f>
        <v/>
      </c>
      <c r="AD504" s="20">
        <f>Operations!AD501-Operations!AD502-Operations!AD503</f>
        <v/>
      </c>
      <c r="AE504" s="20">
        <f>Operations!AE501-Operations!AE502-Operations!AE503</f>
        <v/>
      </c>
      <c r="AF504" s="20">
        <f>Operations!AF501-Operations!AF502-Operations!AF503</f>
        <v/>
      </c>
      <c r="AG504" s="20">
        <f>Operations!AG501-Operations!AG502-Operations!AG503</f>
        <v/>
      </c>
      <c r="AH504" s="20">
        <f>Operations!AH501-Operations!AH502-Operations!AH503</f>
        <v/>
      </c>
      <c r="AI504" s="20">
        <f>Operations!AI501-Operations!AI502-Operations!AI503</f>
        <v/>
      </c>
      <c r="AJ504" s="20">
        <f>Operations!AJ501-Operations!AJ502-Operations!AJ503</f>
        <v/>
      </c>
      <c r="AK504" s="20">
        <f>Operations!AK501-Operations!AK502-Operations!AK503</f>
        <v/>
      </c>
      <c r="AL504" s="20">
        <f>Operations!AL501-Operations!AL502-Operations!AL503</f>
        <v/>
      </c>
      <c r="AM504" s="20">
        <f>Operations!AM501-Operations!AM502-Operations!AM503</f>
        <v/>
      </c>
      <c r="AN504" s="20">
        <f>Operations!AN501-Operations!AN502-Operations!AN503</f>
        <v/>
      </c>
      <c r="AO504" s="20">
        <f>Operations!AO501-Operations!AO502-Operations!AO503</f>
        <v/>
      </c>
      <c r="AP504" s="20">
        <f>Operations!AP501-Operations!AP502-Operations!AP503</f>
        <v/>
      </c>
      <c r="AQ504" s="20">
        <f>Operations!AQ501-Operations!AQ502-Operations!AQ503</f>
        <v/>
      </c>
      <c r="AR504" s="20">
        <f>Operations!AR501-Operations!AR502-Operations!AR503</f>
        <v/>
      </c>
      <c r="AS504" s="20">
        <f>Operations!AS501-Operations!AS502-Operations!AS503</f>
        <v/>
      </c>
      <c r="AT504" s="20">
        <f>Operations!AT501-Operations!AT502-Operations!AT503</f>
        <v/>
      </c>
      <c r="AU504" s="20">
        <f>Operations!AU501-Operations!AU502-Operations!AU503</f>
        <v/>
      </c>
    </row>
    <row r="505">
      <c r="D505" t="inlineStr">
        <is>
          <t>R2 tax equity cash share</t>
        </is>
      </c>
      <c r="E505" t="inlineStr">
        <is>
          <t>fraction</t>
        </is>
      </c>
      <c r="J505" s="14">
        <f>0</f>
        <v/>
      </c>
      <c r="K505" s="14">
        <f>0</f>
        <v/>
      </c>
      <c r="L505" s="14">
        <f>0</f>
        <v/>
      </c>
      <c r="M505" s="14">
        <f>0</f>
        <v/>
      </c>
      <c r="N505" s="14">
        <f>0</f>
        <v/>
      </c>
      <c r="O505" s="14">
        <f>0</f>
        <v/>
      </c>
      <c r="P505" s="14">
        <f>0</f>
        <v/>
      </c>
      <c r="Q505" s="14">
        <f>0</f>
        <v/>
      </c>
      <c r="R505" s="14">
        <f>0</f>
        <v/>
      </c>
      <c r="S505" s="14">
        <f>0</f>
        <v/>
      </c>
      <c r="T505" s="14">
        <f>0</f>
        <v/>
      </c>
      <c r="U505" s="14">
        <f>0</f>
        <v/>
      </c>
      <c r="V505" s="14">
        <f>0</f>
        <v/>
      </c>
      <c r="W505" s="14">
        <f>0</f>
        <v/>
      </c>
      <c r="X505" s="14">
        <f>0</f>
        <v/>
      </c>
      <c r="Y505" s="14">
        <f>0</f>
        <v/>
      </c>
      <c r="Z505" s="14">
        <f>0</f>
        <v/>
      </c>
      <c r="AA505" s="14">
        <f>0</f>
        <v/>
      </c>
      <c r="AB505" s="14">
        <f>0</f>
        <v/>
      </c>
      <c r="AC505" s="14">
        <f>0</f>
        <v/>
      </c>
      <c r="AD505" s="14">
        <f>0</f>
        <v/>
      </c>
      <c r="AE505" s="14">
        <f>0</f>
        <v/>
      </c>
      <c r="AF505" s="14">
        <f>0</f>
        <v/>
      </c>
      <c r="AG505" s="14">
        <f>0</f>
        <v/>
      </c>
      <c r="AH505" s="14">
        <f>0</f>
        <v/>
      </c>
      <c r="AI505" s="14">
        <f>0</f>
        <v/>
      </c>
      <c r="AJ505" s="14">
        <f>0</f>
        <v/>
      </c>
      <c r="AK505" s="14">
        <f>0</f>
        <v/>
      </c>
      <c r="AL505" s="14">
        <f>0</f>
        <v/>
      </c>
      <c r="AM505" s="14">
        <f>0</f>
        <v/>
      </c>
      <c r="AN505" s="14">
        <f>0</f>
        <v/>
      </c>
      <c r="AO505" s="14">
        <f>0</f>
        <v/>
      </c>
      <c r="AP505" s="14">
        <f>0</f>
        <v/>
      </c>
      <c r="AQ505" s="14">
        <f>0</f>
        <v/>
      </c>
      <c r="AR505" s="14">
        <f>0</f>
        <v/>
      </c>
      <c r="AS505" s="14">
        <f>0</f>
        <v/>
      </c>
      <c r="AT505" s="14">
        <f>0</f>
        <v/>
      </c>
      <c r="AU505" s="14">
        <f>0</f>
        <v/>
      </c>
    </row>
    <row r="506">
      <c r="D506" t="inlineStr">
        <is>
          <t>R2 Mesa share of taxable income</t>
        </is>
      </c>
      <c r="E506" t="inlineStr">
        <is>
          <t>fraction</t>
        </is>
      </c>
      <c r="J506" s="14">
        <f>1</f>
        <v/>
      </c>
      <c r="K506" s="14">
        <f>1</f>
        <v/>
      </c>
      <c r="L506" s="14">
        <f>1</f>
        <v/>
      </c>
      <c r="M506" s="14">
        <f>1</f>
        <v/>
      </c>
      <c r="N506" s="14">
        <f>1</f>
        <v/>
      </c>
      <c r="O506" s="14">
        <f>1</f>
        <v/>
      </c>
      <c r="P506" s="14">
        <f>1</f>
        <v/>
      </c>
      <c r="Q506" s="14">
        <f>1</f>
        <v/>
      </c>
      <c r="R506" s="14">
        <f>1</f>
        <v/>
      </c>
      <c r="S506" s="14">
        <f>1</f>
        <v/>
      </c>
      <c r="T506" s="14">
        <f>1</f>
        <v/>
      </c>
      <c r="U506" s="14">
        <f>1</f>
        <v/>
      </c>
      <c r="V506" s="14">
        <f>1</f>
        <v/>
      </c>
      <c r="W506" s="14">
        <f>1</f>
        <v/>
      </c>
      <c r="X506" s="14">
        <f>1</f>
        <v/>
      </c>
      <c r="Y506" s="14">
        <f>1</f>
        <v/>
      </c>
      <c r="Z506" s="14">
        <f>1</f>
        <v/>
      </c>
      <c r="AA506" s="14">
        <f>1</f>
        <v/>
      </c>
      <c r="AB506" s="14">
        <f>1</f>
        <v/>
      </c>
      <c r="AC506" s="14">
        <f>1</f>
        <v/>
      </c>
      <c r="AD506" s="14">
        <f>1</f>
        <v/>
      </c>
      <c r="AE506" s="14">
        <f>1</f>
        <v/>
      </c>
      <c r="AF506" s="14">
        <f>1</f>
        <v/>
      </c>
      <c r="AG506" s="14">
        <f>1</f>
        <v/>
      </c>
      <c r="AH506" s="14">
        <f>1</f>
        <v/>
      </c>
      <c r="AI506" s="14">
        <f>1</f>
        <v/>
      </c>
      <c r="AJ506" s="14">
        <f>1</f>
        <v/>
      </c>
      <c r="AK506" s="14">
        <f>1</f>
        <v/>
      </c>
      <c r="AL506" s="14">
        <f>1</f>
        <v/>
      </c>
      <c r="AM506" s="14">
        <f>1</f>
        <v/>
      </c>
      <c r="AN506" s="14">
        <f>1</f>
        <v/>
      </c>
      <c r="AO506" s="14">
        <f>1</f>
        <v/>
      </c>
      <c r="AP506" s="14">
        <f>1</f>
        <v/>
      </c>
      <c r="AQ506" s="14">
        <f>1</f>
        <v/>
      </c>
      <c r="AR506" s="14">
        <f>1</f>
        <v/>
      </c>
      <c r="AS506" s="14">
        <f>1</f>
        <v/>
      </c>
      <c r="AT506" s="14">
        <f>1</f>
        <v/>
      </c>
      <c r="AU506" s="14">
        <f>1</f>
        <v/>
      </c>
    </row>
    <row r="507">
      <c r="D507" t="inlineStr">
        <is>
          <t>R2 Mesa share of cash flow</t>
        </is>
      </c>
      <c r="E507" t="inlineStr">
        <is>
          <t>USD m</t>
        </is>
      </c>
      <c r="G507" s="20">
        <f>SUM(J507:AU507)</f>
        <v/>
      </c>
      <c r="J507" s="20">
        <f>Operations!J504*(1-Operations!J505)*Operations!J478</f>
        <v/>
      </c>
      <c r="K507" s="20">
        <f>Operations!K504*(1-Operations!K505)*Operations!K478</f>
        <v/>
      </c>
      <c r="L507" s="20">
        <f>Operations!L504*(1-Operations!L505)*Operations!L478</f>
        <v/>
      </c>
      <c r="M507" s="20">
        <f>Operations!M504*(1-Operations!M505)*Operations!M478</f>
        <v/>
      </c>
      <c r="N507" s="20">
        <f>Operations!N504*(1-Operations!N505)*Operations!N478</f>
        <v/>
      </c>
      <c r="O507" s="20">
        <f>Operations!O504*(1-Operations!O505)*Operations!O478</f>
        <v/>
      </c>
      <c r="P507" s="20">
        <f>Operations!P504*(1-Operations!P505)*Operations!P478</f>
        <v/>
      </c>
      <c r="Q507" s="20">
        <f>Operations!Q504*(1-Operations!Q505)*Operations!Q478</f>
        <v/>
      </c>
      <c r="R507" s="20">
        <f>Operations!R504*(1-Operations!R505)*Operations!R478</f>
        <v/>
      </c>
      <c r="S507" s="20">
        <f>Operations!S504*(1-Operations!S505)*Operations!S478</f>
        <v/>
      </c>
      <c r="T507" s="20">
        <f>Operations!T504*(1-Operations!T505)*Operations!T478</f>
        <v/>
      </c>
      <c r="U507" s="20">
        <f>Operations!U504*(1-Operations!U505)*Operations!U478</f>
        <v/>
      </c>
      <c r="V507" s="20">
        <f>Operations!V504*(1-Operations!V505)*Operations!V478</f>
        <v/>
      </c>
      <c r="W507" s="20">
        <f>Operations!W504*(1-Operations!W505)*Operations!W478</f>
        <v/>
      </c>
      <c r="X507" s="20">
        <f>Operations!X504*(1-Operations!X505)*Operations!X478</f>
        <v/>
      </c>
      <c r="Y507" s="20">
        <f>Operations!Y504*(1-Operations!Y505)*Operations!Y478</f>
        <v/>
      </c>
      <c r="Z507" s="20">
        <f>Operations!Z504*(1-Operations!Z505)*Operations!Z478</f>
        <v/>
      </c>
      <c r="AA507" s="20">
        <f>Operations!AA504*(1-Operations!AA505)*Operations!AA478</f>
        <v/>
      </c>
      <c r="AB507" s="20">
        <f>Operations!AB504*(1-Operations!AB505)*Operations!AB478</f>
        <v/>
      </c>
      <c r="AC507" s="20">
        <f>Operations!AC504*(1-Operations!AC505)*Operations!AC478</f>
        <v/>
      </c>
      <c r="AD507" s="20">
        <f>Operations!AD504*(1-Operations!AD505)*Operations!AD478</f>
        <v/>
      </c>
      <c r="AE507" s="20">
        <f>Operations!AE504*(1-Operations!AE505)*Operations!AE478</f>
        <v/>
      </c>
      <c r="AF507" s="20">
        <f>Operations!AF504*(1-Operations!AF505)*Operations!AF478</f>
        <v/>
      </c>
      <c r="AG507" s="20">
        <f>Operations!AG504*(1-Operations!AG505)*Operations!AG478</f>
        <v/>
      </c>
      <c r="AH507" s="20">
        <f>Operations!AH504*(1-Operations!AH505)*Operations!AH478</f>
        <v/>
      </c>
      <c r="AI507" s="20">
        <f>Operations!AI504*(1-Operations!AI505)*Operations!AI478</f>
        <v/>
      </c>
      <c r="AJ507" s="20">
        <f>Operations!AJ504*(1-Operations!AJ505)*Operations!AJ478</f>
        <v/>
      </c>
      <c r="AK507" s="20">
        <f>Operations!AK504*(1-Operations!AK505)*Operations!AK478</f>
        <v/>
      </c>
      <c r="AL507" s="20">
        <f>Operations!AL504*(1-Operations!AL505)*Operations!AL478</f>
        <v/>
      </c>
      <c r="AM507" s="20">
        <f>Operations!AM504*(1-Operations!AM505)*Operations!AM478</f>
        <v/>
      </c>
      <c r="AN507" s="20">
        <f>Operations!AN504*(1-Operations!AN505)*Operations!AN478</f>
        <v/>
      </c>
      <c r="AO507" s="20">
        <f>Operations!AO504*(1-Operations!AO505)*Operations!AO478</f>
        <v/>
      </c>
      <c r="AP507" s="20">
        <f>Operations!AP504*(1-Operations!AP505)*Operations!AP478</f>
        <v/>
      </c>
      <c r="AQ507" s="20">
        <f>Operations!AQ504*(1-Operations!AQ505)*Operations!AQ478</f>
        <v/>
      </c>
      <c r="AR507" s="20">
        <f>Operations!AR504*(1-Operations!AR505)*Operations!AR478</f>
        <v/>
      </c>
      <c r="AS507" s="20">
        <f>Operations!AS504*(1-Operations!AS505)*Operations!AS478</f>
        <v/>
      </c>
      <c r="AT507" s="20">
        <f>Operations!AT504*(1-Operations!AT505)*Operations!AT478</f>
        <v/>
      </c>
      <c r="AU507" s="20">
        <f>Operations!AU504*(1-Operations!AU505)*Operations!AU478</f>
        <v/>
      </c>
    </row>
    <row r="508">
      <c r="D508" t="inlineStr">
        <is>
          <t>R2 Mesa taxable operating income</t>
        </is>
      </c>
      <c r="E508" t="inlineStr">
        <is>
          <t>USD m</t>
        </is>
      </c>
      <c r="J508" s="20">
        <f>Operations!J504*Operations!J506*Operations!J478</f>
        <v/>
      </c>
      <c r="K508" s="20">
        <f>Operations!K504*Operations!K506*Operations!K478</f>
        <v/>
      </c>
      <c r="L508" s="20">
        <f>Operations!L504*Operations!L506*Operations!L478</f>
        <v/>
      </c>
      <c r="M508" s="20">
        <f>Operations!M504*Operations!M506*Operations!M478</f>
        <v/>
      </c>
      <c r="N508" s="20">
        <f>Operations!N504*Operations!N506*Operations!N478</f>
        <v/>
      </c>
      <c r="O508" s="20">
        <f>Operations!O504*Operations!O506*Operations!O478</f>
        <v/>
      </c>
      <c r="P508" s="20">
        <f>Operations!P504*Operations!P506*Operations!P478</f>
        <v/>
      </c>
      <c r="Q508" s="20">
        <f>Operations!Q504*Operations!Q506*Operations!Q478</f>
        <v/>
      </c>
      <c r="R508" s="20">
        <f>Operations!R504*Operations!R506*Operations!R478</f>
        <v/>
      </c>
      <c r="S508" s="20">
        <f>Operations!S504*Operations!S506*Operations!S478</f>
        <v/>
      </c>
      <c r="T508" s="20">
        <f>Operations!T504*Operations!T506*Operations!T478</f>
        <v/>
      </c>
      <c r="U508" s="20">
        <f>Operations!U504*Operations!U506*Operations!U478</f>
        <v/>
      </c>
      <c r="V508" s="20">
        <f>Operations!V504*Operations!V506*Operations!V478</f>
        <v/>
      </c>
      <c r="W508" s="20">
        <f>Operations!W504*Operations!W506*Operations!W478</f>
        <v/>
      </c>
      <c r="X508" s="20">
        <f>Operations!X504*Operations!X506*Operations!X478</f>
        <v/>
      </c>
      <c r="Y508" s="20">
        <f>Operations!Y504*Operations!Y506*Operations!Y478</f>
        <v/>
      </c>
      <c r="Z508" s="20">
        <f>Operations!Z504*Operations!Z506*Operations!Z478</f>
        <v/>
      </c>
      <c r="AA508" s="20">
        <f>Operations!AA504*Operations!AA506*Operations!AA478</f>
        <v/>
      </c>
      <c r="AB508" s="20">
        <f>Operations!AB504*Operations!AB506*Operations!AB478</f>
        <v/>
      </c>
      <c r="AC508" s="20">
        <f>Operations!AC504*Operations!AC506*Operations!AC478</f>
        <v/>
      </c>
      <c r="AD508" s="20">
        <f>Operations!AD504*Operations!AD506*Operations!AD478</f>
        <v/>
      </c>
      <c r="AE508" s="20">
        <f>Operations!AE504*Operations!AE506*Operations!AE478</f>
        <v/>
      </c>
      <c r="AF508" s="20">
        <f>Operations!AF504*Operations!AF506*Operations!AF478</f>
        <v/>
      </c>
      <c r="AG508" s="20">
        <f>Operations!AG504*Operations!AG506*Operations!AG478</f>
        <v/>
      </c>
      <c r="AH508" s="20">
        <f>Operations!AH504*Operations!AH506*Operations!AH478</f>
        <v/>
      </c>
      <c r="AI508" s="20">
        <f>Operations!AI504*Operations!AI506*Operations!AI478</f>
        <v/>
      </c>
      <c r="AJ508" s="20">
        <f>Operations!AJ504*Operations!AJ506*Operations!AJ478</f>
        <v/>
      </c>
      <c r="AK508" s="20">
        <f>Operations!AK504*Operations!AK506*Operations!AK478</f>
        <v/>
      </c>
      <c r="AL508" s="20">
        <f>Operations!AL504*Operations!AL506*Operations!AL478</f>
        <v/>
      </c>
      <c r="AM508" s="20">
        <f>Operations!AM504*Operations!AM506*Operations!AM478</f>
        <v/>
      </c>
      <c r="AN508" s="20">
        <f>Operations!AN504*Operations!AN506*Operations!AN478</f>
        <v/>
      </c>
      <c r="AO508" s="20">
        <f>Operations!AO504*Operations!AO506*Operations!AO478</f>
        <v/>
      </c>
      <c r="AP508" s="20">
        <f>Operations!AP504*Operations!AP506*Operations!AP478</f>
        <v/>
      </c>
      <c r="AQ508" s="20">
        <f>Operations!AQ504*Operations!AQ506*Operations!AQ478</f>
        <v/>
      </c>
      <c r="AR508" s="20">
        <f>Operations!AR504*Operations!AR506*Operations!AR478</f>
        <v/>
      </c>
      <c r="AS508" s="20">
        <f>Operations!AS504*Operations!AS506*Operations!AS478</f>
        <v/>
      </c>
      <c r="AT508" s="20">
        <f>Operations!AT504*Operations!AT506*Operations!AT478</f>
        <v/>
      </c>
      <c r="AU508" s="20">
        <f>Operations!AU504*Operations!AU506*Operations!AU478</f>
        <v/>
      </c>
    </row>
    <row r="509">
      <c r="D509" t="inlineStr">
        <is>
          <t>R2 Mesa unlevered post-tax cash flow (before price shield)</t>
        </is>
      </c>
      <c r="E509" t="inlineStr">
        <is>
          <t>USD m</t>
        </is>
      </c>
      <c r="J509" s="20">
        <f>Operations!J507-Inputs!$F$241/100*Operations!J508</f>
        <v/>
      </c>
      <c r="K509" s="20">
        <f>Operations!K507-Inputs!$F$241/100*Operations!K508</f>
        <v/>
      </c>
      <c r="L509" s="20">
        <f>Operations!L507-Inputs!$F$241/100*Operations!L508</f>
        <v/>
      </c>
      <c r="M509" s="20">
        <f>Operations!M507-Inputs!$F$241/100*Operations!M508</f>
        <v/>
      </c>
      <c r="N509" s="20">
        <f>Operations!N507-Inputs!$F$241/100*Operations!N508</f>
        <v/>
      </c>
      <c r="O509" s="20">
        <f>Operations!O507-Inputs!$F$241/100*Operations!O508</f>
        <v/>
      </c>
      <c r="P509" s="20">
        <f>Operations!P507-Inputs!$F$241/100*Operations!P508</f>
        <v/>
      </c>
      <c r="Q509" s="20">
        <f>Operations!Q507-Inputs!$F$241/100*Operations!Q508</f>
        <v/>
      </c>
      <c r="R509" s="20">
        <f>Operations!R507-Inputs!$F$241/100*Operations!R508</f>
        <v/>
      </c>
      <c r="S509" s="20">
        <f>Operations!S507-Inputs!$F$241/100*Operations!S508</f>
        <v/>
      </c>
      <c r="T509" s="20">
        <f>Operations!T507-Inputs!$F$241/100*Operations!T508</f>
        <v/>
      </c>
      <c r="U509" s="20">
        <f>Operations!U507-Inputs!$F$241/100*Operations!U508</f>
        <v/>
      </c>
      <c r="V509" s="20">
        <f>Operations!V507-Inputs!$F$241/100*Operations!V508</f>
        <v/>
      </c>
      <c r="W509" s="20">
        <f>Operations!W507-Inputs!$F$241/100*Operations!W508</f>
        <v/>
      </c>
      <c r="X509" s="20">
        <f>Operations!X507-Inputs!$F$241/100*Operations!X508</f>
        <v/>
      </c>
      <c r="Y509" s="20">
        <f>Operations!Y507-Inputs!$F$241/100*Operations!Y508</f>
        <v/>
      </c>
      <c r="Z509" s="20">
        <f>Operations!Z507-Inputs!$F$241/100*Operations!Z508</f>
        <v/>
      </c>
      <c r="AA509" s="20">
        <f>Operations!AA507-Inputs!$F$241/100*Operations!AA508</f>
        <v/>
      </c>
      <c r="AB509" s="20">
        <f>Operations!AB507-Inputs!$F$241/100*Operations!AB508</f>
        <v/>
      </c>
      <c r="AC509" s="20">
        <f>Operations!AC507-Inputs!$F$241/100*Operations!AC508</f>
        <v/>
      </c>
      <c r="AD509" s="20">
        <f>Operations!AD507-Inputs!$F$241/100*Operations!AD508</f>
        <v/>
      </c>
      <c r="AE509" s="20">
        <f>Operations!AE507-Inputs!$F$241/100*Operations!AE508</f>
        <v/>
      </c>
      <c r="AF509" s="20">
        <f>Operations!AF507-Inputs!$F$241/100*Operations!AF508</f>
        <v/>
      </c>
      <c r="AG509" s="20">
        <f>Operations!AG507-Inputs!$F$241/100*Operations!AG508</f>
        <v/>
      </c>
      <c r="AH509" s="20">
        <f>Operations!AH507-Inputs!$F$241/100*Operations!AH508</f>
        <v/>
      </c>
      <c r="AI509" s="20">
        <f>Operations!AI507-Inputs!$F$241/100*Operations!AI508</f>
        <v/>
      </c>
      <c r="AJ509" s="20">
        <f>Operations!AJ507-Inputs!$F$241/100*Operations!AJ508</f>
        <v/>
      </c>
      <c r="AK509" s="20">
        <f>Operations!AK507-Inputs!$F$241/100*Operations!AK508</f>
        <v/>
      </c>
      <c r="AL509" s="20">
        <f>Operations!AL507-Inputs!$F$241/100*Operations!AL508</f>
        <v/>
      </c>
      <c r="AM509" s="20">
        <f>Operations!AM507-Inputs!$F$241/100*Operations!AM508</f>
        <v/>
      </c>
      <c r="AN509" s="20">
        <f>Operations!AN507-Inputs!$F$241/100*Operations!AN508</f>
        <v/>
      </c>
      <c r="AO509" s="20">
        <f>Operations!AO507-Inputs!$F$241/100*Operations!AO508</f>
        <v/>
      </c>
      <c r="AP509" s="20">
        <f>Operations!AP507-Inputs!$F$241/100*Operations!AP508</f>
        <v/>
      </c>
      <c r="AQ509" s="20">
        <f>Operations!AQ507-Inputs!$F$241/100*Operations!AQ508</f>
        <v/>
      </c>
      <c r="AR509" s="20">
        <f>Operations!AR507-Inputs!$F$241/100*Operations!AR508</f>
        <v/>
      </c>
      <c r="AS509" s="20">
        <f>Operations!AS507-Inputs!$F$241/100*Operations!AS508</f>
        <v/>
      </c>
      <c r="AT509" s="20">
        <f>Operations!AT507-Inputs!$F$241/100*Operations!AT508</f>
        <v/>
      </c>
      <c r="AU509" s="20">
        <f>Operations!AU507-Inputs!$F$241/100*Operations!AU508</f>
        <v/>
      </c>
    </row>
    <row r="510">
      <c r="D510" t="inlineStr">
        <is>
          <t>R2 contracted share of revenue</t>
        </is>
      </c>
      <c r="E510" t="inlineStr">
        <is>
          <t>fraction</t>
        </is>
      </c>
      <c r="J510" s="14">
        <f>IF(Operations!J495=0,0,Operations!J492/Operations!J495)</f>
        <v/>
      </c>
      <c r="K510" s="14">
        <f>IF(Operations!K495=0,0,Operations!K492/Operations!K495)</f>
        <v/>
      </c>
      <c r="L510" s="14">
        <f>IF(Operations!L495=0,0,Operations!L492/Operations!L495)</f>
        <v/>
      </c>
      <c r="M510" s="14">
        <f>IF(Operations!M495=0,0,Operations!M492/Operations!M495)</f>
        <v/>
      </c>
      <c r="N510" s="14">
        <f>IF(Operations!N495=0,0,Operations!N492/Operations!N495)</f>
        <v/>
      </c>
      <c r="O510" s="14">
        <f>IF(Operations!O495=0,0,Operations!O492/Operations!O495)</f>
        <v/>
      </c>
      <c r="P510" s="14">
        <f>IF(Operations!P495=0,0,Operations!P492/Operations!P495)</f>
        <v/>
      </c>
      <c r="Q510" s="14">
        <f>IF(Operations!Q495=0,0,Operations!Q492/Operations!Q495)</f>
        <v/>
      </c>
      <c r="R510" s="14">
        <f>IF(Operations!R495=0,0,Operations!R492/Operations!R495)</f>
        <v/>
      </c>
      <c r="S510" s="14">
        <f>IF(Operations!S495=0,0,Operations!S492/Operations!S495)</f>
        <v/>
      </c>
      <c r="T510" s="14">
        <f>IF(Operations!T495=0,0,Operations!T492/Operations!T495)</f>
        <v/>
      </c>
      <c r="U510" s="14">
        <f>IF(Operations!U495=0,0,Operations!U492/Operations!U495)</f>
        <v/>
      </c>
      <c r="V510" s="14">
        <f>IF(Operations!V495=0,0,Operations!V492/Operations!V495)</f>
        <v/>
      </c>
      <c r="W510" s="14">
        <f>IF(Operations!W495=0,0,Operations!W492/Operations!W495)</f>
        <v/>
      </c>
      <c r="X510" s="14">
        <f>IF(Operations!X495=0,0,Operations!X492/Operations!X495)</f>
        <v/>
      </c>
      <c r="Y510" s="14">
        <f>IF(Operations!Y495=0,0,Operations!Y492/Operations!Y495)</f>
        <v/>
      </c>
      <c r="Z510" s="14">
        <f>IF(Operations!Z495=0,0,Operations!Z492/Operations!Z495)</f>
        <v/>
      </c>
      <c r="AA510" s="14">
        <f>IF(Operations!AA495=0,0,Operations!AA492/Operations!AA495)</f>
        <v/>
      </c>
      <c r="AB510" s="14">
        <f>IF(Operations!AB495=0,0,Operations!AB492/Operations!AB495)</f>
        <v/>
      </c>
      <c r="AC510" s="14">
        <f>IF(Operations!AC495=0,0,Operations!AC492/Operations!AC495)</f>
        <v/>
      </c>
      <c r="AD510" s="14">
        <f>IF(Operations!AD495=0,0,Operations!AD492/Operations!AD495)</f>
        <v/>
      </c>
      <c r="AE510" s="14">
        <f>IF(Operations!AE495=0,0,Operations!AE492/Operations!AE495)</f>
        <v/>
      </c>
      <c r="AF510" s="14">
        <f>IF(Operations!AF495=0,0,Operations!AF492/Operations!AF495)</f>
        <v/>
      </c>
      <c r="AG510" s="14">
        <f>IF(Operations!AG495=0,0,Operations!AG492/Operations!AG495)</f>
        <v/>
      </c>
      <c r="AH510" s="14">
        <f>IF(Operations!AH495=0,0,Operations!AH492/Operations!AH495)</f>
        <v/>
      </c>
      <c r="AI510" s="14">
        <f>IF(Operations!AI495=0,0,Operations!AI492/Operations!AI495)</f>
        <v/>
      </c>
      <c r="AJ510" s="14">
        <f>IF(Operations!AJ495=0,0,Operations!AJ492/Operations!AJ495)</f>
        <v/>
      </c>
      <c r="AK510" s="14">
        <f>IF(Operations!AK495=0,0,Operations!AK492/Operations!AK495)</f>
        <v/>
      </c>
      <c r="AL510" s="14">
        <f>IF(Operations!AL495=0,0,Operations!AL492/Operations!AL495)</f>
        <v/>
      </c>
      <c r="AM510" s="14">
        <f>IF(Operations!AM495=0,0,Operations!AM492/Operations!AM495)</f>
        <v/>
      </c>
      <c r="AN510" s="14">
        <f>IF(Operations!AN495=0,0,Operations!AN492/Operations!AN495)</f>
        <v/>
      </c>
      <c r="AO510" s="14">
        <f>IF(Operations!AO495=0,0,Operations!AO492/Operations!AO495)</f>
        <v/>
      </c>
      <c r="AP510" s="14">
        <f>IF(Operations!AP495=0,0,Operations!AP492/Operations!AP495)</f>
        <v/>
      </c>
      <c r="AQ510" s="14">
        <f>IF(Operations!AQ495=0,0,Operations!AQ492/Operations!AQ495)</f>
        <v/>
      </c>
      <c r="AR510" s="14">
        <f>IF(Operations!AR495=0,0,Operations!AR492/Operations!AR495)</f>
        <v/>
      </c>
      <c r="AS510" s="14">
        <f>IF(Operations!AS495=0,0,Operations!AS492/Operations!AS495)</f>
        <v/>
      </c>
      <c r="AT510" s="14">
        <f>IF(Operations!AT495=0,0,Operations!AT492/Operations!AT495)</f>
        <v/>
      </c>
      <c r="AU510" s="14">
        <f>IF(Operations!AU495=0,0,Operations!AU492/Operations!AU495)</f>
        <v/>
      </c>
    </row>
    <row r="511">
      <c r="D511" t="inlineStr">
        <is>
          <t>R2 hedged share of revenue</t>
        </is>
      </c>
      <c r="E511" t="inlineStr">
        <is>
          <t>fraction</t>
        </is>
      </c>
      <c r="J511" s="14">
        <f>IF(Operations!J495=0,0,Operations!J493/Operations!J495)</f>
        <v/>
      </c>
      <c r="K511" s="14">
        <f>IF(Operations!K495=0,0,Operations!K493/Operations!K495)</f>
        <v/>
      </c>
      <c r="L511" s="14">
        <f>IF(Operations!L495=0,0,Operations!L493/Operations!L495)</f>
        <v/>
      </c>
      <c r="M511" s="14">
        <f>IF(Operations!M495=0,0,Operations!M493/Operations!M495)</f>
        <v/>
      </c>
      <c r="N511" s="14">
        <f>IF(Operations!N495=0,0,Operations!N493/Operations!N495)</f>
        <v/>
      </c>
      <c r="O511" s="14">
        <f>IF(Operations!O495=0,0,Operations!O493/Operations!O495)</f>
        <v/>
      </c>
      <c r="P511" s="14">
        <f>IF(Operations!P495=0,0,Operations!P493/Operations!P495)</f>
        <v/>
      </c>
      <c r="Q511" s="14">
        <f>IF(Operations!Q495=0,0,Operations!Q493/Operations!Q495)</f>
        <v/>
      </c>
      <c r="R511" s="14">
        <f>IF(Operations!R495=0,0,Operations!R493/Operations!R495)</f>
        <v/>
      </c>
      <c r="S511" s="14">
        <f>IF(Operations!S495=0,0,Operations!S493/Operations!S495)</f>
        <v/>
      </c>
      <c r="T511" s="14">
        <f>IF(Operations!T495=0,0,Operations!T493/Operations!T495)</f>
        <v/>
      </c>
      <c r="U511" s="14">
        <f>IF(Operations!U495=0,0,Operations!U493/Operations!U495)</f>
        <v/>
      </c>
      <c r="V511" s="14">
        <f>IF(Operations!V495=0,0,Operations!V493/Operations!V495)</f>
        <v/>
      </c>
      <c r="W511" s="14">
        <f>IF(Operations!W495=0,0,Operations!W493/Operations!W495)</f>
        <v/>
      </c>
      <c r="X511" s="14">
        <f>IF(Operations!X495=0,0,Operations!X493/Operations!X495)</f>
        <v/>
      </c>
      <c r="Y511" s="14">
        <f>IF(Operations!Y495=0,0,Operations!Y493/Operations!Y495)</f>
        <v/>
      </c>
      <c r="Z511" s="14">
        <f>IF(Operations!Z495=0,0,Operations!Z493/Operations!Z495)</f>
        <v/>
      </c>
      <c r="AA511" s="14">
        <f>IF(Operations!AA495=0,0,Operations!AA493/Operations!AA495)</f>
        <v/>
      </c>
      <c r="AB511" s="14">
        <f>IF(Operations!AB495=0,0,Operations!AB493/Operations!AB495)</f>
        <v/>
      </c>
      <c r="AC511" s="14">
        <f>IF(Operations!AC495=0,0,Operations!AC493/Operations!AC495)</f>
        <v/>
      </c>
      <c r="AD511" s="14">
        <f>IF(Operations!AD495=0,0,Operations!AD493/Operations!AD495)</f>
        <v/>
      </c>
      <c r="AE511" s="14">
        <f>IF(Operations!AE495=0,0,Operations!AE493/Operations!AE495)</f>
        <v/>
      </c>
      <c r="AF511" s="14">
        <f>IF(Operations!AF495=0,0,Operations!AF493/Operations!AF495)</f>
        <v/>
      </c>
      <c r="AG511" s="14">
        <f>IF(Operations!AG495=0,0,Operations!AG493/Operations!AG495)</f>
        <v/>
      </c>
      <c r="AH511" s="14">
        <f>IF(Operations!AH495=0,0,Operations!AH493/Operations!AH495)</f>
        <v/>
      </c>
      <c r="AI511" s="14">
        <f>IF(Operations!AI495=0,0,Operations!AI493/Operations!AI495)</f>
        <v/>
      </c>
      <c r="AJ511" s="14">
        <f>IF(Operations!AJ495=0,0,Operations!AJ493/Operations!AJ495)</f>
        <v/>
      </c>
      <c r="AK511" s="14">
        <f>IF(Operations!AK495=0,0,Operations!AK493/Operations!AK495)</f>
        <v/>
      </c>
      <c r="AL511" s="14">
        <f>IF(Operations!AL495=0,0,Operations!AL493/Operations!AL495)</f>
        <v/>
      </c>
      <c r="AM511" s="14">
        <f>IF(Operations!AM495=0,0,Operations!AM493/Operations!AM495)</f>
        <v/>
      </c>
      <c r="AN511" s="14">
        <f>IF(Operations!AN495=0,0,Operations!AN493/Operations!AN495)</f>
        <v/>
      </c>
      <c r="AO511" s="14">
        <f>IF(Operations!AO495=0,0,Operations!AO493/Operations!AO495)</f>
        <v/>
      </c>
      <c r="AP511" s="14">
        <f>IF(Operations!AP495=0,0,Operations!AP493/Operations!AP495)</f>
        <v/>
      </c>
      <c r="AQ511" s="14">
        <f>IF(Operations!AQ495=0,0,Operations!AQ493/Operations!AQ495)</f>
        <v/>
      </c>
      <c r="AR511" s="14">
        <f>IF(Operations!AR495=0,0,Operations!AR493/Operations!AR495)</f>
        <v/>
      </c>
      <c r="AS511" s="14">
        <f>IF(Operations!AS495=0,0,Operations!AS493/Operations!AS495)</f>
        <v/>
      </c>
      <c r="AT511" s="14">
        <f>IF(Operations!AT495=0,0,Operations!AT493/Operations!AT495)</f>
        <v/>
      </c>
      <c r="AU511" s="14">
        <f>IF(Operations!AU495=0,0,Operations!AU493/Operations!AU495)</f>
        <v/>
      </c>
    </row>
    <row r="512">
      <c r="D512" t="inlineStr">
        <is>
          <t>R2 merchant share of revenue</t>
        </is>
      </c>
      <c r="E512" t="inlineStr">
        <is>
          <t>fraction</t>
        </is>
      </c>
      <c r="J512" s="14">
        <f>1-Operations!J510-Operations!J511</f>
        <v/>
      </c>
      <c r="K512" s="14">
        <f>1-Operations!K510-Operations!K511</f>
        <v/>
      </c>
      <c r="L512" s="14">
        <f>1-Operations!L510-Operations!L511</f>
        <v/>
      </c>
      <c r="M512" s="14">
        <f>1-Operations!M510-Operations!M511</f>
        <v/>
      </c>
      <c r="N512" s="14">
        <f>1-Operations!N510-Operations!N511</f>
        <v/>
      </c>
      <c r="O512" s="14">
        <f>1-Operations!O510-Operations!O511</f>
        <v/>
      </c>
      <c r="P512" s="14">
        <f>1-Operations!P510-Operations!P511</f>
        <v/>
      </c>
      <c r="Q512" s="14">
        <f>1-Operations!Q510-Operations!Q511</f>
        <v/>
      </c>
      <c r="R512" s="14">
        <f>1-Operations!R510-Operations!R511</f>
        <v/>
      </c>
      <c r="S512" s="14">
        <f>1-Operations!S510-Operations!S511</f>
        <v/>
      </c>
      <c r="T512" s="14">
        <f>1-Operations!T510-Operations!T511</f>
        <v/>
      </c>
      <c r="U512" s="14">
        <f>1-Operations!U510-Operations!U511</f>
        <v/>
      </c>
      <c r="V512" s="14">
        <f>1-Operations!V510-Operations!V511</f>
        <v/>
      </c>
      <c r="W512" s="14">
        <f>1-Operations!W510-Operations!W511</f>
        <v/>
      </c>
      <c r="X512" s="14">
        <f>1-Operations!X510-Operations!X511</f>
        <v/>
      </c>
      <c r="Y512" s="14">
        <f>1-Operations!Y510-Operations!Y511</f>
        <v/>
      </c>
      <c r="Z512" s="14">
        <f>1-Operations!Z510-Operations!Z511</f>
        <v/>
      </c>
      <c r="AA512" s="14">
        <f>1-Operations!AA510-Operations!AA511</f>
        <v/>
      </c>
      <c r="AB512" s="14">
        <f>1-Operations!AB510-Operations!AB511</f>
        <v/>
      </c>
      <c r="AC512" s="14">
        <f>1-Operations!AC510-Operations!AC511</f>
        <v/>
      </c>
      <c r="AD512" s="14">
        <f>1-Operations!AD510-Operations!AD511</f>
        <v/>
      </c>
      <c r="AE512" s="14">
        <f>1-Operations!AE510-Operations!AE511</f>
        <v/>
      </c>
      <c r="AF512" s="14">
        <f>1-Operations!AF510-Operations!AF511</f>
        <v/>
      </c>
      <c r="AG512" s="14">
        <f>1-Operations!AG510-Operations!AG511</f>
        <v/>
      </c>
      <c r="AH512" s="14">
        <f>1-Operations!AH510-Operations!AH511</f>
        <v/>
      </c>
      <c r="AI512" s="14">
        <f>1-Operations!AI510-Operations!AI511</f>
        <v/>
      </c>
      <c r="AJ512" s="14">
        <f>1-Operations!AJ510-Operations!AJ511</f>
        <v/>
      </c>
      <c r="AK512" s="14">
        <f>1-Operations!AK510-Operations!AK511</f>
        <v/>
      </c>
      <c r="AL512" s="14">
        <f>1-Operations!AL510-Operations!AL511</f>
        <v/>
      </c>
      <c r="AM512" s="14">
        <f>1-Operations!AM510-Operations!AM511</f>
        <v/>
      </c>
      <c r="AN512" s="14">
        <f>1-Operations!AN510-Operations!AN511</f>
        <v/>
      </c>
      <c r="AO512" s="14">
        <f>1-Operations!AO510-Operations!AO511</f>
        <v/>
      </c>
      <c r="AP512" s="14">
        <f>1-Operations!AP510-Operations!AP511</f>
        <v/>
      </c>
      <c r="AQ512" s="14">
        <f>1-Operations!AQ510-Operations!AQ511</f>
        <v/>
      </c>
      <c r="AR512" s="14">
        <f>1-Operations!AR510-Operations!AR511</f>
        <v/>
      </c>
      <c r="AS512" s="14">
        <f>1-Operations!AS510-Operations!AS511</f>
        <v/>
      </c>
      <c r="AT512" s="14">
        <f>1-Operations!AT510-Operations!AT511</f>
        <v/>
      </c>
      <c r="AU512" s="14">
        <f>1-Operations!AU510-Operations!AU511</f>
        <v/>
      </c>
    </row>
    <row r="513">
      <c r="D513" t="inlineStr">
        <is>
          <t>R2 Mesa-share contracted revenue</t>
        </is>
      </c>
      <c r="E513" t="inlineStr">
        <is>
          <t>USD m</t>
        </is>
      </c>
      <c r="J513" s="20">
        <f>Operations!J492*Operations!J478*(1-Operations!J505)</f>
        <v/>
      </c>
      <c r="K513" s="20">
        <f>Operations!K492*Operations!K478*(1-Operations!K505)</f>
        <v/>
      </c>
      <c r="L513" s="20">
        <f>Operations!L492*Operations!L478*(1-Operations!L505)</f>
        <v/>
      </c>
      <c r="M513" s="20">
        <f>Operations!M492*Operations!M478*(1-Operations!M505)</f>
        <v/>
      </c>
      <c r="N513" s="20">
        <f>Operations!N492*Operations!N478*(1-Operations!N505)</f>
        <v/>
      </c>
      <c r="O513" s="20">
        <f>Operations!O492*Operations!O478*(1-Operations!O505)</f>
        <v/>
      </c>
      <c r="P513" s="20">
        <f>Operations!P492*Operations!P478*(1-Operations!P505)</f>
        <v/>
      </c>
      <c r="Q513" s="20">
        <f>Operations!Q492*Operations!Q478*(1-Operations!Q505)</f>
        <v/>
      </c>
      <c r="R513" s="20">
        <f>Operations!R492*Operations!R478*(1-Operations!R505)</f>
        <v/>
      </c>
      <c r="S513" s="20">
        <f>Operations!S492*Operations!S478*(1-Operations!S505)</f>
        <v/>
      </c>
      <c r="T513" s="20">
        <f>Operations!T492*Operations!T478*(1-Operations!T505)</f>
        <v/>
      </c>
      <c r="U513" s="20">
        <f>Operations!U492*Operations!U478*(1-Operations!U505)</f>
        <v/>
      </c>
      <c r="V513" s="20">
        <f>Operations!V492*Operations!V478*(1-Operations!V505)</f>
        <v/>
      </c>
      <c r="W513" s="20">
        <f>Operations!W492*Operations!W478*(1-Operations!W505)</f>
        <v/>
      </c>
      <c r="X513" s="20">
        <f>Operations!X492*Operations!X478*(1-Operations!X505)</f>
        <v/>
      </c>
      <c r="Y513" s="20">
        <f>Operations!Y492*Operations!Y478*(1-Operations!Y505)</f>
        <v/>
      </c>
      <c r="Z513" s="20">
        <f>Operations!Z492*Operations!Z478*(1-Operations!Z505)</f>
        <v/>
      </c>
      <c r="AA513" s="20">
        <f>Operations!AA492*Operations!AA478*(1-Operations!AA505)</f>
        <v/>
      </c>
      <c r="AB513" s="20">
        <f>Operations!AB492*Operations!AB478*(1-Operations!AB505)</f>
        <v/>
      </c>
      <c r="AC513" s="20">
        <f>Operations!AC492*Operations!AC478*(1-Operations!AC505)</f>
        <v/>
      </c>
      <c r="AD513" s="20">
        <f>Operations!AD492*Operations!AD478*(1-Operations!AD505)</f>
        <v/>
      </c>
      <c r="AE513" s="20">
        <f>Operations!AE492*Operations!AE478*(1-Operations!AE505)</f>
        <v/>
      </c>
      <c r="AF513" s="20">
        <f>Operations!AF492*Operations!AF478*(1-Operations!AF505)</f>
        <v/>
      </c>
      <c r="AG513" s="20">
        <f>Operations!AG492*Operations!AG478*(1-Operations!AG505)</f>
        <v/>
      </c>
      <c r="AH513" s="20">
        <f>Operations!AH492*Operations!AH478*(1-Operations!AH505)</f>
        <v/>
      </c>
      <c r="AI513" s="20">
        <f>Operations!AI492*Operations!AI478*(1-Operations!AI505)</f>
        <v/>
      </c>
      <c r="AJ513" s="20">
        <f>Operations!AJ492*Operations!AJ478*(1-Operations!AJ505)</f>
        <v/>
      </c>
      <c r="AK513" s="20">
        <f>Operations!AK492*Operations!AK478*(1-Operations!AK505)</f>
        <v/>
      </c>
      <c r="AL513" s="20">
        <f>Operations!AL492*Operations!AL478*(1-Operations!AL505)</f>
        <v/>
      </c>
      <c r="AM513" s="20">
        <f>Operations!AM492*Operations!AM478*(1-Operations!AM505)</f>
        <v/>
      </c>
      <c r="AN513" s="20">
        <f>Operations!AN492*Operations!AN478*(1-Operations!AN505)</f>
        <v/>
      </c>
      <c r="AO513" s="20">
        <f>Operations!AO492*Operations!AO478*(1-Operations!AO505)</f>
        <v/>
      </c>
      <c r="AP513" s="20">
        <f>Operations!AP492*Operations!AP478*(1-Operations!AP505)</f>
        <v/>
      </c>
      <c r="AQ513" s="20">
        <f>Operations!AQ492*Operations!AQ478*(1-Operations!AQ505)</f>
        <v/>
      </c>
      <c r="AR513" s="20">
        <f>Operations!AR492*Operations!AR478*(1-Operations!AR505)</f>
        <v/>
      </c>
      <c r="AS513" s="20">
        <f>Operations!AS492*Operations!AS478*(1-Operations!AS505)</f>
        <v/>
      </c>
      <c r="AT513" s="20">
        <f>Operations!AT492*Operations!AT478*(1-Operations!AT505)</f>
        <v/>
      </c>
      <c r="AU513" s="20">
        <f>Operations!AU492*Operations!AU478*(1-Operations!AU505)</f>
        <v/>
      </c>
    </row>
    <row r="514">
      <c r="D514" t="inlineStr">
        <is>
          <t>R2 Mesa-share hedged revenue</t>
        </is>
      </c>
      <c r="E514" t="inlineStr">
        <is>
          <t>USD m</t>
        </is>
      </c>
      <c r="J514" s="20">
        <f>Operations!J493*Operations!J478*(1-Operations!J505)</f>
        <v/>
      </c>
      <c r="K514" s="20">
        <f>Operations!K493*Operations!K478*(1-Operations!K505)</f>
        <v/>
      </c>
      <c r="L514" s="20">
        <f>Operations!L493*Operations!L478*(1-Operations!L505)</f>
        <v/>
      </c>
      <c r="M514" s="20">
        <f>Operations!M493*Operations!M478*(1-Operations!M505)</f>
        <v/>
      </c>
      <c r="N514" s="20">
        <f>Operations!N493*Operations!N478*(1-Operations!N505)</f>
        <v/>
      </c>
      <c r="O514" s="20">
        <f>Operations!O493*Operations!O478*(1-Operations!O505)</f>
        <v/>
      </c>
      <c r="P514" s="20">
        <f>Operations!P493*Operations!P478*(1-Operations!P505)</f>
        <v/>
      </c>
      <c r="Q514" s="20">
        <f>Operations!Q493*Operations!Q478*(1-Operations!Q505)</f>
        <v/>
      </c>
      <c r="R514" s="20">
        <f>Operations!R493*Operations!R478*(1-Operations!R505)</f>
        <v/>
      </c>
      <c r="S514" s="20">
        <f>Operations!S493*Operations!S478*(1-Operations!S505)</f>
        <v/>
      </c>
      <c r="T514" s="20">
        <f>Operations!T493*Operations!T478*(1-Operations!T505)</f>
        <v/>
      </c>
      <c r="U514" s="20">
        <f>Operations!U493*Operations!U478*(1-Operations!U505)</f>
        <v/>
      </c>
      <c r="V514" s="20">
        <f>Operations!V493*Operations!V478*(1-Operations!V505)</f>
        <v/>
      </c>
      <c r="W514" s="20">
        <f>Operations!W493*Operations!W478*(1-Operations!W505)</f>
        <v/>
      </c>
      <c r="X514" s="20">
        <f>Operations!X493*Operations!X478*(1-Operations!X505)</f>
        <v/>
      </c>
      <c r="Y514" s="20">
        <f>Operations!Y493*Operations!Y478*(1-Operations!Y505)</f>
        <v/>
      </c>
      <c r="Z514" s="20">
        <f>Operations!Z493*Operations!Z478*(1-Operations!Z505)</f>
        <v/>
      </c>
      <c r="AA514" s="20">
        <f>Operations!AA493*Operations!AA478*(1-Operations!AA505)</f>
        <v/>
      </c>
      <c r="AB514" s="20">
        <f>Operations!AB493*Operations!AB478*(1-Operations!AB505)</f>
        <v/>
      </c>
      <c r="AC514" s="20">
        <f>Operations!AC493*Operations!AC478*(1-Operations!AC505)</f>
        <v/>
      </c>
      <c r="AD514" s="20">
        <f>Operations!AD493*Operations!AD478*(1-Operations!AD505)</f>
        <v/>
      </c>
      <c r="AE514" s="20">
        <f>Operations!AE493*Operations!AE478*(1-Operations!AE505)</f>
        <v/>
      </c>
      <c r="AF514" s="20">
        <f>Operations!AF493*Operations!AF478*(1-Operations!AF505)</f>
        <v/>
      </c>
      <c r="AG514" s="20">
        <f>Operations!AG493*Operations!AG478*(1-Operations!AG505)</f>
        <v/>
      </c>
      <c r="AH514" s="20">
        <f>Operations!AH493*Operations!AH478*(1-Operations!AH505)</f>
        <v/>
      </c>
      <c r="AI514" s="20">
        <f>Operations!AI493*Operations!AI478*(1-Operations!AI505)</f>
        <v/>
      </c>
      <c r="AJ514" s="20">
        <f>Operations!AJ493*Operations!AJ478*(1-Operations!AJ505)</f>
        <v/>
      </c>
      <c r="AK514" s="20">
        <f>Operations!AK493*Operations!AK478*(1-Operations!AK505)</f>
        <v/>
      </c>
      <c r="AL514" s="20">
        <f>Operations!AL493*Operations!AL478*(1-Operations!AL505)</f>
        <v/>
      </c>
      <c r="AM514" s="20">
        <f>Operations!AM493*Operations!AM478*(1-Operations!AM505)</f>
        <v/>
      </c>
      <c r="AN514" s="20">
        <f>Operations!AN493*Operations!AN478*(1-Operations!AN505)</f>
        <v/>
      </c>
      <c r="AO514" s="20">
        <f>Operations!AO493*Operations!AO478*(1-Operations!AO505)</f>
        <v/>
      </c>
      <c r="AP514" s="20">
        <f>Operations!AP493*Operations!AP478*(1-Operations!AP505)</f>
        <v/>
      </c>
      <c r="AQ514" s="20">
        <f>Operations!AQ493*Operations!AQ478*(1-Operations!AQ505)</f>
        <v/>
      </c>
      <c r="AR514" s="20">
        <f>Operations!AR493*Operations!AR478*(1-Operations!AR505)</f>
        <v/>
      </c>
      <c r="AS514" s="20">
        <f>Operations!AS493*Operations!AS478*(1-Operations!AS505)</f>
        <v/>
      </c>
      <c r="AT514" s="20">
        <f>Operations!AT493*Operations!AT478*(1-Operations!AT505)</f>
        <v/>
      </c>
      <c r="AU514" s="20">
        <f>Operations!AU493*Operations!AU478*(1-Operations!AU505)</f>
        <v/>
      </c>
    </row>
    <row r="515">
      <c r="D515" t="inlineStr">
        <is>
          <t>R2 Mesa-share merchant revenue</t>
        </is>
      </c>
      <c r="E515" t="inlineStr">
        <is>
          <t>USD m</t>
        </is>
      </c>
      <c r="J515" s="20">
        <f>Operations!J496*Operations!J478*(1-Operations!J505)</f>
        <v/>
      </c>
      <c r="K515" s="20">
        <f>Operations!K496*Operations!K478*(1-Operations!K505)</f>
        <v/>
      </c>
      <c r="L515" s="20">
        <f>Operations!L496*Operations!L478*(1-Operations!L505)</f>
        <v/>
      </c>
      <c r="M515" s="20">
        <f>Operations!M496*Operations!M478*(1-Operations!M505)</f>
        <v/>
      </c>
      <c r="N515" s="20">
        <f>Operations!N496*Operations!N478*(1-Operations!N505)</f>
        <v/>
      </c>
      <c r="O515" s="20">
        <f>Operations!O496*Operations!O478*(1-Operations!O505)</f>
        <v/>
      </c>
      <c r="P515" s="20">
        <f>Operations!P496*Operations!P478*(1-Operations!P505)</f>
        <v/>
      </c>
      <c r="Q515" s="20">
        <f>Operations!Q496*Operations!Q478*(1-Operations!Q505)</f>
        <v/>
      </c>
      <c r="R515" s="20">
        <f>Operations!R496*Operations!R478*(1-Operations!R505)</f>
        <v/>
      </c>
      <c r="S515" s="20">
        <f>Operations!S496*Operations!S478*(1-Operations!S505)</f>
        <v/>
      </c>
      <c r="T515" s="20">
        <f>Operations!T496*Operations!T478*(1-Operations!T505)</f>
        <v/>
      </c>
      <c r="U515" s="20">
        <f>Operations!U496*Operations!U478*(1-Operations!U505)</f>
        <v/>
      </c>
      <c r="V515" s="20">
        <f>Operations!V496*Operations!V478*(1-Operations!V505)</f>
        <v/>
      </c>
      <c r="W515" s="20">
        <f>Operations!W496*Operations!W478*(1-Operations!W505)</f>
        <v/>
      </c>
      <c r="X515" s="20">
        <f>Operations!X496*Operations!X478*(1-Operations!X505)</f>
        <v/>
      </c>
      <c r="Y515" s="20">
        <f>Operations!Y496*Operations!Y478*(1-Operations!Y505)</f>
        <v/>
      </c>
      <c r="Z515" s="20">
        <f>Operations!Z496*Operations!Z478*(1-Operations!Z505)</f>
        <v/>
      </c>
      <c r="AA515" s="20">
        <f>Operations!AA496*Operations!AA478*(1-Operations!AA505)</f>
        <v/>
      </c>
      <c r="AB515" s="20">
        <f>Operations!AB496*Operations!AB478*(1-Operations!AB505)</f>
        <v/>
      </c>
      <c r="AC515" s="20">
        <f>Operations!AC496*Operations!AC478*(1-Operations!AC505)</f>
        <v/>
      </c>
      <c r="AD515" s="20">
        <f>Operations!AD496*Operations!AD478*(1-Operations!AD505)</f>
        <v/>
      </c>
      <c r="AE515" s="20">
        <f>Operations!AE496*Operations!AE478*(1-Operations!AE505)</f>
        <v/>
      </c>
      <c r="AF515" s="20">
        <f>Operations!AF496*Operations!AF478*(1-Operations!AF505)</f>
        <v/>
      </c>
      <c r="AG515" s="20">
        <f>Operations!AG496*Operations!AG478*(1-Operations!AG505)</f>
        <v/>
      </c>
      <c r="AH515" s="20">
        <f>Operations!AH496*Operations!AH478*(1-Operations!AH505)</f>
        <v/>
      </c>
      <c r="AI515" s="20">
        <f>Operations!AI496*Operations!AI478*(1-Operations!AI505)</f>
        <v/>
      </c>
      <c r="AJ515" s="20">
        <f>Operations!AJ496*Operations!AJ478*(1-Operations!AJ505)</f>
        <v/>
      </c>
      <c r="AK515" s="20">
        <f>Operations!AK496*Operations!AK478*(1-Operations!AK505)</f>
        <v/>
      </c>
      <c r="AL515" s="20">
        <f>Operations!AL496*Operations!AL478*(1-Operations!AL505)</f>
        <v/>
      </c>
      <c r="AM515" s="20">
        <f>Operations!AM496*Operations!AM478*(1-Operations!AM505)</f>
        <v/>
      </c>
      <c r="AN515" s="20">
        <f>Operations!AN496*Operations!AN478*(1-Operations!AN505)</f>
        <v/>
      </c>
      <c r="AO515" s="20">
        <f>Operations!AO496*Operations!AO478*(1-Operations!AO505)</f>
        <v/>
      </c>
      <c r="AP515" s="20">
        <f>Operations!AP496*Operations!AP478*(1-Operations!AP505)</f>
        <v/>
      </c>
      <c r="AQ515" s="20">
        <f>Operations!AQ496*Operations!AQ478*(1-Operations!AQ505)</f>
        <v/>
      </c>
      <c r="AR515" s="20">
        <f>Operations!AR496*Operations!AR478*(1-Operations!AR505)</f>
        <v/>
      </c>
      <c r="AS515" s="20">
        <f>Operations!AS496*Operations!AS478*(1-Operations!AS505)</f>
        <v/>
      </c>
      <c r="AT515" s="20">
        <f>Operations!AT496*Operations!AT478*(1-Operations!AT505)</f>
        <v/>
      </c>
      <c r="AU515" s="20">
        <f>Operations!AU496*Operations!AU478*(1-Operations!AU505)</f>
        <v/>
      </c>
    </row>
    <row r="516">
      <c r="D516" t="inlineStr">
        <is>
          <t>R2 Mesa-share revenue</t>
        </is>
      </c>
      <c r="E516" t="inlineStr">
        <is>
          <t>USD m</t>
        </is>
      </c>
      <c r="J516" s="20">
        <f>Operations!J495*Operations!J478*(1-Operations!J505)</f>
        <v/>
      </c>
      <c r="K516" s="20">
        <f>Operations!K495*Operations!K478*(1-Operations!K505)</f>
        <v/>
      </c>
      <c r="L516" s="20">
        <f>Operations!L495*Operations!L478*(1-Operations!L505)</f>
        <v/>
      </c>
      <c r="M516" s="20">
        <f>Operations!M495*Operations!M478*(1-Operations!M505)</f>
        <v/>
      </c>
      <c r="N516" s="20">
        <f>Operations!N495*Operations!N478*(1-Operations!N505)</f>
        <v/>
      </c>
      <c r="O516" s="20">
        <f>Operations!O495*Operations!O478*(1-Operations!O505)</f>
        <v/>
      </c>
      <c r="P516" s="20">
        <f>Operations!P495*Operations!P478*(1-Operations!P505)</f>
        <v/>
      </c>
      <c r="Q516" s="20">
        <f>Operations!Q495*Operations!Q478*(1-Operations!Q505)</f>
        <v/>
      </c>
      <c r="R516" s="20">
        <f>Operations!R495*Operations!R478*(1-Operations!R505)</f>
        <v/>
      </c>
      <c r="S516" s="20">
        <f>Operations!S495*Operations!S478*(1-Operations!S505)</f>
        <v/>
      </c>
      <c r="T516" s="20">
        <f>Operations!T495*Operations!T478*(1-Operations!T505)</f>
        <v/>
      </c>
      <c r="U516" s="20">
        <f>Operations!U495*Operations!U478*(1-Operations!U505)</f>
        <v/>
      </c>
      <c r="V516" s="20">
        <f>Operations!V495*Operations!V478*(1-Operations!V505)</f>
        <v/>
      </c>
      <c r="W516" s="20">
        <f>Operations!W495*Operations!W478*(1-Operations!W505)</f>
        <v/>
      </c>
      <c r="X516" s="20">
        <f>Operations!X495*Operations!X478*(1-Operations!X505)</f>
        <v/>
      </c>
      <c r="Y516" s="20">
        <f>Operations!Y495*Operations!Y478*(1-Operations!Y505)</f>
        <v/>
      </c>
      <c r="Z516" s="20">
        <f>Operations!Z495*Operations!Z478*(1-Operations!Z505)</f>
        <v/>
      </c>
      <c r="AA516" s="20">
        <f>Operations!AA495*Operations!AA478*(1-Operations!AA505)</f>
        <v/>
      </c>
      <c r="AB516" s="20">
        <f>Operations!AB495*Operations!AB478*(1-Operations!AB505)</f>
        <v/>
      </c>
      <c r="AC516" s="20">
        <f>Operations!AC495*Operations!AC478*(1-Operations!AC505)</f>
        <v/>
      </c>
      <c r="AD516" s="20">
        <f>Operations!AD495*Operations!AD478*(1-Operations!AD505)</f>
        <v/>
      </c>
      <c r="AE516" s="20">
        <f>Operations!AE495*Operations!AE478*(1-Operations!AE505)</f>
        <v/>
      </c>
      <c r="AF516" s="20">
        <f>Operations!AF495*Operations!AF478*(1-Operations!AF505)</f>
        <v/>
      </c>
      <c r="AG516" s="20">
        <f>Operations!AG495*Operations!AG478*(1-Operations!AG505)</f>
        <v/>
      </c>
      <c r="AH516" s="20">
        <f>Operations!AH495*Operations!AH478*(1-Operations!AH505)</f>
        <v/>
      </c>
      <c r="AI516" s="20">
        <f>Operations!AI495*Operations!AI478*(1-Operations!AI505)</f>
        <v/>
      </c>
      <c r="AJ516" s="20">
        <f>Operations!AJ495*Operations!AJ478*(1-Operations!AJ505)</f>
        <v/>
      </c>
      <c r="AK516" s="20">
        <f>Operations!AK495*Operations!AK478*(1-Operations!AK505)</f>
        <v/>
      </c>
      <c r="AL516" s="20">
        <f>Operations!AL495*Operations!AL478*(1-Operations!AL505)</f>
        <v/>
      </c>
      <c r="AM516" s="20">
        <f>Operations!AM495*Operations!AM478*(1-Operations!AM505)</f>
        <v/>
      </c>
      <c r="AN516" s="20">
        <f>Operations!AN495*Operations!AN478*(1-Operations!AN505)</f>
        <v/>
      </c>
      <c r="AO516" s="20">
        <f>Operations!AO495*Operations!AO478*(1-Operations!AO505)</f>
        <v/>
      </c>
      <c r="AP516" s="20">
        <f>Operations!AP495*Operations!AP478*(1-Operations!AP505)</f>
        <v/>
      </c>
      <c r="AQ516" s="20">
        <f>Operations!AQ495*Operations!AQ478*(1-Operations!AQ505)</f>
        <v/>
      </c>
      <c r="AR516" s="20">
        <f>Operations!AR495*Operations!AR478*(1-Operations!AR505)</f>
        <v/>
      </c>
      <c r="AS516" s="20">
        <f>Operations!AS495*Operations!AS478*(1-Operations!AS505)</f>
        <v/>
      </c>
      <c r="AT516" s="20">
        <f>Operations!AT495*Operations!AT478*(1-Operations!AT505)</f>
        <v/>
      </c>
      <c r="AU516" s="20">
        <f>Operations!AU495*Operations!AU478*(1-Operations!AU505)</f>
        <v/>
      </c>
    </row>
    <row r="517">
      <c r="D517" s="19" t="inlineStr">
        <is>
          <t>R3 Ollie Creek Wind (onshore wind (Panhandle))</t>
        </is>
      </c>
    </row>
    <row r="518">
      <c r="D518" t="inlineStr">
        <is>
          <t>R3 operating fraction</t>
        </is>
      </c>
      <c r="E518" t="inlineStr">
        <is>
          <t>fraction</t>
        </is>
      </c>
      <c r="J518" s="14">
        <f>MAX(0,MIN(Inputs!$F$112,Time!J$6)-MAX(Inputs!$F$111,Time!J$5))/Time!J$7</f>
        <v/>
      </c>
      <c r="K518" s="14">
        <f>MAX(0,MIN(Inputs!$F$112,Time!K$6)-MAX(Inputs!$F$111,Time!K$5))/Time!K$7</f>
        <v/>
      </c>
      <c r="L518" s="14">
        <f>MAX(0,MIN(Inputs!$F$112,Time!L$6)-MAX(Inputs!$F$111,Time!L$5))/Time!L$7</f>
        <v/>
      </c>
      <c r="M518" s="14">
        <f>MAX(0,MIN(Inputs!$F$112,Time!M$6)-MAX(Inputs!$F$111,Time!M$5))/Time!M$7</f>
        <v/>
      </c>
      <c r="N518" s="14">
        <f>MAX(0,MIN(Inputs!$F$112,Time!N$6)-MAX(Inputs!$F$111,Time!N$5))/Time!N$7</f>
        <v/>
      </c>
      <c r="O518" s="14">
        <f>MAX(0,MIN(Inputs!$F$112,Time!O$6)-MAX(Inputs!$F$111,Time!O$5))/Time!O$7</f>
        <v/>
      </c>
      <c r="P518" s="14">
        <f>MAX(0,MIN(Inputs!$F$112,Time!P$6)-MAX(Inputs!$F$111,Time!P$5))/Time!P$7</f>
        <v/>
      </c>
      <c r="Q518" s="14">
        <f>MAX(0,MIN(Inputs!$F$112,Time!Q$6)-MAX(Inputs!$F$111,Time!Q$5))/Time!Q$7</f>
        <v/>
      </c>
      <c r="R518" s="14">
        <f>MAX(0,MIN(Inputs!$F$112,Time!R$6)-MAX(Inputs!$F$111,Time!R$5))/Time!R$7</f>
        <v/>
      </c>
      <c r="S518" s="14">
        <f>MAX(0,MIN(Inputs!$F$112,Time!S$6)-MAX(Inputs!$F$111,Time!S$5))/Time!S$7</f>
        <v/>
      </c>
      <c r="T518" s="14">
        <f>MAX(0,MIN(Inputs!$F$112,Time!T$6)-MAX(Inputs!$F$111,Time!T$5))/Time!T$7</f>
        <v/>
      </c>
      <c r="U518" s="14">
        <f>MAX(0,MIN(Inputs!$F$112,Time!U$6)-MAX(Inputs!$F$111,Time!U$5))/Time!U$7</f>
        <v/>
      </c>
      <c r="V518" s="14">
        <f>MAX(0,MIN(Inputs!$F$112,Time!V$6)-MAX(Inputs!$F$111,Time!V$5))/Time!V$7</f>
        <v/>
      </c>
      <c r="W518" s="14">
        <f>MAX(0,MIN(Inputs!$F$112,Time!W$6)-MAX(Inputs!$F$111,Time!W$5))/Time!W$7</f>
        <v/>
      </c>
      <c r="X518" s="14">
        <f>MAX(0,MIN(Inputs!$F$112,Time!X$6)-MAX(Inputs!$F$111,Time!X$5))/Time!X$7</f>
        <v/>
      </c>
      <c r="Y518" s="14">
        <f>MAX(0,MIN(Inputs!$F$112,Time!Y$6)-MAX(Inputs!$F$111,Time!Y$5))/Time!Y$7</f>
        <v/>
      </c>
      <c r="Z518" s="14">
        <f>MAX(0,MIN(Inputs!$F$112,Time!Z$6)-MAX(Inputs!$F$111,Time!Z$5))/Time!Z$7</f>
        <v/>
      </c>
      <c r="AA518" s="14">
        <f>MAX(0,MIN(Inputs!$F$112,Time!AA$6)-MAX(Inputs!$F$111,Time!AA$5))/Time!AA$7</f>
        <v/>
      </c>
      <c r="AB518" s="14">
        <f>MAX(0,MIN(Inputs!$F$112,Time!AB$6)-MAX(Inputs!$F$111,Time!AB$5))/Time!AB$7</f>
        <v/>
      </c>
      <c r="AC518" s="14">
        <f>MAX(0,MIN(Inputs!$F$112,Time!AC$6)-MAX(Inputs!$F$111,Time!AC$5))/Time!AC$7</f>
        <v/>
      </c>
      <c r="AD518" s="14">
        <f>MAX(0,MIN(Inputs!$F$112,Time!AD$6)-MAX(Inputs!$F$111,Time!AD$5))/Time!AD$7</f>
        <v/>
      </c>
      <c r="AE518" s="14">
        <f>MAX(0,MIN(Inputs!$F$112,Time!AE$6)-MAX(Inputs!$F$111,Time!AE$5))/Time!AE$7</f>
        <v/>
      </c>
      <c r="AF518" s="14">
        <f>MAX(0,MIN(Inputs!$F$112,Time!AF$6)-MAX(Inputs!$F$111,Time!AF$5))/Time!AF$7</f>
        <v/>
      </c>
      <c r="AG518" s="14">
        <f>MAX(0,MIN(Inputs!$F$112,Time!AG$6)-MAX(Inputs!$F$111,Time!AG$5))/Time!AG$7</f>
        <v/>
      </c>
      <c r="AH518" s="14">
        <f>MAX(0,MIN(Inputs!$F$112,Time!AH$6)-MAX(Inputs!$F$111,Time!AH$5))/Time!AH$7</f>
        <v/>
      </c>
      <c r="AI518" s="14">
        <f>MAX(0,MIN(Inputs!$F$112,Time!AI$6)-MAX(Inputs!$F$111,Time!AI$5))/Time!AI$7</f>
        <v/>
      </c>
      <c r="AJ518" s="14">
        <f>MAX(0,MIN(Inputs!$F$112,Time!AJ$6)-MAX(Inputs!$F$111,Time!AJ$5))/Time!AJ$7</f>
        <v/>
      </c>
      <c r="AK518" s="14">
        <f>MAX(0,MIN(Inputs!$F$112,Time!AK$6)-MAX(Inputs!$F$111,Time!AK$5))/Time!AK$7</f>
        <v/>
      </c>
      <c r="AL518" s="14">
        <f>MAX(0,MIN(Inputs!$F$112,Time!AL$6)-MAX(Inputs!$F$111,Time!AL$5))/Time!AL$7</f>
        <v/>
      </c>
      <c r="AM518" s="14">
        <f>MAX(0,MIN(Inputs!$F$112,Time!AM$6)-MAX(Inputs!$F$111,Time!AM$5))/Time!AM$7</f>
        <v/>
      </c>
      <c r="AN518" s="14">
        <f>MAX(0,MIN(Inputs!$F$112,Time!AN$6)-MAX(Inputs!$F$111,Time!AN$5))/Time!AN$7</f>
        <v/>
      </c>
      <c r="AO518" s="14">
        <f>MAX(0,MIN(Inputs!$F$112,Time!AO$6)-MAX(Inputs!$F$111,Time!AO$5))/Time!AO$7</f>
        <v/>
      </c>
      <c r="AP518" s="14">
        <f>MAX(0,MIN(Inputs!$F$112,Time!AP$6)-MAX(Inputs!$F$111,Time!AP$5))/Time!AP$7</f>
        <v/>
      </c>
      <c r="AQ518" s="14">
        <f>MAX(0,MIN(Inputs!$F$112,Time!AQ$6)-MAX(Inputs!$F$111,Time!AQ$5))/Time!AQ$7</f>
        <v/>
      </c>
      <c r="AR518" s="14">
        <f>MAX(0,MIN(Inputs!$F$112,Time!AR$6)-MAX(Inputs!$F$111,Time!AR$5))/Time!AR$7</f>
        <v/>
      </c>
      <c r="AS518" s="14">
        <f>MAX(0,MIN(Inputs!$F$112,Time!AS$6)-MAX(Inputs!$F$111,Time!AS$5))/Time!AS$7</f>
        <v/>
      </c>
      <c r="AT518" s="14">
        <f>MAX(0,MIN(Inputs!$F$112,Time!AT$6)-MAX(Inputs!$F$111,Time!AT$5))/Time!AT$7</f>
        <v/>
      </c>
      <c r="AU518" s="14">
        <f>MAX(0,MIN(Inputs!$F$112,Time!AU$6)-MAX(Inputs!$F$111,Time!AU$5))/Time!AU$7</f>
        <v/>
      </c>
    </row>
    <row r="519">
      <c r="D519" t="inlineStr">
        <is>
          <t>R3 owned fraction</t>
        </is>
      </c>
      <c r="E519" t="inlineStr">
        <is>
          <t>fraction</t>
        </is>
      </c>
      <c r="J519" s="14">
        <f>MAX(0,MIN(Inputs!$F$112,Time!J$6)-MAX(MAX(Inputs!$F$113,Inputs!$F$111),Time!J$5))/Time!J$7</f>
        <v/>
      </c>
      <c r="K519" s="14">
        <f>MAX(0,MIN(Inputs!$F$112,Time!K$6)-MAX(MAX(Inputs!$F$113,Inputs!$F$111),Time!K$5))/Time!K$7</f>
        <v/>
      </c>
      <c r="L519" s="14">
        <f>MAX(0,MIN(Inputs!$F$112,Time!L$6)-MAX(MAX(Inputs!$F$113,Inputs!$F$111),Time!L$5))/Time!L$7</f>
        <v/>
      </c>
      <c r="M519" s="14">
        <f>MAX(0,MIN(Inputs!$F$112,Time!M$6)-MAX(MAX(Inputs!$F$113,Inputs!$F$111),Time!M$5))/Time!M$7</f>
        <v/>
      </c>
      <c r="N519" s="14">
        <f>MAX(0,MIN(Inputs!$F$112,Time!N$6)-MAX(MAX(Inputs!$F$113,Inputs!$F$111),Time!N$5))/Time!N$7</f>
        <v/>
      </c>
      <c r="O519" s="14">
        <f>MAX(0,MIN(Inputs!$F$112,Time!O$6)-MAX(MAX(Inputs!$F$113,Inputs!$F$111),Time!O$5))/Time!O$7</f>
        <v/>
      </c>
      <c r="P519" s="14">
        <f>MAX(0,MIN(Inputs!$F$112,Time!P$6)-MAX(MAX(Inputs!$F$113,Inputs!$F$111),Time!P$5))/Time!P$7</f>
        <v/>
      </c>
      <c r="Q519" s="14">
        <f>MAX(0,MIN(Inputs!$F$112,Time!Q$6)-MAX(MAX(Inputs!$F$113,Inputs!$F$111),Time!Q$5))/Time!Q$7</f>
        <v/>
      </c>
      <c r="R519" s="14">
        <f>MAX(0,MIN(Inputs!$F$112,Time!R$6)-MAX(MAX(Inputs!$F$113,Inputs!$F$111),Time!R$5))/Time!R$7</f>
        <v/>
      </c>
      <c r="S519" s="14">
        <f>MAX(0,MIN(Inputs!$F$112,Time!S$6)-MAX(MAX(Inputs!$F$113,Inputs!$F$111),Time!S$5))/Time!S$7</f>
        <v/>
      </c>
      <c r="T519" s="14">
        <f>MAX(0,MIN(Inputs!$F$112,Time!T$6)-MAX(MAX(Inputs!$F$113,Inputs!$F$111),Time!T$5))/Time!T$7</f>
        <v/>
      </c>
      <c r="U519" s="14">
        <f>MAX(0,MIN(Inputs!$F$112,Time!U$6)-MAX(MAX(Inputs!$F$113,Inputs!$F$111),Time!U$5))/Time!U$7</f>
        <v/>
      </c>
      <c r="V519" s="14">
        <f>MAX(0,MIN(Inputs!$F$112,Time!V$6)-MAX(MAX(Inputs!$F$113,Inputs!$F$111),Time!V$5))/Time!V$7</f>
        <v/>
      </c>
      <c r="W519" s="14">
        <f>MAX(0,MIN(Inputs!$F$112,Time!W$6)-MAX(MAX(Inputs!$F$113,Inputs!$F$111),Time!W$5))/Time!W$7</f>
        <v/>
      </c>
      <c r="X519" s="14">
        <f>MAX(0,MIN(Inputs!$F$112,Time!X$6)-MAX(MAX(Inputs!$F$113,Inputs!$F$111),Time!X$5))/Time!X$7</f>
        <v/>
      </c>
      <c r="Y519" s="14">
        <f>MAX(0,MIN(Inputs!$F$112,Time!Y$6)-MAX(MAX(Inputs!$F$113,Inputs!$F$111),Time!Y$5))/Time!Y$7</f>
        <v/>
      </c>
      <c r="Z519" s="14">
        <f>MAX(0,MIN(Inputs!$F$112,Time!Z$6)-MAX(MAX(Inputs!$F$113,Inputs!$F$111),Time!Z$5))/Time!Z$7</f>
        <v/>
      </c>
      <c r="AA519" s="14">
        <f>MAX(0,MIN(Inputs!$F$112,Time!AA$6)-MAX(MAX(Inputs!$F$113,Inputs!$F$111),Time!AA$5))/Time!AA$7</f>
        <v/>
      </c>
      <c r="AB519" s="14">
        <f>MAX(0,MIN(Inputs!$F$112,Time!AB$6)-MAX(MAX(Inputs!$F$113,Inputs!$F$111),Time!AB$5))/Time!AB$7</f>
        <v/>
      </c>
      <c r="AC519" s="14">
        <f>MAX(0,MIN(Inputs!$F$112,Time!AC$6)-MAX(MAX(Inputs!$F$113,Inputs!$F$111),Time!AC$5))/Time!AC$7</f>
        <v/>
      </c>
      <c r="AD519" s="14">
        <f>MAX(0,MIN(Inputs!$F$112,Time!AD$6)-MAX(MAX(Inputs!$F$113,Inputs!$F$111),Time!AD$5))/Time!AD$7</f>
        <v/>
      </c>
      <c r="AE519" s="14">
        <f>MAX(0,MIN(Inputs!$F$112,Time!AE$6)-MAX(MAX(Inputs!$F$113,Inputs!$F$111),Time!AE$5))/Time!AE$7</f>
        <v/>
      </c>
      <c r="AF519" s="14">
        <f>MAX(0,MIN(Inputs!$F$112,Time!AF$6)-MAX(MAX(Inputs!$F$113,Inputs!$F$111),Time!AF$5))/Time!AF$7</f>
        <v/>
      </c>
      <c r="AG519" s="14">
        <f>MAX(0,MIN(Inputs!$F$112,Time!AG$6)-MAX(MAX(Inputs!$F$113,Inputs!$F$111),Time!AG$5))/Time!AG$7</f>
        <v/>
      </c>
      <c r="AH519" s="14">
        <f>MAX(0,MIN(Inputs!$F$112,Time!AH$6)-MAX(MAX(Inputs!$F$113,Inputs!$F$111),Time!AH$5))/Time!AH$7</f>
        <v/>
      </c>
      <c r="AI519" s="14">
        <f>MAX(0,MIN(Inputs!$F$112,Time!AI$6)-MAX(MAX(Inputs!$F$113,Inputs!$F$111),Time!AI$5))/Time!AI$7</f>
        <v/>
      </c>
      <c r="AJ519" s="14">
        <f>MAX(0,MIN(Inputs!$F$112,Time!AJ$6)-MAX(MAX(Inputs!$F$113,Inputs!$F$111),Time!AJ$5))/Time!AJ$7</f>
        <v/>
      </c>
      <c r="AK519" s="14">
        <f>MAX(0,MIN(Inputs!$F$112,Time!AK$6)-MAX(MAX(Inputs!$F$113,Inputs!$F$111),Time!AK$5))/Time!AK$7</f>
        <v/>
      </c>
      <c r="AL519" s="14">
        <f>MAX(0,MIN(Inputs!$F$112,Time!AL$6)-MAX(MAX(Inputs!$F$113,Inputs!$F$111),Time!AL$5))/Time!AL$7</f>
        <v/>
      </c>
      <c r="AM519" s="14">
        <f>MAX(0,MIN(Inputs!$F$112,Time!AM$6)-MAX(MAX(Inputs!$F$113,Inputs!$F$111),Time!AM$5))/Time!AM$7</f>
        <v/>
      </c>
      <c r="AN519" s="14">
        <f>MAX(0,MIN(Inputs!$F$112,Time!AN$6)-MAX(MAX(Inputs!$F$113,Inputs!$F$111),Time!AN$5))/Time!AN$7</f>
        <v/>
      </c>
      <c r="AO519" s="14">
        <f>MAX(0,MIN(Inputs!$F$112,Time!AO$6)-MAX(MAX(Inputs!$F$113,Inputs!$F$111),Time!AO$5))/Time!AO$7</f>
        <v/>
      </c>
      <c r="AP519" s="14">
        <f>MAX(0,MIN(Inputs!$F$112,Time!AP$6)-MAX(MAX(Inputs!$F$113,Inputs!$F$111),Time!AP$5))/Time!AP$7</f>
        <v/>
      </c>
      <c r="AQ519" s="14">
        <f>MAX(0,MIN(Inputs!$F$112,Time!AQ$6)-MAX(MAX(Inputs!$F$113,Inputs!$F$111),Time!AQ$5))/Time!AQ$7</f>
        <v/>
      </c>
      <c r="AR519" s="14">
        <f>MAX(0,MIN(Inputs!$F$112,Time!AR$6)-MAX(MAX(Inputs!$F$113,Inputs!$F$111),Time!AR$5))/Time!AR$7</f>
        <v/>
      </c>
      <c r="AS519" s="14">
        <f>MAX(0,MIN(Inputs!$F$112,Time!AS$6)-MAX(MAX(Inputs!$F$113,Inputs!$F$111),Time!AS$5))/Time!AS$7</f>
        <v/>
      </c>
      <c r="AT519" s="14">
        <f>MAX(0,MIN(Inputs!$F$112,Time!AT$6)-MAX(MAX(Inputs!$F$113,Inputs!$F$111),Time!AT$5))/Time!AT$7</f>
        <v/>
      </c>
      <c r="AU519" s="14">
        <f>MAX(0,MIN(Inputs!$F$112,Time!AU$6)-MAX(MAX(Inputs!$F$113,Inputs!$F$111),Time!AU$5))/Time!AU$7</f>
        <v/>
      </c>
    </row>
    <row r="520">
      <c r="D520" t="inlineStr">
        <is>
          <t>R3 owned share of operating period</t>
        </is>
      </c>
      <c r="E520" t="inlineStr">
        <is>
          <t>fraction</t>
        </is>
      </c>
      <c r="J520" s="14">
        <f>IF(Operations!J518&gt;0,Operations!J519/Operations!J518,0)</f>
        <v/>
      </c>
      <c r="K520" s="14">
        <f>IF(Operations!K518&gt;0,Operations!K519/Operations!K518,0)</f>
        <v/>
      </c>
      <c r="L520" s="14">
        <f>IF(Operations!L518&gt;0,Operations!L519/Operations!L518,0)</f>
        <v/>
      </c>
      <c r="M520" s="14">
        <f>IF(Operations!M518&gt;0,Operations!M519/Operations!M518,0)</f>
        <v/>
      </c>
      <c r="N520" s="14">
        <f>IF(Operations!N518&gt;0,Operations!N519/Operations!N518,0)</f>
        <v/>
      </c>
      <c r="O520" s="14">
        <f>IF(Operations!O518&gt;0,Operations!O519/Operations!O518,0)</f>
        <v/>
      </c>
      <c r="P520" s="14">
        <f>IF(Operations!P518&gt;0,Operations!P519/Operations!P518,0)</f>
        <v/>
      </c>
      <c r="Q520" s="14">
        <f>IF(Operations!Q518&gt;0,Operations!Q519/Operations!Q518,0)</f>
        <v/>
      </c>
      <c r="R520" s="14">
        <f>IF(Operations!R518&gt;0,Operations!R519/Operations!R518,0)</f>
        <v/>
      </c>
      <c r="S520" s="14">
        <f>IF(Operations!S518&gt;0,Operations!S519/Operations!S518,0)</f>
        <v/>
      </c>
      <c r="T520" s="14">
        <f>IF(Operations!T518&gt;0,Operations!T519/Operations!T518,0)</f>
        <v/>
      </c>
      <c r="U520" s="14">
        <f>IF(Operations!U518&gt;0,Operations!U519/Operations!U518,0)</f>
        <v/>
      </c>
      <c r="V520" s="14">
        <f>IF(Operations!V518&gt;0,Operations!V519/Operations!V518,0)</f>
        <v/>
      </c>
      <c r="W520" s="14">
        <f>IF(Operations!W518&gt;0,Operations!W519/Operations!W518,0)</f>
        <v/>
      </c>
      <c r="X520" s="14">
        <f>IF(Operations!X518&gt;0,Operations!X519/Operations!X518,0)</f>
        <v/>
      </c>
      <c r="Y520" s="14">
        <f>IF(Operations!Y518&gt;0,Operations!Y519/Operations!Y518,0)</f>
        <v/>
      </c>
      <c r="Z520" s="14">
        <f>IF(Operations!Z518&gt;0,Operations!Z519/Operations!Z518,0)</f>
        <v/>
      </c>
      <c r="AA520" s="14">
        <f>IF(Operations!AA518&gt;0,Operations!AA519/Operations!AA518,0)</f>
        <v/>
      </c>
      <c r="AB520" s="14">
        <f>IF(Operations!AB518&gt;0,Operations!AB519/Operations!AB518,0)</f>
        <v/>
      </c>
      <c r="AC520" s="14">
        <f>IF(Operations!AC518&gt;0,Operations!AC519/Operations!AC518,0)</f>
        <v/>
      </c>
      <c r="AD520" s="14">
        <f>IF(Operations!AD518&gt;0,Operations!AD519/Operations!AD518,0)</f>
        <v/>
      </c>
      <c r="AE520" s="14">
        <f>IF(Operations!AE518&gt;0,Operations!AE519/Operations!AE518,0)</f>
        <v/>
      </c>
      <c r="AF520" s="14">
        <f>IF(Operations!AF518&gt;0,Operations!AF519/Operations!AF518,0)</f>
        <v/>
      </c>
      <c r="AG520" s="14">
        <f>IF(Operations!AG518&gt;0,Operations!AG519/Operations!AG518,0)</f>
        <v/>
      </c>
      <c r="AH520" s="14">
        <f>IF(Operations!AH518&gt;0,Operations!AH519/Operations!AH518,0)</f>
        <v/>
      </c>
      <c r="AI520" s="14">
        <f>IF(Operations!AI518&gt;0,Operations!AI519/Operations!AI518,0)</f>
        <v/>
      </c>
      <c r="AJ520" s="14">
        <f>IF(Operations!AJ518&gt;0,Operations!AJ519/Operations!AJ518,0)</f>
        <v/>
      </c>
      <c r="AK520" s="14">
        <f>IF(Operations!AK518&gt;0,Operations!AK519/Operations!AK518,0)</f>
        <v/>
      </c>
      <c r="AL520" s="14">
        <f>IF(Operations!AL518&gt;0,Operations!AL519/Operations!AL518,0)</f>
        <v/>
      </c>
      <c r="AM520" s="14">
        <f>IF(Operations!AM518&gt;0,Operations!AM519/Operations!AM518,0)</f>
        <v/>
      </c>
      <c r="AN520" s="14">
        <f>IF(Operations!AN518&gt;0,Operations!AN519/Operations!AN518,0)</f>
        <v/>
      </c>
      <c r="AO520" s="14">
        <f>IF(Operations!AO518&gt;0,Operations!AO519/Operations!AO518,0)</f>
        <v/>
      </c>
      <c r="AP520" s="14">
        <f>IF(Operations!AP518&gt;0,Operations!AP519/Operations!AP518,0)</f>
        <v/>
      </c>
      <c r="AQ520" s="14">
        <f>IF(Operations!AQ518&gt;0,Operations!AQ519/Operations!AQ518,0)</f>
        <v/>
      </c>
      <c r="AR520" s="14">
        <f>IF(Operations!AR518&gt;0,Operations!AR519/Operations!AR518,0)</f>
        <v/>
      </c>
      <c r="AS520" s="14">
        <f>IF(Operations!AS518&gt;0,Operations!AS519/Operations!AS518,0)</f>
        <v/>
      </c>
      <c r="AT520" s="14">
        <f>IF(Operations!AT518&gt;0,Operations!AT519/Operations!AT518,0)</f>
        <v/>
      </c>
      <c r="AU520" s="14">
        <f>IF(Operations!AU518&gt;0,Operations!AU519/Operations!AU518,0)</f>
        <v/>
      </c>
    </row>
    <row r="521">
      <c r="D521" t="inlineStr">
        <is>
          <t>R3 own hub ATC</t>
        </is>
      </c>
      <c r="E521" t="inlineStr">
        <is>
          <t>USD/MWh</t>
        </is>
      </c>
      <c r="J521" s="18">
        <f>Operations!J424</f>
        <v/>
      </c>
      <c r="K521" s="18">
        <f>Operations!K424</f>
        <v/>
      </c>
      <c r="L521" s="18">
        <f>Operations!L424</f>
        <v/>
      </c>
      <c r="M521" s="18">
        <f>Operations!M424</f>
        <v/>
      </c>
      <c r="N521" s="18">
        <f>Operations!N424</f>
        <v/>
      </c>
      <c r="O521" s="18">
        <f>Operations!O424</f>
        <v/>
      </c>
      <c r="P521" s="18">
        <f>Operations!P424</f>
        <v/>
      </c>
      <c r="Q521" s="18">
        <f>Operations!Q424</f>
        <v/>
      </c>
      <c r="R521" s="18">
        <f>Operations!R424</f>
        <v/>
      </c>
      <c r="S521" s="18">
        <f>Operations!S424</f>
        <v/>
      </c>
      <c r="T521" s="18">
        <f>Operations!T424</f>
        <v/>
      </c>
      <c r="U521" s="18">
        <f>Operations!U424</f>
        <v/>
      </c>
      <c r="V521" s="18">
        <f>Operations!V424</f>
        <v/>
      </c>
      <c r="W521" s="18">
        <f>Operations!W424</f>
        <v/>
      </c>
      <c r="X521" s="18">
        <f>Operations!X424</f>
        <v/>
      </c>
      <c r="Y521" s="18">
        <f>Operations!Y424</f>
        <v/>
      </c>
      <c r="Z521" s="18">
        <f>Operations!Z424</f>
        <v/>
      </c>
      <c r="AA521" s="18">
        <f>Operations!AA424</f>
        <v/>
      </c>
      <c r="AB521" s="18">
        <f>Operations!AB424</f>
        <v/>
      </c>
      <c r="AC521" s="18">
        <f>Operations!AC424</f>
        <v/>
      </c>
      <c r="AD521" s="18">
        <f>Operations!AD424</f>
        <v/>
      </c>
      <c r="AE521" s="18">
        <f>Operations!AE424</f>
        <v/>
      </c>
      <c r="AF521" s="18">
        <f>Operations!AF424</f>
        <v/>
      </c>
      <c r="AG521" s="18">
        <f>Operations!AG424</f>
        <v/>
      </c>
      <c r="AH521" s="18">
        <f>Operations!AH424</f>
        <v/>
      </c>
      <c r="AI521" s="18">
        <f>Operations!AI424</f>
        <v/>
      </c>
      <c r="AJ521" s="18">
        <f>Operations!AJ424</f>
        <v/>
      </c>
      <c r="AK521" s="18">
        <f>Operations!AK424</f>
        <v/>
      </c>
      <c r="AL521" s="18">
        <f>Operations!AL424</f>
        <v/>
      </c>
      <c r="AM521" s="18">
        <f>Operations!AM424</f>
        <v/>
      </c>
      <c r="AN521" s="18">
        <f>Operations!AN424</f>
        <v/>
      </c>
      <c r="AO521" s="18">
        <f>Operations!AO424</f>
        <v/>
      </c>
      <c r="AP521" s="18">
        <f>Operations!AP424</f>
        <v/>
      </c>
      <c r="AQ521" s="18">
        <f>Operations!AQ424</f>
        <v/>
      </c>
      <c r="AR521" s="18">
        <f>Operations!AR424</f>
        <v/>
      </c>
      <c r="AS521" s="18">
        <f>Operations!AS424</f>
        <v/>
      </c>
      <c r="AT521" s="18">
        <f>Operations!AT424</f>
        <v/>
      </c>
      <c r="AU521" s="18">
        <f>Operations!AU424</f>
        <v/>
      </c>
    </row>
    <row r="522">
      <c r="D522" t="inlineStr">
        <is>
          <t>R3 volume factor</t>
        </is>
      </c>
      <c r="E522" t="inlineStr">
        <is>
          <t>factor</t>
        </is>
      </c>
      <c r="J522" s="14">
        <f>CHOOSE(Operations!$F$418,1,Inputs!$F$117/100,Inputs!$F$118/100,Operations!$F$24/100)</f>
        <v/>
      </c>
      <c r="K522" s="14">
        <f>CHOOSE(Operations!$F$418,1,Inputs!$F$117/100,Inputs!$F$118/100,Operations!$F$24/100)</f>
        <v/>
      </c>
      <c r="L522" s="14">
        <f>CHOOSE(Operations!$F$418,1,Inputs!$F$117/100,Inputs!$F$118/100,Operations!$F$24/100)</f>
        <v/>
      </c>
      <c r="M522" s="14">
        <f>CHOOSE(Operations!$F$418,1,Inputs!$F$117/100,Inputs!$F$118/100,Operations!$F$24/100)</f>
        <v/>
      </c>
      <c r="N522" s="14">
        <f>CHOOSE(Operations!$F$418,1,Inputs!$F$117/100,Inputs!$F$118/100,Operations!$F$24/100)</f>
        <v/>
      </c>
      <c r="O522" s="14">
        <f>CHOOSE(Operations!$F$418,1,Inputs!$F$117/100,Inputs!$F$118/100,Operations!$F$24/100)</f>
        <v/>
      </c>
      <c r="P522" s="14">
        <f>CHOOSE(Operations!$F$418,1,Inputs!$F$117/100,Inputs!$F$118/100,Operations!$F$24/100)</f>
        <v/>
      </c>
      <c r="Q522" s="14">
        <f>CHOOSE(Operations!$F$418,1,Inputs!$F$117/100,Inputs!$F$118/100,Operations!$F$24/100)</f>
        <v/>
      </c>
      <c r="R522" s="14">
        <f>CHOOSE(Operations!$F$418,1,Inputs!$F$117/100,Inputs!$F$118/100,Operations!$F$24/100)</f>
        <v/>
      </c>
      <c r="S522" s="14">
        <f>CHOOSE(Operations!$F$418,1,Inputs!$F$117/100,Inputs!$F$118/100,Operations!$F$24/100)</f>
        <v/>
      </c>
      <c r="T522" s="14">
        <f>CHOOSE(Operations!$F$418,1,Inputs!$F$117/100,Inputs!$F$118/100,Operations!$F$24/100)</f>
        <v/>
      </c>
      <c r="U522" s="14">
        <f>CHOOSE(Operations!$F$418,1,Inputs!$F$117/100,Inputs!$F$118/100,Operations!$F$24/100)</f>
        <v/>
      </c>
      <c r="V522" s="14">
        <f>CHOOSE(Operations!$F$418,1,Inputs!$F$117/100,Inputs!$F$118/100,Operations!$F$24/100)</f>
        <v/>
      </c>
      <c r="W522" s="14">
        <f>CHOOSE(Operations!$F$418,1,Inputs!$F$117/100,Inputs!$F$118/100,Operations!$F$24/100)</f>
        <v/>
      </c>
      <c r="X522" s="14">
        <f>CHOOSE(Operations!$F$418,1,Inputs!$F$117/100,Inputs!$F$118/100,Operations!$F$24/100)</f>
        <v/>
      </c>
      <c r="Y522" s="14">
        <f>CHOOSE(Operations!$F$418,1,Inputs!$F$117/100,Inputs!$F$118/100,Operations!$F$24/100)</f>
        <v/>
      </c>
      <c r="Z522" s="14">
        <f>CHOOSE(Operations!$F$418,1,Inputs!$F$117/100,Inputs!$F$118/100,Operations!$F$24/100)</f>
        <v/>
      </c>
      <c r="AA522" s="14">
        <f>CHOOSE(Operations!$F$418,1,Inputs!$F$117/100,Inputs!$F$118/100,Operations!$F$24/100)</f>
        <v/>
      </c>
      <c r="AB522" s="14">
        <f>CHOOSE(Operations!$F$418,1,Inputs!$F$117/100,Inputs!$F$118/100,Operations!$F$24/100)</f>
        <v/>
      </c>
      <c r="AC522" s="14">
        <f>CHOOSE(Operations!$F$418,1,Inputs!$F$117/100,Inputs!$F$118/100,Operations!$F$24/100)</f>
        <v/>
      </c>
      <c r="AD522" s="14">
        <f>CHOOSE(Operations!$F$418,1,Inputs!$F$117/100,Inputs!$F$118/100,Operations!$F$24/100)</f>
        <v/>
      </c>
      <c r="AE522" s="14">
        <f>CHOOSE(Operations!$F$418,1,Inputs!$F$117/100,Inputs!$F$118/100,Operations!$F$24/100)</f>
        <v/>
      </c>
      <c r="AF522" s="14">
        <f>CHOOSE(Operations!$F$418,1,Inputs!$F$117/100,Inputs!$F$118/100,Operations!$F$24/100)</f>
        <v/>
      </c>
      <c r="AG522" s="14">
        <f>CHOOSE(Operations!$F$418,1,Inputs!$F$117/100,Inputs!$F$118/100,Operations!$F$24/100)</f>
        <v/>
      </c>
      <c r="AH522" s="14">
        <f>CHOOSE(Operations!$F$418,1,Inputs!$F$117/100,Inputs!$F$118/100,Operations!$F$24/100)</f>
        <v/>
      </c>
      <c r="AI522" s="14">
        <f>CHOOSE(Operations!$F$418,1,Inputs!$F$117/100,Inputs!$F$118/100,Operations!$F$24/100)</f>
        <v/>
      </c>
      <c r="AJ522" s="14">
        <f>CHOOSE(Operations!$F$418,1,Inputs!$F$117/100,Inputs!$F$118/100,Operations!$F$24/100)</f>
        <v/>
      </c>
      <c r="AK522" s="14">
        <f>CHOOSE(Operations!$F$418,1,Inputs!$F$117/100,Inputs!$F$118/100,Operations!$F$24/100)</f>
        <v/>
      </c>
      <c r="AL522" s="14">
        <f>CHOOSE(Operations!$F$418,1,Inputs!$F$117/100,Inputs!$F$118/100,Operations!$F$24/100)</f>
        <v/>
      </c>
      <c r="AM522" s="14">
        <f>CHOOSE(Operations!$F$418,1,Inputs!$F$117/100,Inputs!$F$118/100,Operations!$F$24/100)</f>
        <v/>
      </c>
      <c r="AN522" s="14">
        <f>CHOOSE(Operations!$F$418,1,Inputs!$F$117/100,Inputs!$F$118/100,Operations!$F$24/100)</f>
        <v/>
      </c>
      <c r="AO522" s="14">
        <f>CHOOSE(Operations!$F$418,1,Inputs!$F$117/100,Inputs!$F$118/100,Operations!$F$24/100)</f>
        <v/>
      </c>
      <c r="AP522" s="14">
        <f>CHOOSE(Operations!$F$418,1,Inputs!$F$117/100,Inputs!$F$118/100,Operations!$F$24/100)</f>
        <v/>
      </c>
      <c r="AQ522" s="14">
        <f>CHOOSE(Operations!$F$418,1,Inputs!$F$117/100,Inputs!$F$118/100,Operations!$F$24/100)</f>
        <v/>
      </c>
      <c r="AR522" s="14">
        <f>CHOOSE(Operations!$F$418,1,Inputs!$F$117/100,Inputs!$F$118/100,Operations!$F$24/100)</f>
        <v/>
      </c>
      <c r="AS522" s="14">
        <f>CHOOSE(Operations!$F$418,1,Inputs!$F$117/100,Inputs!$F$118/100,Operations!$F$24/100)</f>
        <v/>
      </c>
      <c r="AT522" s="14">
        <f>CHOOSE(Operations!$F$418,1,Inputs!$F$117/100,Inputs!$F$118/100,Operations!$F$24/100)</f>
        <v/>
      </c>
      <c r="AU522" s="14">
        <f>CHOOSE(Operations!$F$418,1,Inputs!$F$117/100,Inputs!$F$118/100,Operations!$F$24/100)</f>
        <v/>
      </c>
    </row>
    <row r="523">
      <c r="D523" t="inlineStr">
        <is>
          <t>R3 degradation factor</t>
        </is>
      </c>
      <c r="E523" t="inlineStr">
        <is>
          <t>factor</t>
        </is>
      </c>
      <c r="J523" s="14">
        <f>(1-Inputs!$F$119/100)^MAX(0,Time!J$4-Inputs!$F$120)</f>
        <v/>
      </c>
      <c r="K523" s="14">
        <f>(1-Inputs!$F$119/100)^MAX(0,Time!K$4-Inputs!$F$120)</f>
        <v/>
      </c>
      <c r="L523" s="14">
        <f>(1-Inputs!$F$119/100)^MAX(0,Time!L$4-Inputs!$F$120)</f>
        <v/>
      </c>
      <c r="M523" s="14">
        <f>(1-Inputs!$F$119/100)^MAX(0,Time!M$4-Inputs!$F$120)</f>
        <v/>
      </c>
      <c r="N523" s="14">
        <f>(1-Inputs!$F$119/100)^MAX(0,Time!N$4-Inputs!$F$120)</f>
        <v/>
      </c>
      <c r="O523" s="14">
        <f>(1-Inputs!$F$119/100)^MAX(0,Time!O$4-Inputs!$F$120)</f>
        <v/>
      </c>
      <c r="P523" s="14">
        <f>(1-Inputs!$F$119/100)^MAX(0,Time!P$4-Inputs!$F$120)</f>
        <v/>
      </c>
      <c r="Q523" s="14">
        <f>(1-Inputs!$F$119/100)^MAX(0,Time!Q$4-Inputs!$F$120)</f>
        <v/>
      </c>
      <c r="R523" s="14">
        <f>(1-Inputs!$F$119/100)^MAX(0,Time!R$4-Inputs!$F$120)</f>
        <v/>
      </c>
      <c r="S523" s="14">
        <f>(1-Inputs!$F$119/100)^MAX(0,Time!S$4-Inputs!$F$120)</f>
        <v/>
      </c>
      <c r="T523" s="14">
        <f>(1-Inputs!$F$119/100)^MAX(0,Time!T$4-Inputs!$F$120)</f>
        <v/>
      </c>
      <c r="U523" s="14">
        <f>(1-Inputs!$F$119/100)^MAX(0,Time!U$4-Inputs!$F$120)</f>
        <v/>
      </c>
      <c r="V523" s="14">
        <f>(1-Inputs!$F$119/100)^MAX(0,Time!V$4-Inputs!$F$120)</f>
        <v/>
      </c>
      <c r="W523" s="14">
        <f>(1-Inputs!$F$119/100)^MAX(0,Time!W$4-Inputs!$F$120)</f>
        <v/>
      </c>
      <c r="X523" s="14">
        <f>(1-Inputs!$F$119/100)^MAX(0,Time!X$4-Inputs!$F$120)</f>
        <v/>
      </c>
      <c r="Y523" s="14">
        <f>(1-Inputs!$F$119/100)^MAX(0,Time!Y$4-Inputs!$F$120)</f>
        <v/>
      </c>
      <c r="Z523" s="14">
        <f>(1-Inputs!$F$119/100)^MAX(0,Time!Z$4-Inputs!$F$120)</f>
        <v/>
      </c>
      <c r="AA523" s="14">
        <f>(1-Inputs!$F$119/100)^MAX(0,Time!AA$4-Inputs!$F$120)</f>
        <v/>
      </c>
      <c r="AB523" s="14">
        <f>(1-Inputs!$F$119/100)^MAX(0,Time!AB$4-Inputs!$F$120)</f>
        <v/>
      </c>
      <c r="AC523" s="14">
        <f>(1-Inputs!$F$119/100)^MAX(0,Time!AC$4-Inputs!$F$120)</f>
        <v/>
      </c>
      <c r="AD523" s="14">
        <f>(1-Inputs!$F$119/100)^MAX(0,Time!AD$4-Inputs!$F$120)</f>
        <v/>
      </c>
      <c r="AE523" s="14">
        <f>(1-Inputs!$F$119/100)^MAX(0,Time!AE$4-Inputs!$F$120)</f>
        <v/>
      </c>
      <c r="AF523" s="14">
        <f>(1-Inputs!$F$119/100)^MAX(0,Time!AF$4-Inputs!$F$120)</f>
        <v/>
      </c>
      <c r="AG523" s="14">
        <f>(1-Inputs!$F$119/100)^MAX(0,Time!AG$4-Inputs!$F$120)</f>
        <v/>
      </c>
      <c r="AH523" s="14">
        <f>(1-Inputs!$F$119/100)^MAX(0,Time!AH$4-Inputs!$F$120)</f>
        <v/>
      </c>
      <c r="AI523" s="14">
        <f>(1-Inputs!$F$119/100)^MAX(0,Time!AI$4-Inputs!$F$120)</f>
        <v/>
      </c>
      <c r="AJ523" s="14">
        <f>(1-Inputs!$F$119/100)^MAX(0,Time!AJ$4-Inputs!$F$120)</f>
        <v/>
      </c>
      <c r="AK523" s="14">
        <f>(1-Inputs!$F$119/100)^MAX(0,Time!AK$4-Inputs!$F$120)</f>
        <v/>
      </c>
      <c r="AL523" s="14">
        <f>(1-Inputs!$F$119/100)^MAX(0,Time!AL$4-Inputs!$F$120)</f>
        <v/>
      </c>
      <c r="AM523" s="14">
        <f>(1-Inputs!$F$119/100)^MAX(0,Time!AM$4-Inputs!$F$120)</f>
        <v/>
      </c>
      <c r="AN523" s="14">
        <f>(1-Inputs!$F$119/100)^MAX(0,Time!AN$4-Inputs!$F$120)</f>
        <v/>
      </c>
      <c r="AO523" s="14">
        <f>(1-Inputs!$F$119/100)^MAX(0,Time!AO$4-Inputs!$F$120)</f>
        <v/>
      </c>
      <c r="AP523" s="14">
        <f>(1-Inputs!$F$119/100)^MAX(0,Time!AP$4-Inputs!$F$120)</f>
        <v/>
      </c>
      <c r="AQ523" s="14">
        <f>(1-Inputs!$F$119/100)^MAX(0,Time!AQ$4-Inputs!$F$120)</f>
        <v/>
      </c>
      <c r="AR523" s="14">
        <f>(1-Inputs!$F$119/100)^MAX(0,Time!AR$4-Inputs!$F$120)</f>
        <v/>
      </c>
      <c r="AS523" s="14">
        <f>(1-Inputs!$F$119/100)^MAX(0,Time!AS$4-Inputs!$F$120)</f>
        <v/>
      </c>
      <c r="AT523" s="14">
        <f>(1-Inputs!$F$119/100)^MAX(0,Time!AT$4-Inputs!$F$120)</f>
        <v/>
      </c>
      <c r="AU523" s="14">
        <f>(1-Inputs!$F$119/100)^MAX(0,Time!AU$4-Inputs!$F$120)</f>
        <v/>
      </c>
    </row>
    <row r="524">
      <c r="D524" t="inlineStr">
        <is>
          <t>R3 curtailment</t>
        </is>
      </c>
      <c r="E524" t="inlineStr">
        <is>
          <t>fraction</t>
        </is>
      </c>
      <c r="J524" s="14">
        <f>(IF(Time!J$4&gt;=Inputs!$F$61,Inputs!$F$65,Inputs!$F$64+(Inputs!$F$65-Inputs!$F$64)*(Time!J$4-Inputs!$F$23)/(Inputs!$F$61-Inputs!$F$23))+Operations!$F$420)/100</f>
        <v/>
      </c>
      <c r="K524" s="14">
        <f>(IF(Time!K$4&gt;=Inputs!$F$61,Inputs!$F$65,Inputs!$F$64+(Inputs!$F$65-Inputs!$F$64)*(Time!K$4-Inputs!$F$23)/(Inputs!$F$61-Inputs!$F$23))+Operations!$F$420)/100</f>
        <v/>
      </c>
      <c r="L524" s="14">
        <f>(IF(Time!L$4&gt;=Inputs!$F$61,Inputs!$F$65,Inputs!$F$64+(Inputs!$F$65-Inputs!$F$64)*(Time!L$4-Inputs!$F$23)/(Inputs!$F$61-Inputs!$F$23))+Operations!$F$420)/100</f>
        <v/>
      </c>
      <c r="M524" s="14">
        <f>(IF(Time!M$4&gt;=Inputs!$F$61,Inputs!$F$65,Inputs!$F$64+(Inputs!$F$65-Inputs!$F$64)*(Time!M$4-Inputs!$F$23)/(Inputs!$F$61-Inputs!$F$23))+Operations!$F$420)/100</f>
        <v/>
      </c>
      <c r="N524" s="14">
        <f>(IF(Time!N$4&gt;=Inputs!$F$61,Inputs!$F$65,Inputs!$F$64+(Inputs!$F$65-Inputs!$F$64)*(Time!N$4-Inputs!$F$23)/(Inputs!$F$61-Inputs!$F$23))+Operations!$F$420)/100</f>
        <v/>
      </c>
      <c r="O524" s="14">
        <f>(IF(Time!O$4&gt;=Inputs!$F$61,Inputs!$F$65,Inputs!$F$64+(Inputs!$F$65-Inputs!$F$64)*(Time!O$4-Inputs!$F$23)/(Inputs!$F$61-Inputs!$F$23))+Operations!$F$420)/100</f>
        <v/>
      </c>
      <c r="P524" s="14">
        <f>(IF(Time!P$4&gt;=Inputs!$F$61,Inputs!$F$65,Inputs!$F$64+(Inputs!$F$65-Inputs!$F$64)*(Time!P$4-Inputs!$F$23)/(Inputs!$F$61-Inputs!$F$23))+Operations!$F$420)/100</f>
        <v/>
      </c>
      <c r="Q524" s="14">
        <f>(IF(Time!Q$4&gt;=Inputs!$F$61,Inputs!$F$65,Inputs!$F$64+(Inputs!$F$65-Inputs!$F$64)*(Time!Q$4-Inputs!$F$23)/(Inputs!$F$61-Inputs!$F$23))+Operations!$F$420)/100</f>
        <v/>
      </c>
      <c r="R524" s="14">
        <f>(IF(Time!R$4&gt;=Inputs!$F$61,Inputs!$F$65,Inputs!$F$64+(Inputs!$F$65-Inputs!$F$64)*(Time!R$4-Inputs!$F$23)/(Inputs!$F$61-Inputs!$F$23))+Operations!$F$420)/100</f>
        <v/>
      </c>
      <c r="S524" s="14">
        <f>(IF(Time!S$4&gt;=Inputs!$F$61,Inputs!$F$65,Inputs!$F$64+(Inputs!$F$65-Inputs!$F$64)*(Time!S$4-Inputs!$F$23)/(Inputs!$F$61-Inputs!$F$23))+Operations!$F$420)/100</f>
        <v/>
      </c>
      <c r="T524" s="14">
        <f>(IF(Time!T$4&gt;=Inputs!$F$61,Inputs!$F$65,Inputs!$F$64+(Inputs!$F$65-Inputs!$F$64)*(Time!T$4-Inputs!$F$23)/(Inputs!$F$61-Inputs!$F$23))+Operations!$F$420)/100</f>
        <v/>
      </c>
      <c r="U524" s="14">
        <f>(IF(Time!U$4&gt;=Inputs!$F$61,Inputs!$F$65,Inputs!$F$64+(Inputs!$F$65-Inputs!$F$64)*(Time!U$4-Inputs!$F$23)/(Inputs!$F$61-Inputs!$F$23))+Operations!$F$420)/100</f>
        <v/>
      </c>
      <c r="V524" s="14">
        <f>(IF(Time!V$4&gt;=Inputs!$F$61,Inputs!$F$65,Inputs!$F$64+(Inputs!$F$65-Inputs!$F$64)*(Time!V$4-Inputs!$F$23)/(Inputs!$F$61-Inputs!$F$23))+Operations!$F$420)/100</f>
        <v/>
      </c>
      <c r="W524" s="14">
        <f>(IF(Time!W$4&gt;=Inputs!$F$61,Inputs!$F$65,Inputs!$F$64+(Inputs!$F$65-Inputs!$F$64)*(Time!W$4-Inputs!$F$23)/(Inputs!$F$61-Inputs!$F$23))+Operations!$F$420)/100</f>
        <v/>
      </c>
      <c r="X524" s="14">
        <f>(IF(Time!X$4&gt;=Inputs!$F$61,Inputs!$F$65,Inputs!$F$64+(Inputs!$F$65-Inputs!$F$64)*(Time!X$4-Inputs!$F$23)/(Inputs!$F$61-Inputs!$F$23))+Operations!$F$420)/100</f>
        <v/>
      </c>
      <c r="Y524" s="14">
        <f>(IF(Time!Y$4&gt;=Inputs!$F$61,Inputs!$F$65,Inputs!$F$64+(Inputs!$F$65-Inputs!$F$64)*(Time!Y$4-Inputs!$F$23)/(Inputs!$F$61-Inputs!$F$23))+Operations!$F$420)/100</f>
        <v/>
      </c>
      <c r="Z524" s="14">
        <f>(IF(Time!Z$4&gt;=Inputs!$F$61,Inputs!$F$65,Inputs!$F$64+(Inputs!$F$65-Inputs!$F$64)*(Time!Z$4-Inputs!$F$23)/(Inputs!$F$61-Inputs!$F$23))+Operations!$F$420)/100</f>
        <v/>
      </c>
      <c r="AA524" s="14">
        <f>(IF(Time!AA$4&gt;=Inputs!$F$61,Inputs!$F$65,Inputs!$F$64+(Inputs!$F$65-Inputs!$F$64)*(Time!AA$4-Inputs!$F$23)/(Inputs!$F$61-Inputs!$F$23))+Operations!$F$420)/100</f>
        <v/>
      </c>
      <c r="AB524" s="14">
        <f>(IF(Time!AB$4&gt;=Inputs!$F$61,Inputs!$F$65,Inputs!$F$64+(Inputs!$F$65-Inputs!$F$64)*(Time!AB$4-Inputs!$F$23)/(Inputs!$F$61-Inputs!$F$23))+Operations!$F$420)/100</f>
        <v/>
      </c>
      <c r="AC524" s="14">
        <f>(IF(Time!AC$4&gt;=Inputs!$F$61,Inputs!$F$65,Inputs!$F$64+(Inputs!$F$65-Inputs!$F$64)*(Time!AC$4-Inputs!$F$23)/(Inputs!$F$61-Inputs!$F$23))+Operations!$F$420)/100</f>
        <v/>
      </c>
      <c r="AD524" s="14">
        <f>(IF(Time!AD$4&gt;=Inputs!$F$61,Inputs!$F$65,Inputs!$F$64+(Inputs!$F$65-Inputs!$F$64)*(Time!AD$4-Inputs!$F$23)/(Inputs!$F$61-Inputs!$F$23))+Operations!$F$420)/100</f>
        <v/>
      </c>
      <c r="AE524" s="14">
        <f>(IF(Time!AE$4&gt;=Inputs!$F$61,Inputs!$F$65,Inputs!$F$64+(Inputs!$F$65-Inputs!$F$64)*(Time!AE$4-Inputs!$F$23)/(Inputs!$F$61-Inputs!$F$23))+Operations!$F$420)/100</f>
        <v/>
      </c>
      <c r="AF524" s="14">
        <f>(IF(Time!AF$4&gt;=Inputs!$F$61,Inputs!$F$65,Inputs!$F$64+(Inputs!$F$65-Inputs!$F$64)*(Time!AF$4-Inputs!$F$23)/(Inputs!$F$61-Inputs!$F$23))+Operations!$F$420)/100</f>
        <v/>
      </c>
      <c r="AG524" s="14">
        <f>(IF(Time!AG$4&gt;=Inputs!$F$61,Inputs!$F$65,Inputs!$F$64+(Inputs!$F$65-Inputs!$F$64)*(Time!AG$4-Inputs!$F$23)/(Inputs!$F$61-Inputs!$F$23))+Operations!$F$420)/100</f>
        <v/>
      </c>
      <c r="AH524" s="14">
        <f>(IF(Time!AH$4&gt;=Inputs!$F$61,Inputs!$F$65,Inputs!$F$64+(Inputs!$F$65-Inputs!$F$64)*(Time!AH$4-Inputs!$F$23)/(Inputs!$F$61-Inputs!$F$23))+Operations!$F$420)/100</f>
        <v/>
      </c>
      <c r="AI524" s="14">
        <f>(IF(Time!AI$4&gt;=Inputs!$F$61,Inputs!$F$65,Inputs!$F$64+(Inputs!$F$65-Inputs!$F$64)*(Time!AI$4-Inputs!$F$23)/(Inputs!$F$61-Inputs!$F$23))+Operations!$F$420)/100</f>
        <v/>
      </c>
      <c r="AJ524" s="14">
        <f>(IF(Time!AJ$4&gt;=Inputs!$F$61,Inputs!$F$65,Inputs!$F$64+(Inputs!$F$65-Inputs!$F$64)*(Time!AJ$4-Inputs!$F$23)/(Inputs!$F$61-Inputs!$F$23))+Operations!$F$420)/100</f>
        <v/>
      </c>
      <c r="AK524" s="14">
        <f>(IF(Time!AK$4&gt;=Inputs!$F$61,Inputs!$F$65,Inputs!$F$64+(Inputs!$F$65-Inputs!$F$64)*(Time!AK$4-Inputs!$F$23)/(Inputs!$F$61-Inputs!$F$23))+Operations!$F$420)/100</f>
        <v/>
      </c>
      <c r="AL524" s="14">
        <f>(IF(Time!AL$4&gt;=Inputs!$F$61,Inputs!$F$65,Inputs!$F$64+(Inputs!$F$65-Inputs!$F$64)*(Time!AL$4-Inputs!$F$23)/(Inputs!$F$61-Inputs!$F$23))+Operations!$F$420)/100</f>
        <v/>
      </c>
      <c r="AM524" s="14">
        <f>(IF(Time!AM$4&gt;=Inputs!$F$61,Inputs!$F$65,Inputs!$F$64+(Inputs!$F$65-Inputs!$F$64)*(Time!AM$4-Inputs!$F$23)/(Inputs!$F$61-Inputs!$F$23))+Operations!$F$420)/100</f>
        <v/>
      </c>
      <c r="AN524" s="14">
        <f>(IF(Time!AN$4&gt;=Inputs!$F$61,Inputs!$F$65,Inputs!$F$64+(Inputs!$F$65-Inputs!$F$64)*(Time!AN$4-Inputs!$F$23)/(Inputs!$F$61-Inputs!$F$23))+Operations!$F$420)/100</f>
        <v/>
      </c>
      <c r="AO524" s="14">
        <f>(IF(Time!AO$4&gt;=Inputs!$F$61,Inputs!$F$65,Inputs!$F$64+(Inputs!$F$65-Inputs!$F$64)*(Time!AO$4-Inputs!$F$23)/(Inputs!$F$61-Inputs!$F$23))+Operations!$F$420)/100</f>
        <v/>
      </c>
      <c r="AP524" s="14">
        <f>(IF(Time!AP$4&gt;=Inputs!$F$61,Inputs!$F$65,Inputs!$F$64+(Inputs!$F$65-Inputs!$F$64)*(Time!AP$4-Inputs!$F$23)/(Inputs!$F$61-Inputs!$F$23))+Operations!$F$420)/100</f>
        <v/>
      </c>
      <c r="AQ524" s="14">
        <f>(IF(Time!AQ$4&gt;=Inputs!$F$61,Inputs!$F$65,Inputs!$F$64+(Inputs!$F$65-Inputs!$F$64)*(Time!AQ$4-Inputs!$F$23)/(Inputs!$F$61-Inputs!$F$23))+Operations!$F$420)/100</f>
        <v/>
      </c>
      <c r="AR524" s="14">
        <f>(IF(Time!AR$4&gt;=Inputs!$F$61,Inputs!$F$65,Inputs!$F$64+(Inputs!$F$65-Inputs!$F$64)*(Time!AR$4-Inputs!$F$23)/(Inputs!$F$61-Inputs!$F$23))+Operations!$F$420)/100</f>
        <v/>
      </c>
      <c r="AS524" s="14">
        <f>(IF(Time!AS$4&gt;=Inputs!$F$61,Inputs!$F$65,Inputs!$F$64+(Inputs!$F$65-Inputs!$F$64)*(Time!AS$4-Inputs!$F$23)/(Inputs!$F$61-Inputs!$F$23))+Operations!$F$420)/100</f>
        <v/>
      </c>
      <c r="AT524" s="14">
        <f>(IF(Time!AT$4&gt;=Inputs!$F$61,Inputs!$F$65,Inputs!$F$64+(Inputs!$F$65-Inputs!$F$64)*(Time!AT$4-Inputs!$F$23)/(Inputs!$F$61-Inputs!$F$23))+Operations!$F$420)/100</f>
        <v/>
      </c>
      <c r="AU524" s="14">
        <f>(IF(Time!AU$4&gt;=Inputs!$F$61,Inputs!$F$65,Inputs!$F$64+(Inputs!$F$65-Inputs!$F$64)*(Time!AU$4-Inputs!$F$23)/(Inputs!$F$61-Inputs!$F$23))+Operations!$F$420)/100</f>
        <v/>
      </c>
    </row>
    <row r="525">
      <c r="D525" t="inlineStr">
        <is>
          <t>R3 net generation, full year</t>
        </is>
      </c>
      <c r="E525" t="inlineStr">
        <is>
          <t>GWh</t>
        </is>
      </c>
      <c r="J525" s="20">
        <f>Inputs!$F$116*Operations!J522*Inputs!$F$185/100*Operations!J523*(1-Operations!J524)</f>
        <v/>
      </c>
      <c r="K525" s="20">
        <f>Inputs!$F$116*Operations!K522*Inputs!$F$185/100*Operations!K523*(1-Operations!K524)</f>
        <v/>
      </c>
      <c r="L525" s="20">
        <f>Inputs!$F$116*Operations!L522*Inputs!$F$185/100*Operations!L523*(1-Operations!L524)</f>
        <v/>
      </c>
      <c r="M525" s="20">
        <f>Inputs!$F$116*Operations!M522*Inputs!$F$185/100*Operations!M523*(1-Operations!M524)</f>
        <v/>
      </c>
      <c r="N525" s="20">
        <f>Inputs!$F$116*Operations!N522*Inputs!$F$185/100*Operations!N523*(1-Operations!N524)</f>
        <v/>
      </c>
      <c r="O525" s="20">
        <f>Inputs!$F$116*Operations!O522*Inputs!$F$185/100*Operations!O523*(1-Operations!O524)</f>
        <v/>
      </c>
      <c r="P525" s="20">
        <f>Inputs!$F$116*Operations!P522*Inputs!$F$185/100*Operations!P523*(1-Operations!P524)</f>
        <v/>
      </c>
      <c r="Q525" s="20">
        <f>Inputs!$F$116*Operations!Q522*Inputs!$F$185/100*Operations!Q523*(1-Operations!Q524)</f>
        <v/>
      </c>
      <c r="R525" s="20">
        <f>Inputs!$F$116*Operations!R522*Inputs!$F$185/100*Operations!R523*(1-Operations!R524)</f>
        <v/>
      </c>
      <c r="S525" s="20">
        <f>Inputs!$F$116*Operations!S522*Inputs!$F$185/100*Operations!S523*(1-Operations!S524)</f>
        <v/>
      </c>
      <c r="T525" s="20">
        <f>Inputs!$F$116*Operations!T522*Inputs!$F$185/100*Operations!T523*(1-Operations!T524)</f>
        <v/>
      </c>
      <c r="U525" s="20">
        <f>Inputs!$F$116*Operations!U522*Inputs!$F$185/100*Operations!U523*(1-Operations!U524)</f>
        <v/>
      </c>
      <c r="V525" s="20">
        <f>Inputs!$F$116*Operations!V522*Inputs!$F$185/100*Operations!V523*(1-Operations!V524)</f>
        <v/>
      </c>
      <c r="W525" s="20">
        <f>Inputs!$F$116*Operations!W522*Inputs!$F$185/100*Operations!W523*(1-Operations!W524)</f>
        <v/>
      </c>
      <c r="X525" s="20">
        <f>Inputs!$F$116*Operations!X522*Inputs!$F$185/100*Operations!X523*(1-Operations!X524)</f>
        <v/>
      </c>
      <c r="Y525" s="20">
        <f>Inputs!$F$116*Operations!Y522*Inputs!$F$185/100*Operations!Y523*(1-Operations!Y524)</f>
        <v/>
      </c>
      <c r="Z525" s="20">
        <f>Inputs!$F$116*Operations!Z522*Inputs!$F$185/100*Operations!Z523*(1-Operations!Z524)</f>
        <v/>
      </c>
      <c r="AA525" s="20">
        <f>Inputs!$F$116*Operations!AA522*Inputs!$F$185/100*Operations!AA523*(1-Operations!AA524)</f>
        <v/>
      </c>
      <c r="AB525" s="20">
        <f>Inputs!$F$116*Operations!AB522*Inputs!$F$185/100*Operations!AB523*(1-Operations!AB524)</f>
        <v/>
      </c>
      <c r="AC525" s="20">
        <f>Inputs!$F$116*Operations!AC522*Inputs!$F$185/100*Operations!AC523*(1-Operations!AC524)</f>
        <v/>
      </c>
      <c r="AD525" s="20">
        <f>Inputs!$F$116*Operations!AD522*Inputs!$F$185/100*Operations!AD523*(1-Operations!AD524)</f>
        <v/>
      </c>
      <c r="AE525" s="20">
        <f>Inputs!$F$116*Operations!AE522*Inputs!$F$185/100*Operations!AE523*(1-Operations!AE524)</f>
        <v/>
      </c>
      <c r="AF525" s="20">
        <f>Inputs!$F$116*Operations!AF522*Inputs!$F$185/100*Operations!AF523*(1-Operations!AF524)</f>
        <v/>
      </c>
      <c r="AG525" s="20">
        <f>Inputs!$F$116*Operations!AG522*Inputs!$F$185/100*Operations!AG523*(1-Operations!AG524)</f>
        <v/>
      </c>
      <c r="AH525" s="20">
        <f>Inputs!$F$116*Operations!AH522*Inputs!$F$185/100*Operations!AH523*(1-Operations!AH524)</f>
        <v/>
      </c>
      <c r="AI525" s="20">
        <f>Inputs!$F$116*Operations!AI522*Inputs!$F$185/100*Operations!AI523*(1-Operations!AI524)</f>
        <v/>
      </c>
      <c r="AJ525" s="20">
        <f>Inputs!$F$116*Operations!AJ522*Inputs!$F$185/100*Operations!AJ523*(1-Operations!AJ524)</f>
        <v/>
      </c>
      <c r="AK525" s="20">
        <f>Inputs!$F$116*Operations!AK522*Inputs!$F$185/100*Operations!AK523*(1-Operations!AK524)</f>
        <v/>
      </c>
      <c r="AL525" s="20">
        <f>Inputs!$F$116*Operations!AL522*Inputs!$F$185/100*Operations!AL523*(1-Operations!AL524)</f>
        <v/>
      </c>
      <c r="AM525" s="20">
        <f>Inputs!$F$116*Operations!AM522*Inputs!$F$185/100*Operations!AM523*(1-Operations!AM524)</f>
        <v/>
      </c>
      <c r="AN525" s="20">
        <f>Inputs!$F$116*Operations!AN522*Inputs!$F$185/100*Operations!AN523*(1-Operations!AN524)</f>
        <v/>
      </c>
      <c r="AO525" s="20">
        <f>Inputs!$F$116*Operations!AO522*Inputs!$F$185/100*Operations!AO523*(1-Operations!AO524)</f>
        <v/>
      </c>
      <c r="AP525" s="20">
        <f>Inputs!$F$116*Operations!AP522*Inputs!$F$185/100*Operations!AP523*(1-Operations!AP524)</f>
        <v/>
      </c>
      <c r="AQ525" s="20">
        <f>Inputs!$F$116*Operations!AQ522*Inputs!$F$185/100*Operations!AQ523*(1-Operations!AQ524)</f>
        <v/>
      </c>
      <c r="AR525" s="20">
        <f>Inputs!$F$116*Operations!AR522*Inputs!$F$185/100*Operations!AR523*(1-Operations!AR524)</f>
        <v/>
      </c>
      <c r="AS525" s="20">
        <f>Inputs!$F$116*Operations!AS522*Inputs!$F$185/100*Operations!AS523*(1-Operations!AS524)</f>
        <v/>
      </c>
      <c r="AT525" s="20">
        <f>Inputs!$F$116*Operations!AT522*Inputs!$F$185/100*Operations!AT523*(1-Operations!AT524)</f>
        <v/>
      </c>
      <c r="AU525" s="20">
        <f>Inputs!$F$116*Operations!AU522*Inputs!$F$185/100*Operations!AU523*(1-Operations!AU524)</f>
        <v/>
      </c>
    </row>
    <row r="526">
      <c r="D526" t="inlineStr">
        <is>
          <t>R3 net generation</t>
        </is>
      </c>
      <c r="E526" t="inlineStr">
        <is>
          <t>GWh</t>
        </is>
      </c>
      <c r="G526" s="20">
        <f>SUM(J526:AU526)</f>
        <v/>
      </c>
      <c r="J526" s="20">
        <f>Operations!J525*Operations!J518</f>
        <v/>
      </c>
      <c r="K526" s="20">
        <f>Operations!K525*Operations!K518</f>
        <v/>
      </c>
      <c r="L526" s="20">
        <f>Operations!L525*Operations!L518</f>
        <v/>
      </c>
      <c r="M526" s="20">
        <f>Operations!M525*Operations!M518</f>
        <v/>
      </c>
      <c r="N526" s="20">
        <f>Operations!N525*Operations!N518</f>
        <v/>
      </c>
      <c r="O526" s="20">
        <f>Operations!O525*Operations!O518</f>
        <v/>
      </c>
      <c r="P526" s="20">
        <f>Operations!P525*Operations!P518</f>
        <v/>
      </c>
      <c r="Q526" s="20">
        <f>Operations!Q525*Operations!Q518</f>
        <v/>
      </c>
      <c r="R526" s="20">
        <f>Operations!R525*Operations!R518</f>
        <v/>
      </c>
      <c r="S526" s="20">
        <f>Operations!S525*Operations!S518</f>
        <v/>
      </c>
      <c r="T526" s="20">
        <f>Operations!T525*Operations!T518</f>
        <v/>
      </c>
      <c r="U526" s="20">
        <f>Operations!U525*Operations!U518</f>
        <v/>
      </c>
      <c r="V526" s="20">
        <f>Operations!V525*Operations!V518</f>
        <v/>
      </c>
      <c r="W526" s="20">
        <f>Operations!W525*Operations!W518</f>
        <v/>
      </c>
      <c r="X526" s="20">
        <f>Operations!X525*Operations!X518</f>
        <v/>
      </c>
      <c r="Y526" s="20">
        <f>Operations!Y525*Operations!Y518</f>
        <v/>
      </c>
      <c r="Z526" s="20">
        <f>Operations!Z525*Operations!Z518</f>
        <v/>
      </c>
      <c r="AA526" s="20">
        <f>Operations!AA525*Operations!AA518</f>
        <v/>
      </c>
      <c r="AB526" s="20">
        <f>Operations!AB525*Operations!AB518</f>
        <v/>
      </c>
      <c r="AC526" s="20">
        <f>Operations!AC525*Operations!AC518</f>
        <v/>
      </c>
      <c r="AD526" s="20">
        <f>Operations!AD525*Operations!AD518</f>
        <v/>
      </c>
      <c r="AE526" s="20">
        <f>Operations!AE525*Operations!AE518</f>
        <v/>
      </c>
      <c r="AF526" s="20">
        <f>Operations!AF525*Operations!AF518</f>
        <v/>
      </c>
      <c r="AG526" s="20">
        <f>Operations!AG525*Operations!AG518</f>
        <v/>
      </c>
      <c r="AH526" s="20">
        <f>Operations!AH525*Operations!AH518</f>
        <v/>
      </c>
      <c r="AI526" s="20">
        <f>Operations!AI525*Operations!AI518</f>
        <v/>
      </c>
      <c r="AJ526" s="20">
        <f>Operations!AJ525*Operations!AJ518</f>
        <v/>
      </c>
      <c r="AK526" s="20">
        <f>Operations!AK525*Operations!AK518</f>
        <v/>
      </c>
      <c r="AL526" s="20">
        <f>Operations!AL525*Operations!AL518</f>
        <v/>
      </c>
      <c r="AM526" s="20">
        <f>Operations!AM525*Operations!AM518</f>
        <v/>
      </c>
      <c r="AN526" s="20">
        <f>Operations!AN525*Operations!AN518</f>
        <v/>
      </c>
      <c r="AO526" s="20">
        <f>Operations!AO525*Operations!AO518</f>
        <v/>
      </c>
      <c r="AP526" s="20">
        <f>Operations!AP525*Operations!AP518</f>
        <v/>
      </c>
      <c r="AQ526" s="20">
        <f>Operations!AQ525*Operations!AQ518</f>
        <v/>
      </c>
      <c r="AR526" s="20">
        <f>Operations!AR525*Operations!AR518</f>
        <v/>
      </c>
      <c r="AS526" s="20">
        <f>Operations!AS525*Operations!AS518</f>
        <v/>
      </c>
      <c r="AT526" s="20">
        <f>Operations!AT525*Operations!AT518</f>
        <v/>
      </c>
      <c r="AU526" s="20">
        <f>Operations!AU525*Operations!AU518</f>
        <v/>
      </c>
    </row>
    <row r="527">
      <c r="D527" t="inlineStr">
        <is>
          <t>R3 hub capture ratio</t>
        </is>
      </c>
      <c r="E527" t="inlineStr">
        <is>
          <t>ratio</t>
        </is>
      </c>
      <c r="J527" s="14">
        <f>Operations!J429</f>
        <v/>
      </c>
      <c r="K527" s="14">
        <f>Operations!K429</f>
        <v/>
      </c>
      <c r="L527" s="14">
        <f>Operations!L429</f>
        <v/>
      </c>
      <c r="M527" s="14">
        <f>Operations!M429</f>
        <v/>
      </c>
      <c r="N527" s="14">
        <f>Operations!N429</f>
        <v/>
      </c>
      <c r="O527" s="14">
        <f>Operations!O429</f>
        <v/>
      </c>
      <c r="P527" s="14">
        <f>Operations!P429</f>
        <v/>
      </c>
      <c r="Q527" s="14">
        <f>Operations!Q429</f>
        <v/>
      </c>
      <c r="R527" s="14">
        <f>Operations!R429</f>
        <v/>
      </c>
      <c r="S527" s="14">
        <f>Operations!S429</f>
        <v/>
      </c>
      <c r="T527" s="14">
        <f>Operations!T429</f>
        <v/>
      </c>
      <c r="U527" s="14">
        <f>Operations!U429</f>
        <v/>
      </c>
      <c r="V527" s="14">
        <f>Operations!V429</f>
        <v/>
      </c>
      <c r="W527" s="14">
        <f>Operations!W429</f>
        <v/>
      </c>
      <c r="X527" s="14">
        <f>Operations!X429</f>
        <v/>
      </c>
      <c r="Y527" s="14">
        <f>Operations!Y429</f>
        <v/>
      </c>
      <c r="Z527" s="14">
        <f>Operations!Z429</f>
        <v/>
      </c>
      <c r="AA527" s="14">
        <f>Operations!AA429</f>
        <v/>
      </c>
      <c r="AB527" s="14">
        <f>Operations!AB429</f>
        <v/>
      </c>
      <c r="AC527" s="14">
        <f>Operations!AC429</f>
        <v/>
      </c>
      <c r="AD527" s="14">
        <f>Operations!AD429</f>
        <v/>
      </c>
      <c r="AE527" s="14">
        <f>Operations!AE429</f>
        <v/>
      </c>
      <c r="AF527" s="14">
        <f>Operations!AF429</f>
        <v/>
      </c>
      <c r="AG527" s="14">
        <f>Operations!AG429</f>
        <v/>
      </c>
      <c r="AH527" s="14">
        <f>Operations!AH429</f>
        <v/>
      </c>
      <c r="AI527" s="14">
        <f>Operations!AI429</f>
        <v/>
      </c>
      <c r="AJ527" s="14">
        <f>Operations!AJ429</f>
        <v/>
      </c>
      <c r="AK527" s="14">
        <f>Operations!AK429</f>
        <v/>
      </c>
      <c r="AL527" s="14">
        <f>Operations!AL429</f>
        <v/>
      </c>
      <c r="AM527" s="14">
        <f>Operations!AM429</f>
        <v/>
      </c>
      <c r="AN527" s="14">
        <f>Operations!AN429</f>
        <v/>
      </c>
      <c r="AO527" s="14">
        <f>Operations!AO429</f>
        <v/>
      </c>
      <c r="AP527" s="14">
        <f>Operations!AP429</f>
        <v/>
      </c>
      <c r="AQ527" s="14">
        <f>Operations!AQ429</f>
        <v/>
      </c>
      <c r="AR527" s="14">
        <f>Operations!AR429</f>
        <v/>
      </c>
      <c r="AS527" s="14">
        <f>Operations!AS429</f>
        <v/>
      </c>
      <c r="AT527" s="14">
        <f>Operations!AT429</f>
        <v/>
      </c>
      <c r="AU527" s="14">
        <f>Operations!AU429</f>
        <v/>
      </c>
    </row>
    <row r="528">
      <c r="D528" t="inlineStr">
        <is>
          <t>R3 node capture ratio</t>
        </is>
      </c>
      <c r="E528" t="inlineStr">
        <is>
          <t>ratio</t>
        </is>
      </c>
      <c r="J528" s="14">
        <f>Operations!J527-Inputs!$F$48</f>
        <v/>
      </c>
      <c r="K528" s="14">
        <f>Operations!K527-Inputs!$F$48</f>
        <v/>
      </c>
      <c r="L528" s="14">
        <f>Operations!L527-Inputs!$F$48</f>
        <v/>
      </c>
      <c r="M528" s="14">
        <f>Operations!M527-Inputs!$F$48</f>
        <v/>
      </c>
      <c r="N528" s="14">
        <f>Operations!N527-Inputs!$F$48</f>
        <v/>
      </c>
      <c r="O528" s="14">
        <f>Operations!O527-Inputs!$F$48</f>
        <v/>
      </c>
      <c r="P528" s="14">
        <f>Operations!P527-Inputs!$F$48</f>
        <v/>
      </c>
      <c r="Q528" s="14">
        <f>Operations!Q527-Inputs!$F$48</f>
        <v/>
      </c>
      <c r="R528" s="14">
        <f>Operations!R527-Inputs!$F$48</f>
        <v/>
      </c>
      <c r="S528" s="14">
        <f>Operations!S527-Inputs!$F$48</f>
        <v/>
      </c>
      <c r="T528" s="14">
        <f>Operations!T527-Inputs!$F$48</f>
        <v/>
      </c>
      <c r="U528" s="14">
        <f>Operations!U527-Inputs!$F$48</f>
        <v/>
      </c>
      <c r="V528" s="14">
        <f>Operations!V527-Inputs!$F$48</f>
        <v/>
      </c>
      <c r="W528" s="14">
        <f>Operations!W527-Inputs!$F$48</f>
        <v/>
      </c>
      <c r="X528" s="14">
        <f>Operations!X527-Inputs!$F$48</f>
        <v/>
      </c>
      <c r="Y528" s="14">
        <f>Operations!Y527-Inputs!$F$48</f>
        <v/>
      </c>
      <c r="Z528" s="14">
        <f>Operations!Z527-Inputs!$F$48</f>
        <v/>
      </c>
      <c r="AA528" s="14">
        <f>Operations!AA527-Inputs!$F$48</f>
        <v/>
      </c>
      <c r="AB528" s="14">
        <f>Operations!AB527-Inputs!$F$48</f>
        <v/>
      </c>
      <c r="AC528" s="14">
        <f>Operations!AC527-Inputs!$F$48</f>
        <v/>
      </c>
      <c r="AD528" s="14">
        <f>Operations!AD527-Inputs!$F$48</f>
        <v/>
      </c>
      <c r="AE528" s="14">
        <f>Operations!AE527-Inputs!$F$48</f>
        <v/>
      </c>
      <c r="AF528" s="14">
        <f>Operations!AF527-Inputs!$F$48</f>
        <v/>
      </c>
      <c r="AG528" s="14">
        <f>Operations!AG527-Inputs!$F$48</f>
        <v/>
      </c>
      <c r="AH528" s="14">
        <f>Operations!AH527-Inputs!$F$48</f>
        <v/>
      </c>
      <c r="AI528" s="14">
        <f>Operations!AI527-Inputs!$F$48</f>
        <v/>
      </c>
      <c r="AJ528" s="14">
        <f>Operations!AJ527-Inputs!$F$48</f>
        <v/>
      </c>
      <c r="AK528" s="14">
        <f>Operations!AK527-Inputs!$F$48</f>
        <v/>
      </c>
      <c r="AL528" s="14">
        <f>Operations!AL527-Inputs!$F$48</f>
        <v/>
      </c>
      <c r="AM528" s="14">
        <f>Operations!AM527-Inputs!$F$48</f>
        <v/>
      </c>
      <c r="AN528" s="14">
        <f>Operations!AN527-Inputs!$F$48</f>
        <v/>
      </c>
      <c r="AO528" s="14">
        <f>Operations!AO527-Inputs!$F$48</f>
        <v/>
      </c>
      <c r="AP528" s="14">
        <f>Operations!AP527-Inputs!$F$48</f>
        <v/>
      </c>
      <c r="AQ528" s="14">
        <f>Operations!AQ527-Inputs!$F$48</f>
        <v/>
      </c>
      <c r="AR528" s="14">
        <f>Operations!AR527-Inputs!$F$48</f>
        <v/>
      </c>
      <c r="AS528" s="14">
        <f>Operations!AS527-Inputs!$F$48</f>
        <v/>
      </c>
      <c r="AT528" s="14">
        <f>Operations!AT527-Inputs!$F$48</f>
        <v/>
      </c>
      <c r="AU528" s="14">
        <f>Operations!AU527-Inputs!$F$48</f>
        <v/>
      </c>
    </row>
    <row r="529">
      <c r="D529" t="inlineStr">
        <is>
          <t>R3 realized node price</t>
        </is>
      </c>
      <c r="E529" t="inlineStr">
        <is>
          <t>USD/MWh</t>
        </is>
      </c>
      <c r="J529" s="18">
        <f>Operations!J521*Operations!J528</f>
        <v/>
      </c>
      <c r="K529" s="18">
        <f>Operations!K521*Operations!K528</f>
        <v/>
      </c>
      <c r="L529" s="18">
        <f>Operations!L521*Operations!L528</f>
        <v/>
      </c>
      <c r="M529" s="18">
        <f>Operations!M521*Operations!M528</f>
        <v/>
      </c>
      <c r="N529" s="18">
        <f>Operations!N521*Operations!N528</f>
        <v/>
      </c>
      <c r="O529" s="18">
        <f>Operations!O521*Operations!O528</f>
        <v/>
      </c>
      <c r="P529" s="18">
        <f>Operations!P521*Operations!P528</f>
        <v/>
      </c>
      <c r="Q529" s="18">
        <f>Operations!Q521*Operations!Q528</f>
        <v/>
      </c>
      <c r="R529" s="18">
        <f>Operations!R521*Operations!R528</f>
        <v/>
      </c>
      <c r="S529" s="18">
        <f>Operations!S521*Operations!S528</f>
        <v/>
      </c>
      <c r="T529" s="18">
        <f>Operations!T521*Operations!T528</f>
        <v/>
      </c>
      <c r="U529" s="18">
        <f>Operations!U521*Operations!U528</f>
        <v/>
      </c>
      <c r="V529" s="18">
        <f>Operations!V521*Operations!V528</f>
        <v/>
      </c>
      <c r="W529" s="18">
        <f>Operations!W521*Operations!W528</f>
        <v/>
      </c>
      <c r="X529" s="18">
        <f>Operations!X521*Operations!X528</f>
        <v/>
      </c>
      <c r="Y529" s="18">
        <f>Operations!Y521*Operations!Y528</f>
        <v/>
      </c>
      <c r="Z529" s="18">
        <f>Operations!Z521*Operations!Z528</f>
        <v/>
      </c>
      <c r="AA529" s="18">
        <f>Operations!AA521*Operations!AA528</f>
        <v/>
      </c>
      <c r="AB529" s="18">
        <f>Operations!AB521*Operations!AB528</f>
        <v/>
      </c>
      <c r="AC529" s="18">
        <f>Operations!AC521*Operations!AC528</f>
        <v/>
      </c>
      <c r="AD529" s="18">
        <f>Operations!AD521*Operations!AD528</f>
        <v/>
      </c>
      <c r="AE529" s="18">
        <f>Operations!AE521*Operations!AE528</f>
        <v/>
      </c>
      <c r="AF529" s="18">
        <f>Operations!AF521*Operations!AF528</f>
        <v/>
      </c>
      <c r="AG529" s="18">
        <f>Operations!AG521*Operations!AG528</f>
        <v/>
      </c>
      <c r="AH529" s="18">
        <f>Operations!AH521*Operations!AH528</f>
        <v/>
      </c>
      <c r="AI529" s="18">
        <f>Operations!AI521*Operations!AI528</f>
        <v/>
      </c>
      <c r="AJ529" s="18">
        <f>Operations!AJ521*Operations!AJ528</f>
        <v/>
      </c>
      <c r="AK529" s="18">
        <f>Operations!AK521*Operations!AK528</f>
        <v/>
      </c>
      <c r="AL529" s="18">
        <f>Operations!AL521*Operations!AL528</f>
        <v/>
      </c>
      <c r="AM529" s="18">
        <f>Operations!AM521*Operations!AM528</f>
        <v/>
      </c>
      <c r="AN529" s="18">
        <f>Operations!AN521*Operations!AN528</f>
        <v/>
      </c>
      <c r="AO529" s="18">
        <f>Operations!AO521*Operations!AO528</f>
        <v/>
      </c>
      <c r="AP529" s="18">
        <f>Operations!AP521*Operations!AP528</f>
        <v/>
      </c>
      <c r="AQ529" s="18">
        <f>Operations!AQ521*Operations!AQ528</f>
        <v/>
      </c>
      <c r="AR529" s="18">
        <f>Operations!AR521*Operations!AR528</f>
        <v/>
      </c>
      <c r="AS529" s="18">
        <f>Operations!AS521*Operations!AS528</f>
        <v/>
      </c>
      <c r="AT529" s="18">
        <f>Operations!AT521*Operations!AT528</f>
        <v/>
      </c>
      <c r="AU529" s="18">
        <f>Operations!AU521*Operations!AU528</f>
        <v/>
      </c>
    </row>
    <row r="530">
      <c r="D530" t="inlineStr">
        <is>
          <t>R3 PRS term fraction</t>
        </is>
      </c>
      <c r="E530" t="inlineStr">
        <is>
          <t>fraction</t>
        </is>
      </c>
      <c r="J530" s="14">
        <f>MAX(0,MIN(Inputs!$F$199,Time!J$6)-MAX(Inputs!$F$198-1,Time!J$5))/Time!J$7</f>
        <v/>
      </c>
      <c r="K530" s="14">
        <f>MAX(0,MIN(Inputs!$F$199,Time!K$6)-MAX(Inputs!$F$198-1,Time!K$5))/Time!K$7</f>
        <v/>
      </c>
      <c r="L530" s="14">
        <f>MAX(0,MIN(Inputs!$F$199,Time!L$6)-MAX(Inputs!$F$198-1,Time!L$5))/Time!L$7</f>
        <v/>
      </c>
      <c r="M530" s="14">
        <f>MAX(0,MIN(Inputs!$F$199,Time!M$6)-MAX(Inputs!$F$198-1,Time!M$5))/Time!M$7</f>
        <v/>
      </c>
      <c r="N530" s="14">
        <f>MAX(0,MIN(Inputs!$F$199,Time!N$6)-MAX(Inputs!$F$198-1,Time!N$5))/Time!N$7</f>
        <v/>
      </c>
      <c r="O530" s="14">
        <f>MAX(0,MIN(Inputs!$F$199,Time!O$6)-MAX(Inputs!$F$198-1,Time!O$5))/Time!O$7</f>
        <v/>
      </c>
      <c r="P530" s="14">
        <f>MAX(0,MIN(Inputs!$F$199,Time!P$6)-MAX(Inputs!$F$198-1,Time!P$5))/Time!P$7</f>
        <v/>
      </c>
      <c r="Q530" s="14">
        <f>MAX(0,MIN(Inputs!$F$199,Time!Q$6)-MAX(Inputs!$F$198-1,Time!Q$5))/Time!Q$7</f>
        <v/>
      </c>
      <c r="R530" s="14">
        <f>MAX(0,MIN(Inputs!$F$199,Time!R$6)-MAX(Inputs!$F$198-1,Time!R$5))/Time!R$7</f>
        <v/>
      </c>
      <c r="S530" s="14">
        <f>MAX(0,MIN(Inputs!$F$199,Time!S$6)-MAX(Inputs!$F$198-1,Time!S$5))/Time!S$7</f>
        <v/>
      </c>
      <c r="T530" s="14">
        <f>MAX(0,MIN(Inputs!$F$199,Time!T$6)-MAX(Inputs!$F$198-1,Time!T$5))/Time!T$7</f>
        <v/>
      </c>
      <c r="U530" s="14">
        <f>MAX(0,MIN(Inputs!$F$199,Time!U$6)-MAX(Inputs!$F$198-1,Time!U$5))/Time!U$7</f>
        <v/>
      </c>
      <c r="V530" s="14">
        <f>MAX(0,MIN(Inputs!$F$199,Time!V$6)-MAX(Inputs!$F$198-1,Time!V$5))/Time!V$7</f>
        <v/>
      </c>
      <c r="W530" s="14">
        <f>MAX(0,MIN(Inputs!$F$199,Time!W$6)-MAX(Inputs!$F$198-1,Time!W$5))/Time!W$7</f>
        <v/>
      </c>
      <c r="X530" s="14">
        <f>MAX(0,MIN(Inputs!$F$199,Time!X$6)-MAX(Inputs!$F$198-1,Time!X$5))/Time!X$7</f>
        <v/>
      </c>
      <c r="Y530" s="14">
        <f>MAX(0,MIN(Inputs!$F$199,Time!Y$6)-MAX(Inputs!$F$198-1,Time!Y$5))/Time!Y$7</f>
        <v/>
      </c>
      <c r="Z530" s="14">
        <f>MAX(0,MIN(Inputs!$F$199,Time!Z$6)-MAX(Inputs!$F$198-1,Time!Z$5))/Time!Z$7</f>
        <v/>
      </c>
      <c r="AA530" s="14">
        <f>MAX(0,MIN(Inputs!$F$199,Time!AA$6)-MAX(Inputs!$F$198-1,Time!AA$5))/Time!AA$7</f>
        <v/>
      </c>
      <c r="AB530" s="14">
        <f>MAX(0,MIN(Inputs!$F$199,Time!AB$6)-MAX(Inputs!$F$198-1,Time!AB$5))/Time!AB$7</f>
        <v/>
      </c>
      <c r="AC530" s="14">
        <f>MAX(0,MIN(Inputs!$F$199,Time!AC$6)-MAX(Inputs!$F$198-1,Time!AC$5))/Time!AC$7</f>
        <v/>
      </c>
      <c r="AD530" s="14">
        <f>MAX(0,MIN(Inputs!$F$199,Time!AD$6)-MAX(Inputs!$F$198-1,Time!AD$5))/Time!AD$7</f>
        <v/>
      </c>
      <c r="AE530" s="14">
        <f>MAX(0,MIN(Inputs!$F$199,Time!AE$6)-MAX(Inputs!$F$198-1,Time!AE$5))/Time!AE$7</f>
        <v/>
      </c>
      <c r="AF530" s="14">
        <f>MAX(0,MIN(Inputs!$F$199,Time!AF$6)-MAX(Inputs!$F$198-1,Time!AF$5))/Time!AF$7</f>
        <v/>
      </c>
      <c r="AG530" s="14">
        <f>MAX(0,MIN(Inputs!$F$199,Time!AG$6)-MAX(Inputs!$F$198-1,Time!AG$5))/Time!AG$7</f>
        <v/>
      </c>
      <c r="AH530" s="14">
        <f>MAX(0,MIN(Inputs!$F$199,Time!AH$6)-MAX(Inputs!$F$198-1,Time!AH$5))/Time!AH$7</f>
        <v/>
      </c>
      <c r="AI530" s="14">
        <f>MAX(0,MIN(Inputs!$F$199,Time!AI$6)-MAX(Inputs!$F$198-1,Time!AI$5))/Time!AI$7</f>
        <v/>
      </c>
      <c r="AJ530" s="14">
        <f>MAX(0,MIN(Inputs!$F$199,Time!AJ$6)-MAX(Inputs!$F$198-1,Time!AJ$5))/Time!AJ$7</f>
        <v/>
      </c>
      <c r="AK530" s="14">
        <f>MAX(0,MIN(Inputs!$F$199,Time!AK$6)-MAX(Inputs!$F$198-1,Time!AK$5))/Time!AK$7</f>
        <v/>
      </c>
      <c r="AL530" s="14">
        <f>MAX(0,MIN(Inputs!$F$199,Time!AL$6)-MAX(Inputs!$F$198-1,Time!AL$5))/Time!AL$7</f>
        <v/>
      </c>
      <c r="AM530" s="14">
        <f>MAX(0,MIN(Inputs!$F$199,Time!AM$6)-MAX(Inputs!$F$198-1,Time!AM$5))/Time!AM$7</f>
        <v/>
      </c>
      <c r="AN530" s="14">
        <f>MAX(0,MIN(Inputs!$F$199,Time!AN$6)-MAX(Inputs!$F$198-1,Time!AN$5))/Time!AN$7</f>
        <v/>
      </c>
      <c r="AO530" s="14">
        <f>MAX(0,MIN(Inputs!$F$199,Time!AO$6)-MAX(Inputs!$F$198-1,Time!AO$5))/Time!AO$7</f>
        <v/>
      </c>
      <c r="AP530" s="14">
        <f>MAX(0,MIN(Inputs!$F$199,Time!AP$6)-MAX(Inputs!$F$198-1,Time!AP$5))/Time!AP$7</f>
        <v/>
      </c>
      <c r="AQ530" s="14">
        <f>MAX(0,MIN(Inputs!$F$199,Time!AQ$6)-MAX(Inputs!$F$198-1,Time!AQ$5))/Time!AQ$7</f>
        <v/>
      </c>
      <c r="AR530" s="14">
        <f>MAX(0,MIN(Inputs!$F$199,Time!AR$6)-MAX(Inputs!$F$198-1,Time!AR$5))/Time!AR$7</f>
        <v/>
      </c>
      <c r="AS530" s="14">
        <f>MAX(0,MIN(Inputs!$F$199,Time!AS$6)-MAX(Inputs!$F$198-1,Time!AS$5))/Time!AS$7</f>
        <v/>
      </c>
      <c r="AT530" s="14">
        <f>MAX(0,MIN(Inputs!$F$199,Time!AT$6)-MAX(Inputs!$F$198-1,Time!AT$5))/Time!AT$7</f>
        <v/>
      </c>
      <c r="AU530" s="14">
        <f>MAX(0,MIN(Inputs!$F$199,Time!AU$6)-MAX(Inputs!$F$198-1,Time!AU$5))/Time!AU$7</f>
        <v/>
      </c>
    </row>
    <row r="531">
      <c r="D531" t="inlineStr">
        <is>
          <t>R3 proxy generation</t>
        </is>
      </c>
      <c r="E531" t="inlineStr">
        <is>
          <t>GWh</t>
        </is>
      </c>
      <c r="J531" s="20">
        <f>Operations!J525*Operations!J530</f>
        <v/>
      </c>
      <c r="K531" s="20">
        <f>Operations!K525*Operations!K530</f>
        <v/>
      </c>
      <c r="L531" s="20">
        <f>Operations!L525*Operations!L530</f>
        <v/>
      </c>
      <c r="M531" s="20">
        <f>Operations!M525*Operations!M530</f>
        <v/>
      </c>
      <c r="N531" s="20">
        <f>Operations!N525*Operations!N530</f>
        <v/>
      </c>
      <c r="O531" s="20">
        <f>Operations!O525*Operations!O530</f>
        <v/>
      </c>
      <c r="P531" s="20">
        <f>Operations!P525*Operations!P530</f>
        <v/>
      </c>
      <c r="Q531" s="20">
        <f>Operations!Q525*Operations!Q530</f>
        <v/>
      </c>
      <c r="R531" s="20">
        <f>Operations!R525*Operations!R530</f>
        <v/>
      </c>
      <c r="S531" s="20">
        <f>Operations!S525*Operations!S530</f>
        <v/>
      </c>
      <c r="T531" s="20">
        <f>Operations!T525*Operations!T530</f>
        <v/>
      </c>
      <c r="U531" s="20">
        <f>Operations!U525*Operations!U530</f>
        <v/>
      </c>
      <c r="V531" s="20">
        <f>Operations!V525*Operations!V530</f>
        <v/>
      </c>
      <c r="W531" s="20">
        <f>Operations!W525*Operations!W530</f>
        <v/>
      </c>
      <c r="X531" s="20">
        <f>Operations!X525*Operations!X530</f>
        <v/>
      </c>
      <c r="Y531" s="20">
        <f>Operations!Y525*Operations!Y530</f>
        <v/>
      </c>
      <c r="Z531" s="20">
        <f>Operations!Z525*Operations!Z530</f>
        <v/>
      </c>
      <c r="AA531" s="20">
        <f>Operations!AA525*Operations!AA530</f>
        <v/>
      </c>
      <c r="AB531" s="20">
        <f>Operations!AB525*Operations!AB530</f>
        <v/>
      </c>
      <c r="AC531" s="20">
        <f>Operations!AC525*Operations!AC530</f>
        <v/>
      </c>
      <c r="AD531" s="20">
        <f>Operations!AD525*Operations!AD530</f>
        <v/>
      </c>
      <c r="AE531" s="20">
        <f>Operations!AE525*Operations!AE530</f>
        <v/>
      </c>
      <c r="AF531" s="20">
        <f>Operations!AF525*Operations!AF530</f>
        <v/>
      </c>
      <c r="AG531" s="20">
        <f>Operations!AG525*Operations!AG530</f>
        <v/>
      </c>
      <c r="AH531" s="20">
        <f>Operations!AH525*Operations!AH530</f>
        <v/>
      </c>
      <c r="AI531" s="20">
        <f>Operations!AI525*Operations!AI530</f>
        <v/>
      </c>
      <c r="AJ531" s="20">
        <f>Operations!AJ525*Operations!AJ530</f>
        <v/>
      </c>
      <c r="AK531" s="20">
        <f>Operations!AK525*Operations!AK530</f>
        <v/>
      </c>
      <c r="AL531" s="20">
        <f>Operations!AL525*Operations!AL530</f>
        <v/>
      </c>
      <c r="AM531" s="20">
        <f>Operations!AM525*Operations!AM530</f>
        <v/>
      </c>
      <c r="AN531" s="20">
        <f>Operations!AN525*Operations!AN530</f>
        <v/>
      </c>
      <c r="AO531" s="20">
        <f>Operations!AO525*Operations!AO530</f>
        <v/>
      </c>
      <c r="AP531" s="20">
        <f>Operations!AP525*Operations!AP530</f>
        <v/>
      </c>
      <c r="AQ531" s="20">
        <f>Operations!AQ525*Operations!AQ530</f>
        <v/>
      </c>
      <c r="AR531" s="20">
        <f>Operations!AR525*Operations!AR530</f>
        <v/>
      </c>
      <c r="AS531" s="20">
        <f>Operations!AS525*Operations!AS530</f>
        <v/>
      </c>
      <c r="AT531" s="20">
        <f>Operations!AT525*Operations!AT530</f>
        <v/>
      </c>
      <c r="AU531" s="20">
        <f>Operations!AU525*Operations!AU530</f>
        <v/>
      </c>
    </row>
    <row r="532">
      <c r="D532" t="inlineStr">
        <is>
          <t>R3 PRS net (fixed received less proxy revenue paid)</t>
        </is>
      </c>
      <c r="E532" t="inlineStr">
        <is>
          <t>USD m</t>
        </is>
      </c>
      <c r="G532" s="20">
        <f>SUM(J532:AU532)</f>
        <v/>
      </c>
      <c r="J532" s="20">
        <f>Inputs!$F$197*Operations!J530-Operations!J531*Operations!J527*Operations!J521/1000</f>
        <v/>
      </c>
      <c r="K532" s="20">
        <f>Inputs!$F$197*Operations!K530-Operations!K531*Operations!K527*Operations!K521/1000</f>
        <v/>
      </c>
      <c r="L532" s="20">
        <f>Inputs!$F$197*Operations!L530-Operations!L531*Operations!L527*Operations!L521/1000</f>
        <v/>
      </c>
      <c r="M532" s="20">
        <f>Inputs!$F$197*Operations!M530-Operations!M531*Operations!M527*Operations!M521/1000</f>
        <v/>
      </c>
      <c r="N532" s="20">
        <f>Inputs!$F$197*Operations!N530-Operations!N531*Operations!N527*Operations!N521/1000</f>
        <v/>
      </c>
      <c r="O532" s="20">
        <f>Inputs!$F$197*Operations!O530-Operations!O531*Operations!O527*Operations!O521/1000</f>
        <v/>
      </c>
      <c r="P532" s="20">
        <f>Inputs!$F$197*Operations!P530-Operations!P531*Operations!P527*Operations!P521/1000</f>
        <v/>
      </c>
      <c r="Q532" s="20">
        <f>Inputs!$F$197*Operations!Q530-Operations!Q531*Operations!Q527*Operations!Q521/1000</f>
        <v/>
      </c>
      <c r="R532" s="20">
        <f>Inputs!$F$197*Operations!R530-Operations!R531*Operations!R527*Operations!R521/1000</f>
        <v/>
      </c>
      <c r="S532" s="20">
        <f>Inputs!$F$197*Operations!S530-Operations!S531*Operations!S527*Operations!S521/1000</f>
        <v/>
      </c>
      <c r="T532" s="20">
        <f>Inputs!$F$197*Operations!T530-Operations!T531*Operations!T527*Operations!T521/1000</f>
        <v/>
      </c>
      <c r="U532" s="20">
        <f>Inputs!$F$197*Operations!U530-Operations!U531*Operations!U527*Operations!U521/1000</f>
        <v/>
      </c>
      <c r="V532" s="20">
        <f>Inputs!$F$197*Operations!V530-Operations!V531*Operations!V527*Operations!V521/1000</f>
        <v/>
      </c>
      <c r="W532" s="20">
        <f>Inputs!$F$197*Operations!W530-Operations!W531*Operations!W527*Operations!W521/1000</f>
        <v/>
      </c>
      <c r="X532" s="20">
        <f>Inputs!$F$197*Operations!X530-Operations!X531*Operations!X527*Operations!X521/1000</f>
        <v/>
      </c>
      <c r="Y532" s="20">
        <f>Inputs!$F$197*Operations!Y530-Operations!Y531*Operations!Y527*Operations!Y521/1000</f>
        <v/>
      </c>
      <c r="Z532" s="20">
        <f>Inputs!$F$197*Operations!Z530-Operations!Z531*Operations!Z527*Operations!Z521/1000</f>
        <v/>
      </c>
      <c r="AA532" s="20">
        <f>Inputs!$F$197*Operations!AA530-Operations!AA531*Operations!AA527*Operations!AA521/1000</f>
        <v/>
      </c>
      <c r="AB532" s="20">
        <f>Inputs!$F$197*Operations!AB530-Operations!AB531*Operations!AB527*Operations!AB521/1000</f>
        <v/>
      </c>
      <c r="AC532" s="20">
        <f>Inputs!$F$197*Operations!AC530-Operations!AC531*Operations!AC527*Operations!AC521/1000</f>
        <v/>
      </c>
      <c r="AD532" s="20">
        <f>Inputs!$F$197*Operations!AD530-Operations!AD531*Operations!AD527*Operations!AD521/1000</f>
        <v/>
      </c>
      <c r="AE532" s="20">
        <f>Inputs!$F$197*Operations!AE530-Operations!AE531*Operations!AE527*Operations!AE521/1000</f>
        <v/>
      </c>
      <c r="AF532" s="20">
        <f>Inputs!$F$197*Operations!AF530-Operations!AF531*Operations!AF527*Operations!AF521/1000</f>
        <v/>
      </c>
      <c r="AG532" s="20">
        <f>Inputs!$F$197*Operations!AG530-Operations!AG531*Operations!AG527*Operations!AG521/1000</f>
        <v/>
      </c>
      <c r="AH532" s="20">
        <f>Inputs!$F$197*Operations!AH530-Operations!AH531*Operations!AH527*Operations!AH521/1000</f>
        <v/>
      </c>
      <c r="AI532" s="20">
        <f>Inputs!$F$197*Operations!AI530-Operations!AI531*Operations!AI527*Operations!AI521/1000</f>
        <v/>
      </c>
      <c r="AJ532" s="20">
        <f>Inputs!$F$197*Operations!AJ530-Operations!AJ531*Operations!AJ527*Operations!AJ521/1000</f>
        <v/>
      </c>
      <c r="AK532" s="20">
        <f>Inputs!$F$197*Operations!AK530-Operations!AK531*Operations!AK527*Operations!AK521/1000</f>
        <v/>
      </c>
      <c r="AL532" s="20">
        <f>Inputs!$F$197*Operations!AL530-Operations!AL531*Operations!AL527*Operations!AL521/1000</f>
        <v/>
      </c>
      <c r="AM532" s="20">
        <f>Inputs!$F$197*Operations!AM530-Operations!AM531*Operations!AM527*Operations!AM521/1000</f>
        <v/>
      </c>
      <c r="AN532" s="20">
        <f>Inputs!$F$197*Operations!AN530-Operations!AN531*Operations!AN527*Operations!AN521/1000</f>
        <v/>
      </c>
      <c r="AO532" s="20">
        <f>Inputs!$F$197*Operations!AO530-Operations!AO531*Operations!AO527*Operations!AO521/1000</f>
        <v/>
      </c>
      <c r="AP532" s="20">
        <f>Inputs!$F$197*Operations!AP530-Operations!AP531*Operations!AP527*Operations!AP521/1000</f>
        <v/>
      </c>
      <c r="AQ532" s="20">
        <f>Inputs!$F$197*Operations!AQ530-Operations!AQ531*Operations!AQ527*Operations!AQ521/1000</f>
        <v/>
      </c>
      <c r="AR532" s="20">
        <f>Inputs!$F$197*Operations!AR530-Operations!AR531*Operations!AR527*Operations!AR521/1000</f>
        <v/>
      </c>
      <c r="AS532" s="20">
        <f>Inputs!$F$197*Operations!AS530-Operations!AS531*Operations!AS527*Operations!AS521/1000</f>
        <v/>
      </c>
      <c r="AT532" s="20">
        <f>Inputs!$F$197*Operations!AT530-Operations!AT531*Operations!AT527*Operations!AT521/1000</f>
        <v/>
      </c>
      <c r="AU532" s="20">
        <f>Inputs!$F$197*Operations!AU530-Operations!AU531*Operations!AU527*Operations!AU521/1000</f>
        <v/>
      </c>
    </row>
    <row r="533">
      <c r="D533" t="inlineStr">
        <is>
          <t>R3 generation sold at node</t>
        </is>
      </c>
      <c r="E533" t="inlineStr">
        <is>
          <t>GWh</t>
        </is>
      </c>
      <c r="J533" s="20">
        <f>Operations!J526</f>
        <v/>
      </c>
      <c r="K533" s="20">
        <f>Operations!K526</f>
        <v/>
      </c>
      <c r="L533" s="20">
        <f>Operations!L526</f>
        <v/>
      </c>
      <c r="M533" s="20">
        <f>Operations!M526</f>
        <v/>
      </c>
      <c r="N533" s="20">
        <f>Operations!N526</f>
        <v/>
      </c>
      <c r="O533" s="20">
        <f>Operations!O526</f>
        <v/>
      </c>
      <c r="P533" s="20">
        <f>Operations!P526</f>
        <v/>
      </c>
      <c r="Q533" s="20">
        <f>Operations!Q526</f>
        <v/>
      </c>
      <c r="R533" s="20">
        <f>Operations!R526</f>
        <v/>
      </c>
      <c r="S533" s="20">
        <f>Operations!S526</f>
        <v/>
      </c>
      <c r="T533" s="20">
        <f>Operations!T526</f>
        <v/>
      </c>
      <c r="U533" s="20">
        <f>Operations!U526</f>
        <v/>
      </c>
      <c r="V533" s="20">
        <f>Operations!V526</f>
        <v/>
      </c>
      <c r="W533" s="20">
        <f>Operations!W526</f>
        <v/>
      </c>
      <c r="X533" s="20">
        <f>Operations!X526</f>
        <v/>
      </c>
      <c r="Y533" s="20">
        <f>Operations!Y526</f>
        <v/>
      </c>
      <c r="Z533" s="20">
        <f>Operations!Z526</f>
        <v/>
      </c>
      <c r="AA533" s="20">
        <f>Operations!AA526</f>
        <v/>
      </c>
      <c r="AB533" s="20">
        <f>Operations!AB526</f>
        <v/>
      </c>
      <c r="AC533" s="20">
        <f>Operations!AC526</f>
        <v/>
      </c>
      <c r="AD533" s="20">
        <f>Operations!AD526</f>
        <v/>
      </c>
      <c r="AE533" s="20">
        <f>Operations!AE526</f>
        <v/>
      </c>
      <c r="AF533" s="20">
        <f>Operations!AF526</f>
        <v/>
      </c>
      <c r="AG533" s="20">
        <f>Operations!AG526</f>
        <v/>
      </c>
      <c r="AH533" s="20">
        <f>Operations!AH526</f>
        <v/>
      </c>
      <c r="AI533" s="20">
        <f>Operations!AI526</f>
        <v/>
      </c>
      <c r="AJ533" s="20">
        <f>Operations!AJ526</f>
        <v/>
      </c>
      <c r="AK533" s="20">
        <f>Operations!AK526</f>
        <v/>
      </c>
      <c r="AL533" s="20">
        <f>Operations!AL526</f>
        <v/>
      </c>
      <c r="AM533" s="20">
        <f>Operations!AM526</f>
        <v/>
      </c>
      <c r="AN533" s="20">
        <f>Operations!AN526</f>
        <v/>
      </c>
      <c r="AO533" s="20">
        <f>Operations!AO526</f>
        <v/>
      </c>
      <c r="AP533" s="20">
        <f>Operations!AP526</f>
        <v/>
      </c>
      <c r="AQ533" s="20">
        <f>Operations!AQ526</f>
        <v/>
      </c>
      <c r="AR533" s="20">
        <f>Operations!AR526</f>
        <v/>
      </c>
      <c r="AS533" s="20">
        <f>Operations!AS526</f>
        <v/>
      </c>
      <c r="AT533" s="20">
        <f>Operations!AT526</f>
        <v/>
      </c>
      <c r="AU533" s="20">
        <f>Operations!AU526</f>
        <v/>
      </c>
    </row>
    <row r="534">
      <c r="D534" t="inlineStr">
        <is>
          <t>R3 contracted revenue (PRS fixed payment)</t>
        </is>
      </c>
      <c r="E534" t="inlineStr">
        <is>
          <t>USD m</t>
        </is>
      </c>
      <c r="J534" s="20">
        <f>Inputs!$F$197*Operations!J530</f>
        <v/>
      </c>
      <c r="K534" s="20">
        <f>Inputs!$F$197*Operations!K530</f>
        <v/>
      </c>
      <c r="L534" s="20">
        <f>Inputs!$F$197*Operations!L530</f>
        <v/>
      </c>
      <c r="M534" s="20">
        <f>Inputs!$F$197*Operations!M530</f>
        <v/>
      </c>
      <c r="N534" s="20">
        <f>Inputs!$F$197*Operations!N530</f>
        <v/>
      </c>
      <c r="O534" s="20">
        <f>Inputs!$F$197*Operations!O530</f>
        <v/>
      </c>
      <c r="P534" s="20">
        <f>Inputs!$F$197*Operations!P530</f>
        <v/>
      </c>
      <c r="Q534" s="20">
        <f>Inputs!$F$197*Operations!Q530</f>
        <v/>
      </c>
      <c r="R534" s="20">
        <f>Inputs!$F$197*Operations!R530</f>
        <v/>
      </c>
      <c r="S534" s="20">
        <f>Inputs!$F$197*Operations!S530</f>
        <v/>
      </c>
      <c r="T534" s="20">
        <f>Inputs!$F$197*Operations!T530</f>
        <v/>
      </c>
      <c r="U534" s="20">
        <f>Inputs!$F$197*Operations!U530</f>
        <v/>
      </c>
      <c r="V534" s="20">
        <f>Inputs!$F$197*Operations!V530</f>
        <v/>
      </c>
      <c r="W534" s="20">
        <f>Inputs!$F$197*Operations!W530</f>
        <v/>
      </c>
      <c r="X534" s="20">
        <f>Inputs!$F$197*Operations!X530</f>
        <v/>
      </c>
      <c r="Y534" s="20">
        <f>Inputs!$F$197*Operations!Y530</f>
        <v/>
      </c>
      <c r="Z534" s="20">
        <f>Inputs!$F$197*Operations!Z530</f>
        <v/>
      </c>
      <c r="AA534" s="20">
        <f>Inputs!$F$197*Operations!AA530</f>
        <v/>
      </c>
      <c r="AB534" s="20">
        <f>Inputs!$F$197*Operations!AB530</f>
        <v/>
      </c>
      <c r="AC534" s="20">
        <f>Inputs!$F$197*Operations!AC530</f>
        <v/>
      </c>
      <c r="AD534" s="20">
        <f>Inputs!$F$197*Operations!AD530</f>
        <v/>
      </c>
      <c r="AE534" s="20">
        <f>Inputs!$F$197*Operations!AE530</f>
        <v/>
      </c>
      <c r="AF534" s="20">
        <f>Inputs!$F$197*Operations!AF530</f>
        <v/>
      </c>
      <c r="AG534" s="20">
        <f>Inputs!$F$197*Operations!AG530</f>
        <v/>
      </c>
      <c r="AH534" s="20">
        <f>Inputs!$F$197*Operations!AH530</f>
        <v/>
      </c>
      <c r="AI534" s="20">
        <f>Inputs!$F$197*Operations!AI530</f>
        <v/>
      </c>
      <c r="AJ534" s="20">
        <f>Inputs!$F$197*Operations!AJ530</f>
        <v/>
      </c>
      <c r="AK534" s="20">
        <f>Inputs!$F$197*Operations!AK530</f>
        <v/>
      </c>
      <c r="AL534" s="20">
        <f>Inputs!$F$197*Operations!AL530</f>
        <v/>
      </c>
      <c r="AM534" s="20">
        <f>Inputs!$F$197*Operations!AM530</f>
        <v/>
      </c>
      <c r="AN534" s="20">
        <f>Inputs!$F$197*Operations!AN530</f>
        <v/>
      </c>
      <c r="AO534" s="20">
        <f>Inputs!$F$197*Operations!AO530</f>
        <v/>
      </c>
      <c r="AP534" s="20">
        <f>Inputs!$F$197*Operations!AP530</f>
        <v/>
      </c>
      <c r="AQ534" s="20">
        <f>Inputs!$F$197*Operations!AQ530</f>
        <v/>
      </c>
      <c r="AR534" s="20">
        <f>Inputs!$F$197*Operations!AR530</f>
        <v/>
      </c>
      <c r="AS534" s="20">
        <f>Inputs!$F$197*Operations!AS530</f>
        <v/>
      </c>
      <c r="AT534" s="20">
        <f>Inputs!$F$197*Operations!AT530</f>
        <v/>
      </c>
      <c r="AU534" s="20">
        <f>Inputs!$F$197*Operations!AU530</f>
        <v/>
      </c>
    </row>
    <row r="535">
      <c r="D535" t="inlineStr">
        <is>
          <t>R3 hedged revenue</t>
        </is>
      </c>
      <c r="E535" t="inlineStr">
        <is>
          <t>USD m</t>
        </is>
      </c>
      <c r="J535" s="20">
        <f>0</f>
        <v/>
      </c>
      <c r="K535" s="20">
        <f>0</f>
        <v/>
      </c>
      <c r="L535" s="20">
        <f>0</f>
        <v/>
      </c>
      <c r="M535" s="20">
        <f>0</f>
        <v/>
      </c>
      <c r="N535" s="20">
        <f>0</f>
        <v/>
      </c>
      <c r="O535" s="20">
        <f>0</f>
        <v/>
      </c>
      <c r="P535" s="20">
        <f>0</f>
        <v/>
      </c>
      <c r="Q535" s="20">
        <f>0</f>
        <v/>
      </c>
      <c r="R535" s="20">
        <f>0</f>
        <v/>
      </c>
      <c r="S535" s="20">
        <f>0</f>
        <v/>
      </c>
      <c r="T535" s="20">
        <f>0</f>
        <v/>
      </c>
      <c r="U535" s="20">
        <f>0</f>
        <v/>
      </c>
      <c r="V535" s="20">
        <f>0</f>
        <v/>
      </c>
      <c r="W535" s="20">
        <f>0</f>
        <v/>
      </c>
      <c r="X535" s="20">
        <f>0</f>
        <v/>
      </c>
      <c r="Y535" s="20">
        <f>0</f>
        <v/>
      </c>
      <c r="Z535" s="20">
        <f>0</f>
        <v/>
      </c>
      <c r="AA535" s="20">
        <f>0</f>
        <v/>
      </c>
      <c r="AB535" s="20">
        <f>0</f>
        <v/>
      </c>
      <c r="AC535" s="20">
        <f>0</f>
        <v/>
      </c>
      <c r="AD535" s="20">
        <f>0</f>
        <v/>
      </c>
      <c r="AE535" s="20">
        <f>0</f>
        <v/>
      </c>
      <c r="AF535" s="20">
        <f>0</f>
        <v/>
      </c>
      <c r="AG535" s="20">
        <f>0</f>
        <v/>
      </c>
      <c r="AH535" s="20">
        <f>0</f>
        <v/>
      </c>
      <c r="AI535" s="20">
        <f>0</f>
        <v/>
      </c>
      <c r="AJ535" s="20">
        <f>0</f>
        <v/>
      </c>
      <c r="AK535" s="20">
        <f>0</f>
        <v/>
      </c>
      <c r="AL535" s="20">
        <f>0</f>
        <v/>
      </c>
      <c r="AM535" s="20">
        <f>0</f>
        <v/>
      </c>
      <c r="AN535" s="20">
        <f>0</f>
        <v/>
      </c>
      <c r="AO535" s="20">
        <f>0</f>
        <v/>
      </c>
      <c r="AP535" s="20">
        <f>0</f>
        <v/>
      </c>
      <c r="AQ535" s="20">
        <f>0</f>
        <v/>
      </c>
      <c r="AR535" s="20">
        <f>0</f>
        <v/>
      </c>
      <c r="AS535" s="20">
        <f>0</f>
        <v/>
      </c>
      <c r="AT535" s="20">
        <f>0</f>
        <v/>
      </c>
      <c r="AU535" s="20">
        <f>0</f>
        <v/>
      </c>
    </row>
    <row r="536">
      <c r="D536" t="inlineStr">
        <is>
          <t>R3 market revenue at node</t>
        </is>
      </c>
      <c r="E536" t="inlineStr">
        <is>
          <t>USD m</t>
        </is>
      </c>
      <c r="G536" s="20">
        <f>SUM(J536:AU536)</f>
        <v/>
      </c>
      <c r="J536" s="20">
        <f>Operations!J533*Operations!J529/1000</f>
        <v/>
      </c>
      <c r="K536" s="20">
        <f>Operations!K533*Operations!K529/1000</f>
        <v/>
      </c>
      <c r="L536" s="20">
        <f>Operations!L533*Operations!L529/1000</f>
        <v/>
      </c>
      <c r="M536" s="20">
        <f>Operations!M533*Operations!M529/1000</f>
        <v/>
      </c>
      <c r="N536" s="20">
        <f>Operations!N533*Operations!N529/1000</f>
        <v/>
      </c>
      <c r="O536" s="20">
        <f>Operations!O533*Operations!O529/1000</f>
        <v/>
      </c>
      <c r="P536" s="20">
        <f>Operations!P533*Operations!P529/1000</f>
        <v/>
      </c>
      <c r="Q536" s="20">
        <f>Operations!Q533*Operations!Q529/1000</f>
        <v/>
      </c>
      <c r="R536" s="20">
        <f>Operations!R533*Operations!R529/1000</f>
        <v/>
      </c>
      <c r="S536" s="20">
        <f>Operations!S533*Operations!S529/1000</f>
        <v/>
      </c>
      <c r="T536" s="20">
        <f>Operations!T533*Operations!T529/1000</f>
        <v/>
      </c>
      <c r="U536" s="20">
        <f>Operations!U533*Operations!U529/1000</f>
        <v/>
      </c>
      <c r="V536" s="20">
        <f>Operations!V533*Operations!V529/1000</f>
        <v/>
      </c>
      <c r="W536" s="20">
        <f>Operations!W533*Operations!W529/1000</f>
        <v/>
      </c>
      <c r="X536" s="20">
        <f>Operations!X533*Operations!X529/1000</f>
        <v/>
      </c>
      <c r="Y536" s="20">
        <f>Operations!Y533*Operations!Y529/1000</f>
        <v/>
      </c>
      <c r="Z536" s="20">
        <f>Operations!Z533*Operations!Z529/1000</f>
        <v/>
      </c>
      <c r="AA536" s="20">
        <f>Operations!AA533*Operations!AA529/1000</f>
        <v/>
      </c>
      <c r="AB536" s="20">
        <f>Operations!AB533*Operations!AB529/1000</f>
        <v/>
      </c>
      <c r="AC536" s="20">
        <f>Operations!AC533*Operations!AC529/1000</f>
        <v/>
      </c>
      <c r="AD536" s="20">
        <f>Operations!AD533*Operations!AD529/1000</f>
        <v/>
      </c>
      <c r="AE536" s="20">
        <f>Operations!AE533*Operations!AE529/1000</f>
        <v/>
      </c>
      <c r="AF536" s="20">
        <f>Operations!AF533*Operations!AF529/1000</f>
        <v/>
      </c>
      <c r="AG536" s="20">
        <f>Operations!AG533*Operations!AG529/1000</f>
        <v/>
      </c>
      <c r="AH536" s="20">
        <f>Operations!AH533*Operations!AH529/1000</f>
        <v/>
      </c>
      <c r="AI536" s="20">
        <f>Operations!AI533*Operations!AI529/1000</f>
        <v/>
      </c>
      <c r="AJ536" s="20">
        <f>Operations!AJ533*Operations!AJ529/1000</f>
        <v/>
      </c>
      <c r="AK536" s="20">
        <f>Operations!AK533*Operations!AK529/1000</f>
        <v/>
      </c>
      <c r="AL536" s="20">
        <f>Operations!AL533*Operations!AL529/1000</f>
        <v/>
      </c>
      <c r="AM536" s="20">
        <f>Operations!AM533*Operations!AM529/1000</f>
        <v/>
      </c>
      <c r="AN536" s="20">
        <f>Operations!AN533*Operations!AN529/1000</f>
        <v/>
      </c>
      <c r="AO536" s="20">
        <f>Operations!AO533*Operations!AO529/1000</f>
        <v/>
      </c>
      <c r="AP536" s="20">
        <f>Operations!AP533*Operations!AP529/1000</f>
        <v/>
      </c>
      <c r="AQ536" s="20">
        <f>Operations!AQ533*Operations!AQ529/1000</f>
        <v/>
      </c>
      <c r="AR536" s="20">
        <f>Operations!AR533*Operations!AR529/1000</f>
        <v/>
      </c>
      <c r="AS536" s="20">
        <f>Operations!AS533*Operations!AS529/1000</f>
        <v/>
      </c>
      <c r="AT536" s="20">
        <f>Operations!AT533*Operations!AT529/1000</f>
        <v/>
      </c>
      <c r="AU536" s="20">
        <f>Operations!AU533*Operations!AU529/1000</f>
        <v/>
      </c>
    </row>
    <row r="537">
      <c r="D537" t="inlineStr">
        <is>
          <t>R3 total revenue</t>
        </is>
      </c>
      <c r="E537" t="inlineStr">
        <is>
          <t>USD m</t>
        </is>
      </c>
      <c r="G537" s="20">
        <f>SUM(J537:AU537)</f>
        <v/>
      </c>
      <c r="J537" s="20">
        <f>Operations!J536+Operations!J532</f>
        <v/>
      </c>
      <c r="K537" s="20">
        <f>Operations!K536+Operations!K532</f>
        <v/>
      </c>
      <c r="L537" s="20">
        <f>Operations!L536+Operations!L532</f>
        <v/>
      </c>
      <c r="M537" s="20">
        <f>Operations!M536+Operations!M532</f>
        <v/>
      </c>
      <c r="N537" s="20">
        <f>Operations!N536+Operations!N532</f>
        <v/>
      </c>
      <c r="O537" s="20">
        <f>Operations!O536+Operations!O532</f>
        <v/>
      </c>
      <c r="P537" s="20">
        <f>Operations!P536+Operations!P532</f>
        <v/>
      </c>
      <c r="Q537" s="20">
        <f>Operations!Q536+Operations!Q532</f>
        <v/>
      </c>
      <c r="R537" s="20">
        <f>Operations!R536+Operations!R532</f>
        <v/>
      </c>
      <c r="S537" s="20">
        <f>Operations!S536+Operations!S532</f>
        <v/>
      </c>
      <c r="T537" s="20">
        <f>Operations!T536+Operations!T532</f>
        <v/>
      </c>
      <c r="U537" s="20">
        <f>Operations!U536+Operations!U532</f>
        <v/>
      </c>
      <c r="V537" s="20">
        <f>Operations!V536+Operations!V532</f>
        <v/>
      </c>
      <c r="W537" s="20">
        <f>Operations!W536+Operations!W532</f>
        <v/>
      </c>
      <c r="X537" s="20">
        <f>Operations!X536+Operations!X532</f>
        <v/>
      </c>
      <c r="Y537" s="20">
        <f>Operations!Y536+Operations!Y532</f>
        <v/>
      </c>
      <c r="Z537" s="20">
        <f>Operations!Z536+Operations!Z532</f>
        <v/>
      </c>
      <c r="AA537" s="20">
        <f>Operations!AA536+Operations!AA532</f>
        <v/>
      </c>
      <c r="AB537" s="20">
        <f>Operations!AB536+Operations!AB532</f>
        <v/>
      </c>
      <c r="AC537" s="20">
        <f>Operations!AC536+Operations!AC532</f>
        <v/>
      </c>
      <c r="AD537" s="20">
        <f>Operations!AD536+Operations!AD532</f>
        <v/>
      </c>
      <c r="AE537" s="20">
        <f>Operations!AE536+Operations!AE532</f>
        <v/>
      </c>
      <c r="AF537" s="20">
        <f>Operations!AF536+Operations!AF532</f>
        <v/>
      </c>
      <c r="AG537" s="20">
        <f>Operations!AG536+Operations!AG532</f>
        <v/>
      </c>
      <c r="AH537" s="20">
        <f>Operations!AH536+Operations!AH532</f>
        <v/>
      </c>
      <c r="AI537" s="20">
        <f>Operations!AI536+Operations!AI532</f>
        <v/>
      </c>
      <c r="AJ537" s="20">
        <f>Operations!AJ536+Operations!AJ532</f>
        <v/>
      </c>
      <c r="AK537" s="20">
        <f>Operations!AK536+Operations!AK532</f>
        <v/>
      </c>
      <c r="AL537" s="20">
        <f>Operations!AL536+Operations!AL532</f>
        <v/>
      </c>
      <c r="AM537" s="20">
        <f>Operations!AM536+Operations!AM532</f>
        <v/>
      </c>
      <c r="AN537" s="20">
        <f>Operations!AN536+Operations!AN532</f>
        <v/>
      </c>
      <c r="AO537" s="20">
        <f>Operations!AO536+Operations!AO532</f>
        <v/>
      </c>
      <c r="AP537" s="20">
        <f>Operations!AP536+Operations!AP532</f>
        <v/>
      </c>
      <c r="AQ537" s="20">
        <f>Operations!AQ536+Operations!AQ532</f>
        <v/>
      </c>
      <c r="AR537" s="20">
        <f>Operations!AR536+Operations!AR532</f>
        <v/>
      </c>
      <c r="AS537" s="20">
        <f>Operations!AS536+Operations!AS532</f>
        <v/>
      </c>
      <c r="AT537" s="20">
        <f>Operations!AT536+Operations!AT532</f>
        <v/>
      </c>
      <c r="AU537" s="20">
        <f>Operations!AU536+Operations!AU532</f>
        <v/>
      </c>
    </row>
    <row r="538">
      <c r="D538" t="inlineStr">
        <is>
          <t>R3 merchant revenue (total less contracted and hedged)</t>
        </is>
      </c>
      <c r="E538" t="inlineStr">
        <is>
          <t>USD m</t>
        </is>
      </c>
      <c r="J538" s="20">
        <f>Operations!J537-Operations!J534-Operations!J535</f>
        <v/>
      </c>
      <c r="K538" s="20">
        <f>Operations!K537-Operations!K534-Operations!K535</f>
        <v/>
      </c>
      <c r="L538" s="20">
        <f>Operations!L537-Operations!L534-Operations!L535</f>
        <v/>
      </c>
      <c r="M538" s="20">
        <f>Operations!M537-Operations!M534-Operations!M535</f>
        <v/>
      </c>
      <c r="N538" s="20">
        <f>Operations!N537-Operations!N534-Operations!N535</f>
        <v/>
      </c>
      <c r="O538" s="20">
        <f>Operations!O537-Operations!O534-Operations!O535</f>
        <v/>
      </c>
      <c r="P538" s="20">
        <f>Operations!P537-Operations!P534-Operations!P535</f>
        <v/>
      </c>
      <c r="Q538" s="20">
        <f>Operations!Q537-Operations!Q534-Operations!Q535</f>
        <v/>
      </c>
      <c r="R538" s="20">
        <f>Operations!R537-Operations!R534-Operations!R535</f>
        <v/>
      </c>
      <c r="S538" s="20">
        <f>Operations!S537-Operations!S534-Operations!S535</f>
        <v/>
      </c>
      <c r="T538" s="20">
        <f>Operations!T537-Operations!T534-Operations!T535</f>
        <v/>
      </c>
      <c r="U538" s="20">
        <f>Operations!U537-Operations!U534-Operations!U535</f>
        <v/>
      </c>
      <c r="V538" s="20">
        <f>Operations!V537-Operations!V534-Operations!V535</f>
        <v/>
      </c>
      <c r="W538" s="20">
        <f>Operations!W537-Operations!W534-Operations!W535</f>
        <v/>
      </c>
      <c r="X538" s="20">
        <f>Operations!X537-Operations!X534-Operations!X535</f>
        <v/>
      </c>
      <c r="Y538" s="20">
        <f>Operations!Y537-Operations!Y534-Operations!Y535</f>
        <v/>
      </c>
      <c r="Z538" s="20">
        <f>Operations!Z537-Operations!Z534-Operations!Z535</f>
        <v/>
      </c>
      <c r="AA538" s="20">
        <f>Operations!AA537-Operations!AA534-Operations!AA535</f>
        <v/>
      </c>
      <c r="AB538" s="20">
        <f>Operations!AB537-Operations!AB534-Operations!AB535</f>
        <v/>
      </c>
      <c r="AC538" s="20">
        <f>Operations!AC537-Operations!AC534-Operations!AC535</f>
        <v/>
      </c>
      <c r="AD538" s="20">
        <f>Operations!AD537-Operations!AD534-Operations!AD535</f>
        <v/>
      </c>
      <c r="AE538" s="20">
        <f>Operations!AE537-Operations!AE534-Operations!AE535</f>
        <v/>
      </c>
      <c r="AF538" s="20">
        <f>Operations!AF537-Operations!AF534-Operations!AF535</f>
        <v/>
      </c>
      <c r="AG538" s="20">
        <f>Operations!AG537-Operations!AG534-Operations!AG535</f>
        <v/>
      </c>
      <c r="AH538" s="20">
        <f>Operations!AH537-Operations!AH534-Operations!AH535</f>
        <v/>
      </c>
      <c r="AI538" s="20">
        <f>Operations!AI537-Operations!AI534-Operations!AI535</f>
        <v/>
      </c>
      <c r="AJ538" s="20">
        <f>Operations!AJ537-Operations!AJ534-Operations!AJ535</f>
        <v/>
      </c>
      <c r="AK538" s="20">
        <f>Operations!AK537-Operations!AK534-Operations!AK535</f>
        <v/>
      </c>
      <c r="AL538" s="20">
        <f>Operations!AL537-Operations!AL534-Operations!AL535</f>
        <v/>
      </c>
      <c r="AM538" s="20">
        <f>Operations!AM537-Operations!AM534-Operations!AM535</f>
        <v/>
      </c>
      <c r="AN538" s="20">
        <f>Operations!AN537-Operations!AN534-Operations!AN535</f>
        <v/>
      </c>
      <c r="AO538" s="20">
        <f>Operations!AO537-Operations!AO534-Operations!AO535</f>
        <v/>
      </c>
      <c r="AP538" s="20">
        <f>Operations!AP537-Operations!AP534-Operations!AP535</f>
        <v/>
      </c>
      <c r="AQ538" s="20">
        <f>Operations!AQ537-Operations!AQ534-Operations!AQ535</f>
        <v/>
      </c>
      <c r="AR538" s="20">
        <f>Operations!AR537-Operations!AR534-Operations!AR535</f>
        <v/>
      </c>
      <c r="AS538" s="20">
        <f>Operations!AS537-Operations!AS534-Operations!AS535</f>
        <v/>
      </c>
      <c r="AT538" s="20">
        <f>Operations!AT537-Operations!AT534-Operations!AT535</f>
        <v/>
      </c>
      <c r="AU538" s="20">
        <f>Operations!AU537-Operations!AU534-Operations!AU535</f>
        <v/>
      </c>
    </row>
    <row r="539">
      <c r="D539" t="inlineStr">
        <is>
          <t>R3 opex (O&amp;M, land, insurance, property tax, site)</t>
        </is>
      </c>
      <c r="E539" t="inlineStr">
        <is>
          <t>USD m</t>
        </is>
      </c>
      <c r="J539" s="20">
        <f>Inputs!$F$114*Inputs!$F$110/1000*Time!J$9*Time!J$10*Operations!J518*Operations!$F$421</f>
        <v/>
      </c>
      <c r="K539" s="20">
        <f>Inputs!$F$114*Inputs!$F$110/1000*Time!K$9*Time!K$10*Operations!K518*Operations!$F$421</f>
        <v/>
      </c>
      <c r="L539" s="20">
        <f>Inputs!$F$114*Inputs!$F$110/1000*Time!L$9*Time!L$10*Operations!L518*Operations!$F$421</f>
        <v/>
      </c>
      <c r="M539" s="20">
        <f>Inputs!$F$114*Inputs!$F$110/1000*Time!M$9*Time!M$10*Operations!M518*Operations!$F$421</f>
        <v/>
      </c>
      <c r="N539" s="20">
        <f>Inputs!$F$114*Inputs!$F$110/1000*Time!N$9*Time!N$10*Operations!N518*Operations!$F$421</f>
        <v/>
      </c>
      <c r="O539" s="20">
        <f>Inputs!$F$114*Inputs!$F$110/1000*Time!O$9*Time!O$10*Operations!O518*Operations!$F$421</f>
        <v/>
      </c>
      <c r="P539" s="20">
        <f>Inputs!$F$114*Inputs!$F$110/1000*Time!P$9*Time!P$10*Operations!P518*Operations!$F$421</f>
        <v/>
      </c>
      <c r="Q539" s="20">
        <f>Inputs!$F$114*Inputs!$F$110/1000*Time!Q$9*Time!Q$10*Operations!Q518*Operations!$F$421</f>
        <v/>
      </c>
      <c r="R539" s="20">
        <f>Inputs!$F$114*Inputs!$F$110/1000*Time!R$9*Time!R$10*Operations!R518*Operations!$F$421</f>
        <v/>
      </c>
      <c r="S539" s="20">
        <f>Inputs!$F$114*Inputs!$F$110/1000*Time!S$9*Time!S$10*Operations!S518*Operations!$F$421</f>
        <v/>
      </c>
      <c r="T539" s="20">
        <f>Inputs!$F$114*Inputs!$F$110/1000*Time!T$9*Time!T$10*Operations!T518*Operations!$F$421</f>
        <v/>
      </c>
      <c r="U539" s="20">
        <f>Inputs!$F$114*Inputs!$F$110/1000*Time!U$9*Time!U$10*Operations!U518*Operations!$F$421</f>
        <v/>
      </c>
      <c r="V539" s="20">
        <f>Inputs!$F$114*Inputs!$F$110/1000*Time!V$9*Time!V$10*Operations!V518*Operations!$F$421</f>
        <v/>
      </c>
      <c r="W539" s="20">
        <f>Inputs!$F$114*Inputs!$F$110/1000*Time!W$9*Time!W$10*Operations!W518*Operations!$F$421</f>
        <v/>
      </c>
      <c r="X539" s="20">
        <f>Inputs!$F$114*Inputs!$F$110/1000*Time!X$9*Time!X$10*Operations!X518*Operations!$F$421</f>
        <v/>
      </c>
      <c r="Y539" s="20">
        <f>Inputs!$F$114*Inputs!$F$110/1000*Time!Y$9*Time!Y$10*Operations!Y518*Operations!$F$421</f>
        <v/>
      </c>
      <c r="Z539" s="20">
        <f>Inputs!$F$114*Inputs!$F$110/1000*Time!Z$9*Time!Z$10*Operations!Z518*Operations!$F$421</f>
        <v/>
      </c>
      <c r="AA539" s="20">
        <f>Inputs!$F$114*Inputs!$F$110/1000*Time!AA$9*Time!AA$10*Operations!AA518*Operations!$F$421</f>
        <v/>
      </c>
      <c r="AB539" s="20">
        <f>Inputs!$F$114*Inputs!$F$110/1000*Time!AB$9*Time!AB$10*Operations!AB518*Operations!$F$421</f>
        <v/>
      </c>
      <c r="AC539" s="20">
        <f>Inputs!$F$114*Inputs!$F$110/1000*Time!AC$9*Time!AC$10*Operations!AC518*Operations!$F$421</f>
        <v/>
      </c>
      <c r="AD539" s="20">
        <f>Inputs!$F$114*Inputs!$F$110/1000*Time!AD$9*Time!AD$10*Operations!AD518*Operations!$F$421</f>
        <v/>
      </c>
      <c r="AE539" s="20">
        <f>Inputs!$F$114*Inputs!$F$110/1000*Time!AE$9*Time!AE$10*Operations!AE518*Operations!$F$421</f>
        <v/>
      </c>
      <c r="AF539" s="20">
        <f>Inputs!$F$114*Inputs!$F$110/1000*Time!AF$9*Time!AF$10*Operations!AF518*Operations!$F$421</f>
        <v/>
      </c>
      <c r="AG539" s="20">
        <f>Inputs!$F$114*Inputs!$F$110/1000*Time!AG$9*Time!AG$10*Operations!AG518*Operations!$F$421</f>
        <v/>
      </c>
      <c r="AH539" s="20">
        <f>Inputs!$F$114*Inputs!$F$110/1000*Time!AH$9*Time!AH$10*Operations!AH518*Operations!$F$421</f>
        <v/>
      </c>
      <c r="AI539" s="20">
        <f>Inputs!$F$114*Inputs!$F$110/1000*Time!AI$9*Time!AI$10*Operations!AI518*Operations!$F$421</f>
        <v/>
      </c>
      <c r="AJ539" s="20">
        <f>Inputs!$F$114*Inputs!$F$110/1000*Time!AJ$9*Time!AJ$10*Operations!AJ518*Operations!$F$421</f>
        <v/>
      </c>
      <c r="AK539" s="20">
        <f>Inputs!$F$114*Inputs!$F$110/1000*Time!AK$9*Time!AK$10*Operations!AK518*Operations!$F$421</f>
        <v/>
      </c>
      <c r="AL539" s="20">
        <f>Inputs!$F$114*Inputs!$F$110/1000*Time!AL$9*Time!AL$10*Operations!AL518*Operations!$F$421</f>
        <v/>
      </c>
      <c r="AM539" s="20">
        <f>Inputs!$F$114*Inputs!$F$110/1000*Time!AM$9*Time!AM$10*Operations!AM518*Operations!$F$421</f>
        <v/>
      </c>
      <c r="AN539" s="20">
        <f>Inputs!$F$114*Inputs!$F$110/1000*Time!AN$9*Time!AN$10*Operations!AN518*Operations!$F$421</f>
        <v/>
      </c>
      <c r="AO539" s="20">
        <f>Inputs!$F$114*Inputs!$F$110/1000*Time!AO$9*Time!AO$10*Operations!AO518*Operations!$F$421</f>
        <v/>
      </c>
      <c r="AP539" s="20">
        <f>Inputs!$F$114*Inputs!$F$110/1000*Time!AP$9*Time!AP$10*Operations!AP518*Operations!$F$421</f>
        <v/>
      </c>
      <c r="AQ539" s="20">
        <f>Inputs!$F$114*Inputs!$F$110/1000*Time!AQ$9*Time!AQ$10*Operations!AQ518*Operations!$F$421</f>
        <v/>
      </c>
      <c r="AR539" s="20">
        <f>Inputs!$F$114*Inputs!$F$110/1000*Time!AR$9*Time!AR$10*Operations!AR518*Operations!$F$421</f>
        <v/>
      </c>
      <c r="AS539" s="20">
        <f>Inputs!$F$114*Inputs!$F$110/1000*Time!AS$9*Time!AS$10*Operations!AS518*Operations!$F$421</f>
        <v/>
      </c>
      <c r="AT539" s="20">
        <f>Inputs!$F$114*Inputs!$F$110/1000*Time!AT$9*Time!AT$10*Operations!AT518*Operations!$F$421</f>
        <v/>
      </c>
      <c r="AU539" s="20">
        <f>Inputs!$F$114*Inputs!$F$110/1000*Time!AU$9*Time!AU$10*Operations!AU518*Operations!$F$421</f>
        <v/>
      </c>
    </row>
    <row r="540">
      <c r="D540" t="inlineStr">
        <is>
          <t>R3 wind land lease</t>
        </is>
      </c>
      <c r="E540" t="inlineStr">
        <is>
          <t>USD m</t>
        </is>
      </c>
      <c r="J540" s="20">
        <f>Inputs!$F$232/100*Operations!J537</f>
        <v/>
      </c>
      <c r="K540" s="20">
        <f>Inputs!$F$232/100*Operations!K537</f>
        <v/>
      </c>
      <c r="L540" s="20">
        <f>Inputs!$F$232/100*Operations!L537</f>
        <v/>
      </c>
      <c r="M540" s="20">
        <f>Inputs!$F$232/100*Operations!M537</f>
        <v/>
      </c>
      <c r="N540" s="20">
        <f>Inputs!$F$232/100*Operations!N537</f>
        <v/>
      </c>
      <c r="O540" s="20">
        <f>Inputs!$F$232/100*Operations!O537</f>
        <v/>
      </c>
      <c r="P540" s="20">
        <f>Inputs!$F$232/100*Operations!P537</f>
        <v/>
      </c>
      <c r="Q540" s="20">
        <f>Inputs!$F$232/100*Operations!Q537</f>
        <v/>
      </c>
      <c r="R540" s="20">
        <f>Inputs!$F$232/100*Operations!R537</f>
        <v/>
      </c>
      <c r="S540" s="20">
        <f>Inputs!$F$232/100*Operations!S537</f>
        <v/>
      </c>
      <c r="T540" s="20">
        <f>Inputs!$F$232/100*Operations!T537</f>
        <v/>
      </c>
      <c r="U540" s="20">
        <f>Inputs!$F$232/100*Operations!U537</f>
        <v/>
      </c>
      <c r="V540" s="20">
        <f>Inputs!$F$232/100*Operations!V537</f>
        <v/>
      </c>
      <c r="W540" s="20">
        <f>Inputs!$F$232/100*Operations!W537</f>
        <v/>
      </c>
      <c r="X540" s="20">
        <f>Inputs!$F$232/100*Operations!X537</f>
        <v/>
      </c>
      <c r="Y540" s="20">
        <f>Inputs!$F$232/100*Operations!Y537</f>
        <v/>
      </c>
      <c r="Z540" s="20">
        <f>Inputs!$F$232/100*Operations!Z537</f>
        <v/>
      </c>
      <c r="AA540" s="20">
        <f>Inputs!$F$232/100*Operations!AA537</f>
        <v/>
      </c>
      <c r="AB540" s="20">
        <f>Inputs!$F$232/100*Operations!AB537</f>
        <v/>
      </c>
      <c r="AC540" s="20">
        <f>Inputs!$F$232/100*Operations!AC537</f>
        <v/>
      </c>
      <c r="AD540" s="20">
        <f>Inputs!$F$232/100*Operations!AD537</f>
        <v/>
      </c>
      <c r="AE540" s="20">
        <f>Inputs!$F$232/100*Operations!AE537</f>
        <v/>
      </c>
      <c r="AF540" s="20">
        <f>Inputs!$F$232/100*Operations!AF537</f>
        <v/>
      </c>
      <c r="AG540" s="20">
        <f>Inputs!$F$232/100*Operations!AG537</f>
        <v/>
      </c>
      <c r="AH540" s="20">
        <f>Inputs!$F$232/100*Operations!AH537</f>
        <v/>
      </c>
      <c r="AI540" s="20">
        <f>Inputs!$F$232/100*Operations!AI537</f>
        <v/>
      </c>
      <c r="AJ540" s="20">
        <f>Inputs!$F$232/100*Operations!AJ537</f>
        <v/>
      </c>
      <c r="AK540" s="20">
        <f>Inputs!$F$232/100*Operations!AK537</f>
        <v/>
      </c>
      <c r="AL540" s="20">
        <f>Inputs!$F$232/100*Operations!AL537</f>
        <v/>
      </c>
      <c r="AM540" s="20">
        <f>Inputs!$F$232/100*Operations!AM537</f>
        <v/>
      </c>
      <c r="AN540" s="20">
        <f>Inputs!$F$232/100*Operations!AN537</f>
        <v/>
      </c>
      <c r="AO540" s="20">
        <f>Inputs!$F$232/100*Operations!AO537</f>
        <v/>
      </c>
      <c r="AP540" s="20">
        <f>Inputs!$F$232/100*Operations!AP537</f>
        <v/>
      </c>
      <c r="AQ540" s="20">
        <f>Inputs!$F$232/100*Operations!AQ537</f>
        <v/>
      </c>
      <c r="AR540" s="20">
        <f>Inputs!$F$232/100*Operations!AR537</f>
        <v/>
      </c>
      <c r="AS540" s="20">
        <f>Inputs!$F$232/100*Operations!AS537</f>
        <v/>
      </c>
      <c r="AT540" s="20">
        <f>Inputs!$F$232/100*Operations!AT537</f>
        <v/>
      </c>
      <c r="AU540" s="20">
        <f>Inputs!$F$232/100*Operations!AU537</f>
        <v/>
      </c>
    </row>
    <row r="541">
      <c r="D541" t="inlineStr">
        <is>
          <t>R3 decommissioning surety cost</t>
        </is>
      </c>
      <c r="E541" t="inlineStr">
        <is>
          <t>USD m</t>
        </is>
      </c>
      <c r="J541" s="20">
        <f>Inputs!$F$236/100*Inputs!$F$115*Inputs!$F$110/1000*Time!J$9*Operations!J518</f>
        <v/>
      </c>
      <c r="K541" s="20">
        <f>Inputs!$F$236/100*Inputs!$F$115*Inputs!$F$110/1000*Time!K$9*Operations!K518</f>
        <v/>
      </c>
      <c r="L541" s="20">
        <f>Inputs!$F$236/100*Inputs!$F$115*Inputs!$F$110/1000*Time!L$9*Operations!L518</f>
        <v/>
      </c>
      <c r="M541" s="20">
        <f>Inputs!$F$236/100*Inputs!$F$115*Inputs!$F$110/1000*Time!M$9*Operations!M518</f>
        <v/>
      </c>
      <c r="N541" s="20">
        <f>Inputs!$F$236/100*Inputs!$F$115*Inputs!$F$110/1000*Time!N$9*Operations!N518</f>
        <v/>
      </c>
      <c r="O541" s="20">
        <f>Inputs!$F$236/100*Inputs!$F$115*Inputs!$F$110/1000*Time!O$9*Operations!O518</f>
        <v/>
      </c>
      <c r="P541" s="20">
        <f>Inputs!$F$236/100*Inputs!$F$115*Inputs!$F$110/1000*Time!P$9*Operations!P518</f>
        <v/>
      </c>
      <c r="Q541" s="20">
        <f>Inputs!$F$236/100*Inputs!$F$115*Inputs!$F$110/1000*Time!Q$9*Operations!Q518</f>
        <v/>
      </c>
      <c r="R541" s="20">
        <f>Inputs!$F$236/100*Inputs!$F$115*Inputs!$F$110/1000*Time!R$9*Operations!R518</f>
        <v/>
      </c>
      <c r="S541" s="20">
        <f>Inputs!$F$236/100*Inputs!$F$115*Inputs!$F$110/1000*Time!S$9*Operations!S518</f>
        <v/>
      </c>
      <c r="T541" s="20">
        <f>Inputs!$F$236/100*Inputs!$F$115*Inputs!$F$110/1000*Time!T$9*Operations!T518</f>
        <v/>
      </c>
      <c r="U541" s="20">
        <f>Inputs!$F$236/100*Inputs!$F$115*Inputs!$F$110/1000*Time!U$9*Operations!U518</f>
        <v/>
      </c>
      <c r="V541" s="20">
        <f>Inputs!$F$236/100*Inputs!$F$115*Inputs!$F$110/1000*Time!V$9*Operations!V518</f>
        <v/>
      </c>
      <c r="W541" s="20">
        <f>Inputs!$F$236/100*Inputs!$F$115*Inputs!$F$110/1000*Time!W$9*Operations!W518</f>
        <v/>
      </c>
      <c r="X541" s="20">
        <f>Inputs!$F$236/100*Inputs!$F$115*Inputs!$F$110/1000*Time!X$9*Operations!X518</f>
        <v/>
      </c>
      <c r="Y541" s="20">
        <f>Inputs!$F$236/100*Inputs!$F$115*Inputs!$F$110/1000*Time!Y$9*Operations!Y518</f>
        <v/>
      </c>
      <c r="Z541" s="20">
        <f>Inputs!$F$236/100*Inputs!$F$115*Inputs!$F$110/1000*Time!Z$9*Operations!Z518</f>
        <v/>
      </c>
      <c r="AA541" s="20">
        <f>Inputs!$F$236/100*Inputs!$F$115*Inputs!$F$110/1000*Time!AA$9*Operations!AA518</f>
        <v/>
      </c>
      <c r="AB541" s="20">
        <f>Inputs!$F$236/100*Inputs!$F$115*Inputs!$F$110/1000*Time!AB$9*Operations!AB518</f>
        <v/>
      </c>
      <c r="AC541" s="20">
        <f>Inputs!$F$236/100*Inputs!$F$115*Inputs!$F$110/1000*Time!AC$9*Operations!AC518</f>
        <v/>
      </c>
      <c r="AD541" s="20">
        <f>Inputs!$F$236/100*Inputs!$F$115*Inputs!$F$110/1000*Time!AD$9*Operations!AD518</f>
        <v/>
      </c>
      <c r="AE541" s="20">
        <f>Inputs!$F$236/100*Inputs!$F$115*Inputs!$F$110/1000*Time!AE$9*Operations!AE518</f>
        <v/>
      </c>
      <c r="AF541" s="20">
        <f>Inputs!$F$236/100*Inputs!$F$115*Inputs!$F$110/1000*Time!AF$9*Operations!AF518</f>
        <v/>
      </c>
      <c r="AG541" s="20">
        <f>Inputs!$F$236/100*Inputs!$F$115*Inputs!$F$110/1000*Time!AG$9*Operations!AG518</f>
        <v/>
      </c>
      <c r="AH541" s="20">
        <f>Inputs!$F$236/100*Inputs!$F$115*Inputs!$F$110/1000*Time!AH$9*Operations!AH518</f>
        <v/>
      </c>
      <c r="AI541" s="20">
        <f>Inputs!$F$236/100*Inputs!$F$115*Inputs!$F$110/1000*Time!AI$9*Operations!AI518</f>
        <v/>
      </c>
      <c r="AJ541" s="20">
        <f>Inputs!$F$236/100*Inputs!$F$115*Inputs!$F$110/1000*Time!AJ$9*Operations!AJ518</f>
        <v/>
      </c>
      <c r="AK541" s="20">
        <f>Inputs!$F$236/100*Inputs!$F$115*Inputs!$F$110/1000*Time!AK$9*Operations!AK518</f>
        <v/>
      </c>
      <c r="AL541" s="20">
        <f>Inputs!$F$236/100*Inputs!$F$115*Inputs!$F$110/1000*Time!AL$9*Operations!AL518</f>
        <v/>
      </c>
      <c r="AM541" s="20">
        <f>Inputs!$F$236/100*Inputs!$F$115*Inputs!$F$110/1000*Time!AM$9*Operations!AM518</f>
        <v/>
      </c>
      <c r="AN541" s="20">
        <f>Inputs!$F$236/100*Inputs!$F$115*Inputs!$F$110/1000*Time!AN$9*Operations!AN518</f>
        <v/>
      </c>
      <c r="AO541" s="20">
        <f>Inputs!$F$236/100*Inputs!$F$115*Inputs!$F$110/1000*Time!AO$9*Operations!AO518</f>
        <v/>
      </c>
      <c r="AP541" s="20">
        <f>Inputs!$F$236/100*Inputs!$F$115*Inputs!$F$110/1000*Time!AP$9*Operations!AP518</f>
        <v/>
      </c>
      <c r="AQ541" s="20">
        <f>Inputs!$F$236/100*Inputs!$F$115*Inputs!$F$110/1000*Time!AQ$9*Operations!AQ518</f>
        <v/>
      </c>
      <c r="AR541" s="20">
        <f>Inputs!$F$236/100*Inputs!$F$115*Inputs!$F$110/1000*Time!AR$9*Operations!AR518</f>
        <v/>
      </c>
      <c r="AS541" s="20">
        <f>Inputs!$F$236/100*Inputs!$F$115*Inputs!$F$110/1000*Time!AS$9*Operations!AS518</f>
        <v/>
      </c>
      <c r="AT541" s="20">
        <f>Inputs!$F$236/100*Inputs!$F$115*Inputs!$F$110/1000*Time!AT$9*Operations!AT518</f>
        <v/>
      </c>
      <c r="AU541" s="20">
        <f>Inputs!$F$236/100*Inputs!$F$115*Inputs!$F$110/1000*Time!AU$9*Operations!AU518</f>
        <v/>
      </c>
    </row>
    <row r="542">
      <c r="D542" t="inlineStr">
        <is>
          <t>R3 Texas margin tax</t>
        </is>
      </c>
      <c r="E542" t="inlineStr">
        <is>
          <t>USD m</t>
        </is>
      </c>
      <c r="J542" s="20">
        <f>Inputs!$F$237/100*Inputs!$F$238/100*Operations!J537</f>
        <v/>
      </c>
      <c r="K542" s="20">
        <f>Inputs!$F$237/100*Inputs!$F$238/100*Operations!K537</f>
        <v/>
      </c>
      <c r="L542" s="20">
        <f>Inputs!$F$237/100*Inputs!$F$238/100*Operations!L537</f>
        <v/>
      </c>
      <c r="M542" s="20">
        <f>Inputs!$F$237/100*Inputs!$F$238/100*Operations!M537</f>
        <v/>
      </c>
      <c r="N542" s="20">
        <f>Inputs!$F$237/100*Inputs!$F$238/100*Operations!N537</f>
        <v/>
      </c>
      <c r="O542" s="20">
        <f>Inputs!$F$237/100*Inputs!$F$238/100*Operations!O537</f>
        <v/>
      </c>
      <c r="P542" s="20">
        <f>Inputs!$F$237/100*Inputs!$F$238/100*Operations!P537</f>
        <v/>
      </c>
      <c r="Q542" s="20">
        <f>Inputs!$F$237/100*Inputs!$F$238/100*Operations!Q537</f>
        <v/>
      </c>
      <c r="R542" s="20">
        <f>Inputs!$F$237/100*Inputs!$F$238/100*Operations!R537</f>
        <v/>
      </c>
      <c r="S542" s="20">
        <f>Inputs!$F$237/100*Inputs!$F$238/100*Operations!S537</f>
        <v/>
      </c>
      <c r="T542" s="20">
        <f>Inputs!$F$237/100*Inputs!$F$238/100*Operations!T537</f>
        <v/>
      </c>
      <c r="U542" s="20">
        <f>Inputs!$F$237/100*Inputs!$F$238/100*Operations!U537</f>
        <v/>
      </c>
      <c r="V542" s="20">
        <f>Inputs!$F$237/100*Inputs!$F$238/100*Operations!V537</f>
        <v/>
      </c>
      <c r="W542" s="20">
        <f>Inputs!$F$237/100*Inputs!$F$238/100*Operations!W537</f>
        <v/>
      </c>
      <c r="X542" s="20">
        <f>Inputs!$F$237/100*Inputs!$F$238/100*Operations!X537</f>
        <v/>
      </c>
      <c r="Y542" s="20">
        <f>Inputs!$F$237/100*Inputs!$F$238/100*Operations!Y537</f>
        <v/>
      </c>
      <c r="Z542" s="20">
        <f>Inputs!$F$237/100*Inputs!$F$238/100*Operations!Z537</f>
        <v/>
      </c>
      <c r="AA542" s="20">
        <f>Inputs!$F$237/100*Inputs!$F$238/100*Operations!AA537</f>
        <v/>
      </c>
      <c r="AB542" s="20">
        <f>Inputs!$F$237/100*Inputs!$F$238/100*Operations!AB537</f>
        <v/>
      </c>
      <c r="AC542" s="20">
        <f>Inputs!$F$237/100*Inputs!$F$238/100*Operations!AC537</f>
        <v/>
      </c>
      <c r="AD542" s="20">
        <f>Inputs!$F$237/100*Inputs!$F$238/100*Operations!AD537</f>
        <v/>
      </c>
      <c r="AE542" s="20">
        <f>Inputs!$F$237/100*Inputs!$F$238/100*Operations!AE537</f>
        <v/>
      </c>
      <c r="AF542" s="20">
        <f>Inputs!$F$237/100*Inputs!$F$238/100*Operations!AF537</f>
        <v/>
      </c>
      <c r="AG542" s="20">
        <f>Inputs!$F$237/100*Inputs!$F$238/100*Operations!AG537</f>
        <v/>
      </c>
      <c r="AH542" s="20">
        <f>Inputs!$F$237/100*Inputs!$F$238/100*Operations!AH537</f>
        <v/>
      </c>
      <c r="AI542" s="20">
        <f>Inputs!$F$237/100*Inputs!$F$238/100*Operations!AI537</f>
        <v/>
      </c>
      <c r="AJ542" s="20">
        <f>Inputs!$F$237/100*Inputs!$F$238/100*Operations!AJ537</f>
        <v/>
      </c>
      <c r="AK542" s="20">
        <f>Inputs!$F$237/100*Inputs!$F$238/100*Operations!AK537</f>
        <v/>
      </c>
      <c r="AL542" s="20">
        <f>Inputs!$F$237/100*Inputs!$F$238/100*Operations!AL537</f>
        <v/>
      </c>
      <c r="AM542" s="20">
        <f>Inputs!$F$237/100*Inputs!$F$238/100*Operations!AM537</f>
        <v/>
      </c>
      <c r="AN542" s="20">
        <f>Inputs!$F$237/100*Inputs!$F$238/100*Operations!AN537</f>
        <v/>
      </c>
      <c r="AO542" s="20">
        <f>Inputs!$F$237/100*Inputs!$F$238/100*Operations!AO537</f>
        <v/>
      </c>
      <c r="AP542" s="20">
        <f>Inputs!$F$237/100*Inputs!$F$238/100*Operations!AP537</f>
        <v/>
      </c>
      <c r="AQ542" s="20">
        <f>Inputs!$F$237/100*Inputs!$F$238/100*Operations!AQ537</f>
        <v/>
      </c>
      <c r="AR542" s="20">
        <f>Inputs!$F$237/100*Inputs!$F$238/100*Operations!AR537</f>
        <v/>
      </c>
      <c r="AS542" s="20">
        <f>Inputs!$F$237/100*Inputs!$F$238/100*Operations!AS537</f>
        <v/>
      </c>
      <c r="AT542" s="20">
        <f>Inputs!$F$237/100*Inputs!$F$238/100*Operations!AT537</f>
        <v/>
      </c>
      <c r="AU542" s="20">
        <f>Inputs!$F$237/100*Inputs!$F$238/100*Operations!AU537</f>
        <v/>
      </c>
    </row>
    <row r="543">
      <c r="D543" t="inlineStr">
        <is>
          <t>R3 EBITDA</t>
        </is>
      </c>
      <c r="E543" t="inlineStr">
        <is>
          <t>USD m</t>
        </is>
      </c>
      <c r="G543" s="20">
        <f>SUM(J543:AU543)</f>
        <v/>
      </c>
      <c r="J543" s="20">
        <f>Operations!J537-Operations!J539-Operations!J540-Operations!J541-Operations!J542</f>
        <v/>
      </c>
      <c r="K543" s="20">
        <f>Operations!K537-Operations!K539-Operations!K540-Operations!K541-Operations!K542</f>
        <v/>
      </c>
      <c r="L543" s="20">
        <f>Operations!L537-Operations!L539-Operations!L540-Operations!L541-Operations!L542</f>
        <v/>
      </c>
      <c r="M543" s="20">
        <f>Operations!M537-Operations!M539-Operations!M540-Operations!M541-Operations!M542</f>
        <v/>
      </c>
      <c r="N543" s="20">
        <f>Operations!N537-Operations!N539-Operations!N540-Operations!N541-Operations!N542</f>
        <v/>
      </c>
      <c r="O543" s="20">
        <f>Operations!O537-Operations!O539-Operations!O540-Operations!O541-Operations!O542</f>
        <v/>
      </c>
      <c r="P543" s="20">
        <f>Operations!P537-Operations!P539-Operations!P540-Operations!P541-Operations!P542</f>
        <v/>
      </c>
      <c r="Q543" s="20">
        <f>Operations!Q537-Operations!Q539-Operations!Q540-Operations!Q541-Operations!Q542</f>
        <v/>
      </c>
      <c r="R543" s="20">
        <f>Operations!R537-Operations!R539-Operations!R540-Operations!R541-Operations!R542</f>
        <v/>
      </c>
      <c r="S543" s="20">
        <f>Operations!S537-Operations!S539-Operations!S540-Operations!S541-Operations!S542</f>
        <v/>
      </c>
      <c r="T543" s="20">
        <f>Operations!T537-Operations!T539-Operations!T540-Operations!T541-Operations!T542</f>
        <v/>
      </c>
      <c r="U543" s="20">
        <f>Operations!U537-Operations!U539-Operations!U540-Operations!U541-Operations!U542</f>
        <v/>
      </c>
      <c r="V543" s="20">
        <f>Operations!V537-Operations!V539-Operations!V540-Operations!V541-Operations!V542</f>
        <v/>
      </c>
      <c r="W543" s="20">
        <f>Operations!W537-Operations!W539-Operations!W540-Operations!W541-Operations!W542</f>
        <v/>
      </c>
      <c r="X543" s="20">
        <f>Operations!X537-Operations!X539-Operations!X540-Operations!X541-Operations!X542</f>
        <v/>
      </c>
      <c r="Y543" s="20">
        <f>Operations!Y537-Operations!Y539-Operations!Y540-Operations!Y541-Operations!Y542</f>
        <v/>
      </c>
      <c r="Z543" s="20">
        <f>Operations!Z537-Operations!Z539-Operations!Z540-Operations!Z541-Operations!Z542</f>
        <v/>
      </c>
      <c r="AA543" s="20">
        <f>Operations!AA537-Operations!AA539-Operations!AA540-Operations!AA541-Operations!AA542</f>
        <v/>
      </c>
      <c r="AB543" s="20">
        <f>Operations!AB537-Operations!AB539-Operations!AB540-Operations!AB541-Operations!AB542</f>
        <v/>
      </c>
      <c r="AC543" s="20">
        <f>Operations!AC537-Operations!AC539-Operations!AC540-Operations!AC541-Operations!AC542</f>
        <v/>
      </c>
      <c r="AD543" s="20">
        <f>Operations!AD537-Operations!AD539-Operations!AD540-Operations!AD541-Operations!AD542</f>
        <v/>
      </c>
      <c r="AE543" s="20">
        <f>Operations!AE537-Operations!AE539-Operations!AE540-Operations!AE541-Operations!AE542</f>
        <v/>
      </c>
      <c r="AF543" s="20">
        <f>Operations!AF537-Operations!AF539-Operations!AF540-Operations!AF541-Operations!AF542</f>
        <v/>
      </c>
      <c r="AG543" s="20">
        <f>Operations!AG537-Operations!AG539-Operations!AG540-Operations!AG541-Operations!AG542</f>
        <v/>
      </c>
      <c r="AH543" s="20">
        <f>Operations!AH537-Operations!AH539-Operations!AH540-Operations!AH541-Operations!AH542</f>
        <v/>
      </c>
      <c r="AI543" s="20">
        <f>Operations!AI537-Operations!AI539-Operations!AI540-Operations!AI541-Operations!AI542</f>
        <v/>
      </c>
      <c r="AJ543" s="20">
        <f>Operations!AJ537-Operations!AJ539-Operations!AJ540-Operations!AJ541-Operations!AJ542</f>
        <v/>
      </c>
      <c r="AK543" s="20">
        <f>Operations!AK537-Operations!AK539-Operations!AK540-Operations!AK541-Operations!AK542</f>
        <v/>
      </c>
      <c r="AL543" s="20">
        <f>Operations!AL537-Operations!AL539-Operations!AL540-Operations!AL541-Operations!AL542</f>
        <v/>
      </c>
      <c r="AM543" s="20">
        <f>Operations!AM537-Operations!AM539-Operations!AM540-Operations!AM541-Operations!AM542</f>
        <v/>
      </c>
      <c r="AN543" s="20">
        <f>Operations!AN537-Operations!AN539-Operations!AN540-Operations!AN541-Operations!AN542</f>
        <v/>
      </c>
      <c r="AO543" s="20">
        <f>Operations!AO537-Operations!AO539-Operations!AO540-Operations!AO541-Operations!AO542</f>
        <v/>
      </c>
      <c r="AP543" s="20">
        <f>Operations!AP537-Operations!AP539-Operations!AP540-Operations!AP541-Operations!AP542</f>
        <v/>
      </c>
      <c r="AQ543" s="20">
        <f>Operations!AQ537-Operations!AQ539-Operations!AQ540-Operations!AQ541-Operations!AQ542</f>
        <v/>
      </c>
      <c r="AR543" s="20">
        <f>Operations!AR537-Operations!AR539-Operations!AR540-Operations!AR541-Operations!AR542</f>
        <v/>
      </c>
      <c r="AS543" s="20">
        <f>Operations!AS537-Operations!AS539-Operations!AS540-Operations!AS541-Operations!AS542</f>
        <v/>
      </c>
      <c r="AT543" s="20">
        <f>Operations!AT537-Operations!AT539-Operations!AT540-Operations!AT541-Operations!AT542</f>
        <v/>
      </c>
      <c r="AU543" s="20">
        <f>Operations!AU537-Operations!AU539-Operations!AU540-Operations!AU541-Operations!AU542</f>
        <v/>
      </c>
    </row>
    <row r="544">
      <c r="D544" t="inlineStr">
        <is>
          <t>R3 capex</t>
        </is>
      </c>
      <c r="E544" t="inlineStr">
        <is>
          <t>USD m</t>
        </is>
      </c>
      <c r="J544" s="20">
        <f>0</f>
        <v/>
      </c>
      <c r="K544" s="20">
        <f>0</f>
        <v/>
      </c>
      <c r="L544" s="20">
        <f>0</f>
        <v/>
      </c>
      <c r="M544" s="20">
        <f>0</f>
        <v/>
      </c>
      <c r="N544" s="20">
        <f>0</f>
        <v/>
      </c>
      <c r="O544" s="20">
        <f>0</f>
        <v/>
      </c>
      <c r="P544" s="20">
        <f>0</f>
        <v/>
      </c>
      <c r="Q544" s="20">
        <f>0</f>
        <v/>
      </c>
      <c r="R544" s="20">
        <f>0</f>
        <v/>
      </c>
      <c r="S544" s="20">
        <f>0</f>
        <v/>
      </c>
      <c r="T544" s="20">
        <f>0</f>
        <v/>
      </c>
      <c r="U544" s="20">
        <f>0</f>
        <v/>
      </c>
      <c r="V544" s="20">
        <f>0</f>
        <v/>
      </c>
      <c r="W544" s="20">
        <f>0</f>
        <v/>
      </c>
      <c r="X544" s="20">
        <f>0</f>
        <v/>
      </c>
      <c r="Y544" s="20">
        <f>0</f>
        <v/>
      </c>
      <c r="Z544" s="20">
        <f>0</f>
        <v/>
      </c>
      <c r="AA544" s="20">
        <f>0</f>
        <v/>
      </c>
      <c r="AB544" s="20">
        <f>0</f>
        <v/>
      </c>
      <c r="AC544" s="20">
        <f>0</f>
        <v/>
      </c>
      <c r="AD544" s="20">
        <f>0</f>
        <v/>
      </c>
      <c r="AE544" s="20">
        <f>0</f>
        <v/>
      </c>
      <c r="AF544" s="20">
        <f>0</f>
        <v/>
      </c>
      <c r="AG544" s="20">
        <f>0</f>
        <v/>
      </c>
      <c r="AH544" s="20">
        <f>0</f>
        <v/>
      </c>
      <c r="AI544" s="20">
        <f>0</f>
        <v/>
      </c>
      <c r="AJ544" s="20">
        <f>0</f>
        <v/>
      </c>
      <c r="AK544" s="20">
        <f>0</f>
        <v/>
      </c>
      <c r="AL544" s="20">
        <f>0</f>
        <v/>
      </c>
      <c r="AM544" s="20">
        <f>0</f>
        <v/>
      </c>
      <c r="AN544" s="20">
        <f>0</f>
        <v/>
      </c>
      <c r="AO544" s="20">
        <f>0</f>
        <v/>
      </c>
      <c r="AP544" s="20">
        <f>0</f>
        <v/>
      </c>
      <c r="AQ544" s="20">
        <f>0</f>
        <v/>
      </c>
      <c r="AR544" s="20">
        <f>0</f>
        <v/>
      </c>
      <c r="AS544" s="20">
        <f>0</f>
        <v/>
      </c>
      <c r="AT544" s="20">
        <f>0</f>
        <v/>
      </c>
      <c r="AU544" s="20">
        <f>0</f>
        <v/>
      </c>
    </row>
    <row r="545">
      <c r="D545" t="inlineStr">
        <is>
          <t>R3 decommissioning at end of life</t>
        </is>
      </c>
      <c r="E545" t="inlineStr">
        <is>
          <t>USD m</t>
        </is>
      </c>
      <c r="J545" s="20">
        <f>IF(Time!J$4=YEAR(Inputs!$F$112),Inputs!$F$115*Inputs!$F$110/1000*Time!J$9,0)</f>
        <v/>
      </c>
      <c r="K545" s="20">
        <f>IF(Time!K$4=YEAR(Inputs!$F$112),Inputs!$F$115*Inputs!$F$110/1000*Time!K$9,0)</f>
        <v/>
      </c>
      <c r="L545" s="20">
        <f>IF(Time!L$4=YEAR(Inputs!$F$112),Inputs!$F$115*Inputs!$F$110/1000*Time!L$9,0)</f>
        <v/>
      </c>
      <c r="M545" s="20">
        <f>IF(Time!M$4=YEAR(Inputs!$F$112),Inputs!$F$115*Inputs!$F$110/1000*Time!M$9,0)</f>
        <v/>
      </c>
      <c r="N545" s="20">
        <f>IF(Time!N$4=YEAR(Inputs!$F$112),Inputs!$F$115*Inputs!$F$110/1000*Time!N$9,0)</f>
        <v/>
      </c>
      <c r="O545" s="20">
        <f>IF(Time!O$4=YEAR(Inputs!$F$112),Inputs!$F$115*Inputs!$F$110/1000*Time!O$9,0)</f>
        <v/>
      </c>
      <c r="P545" s="20">
        <f>IF(Time!P$4=YEAR(Inputs!$F$112),Inputs!$F$115*Inputs!$F$110/1000*Time!P$9,0)</f>
        <v/>
      </c>
      <c r="Q545" s="20">
        <f>IF(Time!Q$4=YEAR(Inputs!$F$112),Inputs!$F$115*Inputs!$F$110/1000*Time!Q$9,0)</f>
        <v/>
      </c>
      <c r="R545" s="20">
        <f>IF(Time!R$4=YEAR(Inputs!$F$112),Inputs!$F$115*Inputs!$F$110/1000*Time!R$9,0)</f>
        <v/>
      </c>
      <c r="S545" s="20">
        <f>IF(Time!S$4=YEAR(Inputs!$F$112),Inputs!$F$115*Inputs!$F$110/1000*Time!S$9,0)</f>
        <v/>
      </c>
      <c r="T545" s="20">
        <f>IF(Time!T$4=YEAR(Inputs!$F$112),Inputs!$F$115*Inputs!$F$110/1000*Time!T$9,0)</f>
        <v/>
      </c>
      <c r="U545" s="20">
        <f>IF(Time!U$4=YEAR(Inputs!$F$112),Inputs!$F$115*Inputs!$F$110/1000*Time!U$9,0)</f>
        <v/>
      </c>
      <c r="V545" s="20">
        <f>IF(Time!V$4=YEAR(Inputs!$F$112),Inputs!$F$115*Inputs!$F$110/1000*Time!V$9,0)</f>
        <v/>
      </c>
      <c r="W545" s="20">
        <f>IF(Time!W$4=YEAR(Inputs!$F$112),Inputs!$F$115*Inputs!$F$110/1000*Time!W$9,0)</f>
        <v/>
      </c>
      <c r="X545" s="20">
        <f>IF(Time!X$4=YEAR(Inputs!$F$112),Inputs!$F$115*Inputs!$F$110/1000*Time!X$9,0)</f>
        <v/>
      </c>
      <c r="Y545" s="20">
        <f>IF(Time!Y$4=YEAR(Inputs!$F$112),Inputs!$F$115*Inputs!$F$110/1000*Time!Y$9,0)</f>
        <v/>
      </c>
      <c r="Z545" s="20">
        <f>IF(Time!Z$4=YEAR(Inputs!$F$112),Inputs!$F$115*Inputs!$F$110/1000*Time!Z$9,0)</f>
        <v/>
      </c>
      <c r="AA545" s="20">
        <f>IF(Time!AA$4=YEAR(Inputs!$F$112),Inputs!$F$115*Inputs!$F$110/1000*Time!AA$9,0)</f>
        <v/>
      </c>
      <c r="AB545" s="20">
        <f>IF(Time!AB$4=YEAR(Inputs!$F$112),Inputs!$F$115*Inputs!$F$110/1000*Time!AB$9,0)</f>
        <v/>
      </c>
      <c r="AC545" s="20">
        <f>IF(Time!AC$4=YEAR(Inputs!$F$112),Inputs!$F$115*Inputs!$F$110/1000*Time!AC$9,0)</f>
        <v/>
      </c>
      <c r="AD545" s="20">
        <f>IF(Time!AD$4=YEAR(Inputs!$F$112),Inputs!$F$115*Inputs!$F$110/1000*Time!AD$9,0)</f>
        <v/>
      </c>
      <c r="AE545" s="20">
        <f>IF(Time!AE$4=YEAR(Inputs!$F$112),Inputs!$F$115*Inputs!$F$110/1000*Time!AE$9,0)</f>
        <v/>
      </c>
      <c r="AF545" s="20">
        <f>IF(Time!AF$4=YEAR(Inputs!$F$112),Inputs!$F$115*Inputs!$F$110/1000*Time!AF$9,0)</f>
        <v/>
      </c>
      <c r="AG545" s="20">
        <f>IF(Time!AG$4=YEAR(Inputs!$F$112),Inputs!$F$115*Inputs!$F$110/1000*Time!AG$9,0)</f>
        <v/>
      </c>
      <c r="AH545" s="20">
        <f>IF(Time!AH$4=YEAR(Inputs!$F$112),Inputs!$F$115*Inputs!$F$110/1000*Time!AH$9,0)</f>
        <v/>
      </c>
      <c r="AI545" s="20">
        <f>IF(Time!AI$4=YEAR(Inputs!$F$112),Inputs!$F$115*Inputs!$F$110/1000*Time!AI$9,0)</f>
        <v/>
      </c>
      <c r="AJ545" s="20">
        <f>IF(Time!AJ$4=YEAR(Inputs!$F$112),Inputs!$F$115*Inputs!$F$110/1000*Time!AJ$9,0)</f>
        <v/>
      </c>
      <c r="AK545" s="20">
        <f>IF(Time!AK$4=YEAR(Inputs!$F$112),Inputs!$F$115*Inputs!$F$110/1000*Time!AK$9,0)</f>
        <v/>
      </c>
      <c r="AL545" s="20">
        <f>IF(Time!AL$4=YEAR(Inputs!$F$112),Inputs!$F$115*Inputs!$F$110/1000*Time!AL$9,0)</f>
        <v/>
      </c>
      <c r="AM545" s="20">
        <f>IF(Time!AM$4=YEAR(Inputs!$F$112),Inputs!$F$115*Inputs!$F$110/1000*Time!AM$9,0)</f>
        <v/>
      </c>
      <c r="AN545" s="20">
        <f>IF(Time!AN$4=YEAR(Inputs!$F$112),Inputs!$F$115*Inputs!$F$110/1000*Time!AN$9,0)</f>
        <v/>
      </c>
      <c r="AO545" s="20">
        <f>IF(Time!AO$4=YEAR(Inputs!$F$112),Inputs!$F$115*Inputs!$F$110/1000*Time!AO$9,0)</f>
        <v/>
      </c>
      <c r="AP545" s="20">
        <f>IF(Time!AP$4=YEAR(Inputs!$F$112),Inputs!$F$115*Inputs!$F$110/1000*Time!AP$9,0)</f>
        <v/>
      </c>
      <c r="AQ545" s="20">
        <f>IF(Time!AQ$4=YEAR(Inputs!$F$112),Inputs!$F$115*Inputs!$F$110/1000*Time!AQ$9,0)</f>
        <v/>
      </c>
      <c r="AR545" s="20">
        <f>IF(Time!AR$4=YEAR(Inputs!$F$112),Inputs!$F$115*Inputs!$F$110/1000*Time!AR$9,0)</f>
        <v/>
      </c>
      <c r="AS545" s="20">
        <f>IF(Time!AS$4=YEAR(Inputs!$F$112),Inputs!$F$115*Inputs!$F$110/1000*Time!AS$9,0)</f>
        <v/>
      </c>
      <c r="AT545" s="20">
        <f>IF(Time!AT$4=YEAR(Inputs!$F$112),Inputs!$F$115*Inputs!$F$110/1000*Time!AT$9,0)</f>
        <v/>
      </c>
      <c r="AU545" s="20">
        <f>IF(Time!AU$4=YEAR(Inputs!$F$112),Inputs!$F$115*Inputs!$F$110/1000*Time!AU$9,0)</f>
        <v/>
      </c>
    </row>
    <row r="546">
      <c r="D546" t="inlineStr">
        <is>
          <t>R3 pre-tax cash flow, 100% of asset</t>
        </is>
      </c>
      <c r="E546" t="inlineStr">
        <is>
          <t>USD m</t>
        </is>
      </c>
      <c r="G546" s="20">
        <f>SUM(J546:AU546)</f>
        <v/>
      </c>
      <c r="J546" s="20">
        <f>Operations!J543-Operations!J544-Operations!J545</f>
        <v/>
      </c>
      <c r="K546" s="20">
        <f>Operations!K543-Operations!K544-Operations!K545</f>
        <v/>
      </c>
      <c r="L546" s="20">
        <f>Operations!L543-Operations!L544-Operations!L545</f>
        <v/>
      </c>
      <c r="M546" s="20">
        <f>Operations!M543-Operations!M544-Operations!M545</f>
        <v/>
      </c>
      <c r="N546" s="20">
        <f>Operations!N543-Operations!N544-Operations!N545</f>
        <v/>
      </c>
      <c r="O546" s="20">
        <f>Operations!O543-Operations!O544-Operations!O545</f>
        <v/>
      </c>
      <c r="P546" s="20">
        <f>Operations!P543-Operations!P544-Operations!P545</f>
        <v/>
      </c>
      <c r="Q546" s="20">
        <f>Operations!Q543-Operations!Q544-Operations!Q545</f>
        <v/>
      </c>
      <c r="R546" s="20">
        <f>Operations!R543-Operations!R544-Operations!R545</f>
        <v/>
      </c>
      <c r="S546" s="20">
        <f>Operations!S543-Operations!S544-Operations!S545</f>
        <v/>
      </c>
      <c r="T546" s="20">
        <f>Operations!T543-Operations!T544-Operations!T545</f>
        <v/>
      </c>
      <c r="U546" s="20">
        <f>Operations!U543-Operations!U544-Operations!U545</f>
        <v/>
      </c>
      <c r="V546" s="20">
        <f>Operations!V543-Operations!V544-Operations!V545</f>
        <v/>
      </c>
      <c r="W546" s="20">
        <f>Operations!W543-Operations!W544-Operations!W545</f>
        <v/>
      </c>
      <c r="X546" s="20">
        <f>Operations!X543-Operations!X544-Operations!X545</f>
        <v/>
      </c>
      <c r="Y546" s="20">
        <f>Operations!Y543-Operations!Y544-Operations!Y545</f>
        <v/>
      </c>
      <c r="Z546" s="20">
        <f>Operations!Z543-Operations!Z544-Operations!Z545</f>
        <v/>
      </c>
      <c r="AA546" s="20">
        <f>Operations!AA543-Operations!AA544-Operations!AA545</f>
        <v/>
      </c>
      <c r="AB546" s="20">
        <f>Operations!AB543-Operations!AB544-Operations!AB545</f>
        <v/>
      </c>
      <c r="AC546" s="20">
        <f>Operations!AC543-Operations!AC544-Operations!AC545</f>
        <v/>
      </c>
      <c r="AD546" s="20">
        <f>Operations!AD543-Operations!AD544-Operations!AD545</f>
        <v/>
      </c>
      <c r="AE546" s="20">
        <f>Operations!AE543-Operations!AE544-Operations!AE545</f>
        <v/>
      </c>
      <c r="AF546" s="20">
        <f>Operations!AF543-Operations!AF544-Operations!AF545</f>
        <v/>
      </c>
      <c r="AG546" s="20">
        <f>Operations!AG543-Operations!AG544-Operations!AG545</f>
        <v/>
      </c>
      <c r="AH546" s="20">
        <f>Operations!AH543-Operations!AH544-Operations!AH545</f>
        <v/>
      </c>
      <c r="AI546" s="20">
        <f>Operations!AI543-Operations!AI544-Operations!AI545</f>
        <v/>
      </c>
      <c r="AJ546" s="20">
        <f>Operations!AJ543-Operations!AJ544-Operations!AJ545</f>
        <v/>
      </c>
      <c r="AK546" s="20">
        <f>Operations!AK543-Operations!AK544-Operations!AK545</f>
        <v/>
      </c>
      <c r="AL546" s="20">
        <f>Operations!AL543-Operations!AL544-Operations!AL545</f>
        <v/>
      </c>
      <c r="AM546" s="20">
        <f>Operations!AM543-Operations!AM544-Operations!AM545</f>
        <v/>
      </c>
      <c r="AN546" s="20">
        <f>Operations!AN543-Operations!AN544-Operations!AN545</f>
        <v/>
      </c>
      <c r="AO546" s="20">
        <f>Operations!AO543-Operations!AO544-Operations!AO545</f>
        <v/>
      </c>
      <c r="AP546" s="20">
        <f>Operations!AP543-Operations!AP544-Operations!AP545</f>
        <v/>
      </c>
      <c r="AQ546" s="20">
        <f>Operations!AQ543-Operations!AQ544-Operations!AQ545</f>
        <v/>
      </c>
      <c r="AR546" s="20">
        <f>Operations!AR543-Operations!AR544-Operations!AR545</f>
        <v/>
      </c>
      <c r="AS546" s="20">
        <f>Operations!AS543-Operations!AS544-Operations!AS545</f>
        <v/>
      </c>
      <c r="AT546" s="20">
        <f>Operations!AT543-Operations!AT544-Operations!AT545</f>
        <v/>
      </c>
      <c r="AU546" s="20">
        <f>Operations!AU543-Operations!AU544-Operations!AU545</f>
        <v/>
      </c>
    </row>
    <row r="547">
      <c r="D547" t="inlineStr">
        <is>
          <t>R3 fraction of year before flip</t>
        </is>
      </c>
      <c r="E547" t="inlineStr">
        <is>
          <t>fraction</t>
        </is>
      </c>
      <c r="J547" s="14">
        <f>MAX(0,MIN(Inputs!$F$224,Time!J$6)-Time!J$5)/Time!J$7</f>
        <v/>
      </c>
      <c r="K547" s="14">
        <f>MAX(0,MIN(Inputs!$F$224,Time!K$6)-Time!K$5)/Time!K$7</f>
        <v/>
      </c>
      <c r="L547" s="14">
        <f>MAX(0,MIN(Inputs!$F$224,Time!L$6)-Time!L$5)/Time!L$7</f>
        <v/>
      </c>
      <c r="M547" s="14">
        <f>MAX(0,MIN(Inputs!$F$224,Time!M$6)-Time!M$5)/Time!M$7</f>
        <v/>
      </c>
      <c r="N547" s="14">
        <f>MAX(0,MIN(Inputs!$F$224,Time!N$6)-Time!N$5)/Time!N$7</f>
        <v/>
      </c>
      <c r="O547" s="14">
        <f>MAX(0,MIN(Inputs!$F$224,Time!O$6)-Time!O$5)/Time!O$7</f>
        <v/>
      </c>
      <c r="P547" s="14">
        <f>MAX(0,MIN(Inputs!$F$224,Time!P$6)-Time!P$5)/Time!P$7</f>
        <v/>
      </c>
      <c r="Q547" s="14">
        <f>MAX(0,MIN(Inputs!$F$224,Time!Q$6)-Time!Q$5)/Time!Q$7</f>
        <v/>
      </c>
      <c r="R547" s="14">
        <f>MAX(0,MIN(Inputs!$F$224,Time!R$6)-Time!R$5)/Time!R$7</f>
        <v/>
      </c>
      <c r="S547" s="14">
        <f>MAX(0,MIN(Inputs!$F$224,Time!S$6)-Time!S$5)/Time!S$7</f>
        <v/>
      </c>
      <c r="T547" s="14">
        <f>MAX(0,MIN(Inputs!$F$224,Time!T$6)-Time!T$5)/Time!T$7</f>
        <v/>
      </c>
      <c r="U547" s="14">
        <f>MAX(0,MIN(Inputs!$F$224,Time!U$6)-Time!U$5)/Time!U$7</f>
        <v/>
      </c>
      <c r="V547" s="14">
        <f>MAX(0,MIN(Inputs!$F$224,Time!V$6)-Time!V$5)/Time!V$7</f>
        <v/>
      </c>
      <c r="W547" s="14">
        <f>MAX(0,MIN(Inputs!$F$224,Time!W$6)-Time!W$5)/Time!W$7</f>
        <v/>
      </c>
      <c r="X547" s="14">
        <f>MAX(0,MIN(Inputs!$F$224,Time!X$6)-Time!X$5)/Time!X$7</f>
        <v/>
      </c>
      <c r="Y547" s="14">
        <f>MAX(0,MIN(Inputs!$F$224,Time!Y$6)-Time!Y$5)/Time!Y$7</f>
        <v/>
      </c>
      <c r="Z547" s="14">
        <f>MAX(0,MIN(Inputs!$F$224,Time!Z$6)-Time!Z$5)/Time!Z$7</f>
        <v/>
      </c>
      <c r="AA547" s="14">
        <f>MAX(0,MIN(Inputs!$F$224,Time!AA$6)-Time!AA$5)/Time!AA$7</f>
        <v/>
      </c>
      <c r="AB547" s="14">
        <f>MAX(0,MIN(Inputs!$F$224,Time!AB$6)-Time!AB$5)/Time!AB$7</f>
        <v/>
      </c>
      <c r="AC547" s="14">
        <f>MAX(0,MIN(Inputs!$F$224,Time!AC$6)-Time!AC$5)/Time!AC$7</f>
        <v/>
      </c>
      <c r="AD547" s="14">
        <f>MAX(0,MIN(Inputs!$F$224,Time!AD$6)-Time!AD$5)/Time!AD$7</f>
        <v/>
      </c>
      <c r="AE547" s="14">
        <f>MAX(0,MIN(Inputs!$F$224,Time!AE$6)-Time!AE$5)/Time!AE$7</f>
        <v/>
      </c>
      <c r="AF547" s="14">
        <f>MAX(0,MIN(Inputs!$F$224,Time!AF$6)-Time!AF$5)/Time!AF$7</f>
        <v/>
      </c>
      <c r="AG547" s="14">
        <f>MAX(0,MIN(Inputs!$F$224,Time!AG$6)-Time!AG$5)/Time!AG$7</f>
        <v/>
      </c>
      <c r="AH547" s="14">
        <f>MAX(0,MIN(Inputs!$F$224,Time!AH$6)-Time!AH$5)/Time!AH$7</f>
        <v/>
      </c>
      <c r="AI547" s="14">
        <f>MAX(0,MIN(Inputs!$F$224,Time!AI$6)-Time!AI$5)/Time!AI$7</f>
        <v/>
      </c>
      <c r="AJ547" s="14">
        <f>MAX(0,MIN(Inputs!$F$224,Time!AJ$6)-Time!AJ$5)/Time!AJ$7</f>
        <v/>
      </c>
      <c r="AK547" s="14">
        <f>MAX(0,MIN(Inputs!$F$224,Time!AK$6)-Time!AK$5)/Time!AK$7</f>
        <v/>
      </c>
      <c r="AL547" s="14">
        <f>MAX(0,MIN(Inputs!$F$224,Time!AL$6)-Time!AL$5)/Time!AL$7</f>
        <v/>
      </c>
      <c r="AM547" s="14">
        <f>MAX(0,MIN(Inputs!$F$224,Time!AM$6)-Time!AM$5)/Time!AM$7</f>
        <v/>
      </c>
      <c r="AN547" s="14">
        <f>MAX(0,MIN(Inputs!$F$224,Time!AN$6)-Time!AN$5)/Time!AN$7</f>
        <v/>
      </c>
      <c r="AO547" s="14">
        <f>MAX(0,MIN(Inputs!$F$224,Time!AO$6)-Time!AO$5)/Time!AO$7</f>
        <v/>
      </c>
      <c r="AP547" s="14">
        <f>MAX(0,MIN(Inputs!$F$224,Time!AP$6)-Time!AP$5)/Time!AP$7</f>
        <v/>
      </c>
      <c r="AQ547" s="14">
        <f>MAX(0,MIN(Inputs!$F$224,Time!AQ$6)-Time!AQ$5)/Time!AQ$7</f>
        <v/>
      </c>
      <c r="AR547" s="14">
        <f>MAX(0,MIN(Inputs!$F$224,Time!AR$6)-Time!AR$5)/Time!AR$7</f>
        <v/>
      </c>
      <c r="AS547" s="14">
        <f>MAX(0,MIN(Inputs!$F$224,Time!AS$6)-Time!AS$5)/Time!AS$7</f>
        <v/>
      </c>
      <c r="AT547" s="14">
        <f>MAX(0,MIN(Inputs!$F$224,Time!AT$6)-Time!AT$5)/Time!AT$7</f>
        <v/>
      </c>
      <c r="AU547" s="14">
        <f>MAX(0,MIN(Inputs!$F$224,Time!AU$6)-Time!AU$5)/Time!AU$7</f>
        <v/>
      </c>
    </row>
    <row r="548">
      <c r="D548" t="inlineStr">
        <is>
          <t>R3 tax equity cash share</t>
        </is>
      </c>
      <c r="E548" t="inlineStr">
        <is>
          <t>fraction</t>
        </is>
      </c>
      <c r="J548" s="14">
        <f>Inputs!$F$221/100*Operations!J547+Inputs!$F$223/100*(1-Operations!J547)</f>
        <v/>
      </c>
      <c r="K548" s="14">
        <f>Inputs!$F$221/100*Operations!K547+Inputs!$F$223/100*(1-Operations!K547)</f>
        <v/>
      </c>
      <c r="L548" s="14">
        <f>Inputs!$F$221/100*Operations!L547+Inputs!$F$223/100*(1-Operations!L547)</f>
        <v/>
      </c>
      <c r="M548" s="14">
        <f>Inputs!$F$221/100*Operations!M547+Inputs!$F$223/100*(1-Operations!M547)</f>
        <v/>
      </c>
      <c r="N548" s="14">
        <f>Inputs!$F$221/100*Operations!N547+Inputs!$F$223/100*(1-Operations!N547)</f>
        <v/>
      </c>
      <c r="O548" s="14">
        <f>Inputs!$F$221/100*Operations!O547+Inputs!$F$223/100*(1-Operations!O547)</f>
        <v/>
      </c>
      <c r="P548" s="14">
        <f>Inputs!$F$221/100*Operations!P547+Inputs!$F$223/100*(1-Operations!P547)</f>
        <v/>
      </c>
      <c r="Q548" s="14">
        <f>Inputs!$F$221/100*Operations!Q547+Inputs!$F$223/100*(1-Operations!Q547)</f>
        <v/>
      </c>
      <c r="R548" s="14">
        <f>Inputs!$F$221/100*Operations!R547+Inputs!$F$223/100*(1-Operations!R547)</f>
        <v/>
      </c>
      <c r="S548" s="14">
        <f>Inputs!$F$221/100*Operations!S547+Inputs!$F$223/100*(1-Operations!S547)</f>
        <v/>
      </c>
      <c r="T548" s="14">
        <f>Inputs!$F$221/100*Operations!T547+Inputs!$F$223/100*(1-Operations!T547)</f>
        <v/>
      </c>
      <c r="U548" s="14">
        <f>Inputs!$F$221/100*Operations!U547+Inputs!$F$223/100*(1-Operations!U547)</f>
        <v/>
      </c>
      <c r="V548" s="14">
        <f>Inputs!$F$221/100*Operations!V547+Inputs!$F$223/100*(1-Operations!V547)</f>
        <v/>
      </c>
      <c r="W548" s="14">
        <f>Inputs!$F$221/100*Operations!W547+Inputs!$F$223/100*(1-Operations!W547)</f>
        <v/>
      </c>
      <c r="X548" s="14">
        <f>Inputs!$F$221/100*Operations!X547+Inputs!$F$223/100*(1-Operations!X547)</f>
        <v/>
      </c>
      <c r="Y548" s="14">
        <f>Inputs!$F$221/100*Operations!Y547+Inputs!$F$223/100*(1-Operations!Y547)</f>
        <v/>
      </c>
      <c r="Z548" s="14">
        <f>Inputs!$F$221/100*Operations!Z547+Inputs!$F$223/100*(1-Operations!Z547)</f>
        <v/>
      </c>
      <c r="AA548" s="14">
        <f>Inputs!$F$221/100*Operations!AA547+Inputs!$F$223/100*(1-Operations!AA547)</f>
        <v/>
      </c>
      <c r="AB548" s="14">
        <f>Inputs!$F$221/100*Operations!AB547+Inputs!$F$223/100*(1-Operations!AB547)</f>
        <v/>
      </c>
      <c r="AC548" s="14">
        <f>Inputs!$F$221/100*Operations!AC547+Inputs!$F$223/100*(1-Operations!AC547)</f>
        <v/>
      </c>
      <c r="AD548" s="14">
        <f>Inputs!$F$221/100*Operations!AD547+Inputs!$F$223/100*(1-Operations!AD547)</f>
        <v/>
      </c>
      <c r="AE548" s="14">
        <f>Inputs!$F$221/100*Operations!AE547+Inputs!$F$223/100*(1-Operations!AE547)</f>
        <v/>
      </c>
      <c r="AF548" s="14">
        <f>Inputs!$F$221/100*Operations!AF547+Inputs!$F$223/100*(1-Operations!AF547)</f>
        <v/>
      </c>
      <c r="AG548" s="14">
        <f>Inputs!$F$221/100*Operations!AG547+Inputs!$F$223/100*(1-Operations!AG547)</f>
        <v/>
      </c>
      <c r="AH548" s="14">
        <f>Inputs!$F$221/100*Operations!AH547+Inputs!$F$223/100*(1-Operations!AH547)</f>
        <v/>
      </c>
      <c r="AI548" s="14">
        <f>Inputs!$F$221/100*Operations!AI547+Inputs!$F$223/100*(1-Operations!AI547)</f>
        <v/>
      </c>
      <c r="AJ548" s="14">
        <f>Inputs!$F$221/100*Operations!AJ547+Inputs!$F$223/100*(1-Operations!AJ547)</f>
        <v/>
      </c>
      <c r="AK548" s="14">
        <f>Inputs!$F$221/100*Operations!AK547+Inputs!$F$223/100*(1-Operations!AK547)</f>
        <v/>
      </c>
      <c r="AL548" s="14">
        <f>Inputs!$F$221/100*Operations!AL547+Inputs!$F$223/100*(1-Operations!AL547)</f>
        <v/>
      </c>
      <c r="AM548" s="14">
        <f>Inputs!$F$221/100*Operations!AM547+Inputs!$F$223/100*(1-Operations!AM547)</f>
        <v/>
      </c>
      <c r="AN548" s="14">
        <f>Inputs!$F$221/100*Operations!AN547+Inputs!$F$223/100*(1-Operations!AN547)</f>
        <v/>
      </c>
      <c r="AO548" s="14">
        <f>Inputs!$F$221/100*Operations!AO547+Inputs!$F$223/100*(1-Operations!AO547)</f>
        <v/>
      </c>
      <c r="AP548" s="14">
        <f>Inputs!$F$221/100*Operations!AP547+Inputs!$F$223/100*(1-Operations!AP547)</f>
        <v/>
      </c>
      <c r="AQ548" s="14">
        <f>Inputs!$F$221/100*Operations!AQ547+Inputs!$F$223/100*(1-Operations!AQ547)</f>
        <v/>
      </c>
      <c r="AR548" s="14">
        <f>Inputs!$F$221/100*Operations!AR547+Inputs!$F$223/100*(1-Operations!AR547)</f>
        <v/>
      </c>
      <c r="AS548" s="14">
        <f>Inputs!$F$221/100*Operations!AS547+Inputs!$F$223/100*(1-Operations!AS547)</f>
        <v/>
      </c>
      <c r="AT548" s="14">
        <f>Inputs!$F$221/100*Operations!AT547+Inputs!$F$223/100*(1-Operations!AT547)</f>
        <v/>
      </c>
      <c r="AU548" s="14">
        <f>Inputs!$F$221/100*Operations!AU547+Inputs!$F$223/100*(1-Operations!AU547)</f>
        <v/>
      </c>
    </row>
    <row r="549">
      <c r="D549" t="inlineStr">
        <is>
          <t>R3 Mesa share of taxable income</t>
        </is>
      </c>
      <c r="E549" t="inlineStr">
        <is>
          <t>fraction</t>
        </is>
      </c>
      <c r="J549" s="14">
        <f>(1-Inputs!$F$222/100)*Operations!J547+(1-Inputs!$F$223/100)*(1-Operations!J547)</f>
        <v/>
      </c>
      <c r="K549" s="14">
        <f>(1-Inputs!$F$222/100)*Operations!K547+(1-Inputs!$F$223/100)*(1-Operations!K547)</f>
        <v/>
      </c>
      <c r="L549" s="14">
        <f>(1-Inputs!$F$222/100)*Operations!L547+(1-Inputs!$F$223/100)*(1-Operations!L547)</f>
        <v/>
      </c>
      <c r="M549" s="14">
        <f>(1-Inputs!$F$222/100)*Operations!M547+(1-Inputs!$F$223/100)*(1-Operations!M547)</f>
        <v/>
      </c>
      <c r="N549" s="14">
        <f>(1-Inputs!$F$222/100)*Operations!N547+(1-Inputs!$F$223/100)*(1-Operations!N547)</f>
        <v/>
      </c>
      <c r="O549" s="14">
        <f>(1-Inputs!$F$222/100)*Operations!O547+(1-Inputs!$F$223/100)*(1-Operations!O547)</f>
        <v/>
      </c>
      <c r="P549" s="14">
        <f>(1-Inputs!$F$222/100)*Operations!P547+(1-Inputs!$F$223/100)*(1-Operations!P547)</f>
        <v/>
      </c>
      <c r="Q549" s="14">
        <f>(1-Inputs!$F$222/100)*Operations!Q547+(1-Inputs!$F$223/100)*(1-Operations!Q547)</f>
        <v/>
      </c>
      <c r="R549" s="14">
        <f>(1-Inputs!$F$222/100)*Operations!R547+(1-Inputs!$F$223/100)*(1-Operations!R547)</f>
        <v/>
      </c>
      <c r="S549" s="14">
        <f>(1-Inputs!$F$222/100)*Operations!S547+(1-Inputs!$F$223/100)*(1-Operations!S547)</f>
        <v/>
      </c>
      <c r="T549" s="14">
        <f>(1-Inputs!$F$222/100)*Operations!T547+(1-Inputs!$F$223/100)*(1-Operations!T547)</f>
        <v/>
      </c>
      <c r="U549" s="14">
        <f>(1-Inputs!$F$222/100)*Operations!U547+(1-Inputs!$F$223/100)*(1-Operations!U547)</f>
        <v/>
      </c>
      <c r="V549" s="14">
        <f>(1-Inputs!$F$222/100)*Operations!V547+(1-Inputs!$F$223/100)*(1-Operations!V547)</f>
        <v/>
      </c>
      <c r="W549" s="14">
        <f>(1-Inputs!$F$222/100)*Operations!W547+(1-Inputs!$F$223/100)*(1-Operations!W547)</f>
        <v/>
      </c>
      <c r="X549" s="14">
        <f>(1-Inputs!$F$222/100)*Operations!X547+(1-Inputs!$F$223/100)*(1-Operations!X547)</f>
        <v/>
      </c>
      <c r="Y549" s="14">
        <f>(1-Inputs!$F$222/100)*Operations!Y547+(1-Inputs!$F$223/100)*(1-Operations!Y547)</f>
        <v/>
      </c>
      <c r="Z549" s="14">
        <f>(1-Inputs!$F$222/100)*Operations!Z547+(1-Inputs!$F$223/100)*(1-Operations!Z547)</f>
        <v/>
      </c>
      <c r="AA549" s="14">
        <f>(1-Inputs!$F$222/100)*Operations!AA547+(1-Inputs!$F$223/100)*(1-Operations!AA547)</f>
        <v/>
      </c>
      <c r="AB549" s="14">
        <f>(1-Inputs!$F$222/100)*Operations!AB547+(1-Inputs!$F$223/100)*(1-Operations!AB547)</f>
        <v/>
      </c>
      <c r="AC549" s="14">
        <f>(1-Inputs!$F$222/100)*Operations!AC547+(1-Inputs!$F$223/100)*(1-Operations!AC547)</f>
        <v/>
      </c>
      <c r="AD549" s="14">
        <f>(1-Inputs!$F$222/100)*Operations!AD547+(1-Inputs!$F$223/100)*(1-Operations!AD547)</f>
        <v/>
      </c>
      <c r="AE549" s="14">
        <f>(1-Inputs!$F$222/100)*Operations!AE547+(1-Inputs!$F$223/100)*(1-Operations!AE547)</f>
        <v/>
      </c>
      <c r="AF549" s="14">
        <f>(1-Inputs!$F$222/100)*Operations!AF547+(1-Inputs!$F$223/100)*(1-Operations!AF547)</f>
        <v/>
      </c>
      <c r="AG549" s="14">
        <f>(1-Inputs!$F$222/100)*Operations!AG547+(1-Inputs!$F$223/100)*(1-Operations!AG547)</f>
        <v/>
      </c>
      <c r="AH549" s="14">
        <f>(1-Inputs!$F$222/100)*Operations!AH547+(1-Inputs!$F$223/100)*(1-Operations!AH547)</f>
        <v/>
      </c>
      <c r="AI549" s="14">
        <f>(1-Inputs!$F$222/100)*Operations!AI547+(1-Inputs!$F$223/100)*(1-Operations!AI547)</f>
        <v/>
      </c>
      <c r="AJ549" s="14">
        <f>(1-Inputs!$F$222/100)*Operations!AJ547+(1-Inputs!$F$223/100)*(1-Operations!AJ547)</f>
        <v/>
      </c>
      <c r="AK549" s="14">
        <f>(1-Inputs!$F$222/100)*Operations!AK547+(1-Inputs!$F$223/100)*(1-Operations!AK547)</f>
        <v/>
      </c>
      <c r="AL549" s="14">
        <f>(1-Inputs!$F$222/100)*Operations!AL547+(1-Inputs!$F$223/100)*(1-Operations!AL547)</f>
        <v/>
      </c>
      <c r="AM549" s="14">
        <f>(1-Inputs!$F$222/100)*Operations!AM547+(1-Inputs!$F$223/100)*(1-Operations!AM547)</f>
        <v/>
      </c>
      <c r="AN549" s="14">
        <f>(1-Inputs!$F$222/100)*Operations!AN547+(1-Inputs!$F$223/100)*(1-Operations!AN547)</f>
        <v/>
      </c>
      <c r="AO549" s="14">
        <f>(1-Inputs!$F$222/100)*Operations!AO547+(1-Inputs!$F$223/100)*(1-Operations!AO547)</f>
        <v/>
      </c>
      <c r="AP549" s="14">
        <f>(1-Inputs!$F$222/100)*Operations!AP547+(1-Inputs!$F$223/100)*(1-Operations!AP547)</f>
        <v/>
      </c>
      <c r="AQ549" s="14">
        <f>(1-Inputs!$F$222/100)*Operations!AQ547+(1-Inputs!$F$223/100)*(1-Operations!AQ547)</f>
        <v/>
      </c>
      <c r="AR549" s="14">
        <f>(1-Inputs!$F$222/100)*Operations!AR547+(1-Inputs!$F$223/100)*(1-Operations!AR547)</f>
        <v/>
      </c>
      <c r="AS549" s="14">
        <f>(1-Inputs!$F$222/100)*Operations!AS547+(1-Inputs!$F$223/100)*(1-Operations!AS547)</f>
        <v/>
      </c>
      <c r="AT549" s="14">
        <f>(1-Inputs!$F$222/100)*Operations!AT547+(1-Inputs!$F$223/100)*(1-Operations!AT547)</f>
        <v/>
      </c>
      <c r="AU549" s="14">
        <f>(1-Inputs!$F$222/100)*Operations!AU547+(1-Inputs!$F$223/100)*(1-Operations!AU547)</f>
        <v/>
      </c>
    </row>
    <row r="550">
      <c r="D550" t="inlineStr">
        <is>
          <t>R3 Mesa share of cash flow</t>
        </is>
      </c>
      <c r="E550" t="inlineStr">
        <is>
          <t>USD m</t>
        </is>
      </c>
      <c r="G550" s="20">
        <f>SUM(J550:AU550)</f>
        <v/>
      </c>
      <c r="J550" s="20">
        <f>Operations!J546*(1-Operations!J548)*Operations!J520</f>
        <v/>
      </c>
      <c r="K550" s="20">
        <f>Operations!K546*(1-Operations!K548)*Operations!K520</f>
        <v/>
      </c>
      <c r="L550" s="20">
        <f>Operations!L546*(1-Operations!L548)*Operations!L520</f>
        <v/>
      </c>
      <c r="M550" s="20">
        <f>Operations!M546*(1-Operations!M548)*Operations!M520</f>
        <v/>
      </c>
      <c r="N550" s="20">
        <f>Operations!N546*(1-Operations!N548)*Operations!N520</f>
        <v/>
      </c>
      <c r="O550" s="20">
        <f>Operations!O546*(1-Operations!O548)*Operations!O520</f>
        <v/>
      </c>
      <c r="P550" s="20">
        <f>Operations!P546*(1-Operations!P548)*Operations!P520</f>
        <v/>
      </c>
      <c r="Q550" s="20">
        <f>Operations!Q546*(1-Operations!Q548)*Operations!Q520</f>
        <v/>
      </c>
      <c r="R550" s="20">
        <f>Operations!R546*(1-Operations!R548)*Operations!R520</f>
        <v/>
      </c>
      <c r="S550" s="20">
        <f>Operations!S546*(1-Operations!S548)*Operations!S520</f>
        <v/>
      </c>
      <c r="T550" s="20">
        <f>Operations!T546*(1-Operations!T548)*Operations!T520</f>
        <v/>
      </c>
      <c r="U550" s="20">
        <f>Operations!U546*(1-Operations!U548)*Operations!U520</f>
        <v/>
      </c>
      <c r="V550" s="20">
        <f>Operations!V546*(1-Operations!V548)*Operations!V520</f>
        <v/>
      </c>
      <c r="W550" s="20">
        <f>Operations!W546*(1-Operations!W548)*Operations!W520</f>
        <v/>
      </c>
      <c r="X550" s="20">
        <f>Operations!X546*(1-Operations!X548)*Operations!X520</f>
        <v/>
      </c>
      <c r="Y550" s="20">
        <f>Operations!Y546*(1-Operations!Y548)*Operations!Y520</f>
        <v/>
      </c>
      <c r="Z550" s="20">
        <f>Operations!Z546*(1-Operations!Z548)*Operations!Z520</f>
        <v/>
      </c>
      <c r="AA550" s="20">
        <f>Operations!AA546*(1-Operations!AA548)*Operations!AA520</f>
        <v/>
      </c>
      <c r="AB550" s="20">
        <f>Operations!AB546*(1-Operations!AB548)*Operations!AB520</f>
        <v/>
      </c>
      <c r="AC550" s="20">
        <f>Operations!AC546*(1-Operations!AC548)*Operations!AC520</f>
        <v/>
      </c>
      <c r="AD550" s="20">
        <f>Operations!AD546*(1-Operations!AD548)*Operations!AD520</f>
        <v/>
      </c>
      <c r="AE550" s="20">
        <f>Operations!AE546*(1-Operations!AE548)*Operations!AE520</f>
        <v/>
      </c>
      <c r="AF550" s="20">
        <f>Operations!AF546*(1-Operations!AF548)*Operations!AF520</f>
        <v/>
      </c>
      <c r="AG550" s="20">
        <f>Operations!AG546*(1-Operations!AG548)*Operations!AG520</f>
        <v/>
      </c>
      <c r="AH550" s="20">
        <f>Operations!AH546*(1-Operations!AH548)*Operations!AH520</f>
        <v/>
      </c>
      <c r="AI550" s="20">
        <f>Operations!AI546*(1-Operations!AI548)*Operations!AI520</f>
        <v/>
      </c>
      <c r="AJ550" s="20">
        <f>Operations!AJ546*(1-Operations!AJ548)*Operations!AJ520</f>
        <v/>
      </c>
      <c r="AK550" s="20">
        <f>Operations!AK546*(1-Operations!AK548)*Operations!AK520</f>
        <v/>
      </c>
      <c r="AL550" s="20">
        <f>Operations!AL546*(1-Operations!AL548)*Operations!AL520</f>
        <v/>
      </c>
      <c r="AM550" s="20">
        <f>Operations!AM546*(1-Operations!AM548)*Operations!AM520</f>
        <v/>
      </c>
      <c r="AN550" s="20">
        <f>Operations!AN546*(1-Operations!AN548)*Operations!AN520</f>
        <v/>
      </c>
      <c r="AO550" s="20">
        <f>Operations!AO546*(1-Operations!AO548)*Operations!AO520</f>
        <v/>
      </c>
      <c r="AP550" s="20">
        <f>Operations!AP546*(1-Operations!AP548)*Operations!AP520</f>
        <v/>
      </c>
      <c r="AQ550" s="20">
        <f>Operations!AQ546*(1-Operations!AQ548)*Operations!AQ520</f>
        <v/>
      </c>
      <c r="AR550" s="20">
        <f>Operations!AR546*(1-Operations!AR548)*Operations!AR520</f>
        <v/>
      </c>
      <c r="AS550" s="20">
        <f>Operations!AS546*(1-Operations!AS548)*Operations!AS520</f>
        <v/>
      </c>
      <c r="AT550" s="20">
        <f>Operations!AT546*(1-Operations!AT548)*Operations!AT520</f>
        <v/>
      </c>
      <c r="AU550" s="20">
        <f>Operations!AU546*(1-Operations!AU548)*Operations!AU520</f>
        <v/>
      </c>
    </row>
    <row r="551">
      <c r="D551" t="inlineStr">
        <is>
          <t>R3 Mesa taxable operating income</t>
        </is>
      </c>
      <c r="E551" t="inlineStr">
        <is>
          <t>USD m</t>
        </is>
      </c>
      <c r="J551" s="20">
        <f>Operations!J546*Operations!J549*Operations!J520</f>
        <v/>
      </c>
      <c r="K551" s="20">
        <f>Operations!K546*Operations!K549*Operations!K520</f>
        <v/>
      </c>
      <c r="L551" s="20">
        <f>Operations!L546*Operations!L549*Operations!L520</f>
        <v/>
      </c>
      <c r="M551" s="20">
        <f>Operations!M546*Operations!M549*Operations!M520</f>
        <v/>
      </c>
      <c r="N551" s="20">
        <f>Operations!N546*Operations!N549*Operations!N520</f>
        <v/>
      </c>
      <c r="O551" s="20">
        <f>Operations!O546*Operations!O549*Operations!O520</f>
        <v/>
      </c>
      <c r="P551" s="20">
        <f>Operations!P546*Operations!P549*Operations!P520</f>
        <v/>
      </c>
      <c r="Q551" s="20">
        <f>Operations!Q546*Operations!Q549*Operations!Q520</f>
        <v/>
      </c>
      <c r="R551" s="20">
        <f>Operations!R546*Operations!R549*Operations!R520</f>
        <v/>
      </c>
      <c r="S551" s="20">
        <f>Operations!S546*Operations!S549*Operations!S520</f>
        <v/>
      </c>
      <c r="T551" s="20">
        <f>Operations!T546*Operations!T549*Operations!T520</f>
        <v/>
      </c>
      <c r="U551" s="20">
        <f>Operations!U546*Operations!U549*Operations!U520</f>
        <v/>
      </c>
      <c r="V551" s="20">
        <f>Operations!V546*Operations!V549*Operations!V520</f>
        <v/>
      </c>
      <c r="W551" s="20">
        <f>Operations!W546*Operations!W549*Operations!W520</f>
        <v/>
      </c>
      <c r="X551" s="20">
        <f>Operations!X546*Operations!X549*Operations!X520</f>
        <v/>
      </c>
      <c r="Y551" s="20">
        <f>Operations!Y546*Operations!Y549*Operations!Y520</f>
        <v/>
      </c>
      <c r="Z551" s="20">
        <f>Operations!Z546*Operations!Z549*Operations!Z520</f>
        <v/>
      </c>
      <c r="AA551" s="20">
        <f>Operations!AA546*Operations!AA549*Operations!AA520</f>
        <v/>
      </c>
      <c r="AB551" s="20">
        <f>Operations!AB546*Operations!AB549*Operations!AB520</f>
        <v/>
      </c>
      <c r="AC551" s="20">
        <f>Operations!AC546*Operations!AC549*Operations!AC520</f>
        <v/>
      </c>
      <c r="AD551" s="20">
        <f>Operations!AD546*Operations!AD549*Operations!AD520</f>
        <v/>
      </c>
      <c r="AE551" s="20">
        <f>Operations!AE546*Operations!AE549*Operations!AE520</f>
        <v/>
      </c>
      <c r="AF551" s="20">
        <f>Operations!AF546*Operations!AF549*Operations!AF520</f>
        <v/>
      </c>
      <c r="AG551" s="20">
        <f>Operations!AG546*Operations!AG549*Operations!AG520</f>
        <v/>
      </c>
      <c r="AH551" s="20">
        <f>Operations!AH546*Operations!AH549*Operations!AH520</f>
        <v/>
      </c>
      <c r="AI551" s="20">
        <f>Operations!AI546*Operations!AI549*Operations!AI520</f>
        <v/>
      </c>
      <c r="AJ551" s="20">
        <f>Operations!AJ546*Operations!AJ549*Operations!AJ520</f>
        <v/>
      </c>
      <c r="AK551" s="20">
        <f>Operations!AK546*Operations!AK549*Operations!AK520</f>
        <v/>
      </c>
      <c r="AL551" s="20">
        <f>Operations!AL546*Operations!AL549*Operations!AL520</f>
        <v/>
      </c>
      <c r="AM551" s="20">
        <f>Operations!AM546*Operations!AM549*Operations!AM520</f>
        <v/>
      </c>
      <c r="AN551" s="20">
        <f>Operations!AN546*Operations!AN549*Operations!AN520</f>
        <v/>
      </c>
      <c r="AO551" s="20">
        <f>Operations!AO546*Operations!AO549*Operations!AO520</f>
        <v/>
      </c>
      <c r="AP551" s="20">
        <f>Operations!AP546*Operations!AP549*Operations!AP520</f>
        <v/>
      </c>
      <c r="AQ551" s="20">
        <f>Operations!AQ546*Operations!AQ549*Operations!AQ520</f>
        <v/>
      </c>
      <c r="AR551" s="20">
        <f>Operations!AR546*Operations!AR549*Operations!AR520</f>
        <v/>
      </c>
      <c r="AS551" s="20">
        <f>Operations!AS546*Operations!AS549*Operations!AS520</f>
        <v/>
      </c>
      <c r="AT551" s="20">
        <f>Operations!AT546*Operations!AT549*Operations!AT520</f>
        <v/>
      </c>
      <c r="AU551" s="20">
        <f>Operations!AU546*Operations!AU549*Operations!AU520</f>
        <v/>
      </c>
    </row>
    <row r="552">
      <c r="D552" t="inlineStr">
        <is>
          <t>R3 Mesa unlevered post-tax cash flow (before price shield)</t>
        </is>
      </c>
      <c r="E552" t="inlineStr">
        <is>
          <t>USD m</t>
        </is>
      </c>
      <c r="J552" s="20">
        <f>Operations!J550-Inputs!$F$241/100*Operations!J551</f>
        <v/>
      </c>
      <c r="K552" s="20">
        <f>Operations!K550-Inputs!$F$241/100*Operations!K551</f>
        <v/>
      </c>
      <c r="L552" s="20">
        <f>Operations!L550-Inputs!$F$241/100*Operations!L551</f>
        <v/>
      </c>
      <c r="M552" s="20">
        <f>Operations!M550-Inputs!$F$241/100*Operations!M551</f>
        <v/>
      </c>
      <c r="N552" s="20">
        <f>Operations!N550-Inputs!$F$241/100*Operations!N551</f>
        <v/>
      </c>
      <c r="O552" s="20">
        <f>Operations!O550-Inputs!$F$241/100*Operations!O551</f>
        <v/>
      </c>
      <c r="P552" s="20">
        <f>Operations!P550-Inputs!$F$241/100*Operations!P551</f>
        <v/>
      </c>
      <c r="Q552" s="20">
        <f>Operations!Q550-Inputs!$F$241/100*Operations!Q551</f>
        <v/>
      </c>
      <c r="R552" s="20">
        <f>Operations!R550-Inputs!$F$241/100*Operations!R551</f>
        <v/>
      </c>
      <c r="S552" s="20">
        <f>Operations!S550-Inputs!$F$241/100*Operations!S551</f>
        <v/>
      </c>
      <c r="T552" s="20">
        <f>Operations!T550-Inputs!$F$241/100*Operations!T551</f>
        <v/>
      </c>
      <c r="U552" s="20">
        <f>Operations!U550-Inputs!$F$241/100*Operations!U551</f>
        <v/>
      </c>
      <c r="V552" s="20">
        <f>Operations!V550-Inputs!$F$241/100*Operations!V551</f>
        <v/>
      </c>
      <c r="W552" s="20">
        <f>Operations!W550-Inputs!$F$241/100*Operations!W551</f>
        <v/>
      </c>
      <c r="X552" s="20">
        <f>Operations!X550-Inputs!$F$241/100*Operations!X551</f>
        <v/>
      </c>
      <c r="Y552" s="20">
        <f>Operations!Y550-Inputs!$F$241/100*Operations!Y551</f>
        <v/>
      </c>
      <c r="Z552" s="20">
        <f>Operations!Z550-Inputs!$F$241/100*Operations!Z551</f>
        <v/>
      </c>
      <c r="AA552" s="20">
        <f>Operations!AA550-Inputs!$F$241/100*Operations!AA551</f>
        <v/>
      </c>
      <c r="AB552" s="20">
        <f>Operations!AB550-Inputs!$F$241/100*Operations!AB551</f>
        <v/>
      </c>
      <c r="AC552" s="20">
        <f>Operations!AC550-Inputs!$F$241/100*Operations!AC551</f>
        <v/>
      </c>
      <c r="AD552" s="20">
        <f>Operations!AD550-Inputs!$F$241/100*Operations!AD551</f>
        <v/>
      </c>
      <c r="AE552" s="20">
        <f>Operations!AE550-Inputs!$F$241/100*Operations!AE551</f>
        <v/>
      </c>
      <c r="AF552" s="20">
        <f>Operations!AF550-Inputs!$F$241/100*Operations!AF551</f>
        <v/>
      </c>
      <c r="AG552" s="20">
        <f>Operations!AG550-Inputs!$F$241/100*Operations!AG551</f>
        <v/>
      </c>
      <c r="AH552" s="20">
        <f>Operations!AH550-Inputs!$F$241/100*Operations!AH551</f>
        <v/>
      </c>
      <c r="AI552" s="20">
        <f>Operations!AI550-Inputs!$F$241/100*Operations!AI551</f>
        <v/>
      </c>
      <c r="AJ552" s="20">
        <f>Operations!AJ550-Inputs!$F$241/100*Operations!AJ551</f>
        <v/>
      </c>
      <c r="AK552" s="20">
        <f>Operations!AK550-Inputs!$F$241/100*Operations!AK551</f>
        <v/>
      </c>
      <c r="AL552" s="20">
        <f>Operations!AL550-Inputs!$F$241/100*Operations!AL551</f>
        <v/>
      </c>
      <c r="AM552" s="20">
        <f>Operations!AM550-Inputs!$F$241/100*Operations!AM551</f>
        <v/>
      </c>
      <c r="AN552" s="20">
        <f>Operations!AN550-Inputs!$F$241/100*Operations!AN551</f>
        <v/>
      </c>
      <c r="AO552" s="20">
        <f>Operations!AO550-Inputs!$F$241/100*Operations!AO551</f>
        <v/>
      </c>
      <c r="AP552" s="20">
        <f>Operations!AP550-Inputs!$F$241/100*Operations!AP551</f>
        <v/>
      </c>
      <c r="AQ552" s="20">
        <f>Operations!AQ550-Inputs!$F$241/100*Operations!AQ551</f>
        <v/>
      </c>
      <c r="AR552" s="20">
        <f>Operations!AR550-Inputs!$F$241/100*Operations!AR551</f>
        <v/>
      </c>
      <c r="AS552" s="20">
        <f>Operations!AS550-Inputs!$F$241/100*Operations!AS551</f>
        <v/>
      </c>
      <c r="AT552" s="20">
        <f>Operations!AT550-Inputs!$F$241/100*Operations!AT551</f>
        <v/>
      </c>
      <c r="AU552" s="20">
        <f>Operations!AU550-Inputs!$F$241/100*Operations!AU551</f>
        <v/>
      </c>
    </row>
    <row r="553">
      <c r="D553" t="inlineStr">
        <is>
          <t>R3 contracted share of revenue</t>
        </is>
      </c>
      <c r="E553" t="inlineStr">
        <is>
          <t>fraction</t>
        </is>
      </c>
      <c r="J553" s="14">
        <f>IF(Operations!J537=0,0,Operations!J534/Operations!J537)</f>
        <v/>
      </c>
      <c r="K553" s="14">
        <f>IF(Operations!K537=0,0,Operations!K534/Operations!K537)</f>
        <v/>
      </c>
      <c r="L553" s="14">
        <f>IF(Operations!L537=0,0,Operations!L534/Operations!L537)</f>
        <v/>
      </c>
      <c r="M553" s="14">
        <f>IF(Operations!M537=0,0,Operations!M534/Operations!M537)</f>
        <v/>
      </c>
      <c r="N553" s="14">
        <f>IF(Operations!N537=0,0,Operations!N534/Operations!N537)</f>
        <v/>
      </c>
      <c r="O553" s="14">
        <f>IF(Operations!O537=0,0,Operations!O534/Operations!O537)</f>
        <v/>
      </c>
      <c r="P553" s="14">
        <f>IF(Operations!P537=0,0,Operations!P534/Operations!P537)</f>
        <v/>
      </c>
      <c r="Q553" s="14">
        <f>IF(Operations!Q537=0,0,Operations!Q534/Operations!Q537)</f>
        <v/>
      </c>
      <c r="R553" s="14">
        <f>IF(Operations!R537=0,0,Operations!R534/Operations!R537)</f>
        <v/>
      </c>
      <c r="S553" s="14">
        <f>IF(Operations!S537=0,0,Operations!S534/Operations!S537)</f>
        <v/>
      </c>
      <c r="T553" s="14">
        <f>IF(Operations!T537=0,0,Operations!T534/Operations!T537)</f>
        <v/>
      </c>
      <c r="U553" s="14">
        <f>IF(Operations!U537=0,0,Operations!U534/Operations!U537)</f>
        <v/>
      </c>
      <c r="V553" s="14">
        <f>IF(Operations!V537=0,0,Operations!V534/Operations!V537)</f>
        <v/>
      </c>
      <c r="W553" s="14">
        <f>IF(Operations!W537=0,0,Operations!W534/Operations!W537)</f>
        <v/>
      </c>
      <c r="X553" s="14">
        <f>IF(Operations!X537=0,0,Operations!X534/Operations!X537)</f>
        <v/>
      </c>
      <c r="Y553" s="14">
        <f>IF(Operations!Y537=0,0,Operations!Y534/Operations!Y537)</f>
        <v/>
      </c>
      <c r="Z553" s="14">
        <f>IF(Operations!Z537=0,0,Operations!Z534/Operations!Z537)</f>
        <v/>
      </c>
      <c r="AA553" s="14">
        <f>IF(Operations!AA537=0,0,Operations!AA534/Operations!AA537)</f>
        <v/>
      </c>
      <c r="AB553" s="14">
        <f>IF(Operations!AB537=0,0,Operations!AB534/Operations!AB537)</f>
        <v/>
      </c>
      <c r="AC553" s="14">
        <f>IF(Operations!AC537=0,0,Operations!AC534/Operations!AC537)</f>
        <v/>
      </c>
      <c r="AD553" s="14">
        <f>IF(Operations!AD537=0,0,Operations!AD534/Operations!AD537)</f>
        <v/>
      </c>
      <c r="AE553" s="14">
        <f>IF(Operations!AE537=0,0,Operations!AE534/Operations!AE537)</f>
        <v/>
      </c>
      <c r="AF553" s="14">
        <f>IF(Operations!AF537=0,0,Operations!AF534/Operations!AF537)</f>
        <v/>
      </c>
      <c r="AG553" s="14">
        <f>IF(Operations!AG537=0,0,Operations!AG534/Operations!AG537)</f>
        <v/>
      </c>
      <c r="AH553" s="14">
        <f>IF(Operations!AH537=0,0,Operations!AH534/Operations!AH537)</f>
        <v/>
      </c>
      <c r="AI553" s="14">
        <f>IF(Operations!AI537=0,0,Operations!AI534/Operations!AI537)</f>
        <v/>
      </c>
      <c r="AJ553" s="14">
        <f>IF(Operations!AJ537=0,0,Operations!AJ534/Operations!AJ537)</f>
        <v/>
      </c>
      <c r="AK553" s="14">
        <f>IF(Operations!AK537=0,0,Operations!AK534/Operations!AK537)</f>
        <v/>
      </c>
      <c r="AL553" s="14">
        <f>IF(Operations!AL537=0,0,Operations!AL534/Operations!AL537)</f>
        <v/>
      </c>
      <c r="AM553" s="14">
        <f>IF(Operations!AM537=0,0,Operations!AM534/Operations!AM537)</f>
        <v/>
      </c>
      <c r="AN553" s="14">
        <f>IF(Operations!AN537=0,0,Operations!AN534/Operations!AN537)</f>
        <v/>
      </c>
      <c r="AO553" s="14">
        <f>IF(Operations!AO537=0,0,Operations!AO534/Operations!AO537)</f>
        <v/>
      </c>
      <c r="AP553" s="14">
        <f>IF(Operations!AP537=0,0,Operations!AP534/Operations!AP537)</f>
        <v/>
      </c>
      <c r="AQ553" s="14">
        <f>IF(Operations!AQ537=0,0,Operations!AQ534/Operations!AQ537)</f>
        <v/>
      </c>
      <c r="AR553" s="14">
        <f>IF(Operations!AR537=0,0,Operations!AR534/Operations!AR537)</f>
        <v/>
      </c>
      <c r="AS553" s="14">
        <f>IF(Operations!AS537=0,0,Operations!AS534/Operations!AS537)</f>
        <v/>
      </c>
      <c r="AT553" s="14">
        <f>IF(Operations!AT537=0,0,Operations!AT534/Operations!AT537)</f>
        <v/>
      </c>
      <c r="AU553" s="14">
        <f>IF(Operations!AU537=0,0,Operations!AU534/Operations!AU537)</f>
        <v/>
      </c>
    </row>
    <row r="554">
      <c r="D554" t="inlineStr">
        <is>
          <t>R3 hedged share of revenue</t>
        </is>
      </c>
      <c r="E554" t="inlineStr">
        <is>
          <t>fraction</t>
        </is>
      </c>
      <c r="J554" s="14">
        <f>IF(Operations!J537=0,0,Operations!J535/Operations!J537)</f>
        <v/>
      </c>
      <c r="K554" s="14">
        <f>IF(Operations!K537=0,0,Operations!K535/Operations!K537)</f>
        <v/>
      </c>
      <c r="L554" s="14">
        <f>IF(Operations!L537=0,0,Operations!L535/Operations!L537)</f>
        <v/>
      </c>
      <c r="M554" s="14">
        <f>IF(Operations!M537=0,0,Operations!M535/Operations!M537)</f>
        <v/>
      </c>
      <c r="N554" s="14">
        <f>IF(Operations!N537=0,0,Operations!N535/Operations!N537)</f>
        <v/>
      </c>
      <c r="O554" s="14">
        <f>IF(Operations!O537=0,0,Operations!O535/Operations!O537)</f>
        <v/>
      </c>
      <c r="P554" s="14">
        <f>IF(Operations!P537=0,0,Operations!P535/Operations!P537)</f>
        <v/>
      </c>
      <c r="Q554" s="14">
        <f>IF(Operations!Q537=0,0,Operations!Q535/Operations!Q537)</f>
        <v/>
      </c>
      <c r="R554" s="14">
        <f>IF(Operations!R537=0,0,Operations!R535/Operations!R537)</f>
        <v/>
      </c>
      <c r="S554" s="14">
        <f>IF(Operations!S537=0,0,Operations!S535/Operations!S537)</f>
        <v/>
      </c>
      <c r="T554" s="14">
        <f>IF(Operations!T537=0,0,Operations!T535/Operations!T537)</f>
        <v/>
      </c>
      <c r="U554" s="14">
        <f>IF(Operations!U537=0,0,Operations!U535/Operations!U537)</f>
        <v/>
      </c>
      <c r="V554" s="14">
        <f>IF(Operations!V537=0,0,Operations!V535/Operations!V537)</f>
        <v/>
      </c>
      <c r="W554" s="14">
        <f>IF(Operations!W537=0,0,Operations!W535/Operations!W537)</f>
        <v/>
      </c>
      <c r="X554" s="14">
        <f>IF(Operations!X537=0,0,Operations!X535/Operations!X537)</f>
        <v/>
      </c>
      <c r="Y554" s="14">
        <f>IF(Operations!Y537=0,0,Operations!Y535/Operations!Y537)</f>
        <v/>
      </c>
      <c r="Z554" s="14">
        <f>IF(Operations!Z537=0,0,Operations!Z535/Operations!Z537)</f>
        <v/>
      </c>
      <c r="AA554" s="14">
        <f>IF(Operations!AA537=0,0,Operations!AA535/Operations!AA537)</f>
        <v/>
      </c>
      <c r="AB554" s="14">
        <f>IF(Operations!AB537=0,0,Operations!AB535/Operations!AB537)</f>
        <v/>
      </c>
      <c r="AC554" s="14">
        <f>IF(Operations!AC537=0,0,Operations!AC535/Operations!AC537)</f>
        <v/>
      </c>
      <c r="AD554" s="14">
        <f>IF(Operations!AD537=0,0,Operations!AD535/Operations!AD537)</f>
        <v/>
      </c>
      <c r="AE554" s="14">
        <f>IF(Operations!AE537=0,0,Operations!AE535/Operations!AE537)</f>
        <v/>
      </c>
      <c r="AF554" s="14">
        <f>IF(Operations!AF537=0,0,Operations!AF535/Operations!AF537)</f>
        <v/>
      </c>
      <c r="AG554" s="14">
        <f>IF(Operations!AG537=0,0,Operations!AG535/Operations!AG537)</f>
        <v/>
      </c>
      <c r="AH554" s="14">
        <f>IF(Operations!AH537=0,0,Operations!AH535/Operations!AH537)</f>
        <v/>
      </c>
      <c r="AI554" s="14">
        <f>IF(Operations!AI537=0,0,Operations!AI535/Operations!AI537)</f>
        <v/>
      </c>
      <c r="AJ554" s="14">
        <f>IF(Operations!AJ537=0,0,Operations!AJ535/Operations!AJ537)</f>
        <v/>
      </c>
      <c r="AK554" s="14">
        <f>IF(Operations!AK537=0,0,Operations!AK535/Operations!AK537)</f>
        <v/>
      </c>
      <c r="AL554" s="14">
        <f>IF(Operations!AL537=0,0,Operations!AL535/Operations!AL537)</f>
        <v/>
      </c>
      <c r="AM554" s="14">
        <f>IF(Operations!AM537=0,0,Operations!AM535/Operations!AM537)</f>
        <v/>
      </c>
      <c r="AN554" s="14">
        <f>IF(Operations!AN537=0,0,Operations!AN535/Operations!AN537)</f>
        <v/>
      </c>
      <c r="AO554" s="14">
        <f>IF(Operations!AO537=0,0,Operations!AO535/Operations!AO537)</f>
        <v/>
      </c>
      <c r="AP554" s="14">
        <f>IF(Operations!AP537=0,0,Operations!AP535/Operations!AP537)</f>
        <v/>
      </c>
      <c r="AQ554" s="14">
        <f>IF(Operations!AQ537=0,0,Operations!AQ535/Operations!AQ537)</f>
        <v/>
      </c>
      <c r="AR554" s="14">
        <f>IF(Operations!AR537=0,0,Operations!AR535/Operations!AR537)</f>
        <v/>
      </c>
      <c r="AS554" s="14">
        <f>IF(Operations!AS537=0,0,Operations!AS535/Operations!AS537)</f>
        <v/>
      </c>
      <c r="AT554" s="14">
        <f>IF(Operations!AT537=0,0,Operations!AT535/Operations!AT537)</f>
        <v/>
      </c>
      <c r="AU554" s="14">
        <f>IF(Operations!AU537=0,0,Operations!AU535/Operations!AU537)</f>
        <v/>
      </c>
    </row>
    <row r="555">
      <c r="D555" t="inlineStr">
        <is>
          <t>R3 merchant share of revenue</t>
        </is>
      </c>
      <c r="E555" t="inlineStr">
        <is>
          <t>fraction</t>
        </is>
      </c>
      <c r="J555" s="14">
        <f>1-Operations!J553-Operations!J554</f>
        <v/>
      </c>
      <c r="K555" s="14">
        <f>1-Operations!K553-Operations!K554</f>
        <v/>
      </c>
      <c r="L555" s="14">
        <f>1-Operations!L553-Operations!L554</f>
        <v/>
      </c>
      <c r="M555" s="14">
        <f>1-Operations!M553-Operations!M554</f>
        <v/>
      </c>
      <c r="N555" s="14">
        <f>1-Operations!N553-Operations!N554</f>
        <v/>
      </c>
      <c r="O555" s="14">
        <f>1-Operations!O553-Operations!O554</f>
        <v/>
      </c>
      <c r="P555" s="14">
        <f>1-Operations!P553-Operations!P554</f>
        <v/>
      </c>
      <c r="Q555" s="14">
        <f>1-Operations!Q553-Operations!Q554</f>
        <v/>
      </c>
      <c r="R555" s="14">
        <f>1-Operations!R553-Operations!R554</f>
        <v/>
      </c>
      <c r="S555" s="14">
        <f>1-Operations!S553-Operations!S554</f>
        <v/>
      </c>
      <c r="T555" s="14">
        <f>1-Operations!T553-Operations!T554</f>
        <v/>
      </c>
      <c r="U555" s="14">
        <f>1-Operations!U553-Operations!U554</f>
        <v/>
      </c>
      <c r="V555" s="14">
        <f>1-Operations!V553-Operations!V554</f>
        <v/>
      </c>
      <c r="W555" s="14">
        <f>1-Operations!W553-Operations!W554</f>
        <v/>
      </c>
      <c r="X555" s="14">
        <f>1-Operations!X553-Operations!X554</f>
        <v/>
      </c>
      <c r="Y555" s="14">
        <f>1-Operations!Y553-Operations!Y554</f>
        <v/>
      </c>
      <c r="Z555" s="14">
        <f>1-Operations!Z553-Operations!Z554</f>
        <v/>
      </c>
      <c r="AA555" s="14">
        <f>1-Operations!AA553-Operations!AA554</f>
        <v/>
      </c>
      <c r="AB555" s="14">
        <f>1-Operations!AB553-Operations!AB554</f>
        <v/>
      </c>
      <c r="AC555" s="14">
        <f>1-Operations!AC553-Operations!AC554</f>
        <v/>
      </c>
      <c r="AD555" s="14">
        <f>1-Operations!AD553-Operations!AD554</f>
        <v/>
      </c>
      <c r="AE555" s="14">
        <f>1-Operations!AE553-Operations!AE554</f>
        <v/>
      </c>
      <c r="AF555" s="14">
        <f>1-Operations!AF553-Operations!AF554</f>
        <v/>
      </c>
      <c r="AG555" s="14">
        <f>1-Operations!AG553-Operations!AG554</f>
        <v/>
      </c>
      <c r="AH555" s="14">
        <f>1-Operations!AH553-Operations!AH554</f>
        <v/>
      </c>
      <c r="AI555" s="14">
        <f>1-Operations!AI553-Operations!AI554</f>
        <v/>
      </c>
      <c r="AJ555" s="14">
        <f>1-Operations!AJ553-Operations!AJ554</f>
        <v/>
      </c>
      <c r="AK555" s="14">
        <f>1-Operations!AK553-Operations!AK554</f>
        <v/>
      </c>
      <c r="AL555" s="14">
        <f>1-Operations!AL553-Operations!AL554</f>
        <v/>
      </c>
      <c r="AM555" s="14">
        <f>1-Operations!AM553-Operations!AM554</f>
        <v/>
      </c>
      <c r="AN555" s="14">
        <f>1-Operations!AN553-Operations!AN554</f>
        <v/>
      </c>
      <c r="AO555" s="14">
        <f>1-Operations!AO553-Operations!AO554</f>
        <v/>
      </c>
      <c r="AP555" s="14">
        <f>1-Operations!AP553-Operations!AP554</f>
        <v/>
      </c>
      <c r="AQ555" s="14">
        <f>1-Operations!AQ553-Operations!AQ554</f>
        <v/>
      </c>
      <c r="AR555" s="14">
        <f>1-Operations!AR553-Operations!AR554</f>
        <v/>
      </c>
      <c r="AS555" s="14">
        <f>1-Operations!AS553-Operations!AS554</f>
        <v/>
      </c>
      <c r="AT555" s="14">
        <f>1-Operations!AT553-Operations!AT554</f>
        <v/>
      </c>
      <c r="AU555" s="14">
        <f>1-Operations!AU553-Operations!AU554</f>
        <v/>
      </c>
    </row>
    <row r="556">
      <c r="D556" t="inlineStr">
        <is>
          <t>R3 Mesa-share contracted revenue</t>
        </is>
      </c>
      <c r="E556" t="inlineStr">
        <is>
          <t>USD m</t>
        </is>
      </c>
      <c r="J556" s="20">
        <f>Operations!J534*Operations!J520*(1-Operations!J548)</f>
        <v/>
      </c>
      <c r="K556" s="20">
        <f>Operations!K534*Operations!K520*(1-Operations!K548)</f>
        <v/>
      </c>
      <c r="L556" s="20">
        <f>Operations!L534*Operations!L520*(1-Operations!L548)</f>
        <v/>
      </c>
      <c r="M556" s="20">
        <f>Operations!M534*Operations!M520*(1-Operations!M548)</f>
        <v/>
      </c>
      <c r="N556" s="20">
        <f>Operations!N534*Operations!N520*(1-Operations!N548)</f>
        <v/>
      </c>
      <c r="O556" s="20">
        <f>Operations!O534*Operations!O520*(1-Operations!O548)</f>
        <v/>
      </c>
      <c r="P556" s="20">
        <f>Operations!P534*Operations!P520*(1-Operations!P548)</f>
        <v/>
      </c>
      <c r="Q556" s="20">
        <f>Operations!Q534*Operations!Q520*(1-Operations!Q548)</f>
        <v/>
      </c>
      <c r="R556" s="20">
        <f>Operations!R534*Operations!R520*(1-Operations!R548)</f>
        <v/>
      </c>
      <c r="S556" s="20">
        <f>Operations!S534*Operations!S520*(1-Operations!S548)</f>
        <v/>
      </c>
      <c r="T556" s="20">
        <f>Operations!T534*Operations!T520*(1-Operations!T548)</f>
        <v/>
      </c>
      <c r="U556" s="20">
        <f>Operations!U534*Operations!U520*(1-Operations!U548)</f>
        <v/>
      </c>
      <c r="V556" s="20">
        <f>Operations!V534*Operations!V520*(1-Operations!V548)</f>
        <v/>
      </c>
      <c r="W556" s="20">
        <f>Operations!W534*Operations!W520*(1-Operations!W548)</f>
        <v/>
      </c>
      <c r="X556" s="20">
        <f>Operations!X534*Operations!X520*(1-Operations!X548)</f>
        <v/>
      </c>
      <c r="Y556" s="20">
        <f>Operations!Y534*Operations!Y520*(1-Operations!Y548)</f>
        <v/>
      </c>
      <c r="Z556" s="20">
        <f>Operations!Z534*Operations!Z520*(1-Operations!Z548)</f>
        <v/>
      </c>
      <c r="AA556" s="20">
        <f>Operations!AA534*Operations!AA520*(1-Operations!AA548)</f>
        <v/>
      </c>
      <c r="AB556" s="20">
        <f>Operations!AB534*Operations!AB520*(1-Operations!AB548)</f>
        <v/>
      </c>
      <c r="AC556" s="20">
        <f>Operations!AC534*Operations!AC520*(1-Operations!AC548)</f>
        <v/>
      </c>
      <c r="AD556" s="20">
        <f>Operations!AD534*Operations!AD520*(1-Operations!AD548)</f>
        <v/>
      </c>
      <c r="AE556" s="20">
        <f>Operations!AE534*Operations!AE520*(1-Operations!AE548)</f>
        <v/>
      </c>
      <c r="AF556" s="20">
        <f>Operations!AF534*Operations!AF520*(1-Operations!AF548)</f>
        <v/>
      </c>
      <c r="AG556" s="20">
        <f>Operations!AG534*Operations!AG520*(1-Operations!AG548)</f>
        <v/>
      </c>
      <c r="AH556" s="20">
        <f>Operations!AH534*Operations!AH520*(1-Operations!AH548)</f>
        <v/>
      </c>
      <c r="AI556" s="20">
        <f>Operations!AI534*Operations!AI520*(1-Operations!AI548)</f>
        <v/>
      </c>
      <c r="AJ556" s="20">
        <f>Operations!AJ534*Operations!AJ520*(1-Operations!AJ548)</f>
        <v/>
      </c>
      <c r="AK556" s="20">
        <f>Operations!AK534*Operations!AK520*(1-Operations!AK548)</f>
        <v/>
      </c>
      <c r="AL556" s="20">
        <f>Operations!AL534*Operations!AL520*(1-Operations!AL548)</f>
        <v/>
      </c>
      <c r="AM556" s="20">
        <f>Operations!AM534*Operations!AM520*(1-Operations!AM548)</f>
        <v/>
      </c>
      <c r="AN556" s="20">
        <f>Operations!AN534*Operations!AN520*(1-Operations!AN548)</f>
        <v/>
      </c>
      <c r="AO556" s="20">
        <f>Operations!AO534*Operations!AO520*(1-Operations!AO548)</f>
        <v/>
      </c>
      <c r="AP556" s="20">
        <f>Operations!AP534*Operations!AP520*(1-Operations!AP548)</f>
        <v/>
      </c>
      <c r="AQ556" s="20">
        <f>Operations!AQ534*Operations!AQ520*(1-Operations!AQ548)</f>
        <v/>
      </c>
      <c r="AR556" s="20">
        <f>Operations!AR534*Operations!AR520*(1-Operations!AR548)</f>
        <v/>
      </c>
      <c r="AS556" s="20">
        <f>Operations!AS534*Operations!AS520*(1-Operations!AS548)</f>
        <v/>
      </c>
      <c r="AT556" s="20">
        <f>Operations!AT534*Operations!AT520*(1-Operations!AT548)</f>
        <v/>
      </c>
      <c r="AU556" s="20">
        <f>Operations!AU534*Operations!AU520*(1-Operations!AU548)</f>
        <v/>
      </c>
    </row>
    <row r="557">
      <c r="D557" t="inlineStr">
        <is>
          <t>R3 Mesa-share hedged revenue</t>
        </is>
      </c>
      <c r="E557" t="inlineStr">
        <is>
          <t>USD m</t>
        </is>
      </c>
      <c r="J557" s="20">
        <f>Operations!J535*Operations!J520*(1-Operations!J548)</f>
        <v/>
      </c>
      <c r="K557" s="20">
        <f>Operations!K535*Operations!K520*(1-Operations!K548)</f>
        <v/>
      </c>
      <c r="L557" s="20">
        <f>Operations!L535*Operations!L520*(1-Operations!L548)</f>
        <v/>
      </c>
      <c r="M557" s="20">
        <f>Operations!M535*Operations!M520*(1-Operations!M548)</f>
        <v/>
      </c>
      <c r="N557" s="20">
        <f>Operations!N535*Operations!N520*(1-Operations!N548)</f>
        <v/>
      </c>
      <c r="O557" s="20">
        <f>Operations!O535*Operations!O520*(1-Operations!O548)</f>
        <v/>
      </c>
      <c r="P557" s="20">
        <f>Operations!P535*Operations!P520*(1-Operations!P548)</f>
        <v/>
      </c>
      <c r="Q557" s="20">
        <f>Operations!Q535*Operations!Q520*(1-Operations!Q548)</f>
        <v/>
      </c>
      <c r="R557" s="20">
        <f>Operations!R535*Operations!R520*(1-Operations!R548)</f>
        <v/>
      </c>
      <c r="S557" s="20">
        <f>Operations!S535*Operations!S520*(1-Operations!S548)</f>
        <v/>
      </c>
      <c r="T557" s="20">
        <f>Operations!T535*Operations!T520*(1-Operations!T548)</f>
        <v/>
      </c>
      <c r="U557" s="20">
        <f>Operations!U535*Operations!U520*(1-Operations!U548)</f>
        <v/>
      </c>
      <c r="V557" s="20">
        <f>Operations!V535*Operations!V520*(1-Operations!V548)</f>
        <v/>
      </c>
      <c r="W557" s="20">
        <f>Operations!W535*Operations!W520*(1-Operations!W548)</f>
        <v/>
      </c>
      <c r="X557" s="20">
        <f>Operations!X535*Operations!X520*(1-Operations!X548)</f>
        <v/>
      </c>
      <c r="Y557" s="20">
        <f>Operations!Y535*Operations!Y520*(1-Operations!Y548)</f>
        <v/>
      </c>
      <c r="Z557" s="20">
        <f>Operations!Z535*Operations!Z520*(1-Operations!Z548)</f>
        <v/>
      </c>
      <c r="AA557" s="20">
        <f>Operations!AA535*Operations!AA520*(1-Operations!AA548)</f>
        <v/>
      </c>
      <c r="AB557" s="20">
        <f>Operations!AB535*Operations!AB520*(1-Operations!AB548)</f>
        <v/>
      </c>
      <c r="AC557" s="20">
        <f>Operations!AC535*Operations!AC520*(1-Operations!AC548)</f>
        <v/>
      </c>
      <c r="AD557" s="20">
        <f>Operations!AD535*Operations!AD520*(1-Operations!AD548)</f>
        <v/>
      </c>
      <c r="AE557" s="20">
        <f>Operations!AE535*Operations!AE520*(1-Operations!AE548)</f>
        <v/>
      </c>
      <c r="AF557" s="20">
        <f>Operations!AF535*Operations!AF520*(1-Operations!AF548)</f>
        <v/>
      </c>
      <c r="AG557" s="20">
        <f>Operations!AG535*Operations!AG520*(1-Operations!AG548)</f>
        <v/>
      </c>
      <c r="AH557" s="20">
        <f>Operations!AH535*Operations!AH520*(1-Operations!AH548)</f>
        <v/>
      </c>
      <c r="AI557" s="20">
        <f>Operations!AI535*Operations!AI520*(1-Operations!AI548)</f>
        <v/>
      </c>
      <c r="AJ557" s="20">
        <f>Operations!AJ535*Operations!AJ520*(1-Operations!AJ548)</f>
        <v/>
      </c>
      <c r="AK557" s="20">
        <f>Operations!AK535*Operations!AK520*(1-Operations!AK548)</f>
        <v/>
      </c>
      <c r="AL557" s="20">
        <f>Operations!AL535*Operations!AL520*(1-Operations!AL548)</f>
        <v/>
      </c>
      <c r="AM557" s="20">
        <f>Operations!AM535*Operations!AM520*(1-Operations!AM548)</f>
        <v/>
      </c>
      <c r="AN557" s="20">
        <f>Operations!AN535*Operations!AN520*(1-Operations!AN548)</f>
        <v/>
      </c>
      <c r="AO557" s="20">
        <f>Operations!AO535*Operations!AO520*(1-Operations!AO548)</f>
        <v/>
      </c>
      <c r="AP557" s="20">
        <f>Operations!AP535*Operations!AP520*(1-Operations!AP548)</f>
        <v/>
      </c>
      <c r="AQ557" s="20">
        <f>Operations!AQ535*Operations!AQ520*(1-Operations!AQ548)</f>
        <v/>
      </c>
      <c r="AR557" s="20">
        <f>Operations!AR535*Operations!AR520*(1-Operations!AR548)</f>
        <v/>
      </c>
      <c r="AS557" s="20">
        <f>Operations!AS535*Operations!AS520*(1-Operations!AS548)</f>
        <v/>
      </c>
      <c r="AT557" s="20">
        <f>Operations!AT535*Operations!AT520*(1-Operations!AT548)</f>
        <v/>
      </c>
      <c r="AU557" s="20">
        <f>Operations!AU535*Operations!AU520*(1-Operations!AU548)</f>
        <v/>
      </c>
    </row>
    <row r="558">
      <c r="D558" t="inlineStr">
        <is>
          <t>R3 Mesa-share merchant revenue</t>
        </is>
      </c>
      <c r="E558" t="inlineStr">
        <is>
          <t>USD m</t>
        </is>
      </c>
      <c r="J558" s="20">
        <f>Operations!J538*Operations!J520*(1-Operations!J548)</f>
        <v/>
      </c>
      <c r="K558" s="20">
        <f>Operations!K538*Operations!K520*(1-Operations!K548)</f>
        <v/>
      </c>
      <c r="L558" s="20">
        <f>Operations!L538*Operations!L520*(1-Operations!L548)</f>
        <v/>
      </c>
      <c r="M558" s="20">
        <f>Operations!M538*Operations!M520*(1-Operations!M548)</f>
        <v/>
      </c>
      <c r="N558" s="20">
        <f>Operations!N538*Operations!N520*(1-Operations!N548)</f>
        <v/>
      </c>
      <c r="O558" s="20">
        <f>Operations!O538*Operations!O520*(1-Operations!O548)</f>
        <v/>
      </c>
      <c r="P558" s="20">
        <f>Operations!P538*Operations!P520*(1-Operations!P548)</f>
        <v/>
      </c>
      <c r="Q558" s="20">
        <f>Operations!Q538*Operations!Q520*(1-Operations!Q548)</f>
        <v/>
      </c>
      <c r="R558" s="20">
        <f>Operations!R538*Operations!R520*(1-Operations!R548)</f>
        <v/>
      </c>
      <c r="S558" s="20">
        <f>Operations!S538*Operations!S520*(1-Operations!S548)</f>
        <v/>
      </c>
      <c r="T558" s="20">
        <f>Operations!T538*Operations!T520*(1-Operations!T548)</f>
        <v/>
      </c>
      <c r="U558" s="20">
        <f>Operations!U538*Operations!U520*(1-Operations!U548)</f>
        <v/>
      </c>
      <c r="V558" s="20">
        <f>Operations!V538*Operations!V520*(1-Operations!V548)</f>
        <v/>
      </c>
      <c r="W558" s="20">
        <f>Operations!W538*Operations!W520*(1-Operations!W548)</f>
        <v/>
      </c>
      <c r="X558" s="20">
        <f>Operations!X538*Operations!X520*(1-Operations!X548)</f>
        <v/>
      </c>
      <c r="Y558" s="20">
        <f>Operations!Y538*Operations!Y520*(1-Operations!Y548)</f>
        <v/>
      </c>
      <c r="Z558" s="20">
        <f>Operations!Z538*Operations!Z520*(1-Operations!Z548)</f>
        <v/>
      </c>
      <c r="AA558" s="20">
        <f>Operations!AA538*Operations!AA520*(1-Operations!AA548)</f>
        <v/>
      </c>
      <c r="AB558" s="20">
        <f>Operations!AB538*Operations!AB520*(1-Operations!AB548)</f>
        <v/>
      </c>
      <c r="AC558" s="20">
        <f>Operations!AC538*Operations!AC520*(1-Operations!AC548)</f>
        <v/>
      </c>
      <c r="AD558" s="20">
        <f>Operations!AD538*Operations!AD520*(1-Operations!AD548)</f>
        <v/>
      </c>
      <c r="AE558" s="20">
        <f>Operations!AE538*Operations!AE520*(1-Operations!AE548)</f>
        <v/>
      </c>
      <c r="AF558" s="20">
        <f>Operations!AF538*Operations!AF520*(1-Operations!AF548)</f>
        <v/>
      </c>
      <c r="AG558" s="20">
        <f>Operations!AG538*Operations!AG520*(1-Operations!AG548)</f>
        <v/>
      </c>
      <c r="AH558" s="20">
        <f>Operations!AH538*Operations!AH520*(1-Operations!AH548)</f>
        <v/>
      </c>
      <c r="AI558" s="20">
        <f>Operations!AI538*Operations!AI520*(1-Operations!AI548)</f>
        <v/>
      </c>
      <c r="AJ558" s="20">
        <f>Operations!AJ538*Operations!AJ520*(1-Operations!AJ548)</f>
        <v/>
      </c>
      <c r="AK558" s="20">
        <f>Operations!AK538*Operations!AK520*(1-Operations!AK548)</f>
        <v/>
      </c>
      <c r="AL558" s="20">
        <f>Operations!AL538*Operations!AL520*(1-Operations!AL548)</f>
        <v/>
      </c>
      <c r="AM558" s="20">
        <f>Operations!AM538*Operations!AM520*(1-Operations!AM548)</f>
        <v/>
      </c>
      <c r="AN558" s="20">
        <f>Operations!AN538*Operations!AN520*(1-Operations!AN548)</f>
        <v/>
      </c>
      <c r="AO558" s="20">
        <f>Operations!AO538*Operations!AO520*(1-Operations!AO548)</f>
        <v/>
      </c>
      <c r="AP558" s="20">
        <f>Operations!AP538*Operations!AP520*(1-Operations!AP548)</f>
        <v/>
      </c>
      <c r="AQ558" s="20">
        <f>Operations!AQ538*Operations!AQ520*(1-Operations!AQ548)</f>
        <v/>
      </c>
      <c r="AR558" s="20">
        <f>Operations!AR538*Operations!AR520*(1-Operations!AR548)</f>
        <v/>
      </c>
      <c r="AS558" s="20">
        <f>Operations!AS538*Operations!AS520*(1-Operations!AS548)</f>
        <v/>
      </c>
      <c r="AT558" s="20">
        <f>Operations!AT538*Operations!AT520*(1-Operations!AT548)</f>
        <v/>
      </c>
      <c r="AU558" s="20">
        <f>Operations!AU538*Operations!AU520*(1-Operations!AU548)</f>
        <v/>
      </c>
    </row>
    <row r="559">
      <c r="D559" t="inlineStr">
        <is>
          <t>R3 Mesa-share revenue</t>
        </is>
      </c>
      <c r="E559" t="inlineStr">
        <is>
          <t>USD m</t>
        </is>
      </c>
      <c r="J559" s="20">
        <f>Operations!J537*Operations!J520*(1-Operations!J548)</f>
        <v/>
      </c>
      <c r="K559" s="20">
        <f>Operations!K537*Operations!K520*(1-Operations!K548)</f>
        <v/>
      </c>
      <c r="L559" s="20">
        <f>Operations!L537*Operations!L520*(1-Operations!L548)</f>
        <v/>
      </c>
      <c r="M559" s="20">
        <f>Operations!M537*Operations!M520*(1-Operations!M548)</f>
        <v/>
      </c>
      <c r="N559" s="20">
        <f>Operations!N537*Operations!N520*(1-Operations!N548)</f>
        <v/>
      </c>
      <c r="O559" s="20">
        <f>Operations!O537*Operations!O520*(1-Operations!O548)</f>
        <v/>
      </c>
      <c r="P559" s="20">
        <f>Operations!P537*Operations!P520*(1-Operations!P548)</f>
        <v/>
      </c>
      <c r="Q559" s="20">
        <f>Operations!Q537*Operations!Q520*(1-Operations!Q548)</f>
        <v/>
      </c>
      <c r="R559" s="20">
        <f>Operations!R537*Operations!R520*(1-Operations!R548)</f>
        <v/>
      </c>
      <c r="S559" s="20">
        <f>Operations!S537*Operations!S520*(1-Operations!S548)</f>
        <v/>
      </c>
      <c r="T559" s="20">
        <f>Operations!T537*Operations!T520*(1-Operations!T548)</f>
        <v/>
      </c>
      <c r="U559" s="20">
        <f>Operations!U537*Operations!U520*(1-Operations!U548)</f>
        <v/>
      </c>
      <c r="V559" s="20">
        <f>Operations!V537*Operations!V520*(1-Operations!V548)</f>
        <v/>
      </c>
      <c r="W559" s="20">
        <f>Operations!W537*Operations!W520*(1-Operations!W548)</f>
        <v/>
      </c>
      <c r="X559" s="20">
        <f>Operations!X537*Operations!X520*(1-Operations!X548)</f>
        <v/>
      </c>
      <c r="Y559" s="20">
        <f>Operations!Y537*Operations!Y520*(1-Operations!Y548)</f>
        <v/>
      </c>
      <c r="Z559" s="20">
        <f>Operations!Z537*Operations!Z520*(1-Operations!Z548)</f>
        <v/>
      </c>
      <c r="AA559" s="20">
        <f>Operations!AA537*Operations!AA520*(1-Operations!AA548)</f>
        <v/>
      </c>
      <c r="AB559" s="20">
        <f>Operations!AB537*Operations!AB520*(1-Operations!AB548)</f>
        <v/>
      </c>
      <c r="AC559" s="20">
        <f>Operations!AC537*Operations!AC520*(1-Operations!AC548)</f>
        <v/>
      </c>
      <c r="AD559" s="20">
        <f>Operations!AD537*Operations!AD520*(1-Operations!AD548)</f>
        <v/>
      </c>
      <c r="AE559" s="20">
        <f>Operations!AE537*Operations!AE520*(1-Operations!AE548)</f>
        <v/>
      </c>
      <c r="AF559" s="20">
        <f>Operations!AF537*Operations!AF520*(1-Operations!AF548)</f>
        <v/>
      </c>
      <c r="AG559" s="20">
        <f>Operations!AG537*Operations!AG520*(1-Operations!AG548)</f>
        <v/>
      </c>
      <c r="AH559" s="20">
        <f>Operations!AH537*Operations!AH520*(1-Operations!AH548)</f>
        <v/>
      </c>
      <c r="AI559" s="20">
        <f>Operations!AI537*Operations!AI520*(1-Operations!AI548)</f>
        <v/>
      </c>
      <c r="AJ559" s="20">
        <f>Operations!AJ537*Operations!AJ520*(1-Operations!AJ548)</f>
        <v/>
      </c>
      <c r="AK559" s="20">
        <f>Operations!AK537*Operations!AK520*(1-Operations!AK548)</f>
        <v/>
      </c>
      <c r="AL559" s="20">
        <f>Operations!AL537*Operations!AL520*(1-Operations!AL548)</f>
        <v/>
      </c>
      <c r="AM559" s="20">
        <f>Operations!AM537*Operations!AM520*(1-Operations!AM548)</f>
        <v/>
      </c>
      <c r="AN559" s="20">
        <f>Operations!AN537*Operations!AN520*(1-Operations!AN548)</f>
        <v/>
      </c>
      <c r="AO559" s="20">
        <f>Operations!AO537*Operations!AO520*(1-Operations!AO548)</f>
        <v/>
      </c>
      <c r="AP559" s="20">
        <f>Operations!AP537*Operations!AP520*(1-Operations!AP548)</f>
        <v/>
      </c>
      <c r="AQ559" s="20">
        <f>Operations!AQ537*Operations!AQ520*(1-Operations!AQ548)</f>
        <v/>
      </c>
      <c r="AR559" s="20">
        <f>Operations!AR537*Operations!AR520*(1-Operations!AR548)</f>
        <v/>
      </c>
      <c r="AS559" s="20">
        <f>Operations!AS537*Operations!AS520*(1-Operations!AS548)</f>
        <v/>
      </c>
      <c r="AT559" s="20">
        <f>Operations!AT537*Operations!AT520*(1-Operations!AT548)</f>
        <v/>
      </c>
      <c r="AU559" s="20">
        <f>Operations!AU537*Operations!AU520*(1-Operations!AU548)</f>
        <v/>
      </c>
    </row>
    <row r="560">
      <c r="D560" t="inlineStr">
        <is>
          <t>R3 PTC generated (99% to tax equity before flip)</t>
        </is>
      </c>
      <c r="E560" t="inlineStr">
        <is>
          <t>USD m</t>
        </is>
      </c>
      <c r="J560" s="20">
        <f>Operations!J525*MAX(0,MIN(DATE(YEAR(Inputs!$F$111)+Inputs!$F$229,MONTH(Inputs!$F$111),DAY(Inputs!$F$111)),Time!J$6)-MAX(Inputs!$F$111,Time!J$5))/Time!J$7*Inputs!J81/1000</f>
        <v/>
      </c>
      <c r="K560" s="20">
        <f>Operations!K525*MAX(0,MIN(DATE(YEAR(Inputs!$F$111)+Inputs!$F$229,MONTH(Inputs!$F$111),DAY(Inputs!$F$111)),Time!K$6)-MAX(Inputs!$F$111,Time!K$5))/Time!K$7*Inputs!K81/1000</f>
        <v/>
      </c>
      <c r="L560" s="20">
        <f>Operations!L525*MAX(0,MIN(DATE(YEAR(Inputs!$F$111)+Inputs!$F$229,MONTH(Inputs!$F$111),DAY(Inputs!$F$111)),Time!L$6)-MAX(Inputs!$F$111,Time!L$5))/Time!L$7*Inputs!L81/1000</f>
        <v/>
      </c>
      <c r="M560" s="20">
        <f>Operations!M525*MAX(0,MIN(DATE(YEAR(Inputs!$F$111)+Inputs!$F$229,MONTH(Inputs!$F$111),DAY(Inputs!$F$111)),Time!M$6)-MAX(Inputs!$F$111,Time!M$5))/Time!M$7*Inputs!M81/1000</f>
        <v/>
      </c>
      <c r="N560" s="20">
        <f>Operations!N525*MAX(0,MIN(DATE(YEAR(Inputs!$F$111)+Inputs!$F$229,MONTH(Inputs!$F$111),DAY(Inputs!$F$111)),Time!N$6)-MAX(Inputs!$F$111,Time!N$5))/Time!N$7*Inputs!N81/1000</f>
        <v/>
      </c>
      <c r="O560" s="20">
        <f>Operations!O525*MAX(0,MIN(DATE(YEAR(Inputs!$F$111)+Inputs!$F$229,MONTH(Inputs!$F$111),DAY(Inputs!$F$111)),Time!O$6)-MAX(Inputs!$F$111,Time!O$5))/Time!O$7*Inputs!O81/1000</f>
        <v/>
      </c>
      <c r="P560" s="20">
        <f>Operations!P525*MAX(0,MIN(DATE(YEAR(Inputs!$F$111)+Inputs!$F$229,MONTH(Inputs!$F$111),DAY(Inputs!$F$111)),Time!P$6)-MAX(Inputs!$F$111,Time!P$5))/Time!P$7*Inputs!P81/1000</f>
        <v/>
      </c>
      <c r="Q560" s="20">
        <f>Operations!Q525*MAX(0,MIN(DATE(YEAR(Inputs!$F$111)+Inputs!$F$229,MONTH(Inputs!$F$111),DAY(Inputs!$F$111)),Time!Q$6)-MAX(Inputs!$F$111,Time!Q$5))/Time!Q$7*Inputs!Q81/1000</f>
        <v/>
      </c>
      <c r="R560" s="20">
        <f>Operations!R525*MAX(0,MIN(DATE(YEAR(Inputs!$F$111)+Inputs!$F$229,MONTH(Inputs!$F$111),DAY(Inputs!$F$111)),Time!R$6)-MAX(Inputs!$F$111,Time!R$5))/Time!R$7*Inputs!R81/1000</f>
        <v/>
      </c>
      <c r="S560" s="20">
        <f>Operations!S525*MAX(0,MIN(DATE(YEAR(Inputs!$F$111)+Inputs!$F$229,MONTH(Inputs!$F$111),DAY(Inputs!$F$111)),Time!S$6)-MAX(Inputs!$F$111,Time!S$5))/Time!S$7*Inputs!S81/1000</f>
        <v/>
      </c>
      <c r="T560" s="20">
        <f>Operations!T525*MAX(0,MIN(DATE(YEAR(Inputs!$F$111)+Inputs!$F$229,MONTH(Inputs!$F$111),DAY(Inputs!$F$111)),Time!T$6)-MAX(Inputs!$F$111,Time!T$5))/Time!T$7*Inputs!T81/1000</f>
        <v/>
      </c>
      <c r="U560" s="20">
        <f>Operations!U525*MAX(0,MIN(DATE(YEAR(Inputs!$F$111)+Inputs!$F$229,MONTH(Inputs!$F$111),DAY(Inputs!$F$111)),Time!U$6)-MAX(Inputs!$F$111,Time!U$5))/Time!U$7*Inputs!U81/1000</f>
        <v/>
      </c>
      <c r="V560" s="20">
        <f>Operations!V525*MAX(0,MIN(DATE(YEAR(Inputs!$F$111)+Inputs!$F$229,MONTH(Inputs!$F$111),DAY(Inputs!$F$111)),Time!V$6)-MAX(Inputs!$F$111,Time!V$5))/Time!V$7*Inputs!V81/1000</f>
        <v/>
      </c>
      <c r="W560" s="20">
        <f>Operations!W525*MAX(0,MIN(DATE(YEAR(Inputs!$F$111)+Inputs!$F$229,MONTH(Inputs!$F$111),DAY(Inputs!$F$111)),Time!W$6)-MAX(Inputs!$F$111,Time!W$5))/Time!W$7*Inputs!W81/1000</f>
        <v/>
      </c>
      <c r="X560" s="20">
        <f>Operations!X525*MAX(0,MIN(DATE(YEAR(Inputs!$F$111)+Inputs!$F$229,MONTH(Inputs!$F$111),DAY(Inputs!$F$111)),Time!X$6)-MAX(Inputs!$F$111,Time!X$5))/Time!X$7*Inputs!X81/1000</f>
        <v/>
      </c>
      <c r="Y560" s="20">
        <f>Operations!Y525*MAX(0,MIN(DATE(YEAR(Inputs!$F$111)+Inputs!$F$229,MONTH(Inputs!$F$111),DAY(Inputs!$F$111)),Time!Y$6)-MAX(Inputs!$F$111,Time!Y$5))/Time!Y$7*Inputs!Y81/1000</f>
        <v/>
      </c>
      <c r="Z560" s="20">
        <f>Operations!Z525*MAX(0,MIN(DATE(YEAR(Inputs!$F$111)+Inputs!$F$229,MONTH(Inputs!$F$111),DAY(Inputs!$F$111)),Time!Z$6)-MAX(Inputs!$F$111,Time!Z$5))/Time!Z$7*Inputs!Z81/1000</f>
        <v/>
      </c>
      <c r="AA560" s="20">
        <f>Operations!AA525*MAX(0,MIN(DATE(YEAR(Inputs!$F$111)+Inputs!$F$229,MONTH(Inputs!$F$111),DAY(Inputs!$F$111)),Time!AA$6)-MAX(Inputs!$F$111,Time!AA$5))/Time!AA$7*Inputs!AA81/1000</f>
        <v/>
      </c>
      <c r="AB560" s="20">
        <f>Operations!AB525*MAX(0,MIN(DATE(YEAR(Inputs!$F$111)+Inputs!$F$229,MONTH(Inputs!$F$111),DAY(Inputs!$F$111)),Time!AB$6)-MAX(Inputs!$F$111,Time!AB$5))/Time!AB$7*Inputs!AB81/1000</f>
        <v/>
      </c>
      <c r="AC560" s="20">
        <f>Operations!AC525*MAX(0,MIN(DATE(YEAR(Inputs!$F$111)+Inputs!$F$229,MONTH(Inputs!$F$111),DAY(Inputs!$F$111)),Time!AC$6)-MAX(Inputs!$F$111,Time!AC$5))/Time!AC$7*Inputs!AC81/1000</f>
        <v/>
      </c>
      <c r="AD560" s="20">
        <f>Operations!AD525*MAX(0,MIN(DATE(YEAR(Inputs!$F$111)+Inputs!$F$229,MONTH(Inputs!$F$111),DAY(Inputs!$F$111)),Time!AD$6)-MAX(Inputs!$F$111,Time!AD$5))/Time!AD$7*Inputs!AD81/1000</f>
        <v/>
      </c>
      <c r="AE560" s="20">
        <f>Operations!AE525*MAX(0,MIN(DATE(YEAR(Inputs!$F$111)+Inputs!$F$229,MONTH(Inputs!$F$111),DAY(Inputs!$F$111)),Time!AE$6)-MAX(Inputs!$F$111,Time!AE$5))/Time!AE$7*Inputs!AE81/1000</f>
        <v/>
      </c>
      <c r="AF560" s="20">
        <f>Operations!AF525*MAX(0,MIN(DATE(YEAR(Inputs!$F$111)+Inputs!$F$229,MONTH(Inputs!$F$111),DAY(Inputs!$F$111)),Time!AF$6)-MAX(Inputs!$F$111,Time!AF$5))/Time!AF$7*Inputs!AF81/1000</f>
        <v/>
      </c>
      <c r="AG560" s="20">
        <f>Operations!AG525*MAX(0,MIN(DATE(YEAR(Inputs!$F$111)+Inputs!$F$229,MONTH(Inputs!$F$111),DAY(Inputs!$F$111)),Time!AG$6)-MAX(Inputs!$F$111,Time!AG$5))/Time!AG$7*Inputs!AG81/1000</f>
        <v/>
      </c>
      <c r="AH560" s="20">
        <f>Operations!AH525*MAX(0,MIN(DATE(YEAR(Inputs!$F$111)+Inputs!$F$229,MONTH(Inputs!$F$111),DAY(Inputs!$F$111)),Time!AH$6)-MAX(Inputs!$F$111,Time!AH$5))/Time!AH$7*Inputs!AH81/1000</f>
        <v/>
      </c>
      <c r="AI560" s="20">
        <f>Operations!AI525*MAX(0,MIN(DATE(YEAR(Inputs!$F$111)+Inputs!$F$229,MONTH(Inputs!$F$111),DAY(Inputs!$F$111)),Time!AI$6)-MAX(Inputs!$F$111,Time!AI$5))/Time!AI$7*Inputs!AI81/1000</f>
        <v/>
      </c>
      <c r="AJ560" s="20">
        <f>Operations!AJ525*MAX(0,MIN(DATE(YEAR(Inputs!$F$111)+Inputs!$F$229,MONTH(Inputs!$F$111),DAY(Inputs!$F$111)),Time!AJ$6)-MAX(Inputs!$F$111,Time!AJ$5))/Time!AJ$7*Inputs!AJ81/1000</f>
        <v/>
      </c>
      <c r="AK560" s="20">
        <f>Operations!AK525*MAX(0,MIN(DATE(YEAR(Inputs!$F$111)+Inputs!$F$229,MONTH(Inputs!$F$111),DAY(Inputs!$F$111)),Time!AK$6)-MAX(Inputs!$F$111,Time!AK$5))/Time!AK$7*Inputs!AK81/1000</f>
        <v/>
      </c>
      <c r="AL560" s="20">
        <f>Operations!AL525*MAX(0,MIN(DATE(YEAR(Inputs!$F$111)+Inputs!$F$229,MONTH(Inputs!$F$111),DAY(Inputs!$F$111)),Time!AL$6)-MAX(Inputs!$F$111,Time!AL$5))/Time!AL$7*Inputs!AL81/1000</f>
        <v/>
      </c>
      <c r="AM560" s="20">
        <f>Operations!AM525*MAX(0,MIN(DATE(YEAR(Inputs!$F$111)+Inputs!$F$229,MONTH(Inputs!$F$111),DAY(Inputs!$F$111)),Time!AM$6)-MAX(Inputs!$F$111,Time!AM$5))/Time!AM$7*Inputs!AM81/1000</f>
        <v/>
      </c>
      <c r="AN560" s="20">
        <f>Operations!AN525*MAX(0,MIN(DATE(YEAR(Inputs!$F$111)+Inputs!$F$229,MONTH(Inputs!$F$111),DAY(Inputs!$F$111)),Time!AN$6)-MAX(Inputs!$F$111,Time!AN$5))/Time!AN$7*Inputs!AN81/1000</f>
        <v/>
      </c>
      <c r="AO560" s="20">
        <f>Operations!AO525*MAX(0,MIN(DATE(YEAR(Inputs!$F$111)+Inputs!$F$229,MONTH(Inputs!$F$111),DAY(Inputs!$F$111)),Time!AO$6)-MAX(Inputs!$F$111,Time!AO$5))/Time!AO$7*Inputs!AO81/1000</f>
        <v/>
      </c>
      <c r="AP560" s="20">
        <f>Operations!AP525*MAX(0,MIN(DATE(YEAR(Inputs!$F$111)+Inputs!$F$229,MONTH(Inputs!$F$111),DAY(Inputs!$F$111)),Time!AP$6)-MAX(Inputs!$F$111,Time!AP$5))/Time!AP$7*Inputs!AP81/1000</f>
        <v/>
      </c>
      <c r="AQ560" s="20">
        <f>Operations!AQ525*MAX(0,MIN(DATE(YEAR(Inputs!$F$111)+Inputs!$F$229,MONTH(Inputs!$F$111),DAY(Inputs!$F$111)),Time!AQ$6)-MAX(Inputs!$F$111,Time!AQ$5))/Time!AQ$7*Inputs!AQ81/1000</f>
        <v/>
      </c>
      <c r="AR560" s="20">
        <f>Operations!AR525*MAX(0,MIN(DATE(YEAR(Inputs!$F$111)+Inputs!$F$229,MONTH(Inputs!$F$111),DAY(Inputs!$F$111)),Time!AR$6)-MAX(Inputs!$F$111,Time!AR$5))/Time!AR$7*Inputs!AR81/1000</f>
        <v/>
      </c>
      <c r="AS560" s="20">
        <f>Operations!AS525*MAX(0,MIN(DATE(YEAR(Inputs!$F$111)+Inputs!$F$229,MONTH(Inputs!$F$111),DAY(Inputs!$F$111)),Time!AS$6)-MAX(Inputs!$F$111,Time!AS$5))/Time!AS$7*Inputs!AS81/1000</f>
        <v/>
      </c>
      <c r="AT560" s="20">
        <f>Operations!AT525*MAX(0,MIN(DATE(YEAR(Inputs!$F$111)+Inputs!$F$229,MONTH(Inputs!$F$111),DAY(Inputs!$F$111)),Time!AT$6)-MAX(Inputs!$F$111,Time!AT$5))/Time!AT$7*Inputs!AT81/1000</f>
        <v/>
      </c>
      <c r="AU560" s="20">
        <f>Operations!AU525*MAX(0,MIN(DATE(YEAR(Inputs!$F$111)+Inputs!$F$229,MONTH(Inputs!$F$111),DAY(Inputs!$F$111)),Time!AU$6)-MAX(Inputs!$F$111,Time!AU$5))/Time!AU$7*Inputs!AU81/1000</f>
        <v/>
      </c>
    </row>
    <row r="561">
      <c r="D561" s="19" t="inlineStr">
        <is>
          <t>R4 Peeler Draw Solar (single-axis tracking PV)</t>
        </is>
      </c>
    </row>
    <row r="562">
      <c r="D562" t="inlineStr">
        <is>
          <t>R4 operating fraction</t>
        </is>
      </c>
      <c r="E562" t="inlineStr">
        <is>
          <t>fraction</t>
        </is>
      </c>
      <c r="J562" s="14">
        <f>MAX(0,MIN(Inputs!$F$123,Time!J$6)-MAX(Inputs!$F$122,Time!J$5))/Time!J$7</f>
        <v/>
      </c>
      <c r="K562" s="14">
        <f>MAX(0,MIN(Inputs!$F$123,Time!K$6)-MAX(Inputs!$F$122,Time!K$5))/Time!K$7</f>
        <v/>
      </c>
      <c r="L562" s="14">
        <f>MAX(0,MIN(Inputs!$F$123,Time!L$6)-MAX(Inputs!$F$122,Time!L$5))/Time!L$7</f>
        <v/>
      </c>
      <c r="M562" s="14">
        <f>MAX(0,MIN(Inputs!$F$123,Time!M$6)-MAX(Inputs!$F$122,Time!M$5))/Time!M$7</f>
        <v/>
      </c>
      <c r="N562" s="14">
        <f>MAX(0,MIN(Inputs!$F$123,Time!N$6)-MAX(Inputs!$F$122,Time!N$5))/Time!N$7</f>
        <v/>
      </c>
      <c r="O562" s="14">
        <f>MAX(0,MIN(Inputs!$F$123,Time!O$6)-MAX(Inputs!$F$122,Time!O$5))/Time!O$7</f>
        <v/>
      </c>
      <c r="P562" s="14">
        <f>MAX(0,MIN(Inputs!$F$123,Time!P$6)-MAX(Inputs!$F$122,Time!P$5))/Time!P$7</f>
        <v/>
      </c>
      <c r="Q562" s="14">
        <f>MAX(0,MIN(Inputs!$F$123,Time!Q$6)-MAX(Inputs!$F$122,Time!Q$5))/Time!Q$7</f>
        <v/>
      </c>
      <c r="R562" s="14">
        <f>MAX(0,MIN(Inputs!$F$123,Time!R$6)-MAX(Inputs!$F$122,Time!R$5))/Time!R$7</f>
        <v/>
      </c>
      <c r="S562" s="14">
        <f>MAX(0,MIN(Inputs!$F$123,Time!S$6)-MAX(Inputs!$F$122,Time!S$5))/Time!S$7</f>
        <v/>
      </c>
      <c r="T562" s="14">
        <f>MAX(0,MIN(Inputs!$F$123,Time!T$6)-MAX(Inputs!$F$122,Time!T$5))/Time!T$7</f>
        <v/>
      </c>
      <c r="U562" s="14">
        <f>MAX(0,MIN(Inputs!$F$123,Time!U$6)-MAX(Inputs!$F$122,Time!U$5))/Time!U$7</f>
        <v/>
      </c>
      <c r="V562" s="14">
        <f>MAX(0,MIN(Inputs!$F$123,Time!V$6)-MAX(Inputs!$F$122,Time!V$5))/Time!V$7</f>
        <v/>
      </c>
      <c r="W562" s="14">
        <f>MAX(0,MIN(Inputs!$F$123,Time!W$6)-MAX(Inputs!$F$122,Time!W$5))/Time!W$7</f>
        <v/>
      </c>
      <c r="X562" s="14">
        <f>MAX(0,MIN(Inputs!$F$123,Time!X$6)-MAX(Inputs!$F$122,Time!X$5))/Time!X$7</f>
        <v/>
      </c>
      <c r="Y562" s="14">
        <f>MAX(0,MIN(Inputs!$F$123,Time!Y$6)-MAX(Inputs!$F$122,Time!Y$5))/Time!Y$7</f>
        <v/>
      </c>
      <c r="Z562" s="14">
        <f>MAX(0,MIN(Inputs!$F$123,Time!Z$6)-MAX(Inputs!$F$122,Time!Z$5))/Time!Z$7</f>
        <v/>
      </c>
      <c r="AA562" s="14">
        <f>MAX(0,MIN(Inputs!$F$123,Time!AA$6)-MAX(Inputs!$F$122,Time!AA$5))/Time!AA$7</f>
        <v/>
      </c>
      <c r="AB562" s="14">
        <f>MAX(0,MIN(Inputs!$F$123,Time!AB$6)-MAX(Inputs!$F$122,Time!AB$5))/Time!AB$7</f>
        <v/>
      </c>
      <c r="AC562" s="14">
        <f>MAX(0,MIN(Inputs!$F$123,Time!AC$6)-MAX(Inputs!$F$122,Time!AC$5))/Time!AC$7</f>
        <v/>
      </c>
      <c r="AD562" s="14">
        <f>MAX(0,MIN(Inputs!$F$123,Time!AD$6)-MAX(Inputs!$F$122,Time!AD$5))/Time!AD$7</f>
        <v/>
      </c>
      <c r="AE562" s="14">
        <f>MAX(0,MIN(Inputs!$F$123,Time!AE$6)-MAX(Inputs!$F$122,Time!AE$5))/Time!AE$7</f>
        <v/>
      </c>
      <c r="AF562" s="14">
        <f>MAX(0,MIN(Inputs!$F$123,Time!AF$6)-MAX(Inputs!$F$122,Time!AF$5))/Time!AF$7</f>
        <v/>
      </c>
      <c r="AG562" s="14">
        <f>MAX(0,MIN(Inputs!$F$123,Time!AG$6)-MAX(Inputs!$F$122,Time!AG$5))/Time!AG$7</f>
        <v/>
      </c>
      <c r="AH562" s="14">
        <f>MAX(0,MIN(Inputs!$F$123,Time!AH$6)-MAX(Inputs!$F$122,Time!AH$5))/Time!AH$7</f>
        <v/>
      </c>
      <c r="AI562" s="14">
        <f>MAX(0,MIN(Inputs!$F$123,Time!AI$6)-MAX(Inputs!$F$122,Time!AI$5))/Time!AI$7</f>
        <v/>
      </c>
      <c r="AJ562" s="14">
        <f>MAX(0,MIN(Inputs!$F$123,Time!AJ$6)-MAX(Inputs!$F$122,Time!AJ$5))/Time!AJ$7</f>
        <v/>
      </c>
      <c r="AK562" s="14">
        <f>MAX(0,MIN(Inputs!$F$123,Time!AK$6)-MAX(Inputs!$F$122,Time!AK$5))/Time!AK$7</f>
        <v/>
      </c>
      <c r="AL562" s="14">
        <f>MAX(0,MIN(Inputs!$F$123,Time!AL$6)-MAX(Inputs!$F$122,Time!AL$5))/Time!AL$7</f>
        <v/>
      </c>
      <c r="AM562" s="14">
        <f>MAX(0,MIN(Inputs!$F$123,Time!AM$6)-MAX(Inputs!$F$122,Time!AM$5))/Time!AM$7</f>
        <v/>
      </c>
      <c r="AN562" s="14">
        <f>MAX(0,MIN(Inputs!$F$123,Time!AN$6)-MAX(Inputs!$F$122,Time!AN$5))/Time!AN$7</f>
        <v/>
      </c>
      <c r="AO562" s="14">
        <f>MAX(0,MIN(Inputs!$F$123,Time!AO$6)-MAX(Inputs!$F$122,Time!AO$5))/Time!AO$7</f>
        <v/>
      </c>
      <c r="AP562" s="14">
        <f>MAX(0,MIN(Inputs!$F$123,Time!AP$6)-MAX(Inputs!$F$122,Time!AP$5))/Time!AP$7</f>
        <v/>
      </c>
      <c r="AQ562" s="14">
        <f>MAX(0,MIN(Inputs!$F$123,Time!AQ$6)-MAX(Inputs!$F$122,Time!AQ$5))/Time!AQ$7</f>
        <v/>
      </c>
      <c r="AR562" s="14">
        <f>MAX(0,MIN(Inputs!$F$123,Time!AR$6)-MAX(Inputs!$F$122,Time!AR$5))/Time!AR$7</f>
        <v/>
      </c>
      <c r="AS562" s="14">
        <f>MAX(0,MIN(Inputs!$F$123,Time!AS$6)-MAX(Inputs!$F$122,Time!AS$5))/Time!AS$7</f>
        <v/>
      </c>
      <c r="AT562" s="14">
        <f>MAX(0,MIN(Inputs!$F$123,Time!AT$6)-MAX(Inputs!$F$122,Time!AT$5))/Time!AT$7</f>
        <v/>
      </c>
      <c r="AU562" s="14">
        <f>MAX(0,MIN(Inputs!$F$123,Time!AU$6)-MAX(Inputs!$F$122,Time!AU$5))/Time!AU$7</f>
        <v/>
      </c>
    </row>
    <row r="563">
      <c r="D563" t="inlineStr">
        <is>
          <t>R4 owned fraction</t>
        </is>
      </c>
      <c r="E563" t="inlineStr">
        <is>
          <t>fraction</t>
        </is>
      </c>
      <c r="J563" s="14">
        <f>MAX(0,MIN(Inputs!$F$123,Time!J$6)-MAX(MAX(Inputs!$F$124,Inputs!$F$122),Time!J$5))/Time!J$7</f>
        <v/>
      </c>
      <c r="K563" s="14">
        <f>MAX(0,MIN(Inputs!$F$123,Time!K$6)-MAX(MAX(Inputs!$F$124,Inputs!$F$122),Time!K$5))/Time!K$7</f>
        <v/>
      </c>
      <c r="L563" s="14">
        <f>MAX(0,MIN(Inputs!$F$123,Time!L$6)-MAX(MAX(Inputs!$F$124,Inputs!$F$122),Time!L$5))/Time!L$7</f>
        <v/>
      </c>
      <c r="M563" s="14">
        <f>MAX(0,MIN(Inputs!$F$123,Time!M$6)-MAX(MAX(Inputs!$F$124,Inputs!$F$122),Time!M$5))/Time!M$7</f>
        <v/>
      </c>
      <c r="N563" s="14">
        <f>MAX(0,MIN(Inputs!$F$123,Time!N$6)-MAX(MAX(Inputs!$F$124,Inputs!$F$122),Time!N$5))/Time!N$7</f>
        <v/>
      </c>
      <c r="O563" s="14">
        <f>MAX(0,MIN(Inputs!$F$123,Time!O$6)-MAX(MAX(Inputs!$F$124,Inputs!$F$122),Time!O$5))/Time!O$7</f>
        <v/>
      </c>
      <c r="P563" s="14">
        <f>MAX(0,MIN(Inputs!$F$123,Time!P$6)-MAX(MAX(Inputs!$F$124,Inputs!$F$122),Time!P$5))/Time!P$7</f>
        <v/>
      </c>
      <c r="Q563" s="14">
        <f>MAX(0,MIN(Inputs!$F$123,Time!Q$6)-MAX(MAX(Inputs!$F$124,Inputs!$F$122),Time!Q$5))/Time!Q$7</f>
        <v/>
      </c>
      <c r="R563" s="14">
        <f>MAX(0,MIN(Inputs!$F$123,Time!R$6)-MAX(MAX(Inputs!$F$124,Inputs!$F$122),Time!R$5))/Time!R$7</f>
        <v/>
      </c>
      <c r="S563" s="14">
        <f>MAX(0,MIN(Inputs!$F$123,Time!S$6)-MAX(MAX(Inputs!$F$124,Inputs!$F$122),Time!S$5))/Time!S$7</f>
        <v/>
      </c>
      <c r="T563" s="14">
        <f>MAX(0,MIN(Inputs!$F$123,Time!T$6)-MAX(MAX(Inputs!$F$124,Inputs!$F$122),Time!T$5))/Time!T$7</f>
        <v/>
      </c>
      <c r="U563" s="14">
        <f>MAX(0,MIN(Inputs!$F$123,Time!U$6)-MAX(MAX(Inputs!$F$124,Inputs!$F$122),Time!U$5))/Time!U$7</f>
        <v/>
      </c>
      <c r="V563" s="14">
        <f>MAX(0,MIN(Inputs!$F$123,Time!V$6)-MAX(MAX(Inputs!$F$124,Inputs!$F$122),Time!V$5))/Time!V$7</f>
        <v/>
      </c>
      <c r="W563" s="14">
        <f>MAX(0,MIN(Inputs!$F$123,Time!W$6)-MAX(MAX(Inputs!$F$124,Inputs!$F$122),Time!W$5))/Time!W$7</f>
        <v/>
      </c>
      <c r="X563" s="14">
        <f>MAX(0,MIN(Inputs!$F$123,Time!X$6)-MAX(MAX(Inputs!$F$124,Inputs!$F$122),Time!X$5))/Time!X$7</f>
        <v/>
      </c>
      <c r="Y563" s="14">
        <f>MAX(0,MIN(Inputs!$F$123,Time!Y$6)-MAX(MAX(Inputs!$F$124,Inputs!$F$122),Time!Y$5))/Time!Y$7</f>
        <v/>
      </c>
      <c r="Z563" s="14">
        <f>MAX(0,MIN(Inputs!$F$123,Time!Z$6)-MAX(MAX(Inputs!$F$124,Inputs!$F$122),Time!Z$5))/Time!Z$7</f>
        <v/>
      </c>
      <c r="AA563" s="14">
        <f>MAX(0,MIN(Inputs!$F$123,Time!AA$6)-MAX(MAX(Inputs!$F$124,Inputs!$F$122),Time!AA$5))/Time!AA$7</f>
        <v/>
      </c>
      <c r="AB563" s="14">
        <f>MAX(0,MIN(Inputs!$F$123,Time!AB$6)-MAX(MAX(Inputs!$F$124,Inputs!$F$122),Time!AB$5))/Time!AB$7</f>
        <v/>
      </c>
      <c r="AC563" s="14">
        <f>MAX(0,MIN(Inputs!$F$123,Time!AC$6)-MAX(MAX(Inputs!$F$124,Inputs!$F$122),Time!AC$5))/Time!AC$7</f>
        <v/>
      </c>
      <c r="AD563" s="14">
        <f>MAX(0,MIN(Inputs!$F$123,Time!AD$6)-MAX(MAX(Inputs!$F$124,Inputs!$F$122),Time!AD$5))/Time!AD$7</f>
        <v/>
      </c>
      <c r="AE563" s="14">
        <f>MAX(0,MIN(Inputs!$F$123,Time!AE$6)-MAX(MAX(Inputs!$F$124,Inputs!$F$122),Time!AE$5))/Time!AE$7</f>
        <v/>
      </c>
      <c r="AF563" s="14">
        <f>MAX(0,MIN(Inputs!$F$123,Time!AF$6)-MAX(MAX(Inputs!$F$124,Inputs!$F$122),Time!AF$5))/Time!AF$7</f>
        <v/>
      </c>
      <c r="AG563" s="14">
        <f>MAX(0,MIN(Inputs!$F$123,Time!AG$6)-MAX(MAX(Inputs!$F$124,Inputs!$F$122),Time!AG$5))/Time!AG$7</f>
        <v/>
      </c>
      <c r="AH563" s="14">
        <f>MAX(0,MIN(Inputs!$F$123,Time!AH$6)-MAX(MAX(Inputs!$F$124,Inputs!$F$122),Time!AH$5))/Time!AH$7</f>
        <v/>
      </c>
      <c r="AI563" s="14">
        <f>MAX(0,MIN(Inputs!$F$123,Time!AI$6)-MAX(MAX(Inputs!$F$124,Inputs!$F$122),Time!AI$5))/Time!AI$7</f>
        <v/>
      </c>
      <c r="AJ563" s="14">
        <f>MAX(0,MIN(Inputs!$F$123,Time!AJ$6)-MAX(MAX(Inputs!$F$124,Inputs!$F$122),Time!AJ$5))/Time!AJ$7</f>
        <v/>
      </c>
      <c r="AK563" s="14">
        <f>MAX(0,MIN(Inputs!$F$123,Time!AK$6)-MAX(MAX(Inputs!$F$124,Inputs!$F$122),Time!AK$5))/Time!AK$7</f>
        <v/>
      </c>
      <c r="AL563" s="14">
        <f>MAX(0,MIN(Inputs!$F$123,Time!AL$6)-MAX(MAX(Inputs!$F$124,Inputs!$F$122),Time!AL$5))/Time!AL$7</f>
        <v/>
      </c>
      <c r="AM563" s="14">
        <f>MAX(0,MIN(Inputs!$F$123,Time!AM$6)-MAX(MAX(Inputs!$F$124,Inputs!$F$122),Time!AM$5))/Time!AM$7</f>
        <v/>
      </c>
      <c r="AN563" s="14">
        <f>MAX(0,MIN(Inputs!$F$123,Time!AN$6)-MAX(MAX(Inputs!$F$124,Inputs!$F$122),Time!AN$5))/Time!AN$7</f>
        <v/>
      </c>
      <c r="AO563" s="14">
        <f>MAX(0,MIN(Inputs!$F$123,Time!AO$6)-MAX(MAX(Inputs!$F$124,Inputs!$F$122),Time!AO$5))/Time!AO$7</f>
        <v/>
      </c>
      <c r="AP563" s="14">
        <f>MAX(0,MIN(Inputs!$F$123,Time!AP$6)-MAX(MAX(Inputs!$F$124,Inputs!$F$122),Time!AP$5))/Time!AP$7</f>
        <v/>
      </c>
      <c r="AQ563" s="14">
        <f>MAX(0,MIN(Inputs!$F$123,Time!AQ$6)-MAX(MAX(Inputs!$F$124,Inputs!$F$122),Time!AQ$5))/Time!AQ$7</f>
        <v/>
      </c>
      <c r="AR563" s="14">
        <f>MAX(0,MIN(Inputs!$F$123,Time!AR$6)-MAX(MAX(Inputs!$F$124,Inputs!$F$122),Time!AR$5))/Time!AR$7</f>
        <v/>
      </c>
      <c r="AS563" s="14">
        <f>MAX(0,MIN(Inputs!$F$123,Time!AS$6)-MAX(MAX(Inputs!$F$124,Inputs!$F$122),Time!AS$5))/Time!AS$7</f>
        <v/>
      </c>
      <c r="AT563" s="14">
        <f>MAX(0,MIN(Inputs!$F$123,Time!AT$6)-MAX(MAX(Inputs!$F$124,Inputs!$F$122),Time!AT$5))/Time!AT$7</f>
        <v/>
      </c>
      <c r="AU563" s="14">
        <f>MAX(0,MIN(Inputs!$F$123,Time!AU$6)-MAX(MAX(Inputs!$F$124,Inputs!$F$122),Time!AU$5))/Time!AU$7</f>
        <v/>
      </c>
    </row>
    <row r="564">
      <c r="D564" t="inlineStr">
        <is>
          <t>R4 owned share of operating period</t>
        </is>
      </c>
      <c r="E564" t="inlineStr">
        <is>
          <t>fraction</t>
        </is>
      </c>
      <c r="J564" s="14">
        <f>IF(Operations!J562&gt;0,Operations!J563/Operations!J562,0)</f>
        <v/>
      </c>
      <c r="K564" s="14">
        <f>IF(Operations!K562&gt;0,Operations!K563/Operations!K562,0)</f>
        <v/>
      </c>
      <c r="L564" s="14">
        <f>IF(Operations!L562&gt;0,Operations!L563/Operations!L562,0)</f>
        <v/>
      </c>
      <c r="M564" s="14">
        <f>IF(Operations!M562&gt;0,Operations!M563/Operations!M562,0)</f>
        <v/>
      </c>
      <c r="N564" s="14">
        <f>IF(Operations!N562&gt;0,Operations!N563/Operations!N562,0)</f>
        <v/>
      </c>
      <c r="O564" s="14">
        <f>IF(Operations!O562&gt;0,Operations!O563/Operations!O562,0)</f>
        <v/>
      </c>
      <c r="P564" s="14">
        <f>IF(Operations!P562&gt;0,Operations!P563/Operations!P562,0)</f>
        <v/>
      </c>
      <c r="Q564" s="14">
        <f>IF(Operations!Q562&gt;0,Operations!Q563/Operations!Q562,0)</f>
        <v/>
      </c>
      <c r="R564" s="14">
        <f>IF(Operations!R562&gt;0,Operations!R563/Operations!R562,0)</f>
        <v/>
      </c>
      <c r="S564" s="14">
        <f>IF(Operations!S562&gt;0,Operations!S563/Operations!S562,0)</f>
        <v/>
      </c>
      <c r="T564" s="14">
        <f>IF(Operations!T562&gt;0,Operations!T563/Operations!T562,0)</f>
        <v/>
      </c>
      <c r="U564" s="14">
        <f>IF(Operations!U562&gt;0,Operations!U563/Operations!U562,0)</f>
        <v/>
      </c>
      <c r="V564" s="14">
        <f>IF(Operations!V562&gt;0,Operations!V563/Operations!V562,0)</f>
        <v/>
      </c>
      <c r="W564" s="14">
        <f>IF(Operations!W562&gt;0,Operations!W563/Operations!W562,0)</f>
        <v/>
      </c>
      <c r="X564" s="14">
        <f>IF(Operations!X562&gt;0,Operations!X563/Operations!X562,0)</f>
        <v/>
      </c>
      <c r="Y564" s="14">
        <f>IF(Operations!Y562&gt;0,Operations!Y563/Operations!Y562,0)</f>
        <v/>
      </c>
      <c r="Z564" s="14">
        <f>IF(Operations!Z562&gt;0,Operations!Z563/Operations!Z562,0)</f>
        <v/>
      </c>
      <c r="AA564" s="14">
        <f>IF(Operations!AA562&gt;0,Operations!AA563/Operations!AA562,0)</f>
        <v/>
      </c>
      <c r="AB564" s="14">
        <f>IF(Operations!AB562&gt;0,Operations!AB563/Operations!AB562,0)</f>
        <v/>
      </c>
      <c r="AC564" s="14">
        <f>IF(Operations!AC562&gt;0,Operations!AC563/Operations!AC562,0)</f>
        <v/>
      </c>
      <c r="AD564" s="14">
        <f>IF(Operations!AD562&gt;0,Operations!AD563/Operations!AD562,0)</f>
        <v/>
      </c>
      <c r="AE564" s="14">
        <f>IF(Operations!AE562&gt;0,Operations!AE563/Operations!AE562,0)</f>
        <v/>
      </c>
      <c r="AF564" s="14">
        <f>IF(Operations!AF562&gt;0,Operations!AF563/Operations!AF562,0)</f>
        <v/>
      </c>
      <c r="AG564" s="14">
        <f>IF(Operations!AG562&gt;0,Operations!AG563/Operations!AG562,0)</f>
        <v/>
      </c>
      <c r="AH564" s="14">
        <f>IF(Operations!AH562&gt;0,Operations!AH563/Operations!AH562,0)</f>
        <v/>
      </c>
      <c r="AI564" s="14">
        <f>IF(Operations!AI562&gt;0,Operations!AI563/Operations!AI562,0)</f>
        <v/>
      </c>
      <c r="AJ564" s="14">
        <f>IF(Operations!AJ562&gt;0,Operations!AJ563/Operations!AJ562,0)</f>
        <v/>
      </c>
      <c r="AK564" s="14">
        <f>IF(Operations!AK562&gt;0,Operations!AK563/Operations!AK562,0)</f>
        <v/>
      </c>
      <c r="AL564" s="14">
        <f>IF(Operations!AL562&gt;0,Operations!AL563/Operations!AL562,0)</f>
        <v/>
      </c>
      <c r="AM564" s="14">
        <f>IF(Operations!AM562&gt;0,Operations!AM563/Operations!AM562,0)</f>
        <v/>
      </c>
      <c r="AN564" s="14">
        <f>IF(Operations!AN562&gt;0,Operations!AN563/Operations!AN562,0)</f>
        <v/>
      </c>
      <c r="AO564" s="14">
        <f>IF(Operations!AO562&gt;0,Operations!AO563/Operations!AO562,0)</f>
        <v/>
      </c>
      <c r="AP564" s="14">
        <f>IF(Operations!AP562&gt;0,Operations!AP563/Operations!AP562,0)</f>
        <v/>
      </c>
      <c r="AQ564" s="14">
        <f>IF(Operations!AQ562&gt;0,Operations!AQ563/Operations!AQ562,0)</f>
        <v/>
      </c>
      <c r="AR564" s="14">
        <f>IF(Operations!AR562&gt;0,Operations!AR563/Operations!AR562,0)</f>
        <v/>
      </c>
      <c r="AS564" s="14">
        <f>IF(Operations!AS562&gt;0,Operations!AS563/Operations!AS562,0)</f>
        <v/>
      </c>
      <c r="AT564" s="14">
        <f>IF(Operations!AT562&gt;0,Operations!AT563/Operations!AT562,0)</f>
        <v/>
      </c>
      <c r="AU564" s="14">
        <f>IF(Operations!AU562&gt;0,Operations!AU563/Operations!AU562,0)</f>
        <v/>
      </c>
    </row>
    <row r="565">
      <c r="D565" t="inlineStr">
        <is>
          <t>R4 own hub ATC</t>
        </is>
      </c>
      <c r="E565" t="inlineStr">
        <is>
          <t>USD/MWh</t>
        </is>
      </c>
      <c r="J565" s="18">
        <f>Operations!J424</f>
        <v/>
      </c>
      <c r="K565" s="18">
        <f>Operations!K424</f>
        <v/>
      </c>
      <c r="L565" s="18">
        <f>Operations!L424</f>
        <v/>
      </c>
      <c r="M565" s="18">
        <f>Operations!M424</f>
        <v/>
      </c>
      <c r="N565" s="18">
        <f>Operations!N424</f>
        <v/>
      </c>
      <c r="O565" s="18">
        <f>Operations!O424</f>
        <v/>
      </c>
      <c r="P565" s="18">
        <f>Operations!P424</f>
        <v/>
      </c>
      <c r="Q565" s="18">
        <f>Operations!Q424</f>
        <v/>
      </c>
      <c r="R565" s="18">
        <f>Operations!R424</f>
        <v/>
      </c>
      <c r="S565" s="18">
        <f>Operations!S424</f>
        <v/>
      </c>
      <c r="T565" s="18">
        <f>Operations!T424</f>
        <v/>
      </c>
      <c r="U565" s="18">
        <f>Operations!U424</f>
        <v/>
      </c>
      <c r="V565" s="18">
        <f>Operations!V424</f>
        <v/>
      </c>
      <c r="W565" s="18">
        <f>Operations!W424</f>
        <v/>
      </c>
      <c r="X565" s="18">
        <f>Operations!X424</f>
        <v/>
      </c>
      <c r="Y565" s="18">
        <f>Operations!Y424</f>
        <v/>
      </c>
      <c r="Z565" s="18">
        <f>Operations!Z424</f>
        <v/>
      </c>
      <c r="AA565" s="18">
        <f>Operations!AA424</f>
        <v/>
      </c>
      <c r="AB565" s="18">
        <f>Operations!AB424</f>
        <v/>
      </c>
      <c r="AC565" s="18">
        <f>Operations!AC424</f>
        <v/>
      </c>
      <c r="AD565" s="18">
        <f>Operations!AD424</f>
        <v/>
      </c>
      <c r="AE565" s="18">
        <f>Operations!AE424</f>
        <v/>
      </c>
      <c r="AF565" s="18">
        <f>Operations!AF424</f>
        <v/>
      </c>
      <c r="AG565" s="18">
        <f>Operations!AG424</f>
        <v/>
      </c>
      <c r="AH565" s="18">
        <f>Operations!AH424</f>
        <v/>
      </c>
      <c r="AI565" s="18">
        <f>Operations!AI424</f>
        <v/>
      </c>
      <c r="AJ565" s="18">
        <f>Operations!AJ424</f>
        <v/>
      </c>
      <c r="AK565" s="18">
        <f>Operations!AK424</f>
        <v/>
      </c>
      <c r="AL565" s="18">
        <f>Operations!AL424</f>
        <v/>
      </c>
      <c r="AM565" s="18">
        <f>Operations!AM424</f>
        <v/>
      </c>
      <c r="AN565" s="18">
        <f>Operations!AN424</f>
        <v/>
      </c>
      <c r="AO565" s="18">
        <f>Operations!AO424</f>
        <v/>
      </c>
      <c r="AP565" s="18">
        <f>Operations!AP424</f>
        <v/>
      </c>
      <c r="AQ565" s="18">
        <f>Operations!AQ424</f>
        <v/>
      </c>
      <c r="AR565" s="18">
        <f>Operations!AR424</f>
        <v/>
      </c>
      <c r="AS565" s="18">
        <f>Operations!AS424</f>
        <v/>
      </c>
      <c r="AT565" s="18">
        <f>Operations!AT424</f>
        <v/>
      </c>
      <c r="AU565" s="18">
        <f>Operations!AU424</f>
        <v/>
      </c>
    </row>
    <row r="566">
      <c r="D566" t="inlineStr">
        <is>
          <t>R4 volume factor</t>
        </is>
      </c>
      <c r="E566" t="inlineStr">
        <is>
          <t>factor</t>
        </is>
      </c>
      <c r="J566" s="14">
        <f>CHOOSE(Operations!$F$418,1,Inputs!$F$128/100,Inputs!$F$129/100,Operations!$F$30/100)</f>
        <v/>
      </c>
      <c r="K566" s="14">
        <f>CHOOSE(Operations!$F$418,1,Inputs!$F$128/100,Inputs!$F$129/100,Operations!$F$30/100)</f>
        <v/>
      </c>
      <c r="L566" s="14">
        <f>CHOOSE(Operations!$F$418,1,Inputs!$F$128/100,Inputs!$F$129/100,Operations!$F$30/100)</f>
        <v/>
      </c>
      <c r="M566" s="14">
        <f>CHOOSE(Operations!$F$418,1,Inputs!$F$128/100,Inputs!$F$129/100,Operations!$F$30/100)</f>
        <v/>
      </c>
      <c r="N566" s="14">
        <f>CHOOSE(Operations!$F$418,1,Inputs!$F$128/100,Inputs!$F$129/100,Operations!$F$30/100)</f>
        <v/>
      </c>
      <c r="O566" s="14">
        <f>CHOOSE(Operations!$F$418,1,Inputs!$F$128/100,Inputs!$F$129/100,Operations!$F$30/100)</f>
        <v/>
      </c>
      <c r="P566" s="14">
        <f>CHOOSE(Operations!$F$418,1,Inputs!$F$128/100,Inputs!$F$129/100,Operations!$F$30/100)</f>
        <v/>
      </c>
      <c r="Q566" s="14">
        <f>CHOOSE(Operations!$F$418,1,Inputs!$F$128/100,Inputs!$F$129/100,Operations!$F$30/100)</f>
        <v/>
      </c>
      <c r="R566" s="14">
        <f>CHOOSE(Operations!$F$418,1,Inputs!$F$128/100,Inputs!$F$129/100,Operations!$F$30/100)</f>
        <v/>
      </c>
      <c r="S566" s="14">
        <f>CHOOSE(Operations!$F$418,1,Inputs!$F$128/100,Inputs!$F$129/100,Operations!$F$30/100)</f>
        <v/>
      </c>
      <c r="T566" s="14">
        <f>CHOOSE(Operations!$F$418,1,Inputs!$F$128/100,Inputs!$F$129/100,Operations!$F$30/100)</f>
        <v/>
      </c>
      <c r="U566" s="14">
        <f>CHOOSE(Operations!$F$418,1,Inputs!$F$128/100,Inputs!$F$129/100,Operations!$F$30/100)</f>
        <v/>
      </c>
      <c r="V566" s="14">
        <f>CHOOSE(Operations!$F$418,1,Inputs!$F$128/100,Inputs!$F$129/100,Operations!$F$30/100)</f>
        <v/>
      </c>
      <c r="W566" s="14">
        <f>CHOOSE(Operations!$F$418,1,Inputs!$F$128/100,Inputs!$F$129/100,Operations!$F$30/100)</f>
        <v/>
      </c>
      <c r="X566" s="14">
        <f>CHOOSE(Operations!$F$418,1,Inputs!$F$128/100,Inputs!$F$129/100,Operations!$F$30/100)</f>
        <v/>
      </c>
      <c r="Y566" s="14">
        <f>CHOOSE(Operations!$F$418,1,Inputs!$F$128/100,Inputs!$F$129/100,Operations!$F$30/100)</f>
        <v/>
      </c>
      <c r="Z566" s="14">
        <f>CHOOSE(Operations!$F$418,1,Inputs!$F$128/100,Inputs!$F$129/100,Operations!$F$30/100)</f>
        <v/>
      </c>
      <c r="AA566" s="14">
        <f>CHOOSE(Operations!$F$418,1,Inputs!$F$128/100,Inputs!$F$129/100,Operations!$F$30/100)</f>
        <v/>
      </c>
      <c r="AB566" s="14">
        <f>CHOOSE(Operations!$F$418,1,Inputs!$F$128/100,Inputs!$F$129/100,Operations!$F$30/100)</f>
        <v/>
      </c>
      <c r="AC566" s="14">
        <f>CHOOSE(Operations!$F$418,1,Inputs!$F$128/100,Inputs!$F$129/100,Operations!$F$30/100)</f>
        <v/>
      </c>
      <c r="AD566" s="14">
        <f>CHOOSE(Operations!$F$418,1,Inputs!$F$128/100,Inputs!$F$129/100,Operations!$F$30/100)</f>
        <v/>
      </c>
      <c r="AE566" s="14">
        <f>CHOOSE(Operations!$F$418,1,Inputs!$F$128/100,Inputs!$F$129/100,Operations!$F$30/100)</f>
        <v/>
      </c>
      <c r="AF566" s="14">
        <f>CHOOSE(Operations!$F$418,1,Inputs!$F$128/100,Inputs!$F$129/100,Operations!$F$30/100)</f>
        <v/>
      </c>
      <c r="AG566" s="14">
        <f>CHOOSE(Operations!$F$418,1,Inputs!$F$128/100,Inputs!$F$129/100,Operations!$F$30/100)</f>
        <v/>
      </c>
      <c r="AH566" s="14">
        <f>CHOOSE(Operations!$F$418,1,Inputs!$F$128/100,Inputs!$F$129/100,Operations!$F$30/100)</f>
        <v/>
      </c>
      <c r="AI566" s="14">
        <f>CHOOSE(Operations!$F$418,1,Inputs!$F$128/100,Inputs!$F$129/100,Operations!$F$30/100)</f>
        <v/>
      </c>
      <c r="AJ566" s="14">
        <f>CHOOSE(Operations!$F$418,1,Inputs!$F$128/100,Inputs!$F$129/100,Operations!$F$30/100)</f>
        <v/>
      </c>
      <c r="AK566" s="14">
        <f>CHOOSE(Operations!$F$418,1,Inputs!$F$128/100,Inputs!$F$129/100,Operations!$F$30/100)</f>
        <v/>
      </c>
      <c r="AL566" s="14">
        <f>CHOOSE(Operations!$F$418,1,Inputs!$F$128/100,Inputs!$F$129/100,Operations!$F$30/100)</f>
        <v/>
      </c>
      <c r="AM566" s="14">
        <f>CHOOSE(Operations!$F$418,1,Inputs!$F$128/100,Inputs!$F$129/100,Operations!$F$30/100)</f>
        <v/>
      </c>
      <c r="AN566" s="14">
        <f>CHOOSE(Operations!$F$418,1,Inputs!$F$128/100,Inputs!$F$129/100,Operations!$F$30/100)</f>
        <v/>
      </c>
      <c r="AO566" s="14">
        <f>CHOOSE(Operations!$F$418,1,Inputs!$F$128/100,Inputs!$F$129/100,Operations!$F$30/100)</f>
        <v/>
      </c>
      <c r="AP566" s="14">
        <f>CHOOSE(Operations!$F$418,1,Inputs!$F$128/100,Inputs!$F$129/100,Operations!$F$30/100)</f>
        <v/>
      </c>
      <c r="AQ566" s="14">
        <f>CHOOSE(Operations!$F$418,1,Inputs!$F$128/100,Inputs!$F$129/100,Operations!$F$30/100)</f>
        <v/>
      </c>
      <c r="AR566" s="14">
        <f>CHOOSE(Operations!$F$418,1,Inputs!$F$128/100,Inputs!$F$129/100,Operations!$F$30/100)</f>
        <v/>
      </c>
      <c r="AS566" s="14">
        <f>CHOOSE(Operations!$F$418,1,Inputs!$F$128/100,Inputs!$F$129/100,Operations!$F$30/100)</f>
        <v/>
      </c>
      <c r="AT566" s="14">
        <f>CHOOSE(Operations!$F$418,1,Inputs!$F$128/100,Inputs!$F$129/100,Operations!$F$30/100)</f>
        <v/>
      </c>
      <c r="AU566" s="14">
        <f>CHOOSE(Operations!$F$418,1,Inputs!$F$128/100,Inputs!$F$129/100,Operations!$F$30/100)</f>
        <v/>
      </c>
    </row>
    <row r="567">
      <c r="D567" t="inlineStr">
        <is>
          <t>R4 degradation factor</t>
        </is>
      </c>
      <c r="E567" t="inlineStr">
        <is>
          <t>factor</t>
        </is>
      </c>
      <c r="J567" s="14">
        <f>(1-Inputs!$F$130/100)^MAX(0,Time!J$4-Inputs!$F$131)</f>
        <v/>
      </c>
      <c r="K567" s="14">
        <f>(1-Inputs!$F$130/100)^MAX(0,Time!K$4-Inputs!$F$131)</f>
        <v/>
      </c>
      <c r="L567" s="14">
        <f>(1-Inputs!$F$130/100)^MAX(0,Time!L$4-Inputs!$F$131)</f>
        <v/>
      </c>
      <c r="M567" s="14">
        <f>(1-Inputs!$F$130/100)^MAX(0,Time!M$4-Inputs!$F$131)</f>
        <v/>
      </c>
      <c r="N567" s="14">
        <f>(1-Inputs!$F$130/100)^MAX(0,Time!N$4-Inputs!$F$131)</f>
        <v/>
      </c>
      <c r="O567" s="14">
        <f>(1-Inputs!$F$130/100)^MAX(0,Time!O$4-Inputs!$F$131)</f>
        <v/>
      </c>
      <c r="P567" s="14">
        <f>(1-Inputs!$F$130/100)^MAX(0,Time!P$4-Inputs!$F$131)</f>
        <v/>
      </c>
      <c r="Q567" s="14">
        <f>(1-Inputs!$F$130/100)^MAX(0,Time!Q$4-Inputs!$F$131)</f>
        <v/>
      </c>
      <c r="R567" s="14">
        <f>(1-Inputs!$F$130/100)^MAX(0,Time!R$4-Inputs!$F$131)</f>
        <v/>
      </c>
      <c r="S567" s="14">
        <f>(1-Inputs!$F$130/100)^MAX(0,Time!S$4-Inputs!$F$131)</f>
        <v/>
      </c>
      <c r="T567" s="14">
        <f>(1-Inputs!$F$130/100)^MAX(0,Time!T$4-Inputs!$F$131)</f>
        <v/>
      </c>
      <c r="U567" s="14">
        <f>(1-Inputs!$F$130/100)^MAX(0,Time!U$4-Inputs!$F$131)</f>
        <v/>
      </c>
      <c r="V567" s="14">
        <f>(1-Inputs!$F$130/100)^MAX(0,Time!V$4-Inputs!$F$131)</f>
        <v/>
      </c>
      <c r="W567" s="14">
        <f>(1-Inputs!$F$130/100)^MAX(0,Time!W$4-Inputs!$F$131)</f>
        <v/>
      </c>
      <c r="X567" s="14">
        <f>(1-Inputs!$F$130/100)^MAX(0,Time!X$4-Inputs!$F$131)</f>
        <v/>
      </c>
      <c r="Y567" s="14">
        <f>(1-Inputs!$F$130/100)^MAX(0,Time!Y$4-Inputs!$F$131)</f>
        <v/>
      </c>
      <c r="Z567" s="14">
        <f>(1-Inputs!$F$130/100)^MAX(0,Time!Z$4-Inputs!$F$131)</f>
        <v/>
      </c>
      <c r="AA567" s="14">
        <f>(1-Inputs!$F$130/100)^MAX(0,Time!AA$4-Inputs!$F$131)</f>
        <v/>
      </c>
      <c r="AB567" s="14">
        <f>(1-Inputs!$F$130/100)^MAX(0,Time!AB$4-Inputs!$F$131)</f>
        <v/>
      </c>
      <c r="AC567" s="14">
        <f>(1-Inputs!$F$130/100)^MAX(0,Time!AC$4-Inputs!$F$131)</f>
        <v/>
      </c>
      <c r="AD567" s="14">
        <f>(1-Inputs!$F$130/100)^MAX(0,Time!AD$4-Inputs!$F$131)</f>
        <v/>
      </c>
      <c r="AE567" s="14">
        <f>(1-Inputs!$F$130/100)^MAX(0,Time!AE$4-Inputs!$F$131)</f>
        <v/>
      </c>
      <c r="AF567" s="14">
        <f>(1-Inputs!$F$130/100)^MAX(0,Time!AF$4-Inputs!$F$131)</f>
        <v/>
      </c>
      <c r="AG567" s="14">
        <f>(1-Inputs!$F$130/100)^MAX(0,Time!AG$4-Inputs!$F$131)</f>
        <v/>
      </c>
      <c r="AH567" s="14">
        <f>(1-Inputs!$F$130/100)^MAX(0,Time!AH$4-Inputs!$F$131)</f>
        <v/>
      </c>
      <c r="AI567" s="14">
        <f>(1-Inputs!$F$130/100)^MAX(0,Time!AI$4-Inputs!$F$131)</f>
        <v/>
      </c>
      <c r="AJ567" s="14">
        <f>(1-Inputs!$F$130/100)^MAX(0,Time!AJ$4-Inputs!$F$131)</f>
        <v/>
      </c>
      <c r="AK567" s="14">
        <f>(1-Inputs!$F$130/100)^MAX(0,Time!AK$4-Inputs!$F$131)</f>
        <v/>
      </c>
      <c r="AL567" s="14">
        <f>(1-Inputs!$F$130/100)^MAX(0,Time!AL$4-Inputs!$F$131)</f>
        <v/>
      </c>
      <c r="AM567" s="14">
        <f>(1-Inputs!$F$130/100)^MAX(0,Time!AM$4-Inputs!$F$131)</f>
        <v/>
      </c>
      <c r="AN567" s="14">
        <f>(1-Inputs!$F$130/100)^MAX(0,Time!AN$4-Inputs!$F$131)</f>
        <v/>
      </c>
      <c r="AO567" s="14">
        <f>(1-Inputs!$F$130/100)^MAX(0,Time!AO$4-Inputs!$F$131)</f>
        <v/>
      </c>
      <c r="AP567" s="14">
        <f>(1-Inputs!$F$130/100)^MAX(0,Time!AP$4-Inputs!$F$131)</f>
        <v/>
      </c>
      <c r="AQ567" s="14">
        <f>(1-Inputs!$F$130/100)^MAX(0,Time!AQ$4-Inputs!$F$131)</f>
        <v/>
      </c>
      <c r="AR567" s="14">
        <f>(1-Inputs!$F$130/100)^MAX(0,Time!AR$4-Inputs!$F$131)</f>
        <v/>
      </c>
      <c r="AS567" s="14">
        <f>(1-Inputs!$F$130/100)^MAX(0,Time!AS$4-Inputs!$F$131)</f>
        <v/>
      </c>
      <c r="AT567" s="14">
        <f>(1-Inputs!$F$130/100)^MAX(0,Time!AT$4-Inputs!$F$131)</f>
        <v/>
      </c>
      <c r="AU567" s="14">
        <f>(1-Inputs!$F$130/100)^MAX(0,Time!AU$4-Inputs!$F$131)</f>
        <v/>
      </c>
    </row>
    <row r="568">
      <c r="D568" t="inlineStr">
        <is>
          <t>R4 curtailment</t>
        </is>
      </c>
      <c r="E568" t="inlineStr">
        <is>
          <t>fraction</t>
        </is>
      </c>
      <c r="J568" s="14">
        <f>(IF(Time!J$4&gt;=Inputs!$F$61,Inputs!$F$67,Inputs!$F$66+(Inputs!$F$67-Inputs!$F$66)*(Time!J$4-Inputs!$F$23)/(Inputs!$F$61-Inputs!$F$23))+Operations!$F$420)/100</f>
        <v/>
      </c>
      <c r="K568" s="14">
        <f>(IF(Time!K$4&gt;=Inputs!$F$61,Inputs!$F$67,Inputs!$F$66+(Inputs!$F$67-Inputs!$F$66)*(Time!K$4-Inputs!$F$23)/(Inputs!$F$61-Inputs!$F$23))+Operations!$F$420)/100</f>
        <v/>
      </c>
      <c r="L568" s="14">
        <f>(IF(Time!L$4&gt;=Inputs!$F$61,Inputs!$F$67,Inputs!$F$66+(Inputs!$F$67-Inputs!$F$66)*(Time!L$4-Inputs!$F$23)/(Inputs!$F$61-Inputs!$F$23))+Operations!$F$420)/100</f>
        <v/>
      </c>
      <c r="M568" s="14">
        <f>(IF(Time!M$4&gt;=Inputs!$F$61,Inputs!$F$67,Inputs!$F$66+(Inputs!$F$67-Inputs!$F$66)*(Time!M$4-Inputs!$F$23)/(Inputs!$F$61-Inputs!$F$23))+Operations!$F$420)/100</f>
        <v/>
      </c>
      <c r="N568" s="14">
        <f>(IF(Time!N$4&gt;=Inputs!$F$61,Inputs!$F$67,Inputs!$F$66+(Inputs!$F$67-Inputs!$F$66)*(Time!N$4-Inputs!$F$23)/(Inputs!$F$61-Inputs!$F$23))+Operations!$F$420)/100</f>
        <v/>
      </c>
      <c r="O568" s="14">
        <f>(IF(Time!O$4&gt;=Inputs!$F$61,Inputs!$F$67,Inputs!$F$66+(Inputs!$F$67-Inputs!$F$66)*(Time!O$4-Inputs!$F$23)/(Inputs!$F$61-Inputs!$F$23))+Operations!$F$420)/100</f>
        <v/>
      </c>
      <c r="P568" s="14">
        <f>(IF(Time!P$4&gt;=Inputs!$F$61,Inputs!$F$67,Inputs!$F$66+(Inputs!$F$67-Inputs!$F$66)*(Time!P$4-Inputs!$F$23)/(Inputs!$F$61-Inputs!$F$23))+Operations!$F$420)/100</f>
        <v/>
      </c>
      <c r="Q568" s="14">
        <f>(IF(Time!Q$4&gt;=Inputs!$F$61,Inputs!$F$67,Inputs!$F$66+(Inputs!$F$67-Inputs!$F$66)*(Time!Q$4-Inputs!$F$23)/(Inputs!$F$61-Inputs!$F$23))+Operations!$F$420)/100</f>
        <v/>
      </c>
      <c r="R568" s="14">
        <f>(IF(Time!R$4&gt;=Inputs!$F$61,Inputs!$F$67,Inputs!$F$66+(Inputs!$F$67-Inputs!$F$66)*(Time!R$4-Inputs!$F$23)/(Inputs!$F$61-Inputs!$F$23))+Operations!$F$420)/100</f>
        <v/>
      </c>
      <c r="S568" s="14">
        <f>(IF(Time!S$4&gt;=Inputs!$F$61,Inputs!$F$67,Inputs!$F$66+(Inputs!$F$67-Inputs!$F$66)*(Time!S$4-Inputs!$F$23)/(Inputs!$F$61-Inputs!$F$23))+Operations!$F$420)/100</f>
        <v/>
      </c>
      <c r="T568" s="14">
        <f>(IF(Time!T$4&gt;=Inputs!$F$61,Inputs!$F$67,Inputs!$F$66+(Inputs!$F$67-Inputs!$F$66)*(Time!T$4-Inputs!$F$23)/(Inputs!$F$61-Inputs!$F$23))+Operations!$F$420)/100</f>
        <v/>
      </c>
      <c r="U568" s="14">
        <f>(IF(Time!U$4&gt;=Inputs!$F$61,Inputs!$F$67,Inputs!$F$66+(Inputs!$F$67-Inputs!$F$66)*(Time!U$4-Inputs!$F$23)/(Inputs!$F$61-Inputs!$F$23))+Operations!$F$420)/100</f>
        <v/>
      </c>
      <c r="V568" s="14">
        <f>(IF(Time!V$4&gt;=Inputs!$F$61,Inputs!$F$67,Inputs!$F$66+(Inputs!$F$67-Inputs!$F$66)*(Time!V$4-Inputs!$F$23)/(Inputs!$F$61-Inputs!$F$23))+Operations!$F$420)/100</f>
        <v/>
      </c>
      <c r="W568" s="14">
        <f>(IF(Time!W$4&gt;=Inputs!$F$61,Inputs!$F$67,Inputs!$F$66+(Inputs!$F$67-Inputs!$F$66)*(Time!W$4-Inputs!$F$23)/(Inputs!$F$61-Inputs!$F$23))+Operations!$F$420)/100</f>
        <v/>
      </c>
      <c r="X568" s="14">
        <f>(IF(Time!X$4&gt;=Inputs!$F$61,Inputs!$F$67,Inputs!$F$66+(Inputs!$F$67-Inputs!$F$66)*(Time!X$4-Inputs!$F$23)/(Inputs!$F$61-Inputs!$F$23))+Operations!$F$420)/100</f>
        <v/>
      </c>
      <c r="Y568" s="14">
        <f>(IF(Time!Y$4&gt;=Inputs!$F$61,Inputs!$F$67,Inputs!$F$66+(Inputs!$F$67-Inputs!$F$66)*(Time!Y$4-Inputs!$F$23)/(Inputs!$F$61-Inputs!$F$23))+Operations!$F$420)/100</f>
        <v/>
      </c>
      <c r="Z568" s="14">
        <f>(IF(Time!Z$4&gt;=Inputs!$F$61,Inputs!$F$67,Inputs!$F$66+(Inputs!$F$67-Inputs!$F$66)*(Time!Z$4-Inputs!$F$23)/(Inputs!$F$61-Inputs!$F$23))+Operations!$F$420)/100</f>
        <v/>
      </c>
      <c r="AA568" s="14">
        <f>(IF(Time!AA$4&gt;=Inputs!$F$61,Inputs!$F$67,Inputs!$F$66+(Inputs!$F$67-Inputs!$F$66)*(Time!AA$4-Inputs!$F$23)/(Inputs!$F$61-Inputs!$F$23))+Operations!$F$420)/100</f>
        <v/>
      </c>
      <c r="AB568" s="14">
        <f>(IF(Time!AB$4&gt;=Inputs!$F$61,Inputs!$F$67,Inputs!$F$66+(Inputs!$F$67-Inputs!$F$66)*(Time!AB$4-Inputs!$F$23)/(Inputs!$F$61-Inputs!$F$23))+Operations!$F$420)/100</f>
        <v/>
      </c>
      <c r="AC568" s="14">
        <f>(IF(Time!AC$4&gt;=Inputs!$F$61,Inputs!$F$67,Inputs!$F$66+(Inputs!$F$67-Inputs!$F$66)*(Time!AC$4-Inputs!$F$23)/(Inputs!$F$61-Inputs!$F$23))+Operations!$F$420)/100</f>
        <v/>
      </c>
      <c r="AD568" s="14">
        <f>(IF(Time!AD$4&gt;=Inputs!$F$61,Inputs!$F$67,Inputs!$F$66+(Inputs!$F$67-Inputs!$F$66)*(Time!AD$4-Inputs!$F$23)/(Inputs!$F$61-Inputs!$F$23))+Operations!$F$420)/100</f>
        <v/>
      </c>
      <c r="AE568" s="14">
        <f>(IF(Time!AE$4&gt;=Inputs!$F$61,Inputs!$F$67,Inputs!$F$66+(Inputs!$F$67-Inputs!$F$66)*(Time!AE$4-Inputs!$F$23)/(Inputs!$F$61-Inputs!$F$23))+Operations!$F$420)/100</f>
        <v/>
      </c>
      <c r="AF568" s="14">
        <f>(IF(Time!AF$4&gt;=Inputs!$F$61,Inputs!$F$67,Inputs!$F$66+(Inputs!$F$67-Inputs!$F$66)*(Time!AF$4-Inputs!$F$23)/(Inputs!$F$61-Inputs!$F$23))+Operations!$F$420)/100</f>
        <v/>
      </c>
      <c r="AG568" s="14">
        <f>(IF(Time!AG$4&gt;=Inputs!$F$61,Inputs!$F$67,Inputs!$F$66+(Inputs!$F$67-Inputs!$F$66)*(Time!AG$4-Inputs!$F$23)/(Inputs!$F$61-Inputs!$F$23))+Operations!$F$420)/100</f>
        <v/>
      </c>
      <c r="AH568" s="14">
        <f>(IF(Time!AH$4&gt;=Inputs!$F$61,Inputs!$F$67,Inputs!$F$66+(Inputs!$F$67-Inputs!$F$66)*(Time!AH$4-Inputs!$F$23)/(Inputs!$F$61-Inputs!$F$23))+Operations!$F$420)/100</f>
        <v/>
      </c>
      <c r="AI568" s="14">
        <f>(IF(Time!AI$4&gt;=Inputs!$F$61,Inputs!$F$67,Inputs!$F$66+(Inputs!$F$67-Inputs!$F$66)*(Time!AI$4-Inputs!$F$23)/(Inputs!$F$61-Inputs!$F$23))+Operations!$F$420)/100</f>
        <v/>
      </c>
      <c r="AJ568" s="14">
        <f>(IF(Time!AJ$4&gt;=Inputs!$F$61,Inputs!$F$67,Inputs!$F$66+(Inputs!$F$67-Inputs!$F$66)*(Time!AJ$4-Inputs!$F$23)/(Inputs!$F$61-Inputs!$F$23))+Operations!$F$420)/100</f>
        <v/>
      </c>
      <c r="AK568" s="14">
        <f>(IF(Time!AK$4&gt;=Inputs!$F$61,Inputs!$F$67,Inputs!$F$66+(Inputs!$F$67-Inputs!$F$66)*(Time!AK$4-Inputs!$F$23)/(Inputs!$F$61-Inputs!$F$23))+Operations!$F$420)/100</f>
        <v/>
      </c>
      <c r="AL568" s="14">
        <f>(IF(Time!AL$4&gt;=Inputs!$F$61,Inputs!$F$67,Inputs!$F$66+(Inputs!$F$67-Inputs!$F$66)*(Time!AL$4-Inputs!$F$23)/(Inputs!$F$61-Inputs!$F$23))+Operations!$F$420)/100</f>
        <v/>
      </c>
      <c r="AM568" s="14">
        <f>(IF(Time!AM$4&gt;=Inputs!$F$61,Inputs!$F$67,Inputs!$F$66+(Inputs!$F$67-Inputs!$F$66)*(Time!AM$4-Inputs!$F$23)/(Inputs!$F$61-Inputs!$F$23))+Operations!$F$420)/100</f>
        <v/>
      </c>
      <c r="AN568" s="14">
        <f>(IF(Time!AN$4&gt;=Inputs!$F$61,Inputs!$F$67,Inputs!$F$66+(Inputs!$F$67-Inputs!$F$66)*(Time!AN$4-Inputs!$F$23)/(Inputs!$F$61-Inputs!$F$23))+Operations!$F$420)/100</f>
        <v/>
      </c>
      <c r="AO568" s="14">
        <f>(IF(Time!AO$4&gt;=Inputs!$F$61,Inputs!$F$67,Inputs!$F$66+(Inputs!$F$67-Inputs!$F$66)*(Time!AO$4-Inputs!$F$23)/(Inputs!$F$61-Inputs!$F$23))+Operations!$F$420)/100</f>
        <v/>
      </c>
      <c r="AP568" s="14">
        <f>(IF(Time!AP$4&gt;=Inputs!$F$61,Inputs!$F$67,Inputs!$F$66+(Inputs!$F$67-Inputs!$F$66)*(Time!AP$4-Inputs!$F$23)/(Inputs!$F$61-Inputs!$F$23))+Operations!$F$420)/100</f>
        <v/>
      </c>
      <c r="AQ568" s="14">
        <f>(IF(Time!AQ$4&gt;=Inputs!$F$61,Inputs!$F$67,Inputs!$F$66+(Inputs!$F$67-Inputs!$F$66)*(Time!AQ$4-Inputs!$F$23)/(Inputs!$F$61-Inputs!$F$23))+Operations!$F$420)/100</f>
        <v/>
      </c>
      <c r="AR568" s="14">
        <f>(IF(Time!AR$4&gt;=Inputs!$F$61,Inputs!$F$67,Inputs!$F$66+(Inputs!$F$67-Inputs!$F$66)*(Time!AR$4-Inputs!$F$23)/(Inputs!$F$61-Inputs!$F$23))+Operations!$F$420)/100</f>
        <v/>
      </c>
      <c r="AS568" s="14">
        <f>(IF(Time!AS$4&gt;=Inputs!$F$61,Inputs!$F$67,Inputs!$F$66+(Inputs!$F$67-Inputs!$F$66)*(Time!AS$4-Inputs!$F$23)/(Inputs!$F$61-Inputs!$F$23))+Operations!$F$420)/100</f>
        <v/>
      </c>
      <c r="AT568" s="14">
        <f>(IF(Time!AT$4&gt;=Inputs!$F$61,Inputs!$F$67,Inputs!$F$66+(Inputs!$F$67-Inputs!$F$66)*(Time!AT$4-Inputs!$F$23)/(Inputs!$F$61-Inputs!$F$23))+Operations!$F$420)/100</f>
        <v/>
      </c>
      <c r="AU568" s="14">
        <f>(IF(Time!AU$4&gt;=Inputs!$F$61,Inputs!$F$67,Inputs!$F$66+(Inputs!$F$67-Inputs!$F$66)*(Time!AU$4-Inputs!$F$23)/(Inputs!$F$61-Inputs!$F$23))+Operations!$F$420)/100</f>
        <v/>
      </c>
    </row>
    <row r="569">
      <c r="D569" t="inlineStr">
        <is>
          <t>R4 net generation, full year</t>
        </is>
      </c>
      <c r="E569" t="inlineStr">
        <is>
          <t>GWh</t>
        </is>
      </c>
      <c r="J569" s="20">
        <f>Inputs!$F$127*Operations!J566*Inputs!$F$185/100*Operations!J567*(1-Operations!J568)</f>
        <v/>
      </c>
      <c r="K569" s="20">
        <f>Inputs!$F$127*Operations!K566*Inputs!$F$185/100*Operations!K567*(1-Operations!K568)</f>
        <v/>
      </c>
      <c r="L569" s="20">
        <f>Inputs!$F$127*Operations!L566*Inputs!$F$185/100*Operations!L567*(1-Operations!L568)</f>
        <v/>
      </c>
      <c r="M569" s="20">
        <f>Inputs!$F$127*Operations!M566*Inputs!$F$185/100*Operations!M567*(1-Operations!M568)</f>
        <v/>
      </c>
      <c r="N569" s="20">
        <f>Inputs!$F$127*Operations!N566*Inputs!$F$185/100*Operations!N567*(1-Operations!N568)</f>
        <v/>
      </c>
      <c r="O569" s="20">
        <f>Inputs!$F$127*Operations!O566*Inputs!$F$185/100*Operations!O567*(1-Operations!O568)</f>
        <v/>
      </c>
      <c r="P569" s="20">
        <f>Inputs!$F$127*Operations!P566*Inputs!$F$185/100*Operations!P567*(1-Operations!P568)</f>
        <v/>
      </c>
      <c r="Q569" s="20">
        <f>Inputs!$F$127*Operations!Q566*Inputs!$F$185/100*Operations!Q567*(1-Operations!Q568)</f>
        <v/>
      </c>
      <c r="R569" s="20">
        <f>Inputs!$F$127*Operations!R566*Inputs!$F$185/100*Operations!R567*(1-Operations!R568)</f>
        <v/>
      </c>
      <c r="S569" s="20">
        <f>Inputs!$F$127*Operations!S566*Inputs!$F$185/100*Operations!S567*(1-Operations!S568)</f>
        <v/>
      </c>
      <c r="T569" s="20">
        <f>Inputs!$F$127*Operations!T566*Inputs!$F$185/100*Operations!T567*(1-Operations!T568)</f>
        <v/>
      </c>
      <c r="U569" s="20">
        <f>Inputs!$F$127*Operations!U566*Inputs!$F$185/100*Operations!U567*(1-Operations!U568)</f>
        <v/>
      </c>
      <c r="V569" s="20">
        <f>Inputs!$F$127*Operations!V566*Inputs!$F$185/100*Operations!V567*(1-Operations!V568)</f>
        <v/>
      </c>
      <c r="W569" s="20">
        <f>Inputs!$F$127*Operations!W566*Inputs!$F$185/100*Operations!W567*(1-Operations!W568)</f>
        <v/>
      </c>
      <c r="X569" s="20">
        <f>Inputs!$F$127*Operations!X566*Inputs!$F$185/100*Operations!X567*(1-Operations!X568)</f>
        <v/>
      </c>
      <c r="Y569" s="20">
        <f>Inputs!$F$127*Operations!Y566*Inputs!$F$185/100*Operations!Y567*(1-Operations!Y568)</f>
        <v/>
      </c>
      <c r="Z569" s="20">
        <f>Inputs!$F$127*Operations!Z566*Inputs!$F$185/100*Operations!Z567*(1-Operations!Z568)</f>
        <v/>
      </c>
      <c r="AA569" s="20">
        <f>Inputs!$F$127*Operations!AA566*Inputs!$F$185/100*Operations!AA567*(1-Operations!AA568)</f>
        <v/>
      </c>
      <c r="AB569" s="20">
        <f>Inputs!$F$127*Operations!AB566*Inputs!$F$185/100*Operations!AB567*(1-Operations!AB568)</f>
        <v/>
      </c>
      <c r="AC569" s="20">
        <f>Inputs!$F$127*Operations!AC566*Inputs!$F$185/100*Operations!AC567*(1-Operations!AC568)</f>
        <v/>
      </c>
      <c r="AD569" s="20">
        <f>Inputs!$F$127*Operations!AD566*Inputs!$F$185/100*Operations!AD567*(1-Operations!AD568)</f>
        <v/>
      </c>
      <c r="AE569" s="20">
        <f>Inputs!$F$127*Operations!AE566*Inputs!$F$185/100*Operations!AE567*(1-Operations!AE568)</f>
        <v/>
      </c>
      <c r="AF569" s="20">
        <f>Inputs!$F$127*Operations!AF566*Inputs!$F$185/100*Operations!AF567*(1-Operations!AF568)</f>
        <v/>
      </c>
      <c r="AG569" s="20">
        <f>Inputs!$F$127*Operations!AG566*Inputs!$F$185/100*Operations!AG567*(1-Operations!AG568)</f>
        <v/>
      </c>
      <c r="AH569" s="20">
        <f>Inputs!$F$127*Operations!AH566*Inputs!$F$185/100*Operations!AH567*(1-Operations!AH568)</f>
        <v/>
      </c>
      <c r="AI569" s="20">
        <f>Inputs!$F$127*Operations!AI566*Inputs!$F$185/100*Operations!AI567*(1-Operations!AI568)</f>
        <v/>
      </c>
      <c r="AJ569" s="20">
        <f>Inputs!$F$127*Operations!AJ566*Inputs!$F$185/100*Operations!AJ567*(1-Operations!AJ568)</f>
        <v/>
      </c>
      <c r="AK569" s="20">
        <f>Inputs!$F$127*Operations!AK566*Inputs!$F$185/100*Operations!AK567*(1-Operations!AK568)</f>
        <v/>
      </c>
      <c r="AL569" s="20">
        <f>Inputs!$F$127*Operations!AL566*Inputs!$F$185/100*Operations!AL567*(1-Operations!AL568)</f>
        <v/>
      </c>
      <c r="AM569" s="20">
        <f>Inputs!$F$127*Operations!AM566*Inputs!$F$185/100*Operations!AM567*(1-Operations!AM568)</f>
        <v/>
      </c>
      <c r="AN569" s="20">
        <f>Inputs!$F$127*Operations!AN566*Inputs!$F$185/100*Operations!AN567*(1-Operations!AN568)</f>
        <v/>
      </c>
      <c r="AO569" s="20">
        <f>Inputs!$F$127*Operations!AO566*Inputs!$F$185/100*Operations!AO567*(1-Operations!AO568)</f>
        <v/>
      </c>
      <c r="AP569" s="20">
        <f>Inputs!$F$127*Operations!AP566*Inputs!$F$185/100*Operations!AP567*(1-Operations!AP568)</f>
        <v/>
      </c>
      <c r="AQ569" s="20">
        <f>Inputs!$F$127*Operations!AQ566*Inputs!$F$185/100*Operations!AQ567*(1-Operations!AQ568)</f>
        <v/>
      </c>
      <c r="AR569" s="20">
        <f>Inputs!$F$127*Operations!AR566*Inputs!$F$185/100*Operations!AR567*(1-Operations!AR568)</f>
        <v/>
      </c>
      <c r="AS569" s="20">
        <f>Inputs!$F$127*Operations!AS566*Inputs!$F$185/100*Operations!AS567*(1-Operations!AS568)</f>
        <v/>
      </c>
      <c r="AT569" s="20">
        <f>Inputs!$F$127*Operations!AT566*Inputs!$F$185/100*Operations!AT567*(1-Operations!AT568)</f>
        <v/>
      </c>
      <c r="AU569" s="20">
        <f>Inputs!$F$127*Operations!AU566*Inputs!$F$185/100*Operations!AU567*(1-Operations!AU568)</f>
        <v/>
      </c>
    </row>
    <row r="570">
      <c r="D570" t="inlineStr">
        <is>
          <t>R4 net generation</t>
        </is>
      </c>
      <c r="E570" t="inlineStr">
        <is>
          <t>GWh</t>
        </is>
      </c>
      <c r="G570" s="20">
        <f>SUM(J570:AU570)</f>
        <v/>
      </c>
      <c r="J570" s="20">
        <f>Operations!J569*Operations!J562</f>
        <v/>
      </c>
      <c r="K570" s="20">
        <f>Operations!K569*Operations!K562</f>
        <v/>
      </c>
      <c r="L570" s="20">
        <f>Operations!L569*Operations!L562</f>
        <v/>
      </c>
      <c r="M570" s="20">
        <f>Operations!M569*Operations!M562</f>
        <v/>
      </c>
      <c r="N570" s="20">
        <f>Operations!N569*Operations!N562</f>
        <v/>
      </c>
      <c r="O570" s="20">
        <f>Operations!O569*Operations!O562</f>
        <v/>
      </c>
      <c r="P570" s="20">
        <f>Operations!P569*Operations!P562</f>
        <v/>
      </c>
      <c r="Q570" s="20">
        <f>Operations!Q569*Operations!Q562</f>
        <v/>
      </c>
      <c r="R570" s="20">
        <f>Operations!R569*Operations!R562</f>
        <v/>
      </c>
      <c r="S570" s="20">
        <f>Operations!S569*Operations!S562</f>
        <v/>
      </c>
      <c r="T570" s="20">
        <f>Operations!T569*Operations!T562</f>
        <v/>
      </c>
      <c r="U570" s="20">
        <f>Operations!U569*Operations!U562</f>
        <v/>
      </c>
      <c r="V570" s="20">
        <f>Operations!V569*Operations!V562</f>
        <v/>
      </c>
      <c r="W570" s="20">
        <f>Operations!W569*Operations!W562</f>
        <v/>
      </c>
      <c r="X570" s="20">
        <f>Operations!X569*Operations!X562</f>
        <v/>
      </c>
      <c r="Y570" s="20">
        <f>Operations!Y569*Operations!Y562</f>
        <v/>
      </c>
      <c r="Z570" s="20">
        <f>Operations!Z569*Operations!Z562</f>
        <v/>
      </c>
      <c r="AA570" s="20">
        <f>Operations!AA569*Operations!AA562</f>
        <v/>
      </c>
      <c r="AB570" s="20">
        <f>Operations!AB569*Operations!AB562</f>
        <v/>
      </c>
      <c r="AC570" s="20">
        <f>Operations!AC569*Operations!AC562</f>
        <v/>
      </c>
      <c r="AD570" s="20">
        <f>Operations!AD569*Operations!AD562</f>
        <v/>
      </c>
      <c r="AE570" s="20">
        <f>Operations!AE569*Operations!AE562</f>
        <v/>
      </c>
      <c r="AF570" s="20">
        <f>Operations!AF569*Operations!AF562</f>
        <v/>
      </c>
      <c r="AG570" s="20">
        <f>Operations!AG569*Operations!AG562</f>
        <v/>
      </c>
      <c r="AH570" s="20">
        <f>Operations!AH569*Operations!AH562</f>
        <v/>
      </c>
      <c r="AI570" s="20">
        <f>Operations!AI569*Operations!AI562</f>
        <v/>
      </c>
      <c r="AJ570" s="20">
        <f>Operations!AJ569*Operations!AJ562</f>
        <v/>
      </c>
      <c r="AK570" s="20">
        <f>Operations!AK569*Operations!AK562</f>
        <v/>
      </c>
      <c r="AL570" s="20">
        <f>Operations!AL569*Operations!AL562</f>
        <v/>
      </c>
      <c r="AM570" s="20">
        <f>Operations!AM569*Operations!AM562</f>
        <v/>
      </c>
      <c r="AN570" s="20">
        <f>Operations!AN569*Operations!AN562</f>
        <v/>
      </c>
      <c r="AO570" s="20">
        <f>Operations!AO569*Operations!AO562</f>
        <v/>
      </c>
      <c r="AP570" s="20">
        <f>Operations!AP569*Operations!AP562</f>
        <v/>
      </c>
      <c r="AQ570" s="20">
        <f>Operations!AQ569*Operations!AQ562</f>
        <v/>
      </c>
      <c r="AR570" s="20">
        <f>Operations!AR569*Operations!AR562</f>
        <v/>
      </c>
      <c r="AS570" s="20">
        <f>Operations!AS569*Operations!AS562</f>
        <v/>
      </c>
      <c r="AT570" s="20">
        <f>Operations!AT569*Operations!AT562</f>
        <v/>
      </c>
      <c r="AU570" s="20">
        <f>Operations!AU569*Operations!AU562</f>
        <v/>
      </c>
    </row>
    <row r="571">
      <c r="D571" t="inlineStr">
        <is>
          <t>R4 hub capture ratio</t>
        </is>
      </c>
      <c r="E571" t="inlineStr">
        <is>
          <t>ratio</t>
        </is>
      </c>
      <c r="J571" s="14">
        <f>Operations!J430</f>
        <v/>
      </c>
      <c r="K571" s="14">
        <f>Operations!K430</f>
        <v/>
      </c>
      <c r="L571" s="14">
        <f>Operations!L430</f>
        <v/>
      </c>
      <c r="M571" s="14">
        <f>Operations!M430</f>
        <v/>
      </c>
      <c r="N571" s="14">
        <f>Operations!N430</f>
        <v/>
      </c>
      <c r="O571" s="14">
        <f>Operations!O430</f>
        <v/>
      </c>
      <c r="P571" s="14">
        <f>Operations!P430</f>
        <v/>
      </c>
      <c r="Q571" s="14">
        <f>Operations!Q430</f>
        <v/>
      </c>
      <c r="R571" s="14">
        <f>Operations!R430</f>
        <v/>
      </c>
      <c r="S571" s="14">
        <f>Operations!S430</f>
        <v/>
      </c>
      <c r="T571" s="14">
        <f>Operations!T430</f>
        <v/>
      </c>
      <c r="U571" s="14">
        <f>Operations!U430</f>
        <v/>
      </c>
      <c r="V571" s="14">
        <f>Operations!V430</f>
        <v/>
      </c>
      <c r="W571" s="14">
        <f>Operations!W430</f>
        <v/>
      </c>
      <c r="X571" s="14">
        <f>Operations!X430</f>
        <v/>
      </c>
      <c r="Y571" s="14">
        <f>Operations!Y430</f>
        <v/>
      </c>
      <c r="Z571" s="14">
        <f>Operations!Z430</f>
        <v/>
      </c>
      <c r="AA571" s="14">
        <f>Operations!AA430</f>
        <v/>
      </c>
      <c r="AB571" s="14">
        <f>Operations!AB430</f>
        <v/>
      </c>
      <c r="AC571" s="14">
        <f>Operations!AC430</f>
        <v/>
      </c>
      <c r="AD571" s="14">
        <f>Operations!AD430</f>
        <v/>
      </c>
      <c r="AE571" s="14">
        <f>Operations!AE430</f>
        <v/>
      </c>
      <c r="AF571" s="14">
        <f>Operations!AF430</f>
        <v/>
      </c>
      <c r="AG571" s="14">
        <f>Operations!AG430</f>
        <v/>
      </c>
      <c r="AH571" s="14">
        <f>Operations!AH430</f>
        <v/>
      </c>
      <c r="AI571" s="14">
        <f>Operations!AI430</f>
        <v/>
      </c>
      <c r="AJ571" s="14">
        <f>Operations!AJ430</f>
        <v/>
      </c>
      <c r="AK571" s="14">
        <f>Operations!AK430</f>
        <v/>
      </c>
      <c r="AL571" s="14">
        <f>Operations!AL430</f>
        <v/>
      </c>
      <c r="AM571" s="14">
        <f>Operations!AM430</f>
        <v/>
      </c>
      <c r="AN571" s="14">
        <f>Operations!AN430</f>
        <v/>
      </c>
      <c r="AO571" s="14">
        <f>Operations!AO430</f>
        <v/>
      </c>
      <c r="AP571" s="14">
        <f>Operations!AP430</f>
        <v/>
      </c>
      <c r="AQ571" s="14">
        <f>Operations!AQ430</f>
        <v/>
      </c>
      <c r="AR571" s="14">
        <f>Operations!AR430</f>
        <v/>
      </c>
      <c r="AS571" s="14">
        <f>Operations!AS430</f>
        <v/>
      </c>
      <c r="AT571" s="14">
        <f>Operations!AT430</f>
        <v/>
      </c>
      <c r="AU571" s="14">
        <f>Operations!AU430</f>
        <v/>
      </c>
    </row>
    <row r="572">
      <c r="D572" t="inlineStr">
        <is>
          <t>R4 node capture ratio</t>
        </is>
      </c>
      <c r="E572" t="inlineStr">
        <is>
          <t>ratio</t>
        </is>
      </c>
      <c r="J572" s="14">
        <f>Operations!J571-Inputs!$F$52</f>
        <v/>
      </c>
      <c r="K572" s="14">
        <f>Operations!K571-Inputs!$F$52</f>
        <v/>
      </c>
      <c r="L572" s="14">
        <f>Operations!L571-Inputs!$F$52</f>
        <v/>
      </c>
      <c r="M572" s="14">
        <f>Operations!M571-Inputs!$F$52</f>
        <v/>
      </c>
      <c r="N572" s="14">
        <f>Operations!N571-Inputs!$F$52</f>
        <v/>
      </c>
      <c r="O572" s="14">
        <f>Operations!O571-Inputs!$F$52</f>
        <v/>
      </c>
      <c r="P572" s="14">
        <f>Operations!P571-Inputs!$F$52</f>
        <v/>
      </c>
      <c r="Q572" s="14">
        <f>Operations!Q571-Inputs!$F$52</f>
        <v/>
      </c>
      <c r="R572" s="14">
        <f>Operations!R571-Inputs!$F$52</f>
        <v/>
      </c>
      <c r="S572" s="14">
        <f>Operations!S571-Inputs!$F$52</f>
        <v/>
      </c>
      <c r="T572" s="14">
        <f>Operations!T571-Inputs!$F$52</f>
        <v/>
      </c>
      <c r="U572" s="14">
        <f>Operations!U571-Inputs!$F$52</f>
        <v/>
      </c>
      <c r="V572" s="14">
        <f>Operations!V571-Inputs!$F$52</f>
        <v/>
      </c>
      <c r="W572" s="14">
        <f>Operations!W571-Inputs!$F$52</f>
        <v/>
      </c>
      <c r="X572" s="14">
        <f>Operations!X571-Inputs!$F$52</f>
        <v/>
      </c>
      <c r="Y572" s="14">
        <f>Operations!Y571-Inputs!$F$52</f>
        <v/>
      </c>
      <c r="Z572" s="14">
        <f>Operations!Z571-Inputs!$F$52</f>
        <v/>
      </c>
      <c r="AA572" s="14">
        <f>Operations!AA571-Inputs!$F$52</f>
        <v/>
      </c>
      <c r="AB572" s="14">
        <f>Operations!AB571-Inputs!$F$52</f>
        <v/>
      </c>
      <c r="AC572" s="14">
        <f>Operations!AC571-Inputs!$F$52</f>
        <v/>
      </c>
      <c r="AD572" s="14">
        <f>Operations!AD571-Inputs!$F$52</f>
        <v/>
      </c>
      <c r="AE572" s="14">
        <f>Operations!AE571-Inputs!$F$52</f>
        <v/>
      </c>
      <c r="AF572" s="14">
        <f>Operations!AF571-Inputs!$F$52</f>
        <v/>
      </c>
      <c r="AG572" s="14">
        <f>Operations!AG571-Inputs!$F$52</f>
        <v/>
      </c>
      <c r="AH572" s="14">
        <f>Operations!AH571-Inputs!$F$52</f>
        <v/>
      </c>
      <c r="AI572" s="14">
        <f>Operations!AI571-Inputs!$F$52</f>
        <v/>
      </c>
      <c r="AJ572" s="14">
        <f>Operations!AJ571-Inputs!$F$52</f>
        <v/>
      </c>
      <c r="AK572" s="14">
        <f>Operations!AK571-Inputs!$F$52</f>
        <v/>
      </c>
      <c r="AL572" s="14">
        <f>Operations!AL571-Inputs!$F$52</f>
        <v/>
      </c>
      <c r="AM572" s="14">
        <f>Operations!AM571-Inputs!$F$52</f>
        <v/>
      </c>
      <c r="AN572" s="14">
        <f>Operations!AN571-Inputs!$F$52</f>
        <v/>
      </c>
      <c r="AO572" s="14">
        <f>Operations!AO571-Inputs!$F$52</f>
        <v/>
      </c>
      <c r="AP572" s="14">
        <f>Operations!AP571-Inputs!$F$52</f>
        <v/>
      </c>
      <c r="AQ572" s="14">
        <f>Operations!AQ571-Inputs!$F$52</f>
        <v/>
      </c>
      <c r="AR572" s="14">
        <f>Operations!AR571-Inputs!$F$52</f>
        <v/>
      </c>
      <c r="AS572" s="14">
        <f>Operations!AS571-Inputs!$F$52</f>
        <v/>
      </c>
      <c r="AT572" s="14">
        <f>Operations!AT571-Inputs!$F$52</f>
        <v/>
      </c>
      <c r="AU572" s="14">
        <f>Operations!AU571-Inputs!$F$52</f>
        <v/>
      </c>
    </row>
    <row r="573">
      <c r="D573" t="inlineStr">
        <is>
          <t>R4 realized node price</t>
        </is>
      </c>
      <c r="E573" t="inlineStr">
        <is>
          <t>USD/MWh</t>
        </is>
      </c>
      <c r="J573" s="18">
        <f>Operations!J565*Operations!J572</f>
        <v/>
      </c>
      <c r="K573" s="18">
        <f>Operations!K565*Operations!K572</f>
        <v/>
      </c>
      <c r="L573" s="18">
        <f>Operations!L565*Operations!L572</f>
        <v/>
      </c>
      <c r="M573" s="18">
        <f>Operations!M565*Operations!M572</f>
        <v/>
      </c>
      <c r="N573" s="18">
        <f>Operations!N565*Operations!N572</f>
        <v/>
      </c>
      <c r="O573" s="18">
        <f>Operations!O565*Operations!O572</f>
        <v/>
      </c>
      <c r="P573" s="18">
        <f>Operations!P565*Operations!P572</f>
        <v/>
      </c>
      <c r="Q573" s="18">
        <f>Operations!Q565*Operations!Q572</f>
        <v/>
      </c>
      <c r="R573" s="18">
        <f>Operations!R565*Operations!R572</f>
        <v/>
      </c>
      <c r="S573" s="18">
        <f>Operations!S565*Operations!S572</f>
        <v/>
      </c>
      <c r="T573" s="18">
        <f>Operations!T565*Operations!T572</f>
        <v/>
      </c>
      <c r="U573" s="18">
        <f>Operations!U565*Operations!U572</f>
        <v/>
      </c>
      <c r="V573" s="18">
        <f>Operations!V565*Operations!V572</f>
        <v/>
      </c>
      <c r="W573" s="18">
        <f>Operations!W565*Operations!W572</f>
        <v/>
      </c>
      <c r="X573" s="18">
        <f>Operations!X565*Operations!X572</f>
        <v/>
      </c>
      <c r="Y573" s="18">
        <f>Operations!Y565*Operations!Y572</f>
        <v/>
      </c>
      <c r="Z573" s="18">
        <f>Operations!Z565*Operations!Z572</f>
        <v/>
      </c>
      <c r="AA573" s="18">
        <f>Operations!AA565*Operations!AA572</f>
        <v/>
      </c>
      <c r="AB573" s="18">
        <f>Operations!AB565*Operations!AB572</f>
        <v/>
      </c>
      <c r="AC573" s="18">
        <f>Operations!AC565*Operations!AC572</f>
        <v/>
      </c>
      <c r="AD573" s="18">
        <f>Operations!AD565*Operations!AD572</f>
        <v/>
      </c>
      <c r="AE573" s="18">
        <f>Operations!AE565*Operations!AE572</f>
        <v/>
      </c>
      <c r="AF573" s="18">
        <f>Operations!AF565*Operations!AF572</f>
        <v/>
      </c>
      <c r="AG573" s="18">
        <f>Operations!AG565*Operations!AG572</f>
        <v/>
      </c>
      <c r="AH573" s="18">
        <f>Operations!AH565*Operations!AH572</f>
        <v/>
      </c>
      <c r="AI573" s="18">
        <f>Operations!AI565*Operations!AI572</f>
        <v/>
      </c>
      <c r="AJ573" s="18">
        <f>Operations!AJ565*Operations!AJ572</f>
        <v/>
      </c>
      <c r="AK573" s="18">
        <f>Operations!AK565*Operations!AK572</f>
        <v/>
      </c>
      <c r="AL573" s="18">
        <f>Operations!AL565*Operations!AL572</f>
        <v/>
      </c>
      <c r="AM573" s="18">
        <f>Operations!AM565*Operations!AM572</f>
        <v/>
      </c>
      <c r="AN573" s="18">
        <f>Operations!AN565*Operations!AN572</f>
        <v/>
      </c>
      <c r="AO573" s="18">
        <f>Operations!AO565*Operations!AO572</f>
        <v/>
      </c>
      <c r="AP573" s="18">
        <f>Operations!AP565*Operations!AP572</f>
        <v/>
      </c>
      <c r="AQ573" s="18">
        <f>Operations!AQ565*Operations!AQ572</f>
        <v/>
      </c>
      <c r="AR573" s="18">
        <f>Operations!AR565*Operations!AR572</f>
        <v/>
      </c>
      <c r="AS573" s="18">
        <f>Operations!AS565*Operations!AS572</f>
        <v/>
      </c>
      <c r="AT573" s="18">
        <f>Operations!AT565*Operations!AT572</f>
        <v/>
      </c>
      <c r="AU573" s="18">
        <f>Operations!AU565*Operations!AU572</f>
        <v/>
      </c>
    </row>
    <row r="574">
      <c r="D574" t="inlineStr">
        <is>
          <t>R4 shape hedge term fraction</t>
        </is>
      </c>
      <c r="E574" t="inlineStr">
        <is>
          <t>fraction</t>
        </is>
      </c>
      <c r="J574" s="14">
        <f>MAX(0,MIN(Inputs!$F$203,Time!J$6)-MAX(Inputs!$F$202-1,Time!J$5))/Time!J$7</f>
        <v/>
      </c>
      <c r="K574" s="14">
        <f>MAX(0,MIN(Inputs!$F$203,Time!K$6)-MAX(Inputs!$F$202-1,Time!K$5))/Time!K$7</f>
        <v/>
      </c>
      <c r="L574" s="14">
        <f>MAX(0,MIN(Inputs!$F$203,Time!L$6)-MAX(Inputs!$F$202-1,Time!L$5))/Time!L$7</f>
        <v/>
      </c>
      <c r="M574" s="14">
        <f>MAX(0,MIN(Inputs!$F$203,Time!M$6)-MAX(Inputs!$F$202-1,Time!M$5))/Time!M$7</f>
        <v/>
      </c>
      <c r="N574" s="14">
        <f>MAX(0,MIN(Inputs!$F$203,Time!N$6)-MAX(Inputs!$F$202-1,Time!N$5))/Time!N$7</f>
        <v/>
      </c>
      <c r="O574" s="14">
        <f>MAX(0,MIN(Inputs!$F$203,Time!O$6)-MAX(Inputs!$F$202-1,Time!O$5))/Time!O$7</f>
        <v/>
      </c>
      <c r="P574" s="14">
        <f>MAX(0,MIN(Inputs!$F$203,Time!P$6)-MAX(Inputs!$F$202-1,Time!P$5))/Time!P$7</f>
        <v/>
      </c>
      <c r="Q574" s="14">
        <f>MAX(0,MIN(Inputs!$F$203,Time!Q$6)-MAX(Inputs!$F$202-1,Time!Q$5))/Time!Q$7</f>
        <v/>
      </c>
      <c r="R574" s="14">
        <f>MAX(0,MIN(Inputs!$F$203,Time!R$6)-MAX(Inputs!$F$202-1,Time!R$5))/Time!R$7</f>
        <v/>
      </c>
      <c r="S574" s="14">
        <f>MAX(0,MIN(Inputs!$F$203,Time!S$6)-MAX(Inputs!$F$202-1,Time!S$5))/Time!S$7</f>
        <v/>
      </c>
      <c r="T574" s="14">
        <f>MAX(0,MIN(Inputs!$F$203,Time!T$6)-MAX(Inputs!$F$202-1,Time!T$5))/Time!T$7</f>
        <v/>
      </c>
      <c r="U574" s="14">
        <f>MAX(0,MIN(Inputs!$F$203,Time!U$6)-MAX(Inputs!$F$202-1,Time!U$5))/Time!U$7</f>
        <v/>
      </c>
      <c r="V574" s="14">
        <f>MAX(0,MIN(Inputs!$F$203,Time!V$6)-MAX(Inputs!$F$202-1,Time!V$5))/Time!V$7</f>
        <v/>
      </c>
      <c r="W574" s="14">
        <f>MAX(0,MIN(Inputs!$F$203,Time!W$6)-MAX(Inputs!$F$202-1,Time!W$5))/Time!W$7</f>
        <v/>
      </c>
      <c r="X574" s="14">
        <f>MAX(0,MIN(Inputs!$F$203,Time!X$6)-MAX(Inputs!$F$202-1,Time!X$5))/Time!X$7</f>
        <v/>
      </c>
      <c r="Y574" s="14">
        <f>MAX(0,MIN(Inputs!$F$203,Time!Y$6)-MAX(Inputs!$F$202-1,Time!Y$5))/Time!Y$7</f>
        <v/>
      </c>
      <c r="Z574" s="14">
        <f>MAX(0,MIN(Inputs!$F$203,Time!Z$6)-MAX(Inputs!$F$202-1,Time!Z$5))/Time!Z$7</f>
        <v/>
      </c>
      <c r="AA574" s="14">
        <f>MAX(0,MIN(Inputs!$F$203,Time!AA$6)-MAX(Inputs!$F$202-1,Time!AA$5))/Time!AA$7</f>
        <v/>
      </c>
      <c r="AB574" s="14">
        <f>MAX(0,MIN(Inputs!$F$203,Time!AB$6)-MAX(Inputs!$F$202-1,Time!AB$5))/Time!AB$7</f>
        <v/>
      </c>
      <c r="AC574" s="14">
        <f>MAX(0,MIN(Inputs!$F$203,Time!AC$6)-MAX(Inputs!$F$202-1,Time!AC$5))/Time!AC$7</f>
        <v/>
      </c>
      <c r="AD574" s="14">
        <f>MAX(0,MIN(Inputs!$F$203,Time!AD$6)-MAX(Inputs!$F$202-1,Time!AD$5))/Time!AD$7</f>
        <v/>
      </c>
      <c r="AE574" s="14">
        <f>MAX(0,MIN(Inputs!$F$203,Time!AE$6)-MAX(Inputs!$F$202-1,Time!AE$5))/Time!AE$7</f>
        <v/>
      </c>
      <c r="AF574" s="14">
        <f>MAX(0,MIN(Inputs!$F$203,Time!AF$6)-MAX(Inputs!$F$202-1,Time!AF$5))/Time!AF$7</f>
        <v/>
      </c>
      <c r="AG574" s="14">
        <f>MAX(0,MIN(Inputs!$F$203,Time!AG$6)-MAX(Inputs!$F$202-1,Time!AG$5))/Time!AG$7</f>
        <v/>
      </c>
      <c r="AH574" s="14">
        <f>MAX(0,MIN(Inputs!$F$203,Time!AH$6)-MAX(Inputs!$F$202-1,Time!AH$5))/Time!AH$7</f>
        <v/>
      </c>
      <c r="AI574" s="14">
        <f>MAX(0,MIN(Inputs!$F$203,Time!AI$6)-MAX(Inputs!$F$202-1,Time!AI$5))/Time!AI$7</f>
        <v/>
      </c>
      <c r="AJ574" s="14">
        <f>MAX(0,MIN(Inputs!$F$203,Time!AJ$6)-MAX(Inputs!$F$202-1,Time!AJ$5))/Time!AJ$7</f>
        <v/>
      </c>
      <c r="AK574" s="14">
        <f>MAX(0,MIN(Inputs!$F$203,Time!AK$6)-MAX(Inputs!$F$202-1,Time!AK$5))/Time!AK$7</f>
        <v/>
      </c>
      <c r="AL574" s="14">
        <f>MAX(0,MIN(Inputs!$F$203,Time!AL$6)-MAX(Inputs!$F$202-1,Time!AL$5))/Time!AL$7</f>
        <v/>
      </c>
      <c r="AM574" s="14">
        <f>MAX(0,MIN(Inputs!$F$203,Time!AM$6)-MAX(Inputs!$F$202-1,Time!AM$5))/Time!AM$7</f>
        <v/>
      </c>
      <c r="AN574" s="14">
        <f>MAX(0,MIN(Inputs!$F$203,Time!AN$6)-MAX(Inputs!$F$202-1,Time!AN$5))/Time!AN$7</f>
        <v/>
      </c>
      <c r="AO574" s="14">
        <f>MAX(0,MIN(Inputs!$F$203,Time!AO$6)-MAX(Inputs!$F$202-1,Time!AO$5))/Time!AO$7</f>
        <v/>
      </c>
      <c r="AP574" s="14">
        <f>MAX(0,MIN(Inputs!$F$203,Time!AP$6)-MAX(Inputs!$F$202-1,Time!AP$5))/Time!AP$7</f>
        <v/>
      </c>
      <c r="AQ574" s="14">
        <f>MAX(0,MIN(Inputs!$F$203,Time!AQ$6)-MAX(Inputs!$F$202-1,Time!AQ$5))/Time!AQ$7</f>
        <v/>
      </c>
      <c r="AR574" s="14">
        <f>MAX(0,MIN(Inputs!$F$203,Time!AR$6)-MAX(Inputs!$F$202-1,Time!AR$5))/Time!AR$7</f>
        <v/>
      </c>
      <c r="AS574" s="14">
        <f>MAX(0,MIN(Inputs!$F$203,Time!AS$6)-MAX(Inputs!$F$202-1,Time!AS$5))/Time!AS$7</f>
        <v/>
      </c>
      <c r="AT574" s="14">
        <f>MAX(0,MIN(Inputs!$F$203,Time!AT$6)-MAX(Inputs!$F$202-1,Time!AT$5))/Time!AT$7</f>
        <v/>
      </c>
      <c r="AU574" s="14">
        <f>MAX(0,MIN(Inputs!$F$203,Time!AU$6)-MAX(Inputs!$F$202-1,Time!AU$5))/Time!AU$7</f>
        <v/>
      </c>
    </row>
    <row r="575">
      <c r="D575" t="inlineStr">
        <is>
          <t>R4 shape hedge volume</t>
        </is>
      </c>
      <c r="E575" t="inlineStr">
        <is>
          <t>GWh</t>
        </is>
      </c>
      <c r="J575" s="20">
        <f>Inputs!$F$200*Operations!J574</f>
        <v/>
      </c>
      <c r="K575" s="20">
        <f>Inputs!$F$200*Operations!K574</f>
        <v/>
      </c>
      <c r="L575" s="20">
        <f>Inputs!$F$200*Operations!L574</f>
        <v/>
      </c>
      <c r="M575" s="20">
        <f>Inputs!$F$200*Operations!M574</f>
        <v/>
      </c>
      <c r="N575" s="20">
        <f>Inputs!$F$200*Operations!N574</f>
        <v/>
      </c>
      <c r="O575" s="20">
        <f>Inputs!$F$200*Operations!O574</f>
        <v/>
      </c>
      <c r="P575" s="20">
        <f>Inputs!$F$200*Operations!P574</f>
        <v/>
      </c>
      <c r="Q575" s="20">
        <f>Inputs!$F$200*Operations!Q574</f>
        <v/>
      </c>
      <c r="R575" s="20">
        <f>Inputs!$F$200*Operations!R574</f>
        <v/>
      </c>
      <c r="S575" s="20">
        <f>Inputs!$F$200*Operations!S574</f>
        <v/>
      </c>
      <c r="T575" s="20">
        <f>Inputs!$F$200*Operations!T574</f>
        <v/>
      </c>
      <c r="U575" s="20">
        <f>Inputs!$F$200*Operations!U574</f>
        <v/>
      </c>
      <c r="V575" s="20">
        <f>Inputs!$F$200*Operations!V574</f>
        <v/>
      </c>
      <c r="W575" s="20">
        <f>Inputs!$F$200*Operations!W574</f>
        <v/>
      </c>
      <c r="X575" s="20">
        <f>Inputs!$F$200*Operations!X574</f>
        <v/>
      </c>
      <c r="Y575" s="20">
        <f>Inputs!$F$200*Operations!Y574</f>
        <v/>
      </c>
      <c r="Z575" s="20">
        <f>Inputs!$F$200*Operations!Z574</f>
        <v/>
      </c>
      <c r="AA575" s="20">
        <f>Inputs!$F$200*Operations!AA574</f>
        <v/>
      </c>
      <c r="AB575" s="20">
        <f>Inputs!$F$200*Operations!AB574</f>
        <v/>
      </c>
      <c r="AC575" s="20">
        <f>Inputs!$F$200*Operations!AC574</f>
        <v/>
      </c>
      <c r="AD575" s="20">
        <f>Inputs!$F$200*Operations!AD574</f>
        <v/>
      </c>
      <c r="AE575" s="20">
        <f>Inputs!$F$200*Operations!AE574</f>
        <v/>
      </c>
      <c r="AF575" s="20">
        <f>Inputs!$F$200*Operations!AF574</f>
        <v/>
      </c>
      <c r="AG575" s="20">
        <f>Inputs!$F$200*Operations!AG574</f>
        <v/>
      </c>
      <c r="AH575" s="20">
        <f>Inputs!$F$200*Operations!AH574</f>
        <v/>
      </c>
      <c r="AI575" s="20">
        <f>Inputs!$F$200*Operations!AI574</f>
        <v/>
      </c>
      <c r="AJ575" s="20">
        <f>Inputs!$F$200*Operations!AJ574</f>
        <v/>
      </c>
      <c r="AK575" s="20">
        <f>Inputs!$F$200*Operations!AK574</f>
        <v/>
      </c>
      <c r="AL575" s="20">
        <f>Inputs!$F$200*Operations!AL574</f>
        <v/>
      </c>
      <c r="AM575" s="20">
        <f>Inputs!$F$200*Operations!AM574</f>
        <v/>
      </c>
      <c r="AN575" s="20">
        <f>Inputs!$F$200*Operations!AN574</f>
        <v/>
      </c>
      <c r="AO575" s="20">
        <f>Inputs!$F$200*Operations!AO574</f>
        <v/>
      </c>
      <c r="AP575" s="20">
        <f>Inputs!$F$200*Operations!AP574</f>
        <v/>
      </c>
      <c r="AQ575" s="20">
        <f>Inputs!$F$200*Operations!AQ574</f>
        <v/>
      </c>
      <c r="AR575" s="20">
        <f>Inputs!$F$200*Operations!AR574</f>
        <v/>
      </c>
      <c r="AS575" s="20">
        <f>Inputs!$F$200*Operations!AS574</f>
        <v/>
      </c>
      <c r="AT575" s="20">
        <f>Inputs!$F$200*Operations!AT574</f>
        <v/>
      </c>
      <c r="AU575" s="20">
        <f>Inputs!$F$200*Operations!AU574</f>
        <v/>
      </c>
    </row>
    <row r="576">
      <c r="D576" t="inlineStr">
        <is>
          <t>R4 shape hedge settlement (strike less hub x shape factor)</t>
        </is>
      </c>
      <c r="E576" t="inlineStr">
        <is>
          <t>USD m</t>
        </is>
      </c>
      <c r="G576" s="20">
        <f>SUM(J576:AU576)</f>
        <v/>
      </c>
      <c r="J576" s="20">
        <f>Operations!J575*(Inputs!$F$201-Operations!J565*Operations!J571)/1000</f>
        <v/>
      </c>
      <c r="K576" s="20">
        <f>Operations!K575*(Inputs!$F$201-Operations!K565*Operations!K571)/1000</f>
        <v/>
      </c>
      <c r="L576" s="20">
        <f>Operations!L575*(Inputs!$F$201-Operations!L565*Operations!L571)/1000</f>
        <v/>
      </c>
      <c r="M576" s="20">
        <f>Operations!M575*(Inputs!$F$201-Operations!M565*Operations!M571)/1000</f>
        <v/>
      </c>
      <c r="N576" s="20">
        <f>Operations!N575*(Inputs!$F$201-Operations!N565*Operations!N571)/1000</f>
        <v/>
      </c>
      <c r="O576" s="20">
        <f>Operations!O575*(Inputs!$F$201-Operations!O565*Operations!O571)/1000</f>
        <v/>
      </c>
      <c r="P576" s="20">
        <f>Operations!P575*(Inputs!$F$201-Operations!P565*Operations!P571)/1000</f>
        <v/>
      </c>
      <c r="Q576" s="20">
        <f>Operations!Q575*(Inputs!$F$201-Operations!Q565*Operations!Q571)/1000</f>
        <v/>
      </c>
      <c r="R576" s="20">
        <f>Operations!R575*(Inputs!$F$201-Operations!R565*Operations!R571)/1000</f>
        <v/>
      </c>
      <c r="S576" s="20">
        <f>Operations!S575*(Inputs!$F$201-Operations!S565*Operations!S571)/1000</f>
        <v/>
      </c>
      <c r="T576" s="20">
        <f>Operations!T575*(Inputs!$F$201-Operations!T565*Operations!T571)/1000</f>
        <v/>
      </c>
      <c r="U576" s="20">
        <f>Operations!U575*(Inputs!$F$201-Operations!U565*Operations!U571)/1000</f>
        <v/>
      </c>
      <c r="V576" s="20">
        <f>Operations!V575*(Inputs!$F$201-Operations!V565*Operations!V571)/1000</f>
        <v/>
      </c>
      <c r="W576" s="20">
        <f>Operations!W575*(Inputs!$F$201-Operations!W565*Operations!W571)/1000</f>
        <v/>
      </c>
      <c r="X576" s="20">
        <f>Operations!X575*(Inputs!$F$201-Operations!X565*Operations!X571)/1000</f>
        <v/>
      </c>
      <c r="Y576" s="20">
        <f>Operations!Y575*(Inputs!$F$201-Operations!Y565*Operations!Y571)/1000</f>
        <v/>
      </c>
      <c r="Z576" s="20">
        <f>Operations!Z575*(Inputs!$F$201-Operations!Z565*Operations!Z571)/1000</f>
        <v/>
      </c>
      <c r="AA576" s="20">
        <f>Operations!AA575*(Inputs!$F$201-Operations!AA565*Operations!AA571)/1000</f>
        <v/>
      </c>
      <c r="AB576" s="20">
        <f>Operations!AB575*(Inputs!$F$201-Operations!AB565*Operations!AB571)/1000</f>
        <v/>
      </c>
      <c r="AC576" s="20">
        <f>Operations!AC575*(Inputs!$F$201-Operations!AC565*Operations!AC571)/1000</f>
        <v/>
      </c>
      <c r="AD576" s="20">
        <f>Operations!AD575*(Inputs!$F$201-Operations!AD565*Operations!AD571)/1000</f>
        <v/>
      </c>
      <c r="AE576" s="20">
        <f>Operations!AE575*(Inputs!$F$201-Operations!AE565*Operations!AE571)/1000</f>
        <v/>
      </c>
      <c r="AF576" s="20">
        <f>Operations!AF575*(Inputs!$F$201-Operations!AF565*Operations!AF571)/1000</f>
        <v/>
      </c>
      <c r="AG576" s="20">
        <f>Operations!AG575*(Inputs!$F$201-Operations!AG565*Operations!AG571)/1000</f>
        <v/>
      </c>
      <c r="AH576" s="20">
        <f>Operations!AH575*(Inputs!$F$201-Operations!AH565*Operations!AH571)/1000</f>
        <v/>
      </c>
      <c r="AI576" s="20">
        <f>Operations!AI575*(Inputs!$F$201-Operations!AI565*Operations!AI571)/1000</f>
        <v/>
      </c>
      <c r="AJ576" s="20">
        <f>Operations!AJ575*(Inputs!$F$201-Operations!AJ565*Operations!AJ571)/1000</f>
        <v/>
      </c>
      <c r="AK576" s="20">
        <f>Operations!AK575*(Inputs!$F$201-Operations!AK565*Operations!AK571)/1000</f>
        <v/>
      </c>
      <c r="AL576" s="20">
        <f>Operations!AL575*(Inputs!$F$201-Operations!AL565*Operations!AL571)/1000</f>
        <v/>
      </c>
      <c r="AM576" s="20">
        <f>Operations!AM575*(Inputs!$F$201-Operations!AM565*Operations!AM571)/1000</f>
        <v/>
      </c>
      <c r="AN576" s="20">
        <f>Operations!AN575*(Inputs!$F$201-Operations!AN565*Operations!AN571)/1000</f>
        <v/>
      </c>
      <c r="AO576" s="20">
        <f>Operations!AO575*(Inputs!$F$201-Operations!AO565*Operations!AO571)/1000</f>
        <v/>
      </c>
      <c r="AP576" s="20">
        <f>Operations!AP575*(Inputs!$F$201-Operations!AP565*Operations!AP571)/1000</f>
        <v/>
      </c>
      <c r="AQ576" s="20">
        <f>Operations!AQ575*(Inputs!$F$201-Operations!AQ565*Operations!AQ571)/1000</f>
        <v/>
      </c>
      <c r="AR576" s="20">
        <f>Operations!AR575*(Inputs!$F$201-Operations!AR565*Operations!AR571)/1000</f>
        <v/>
      </c>
      <c r="AS576" s="20">
        <f>Operations!AS575*(Inputs!$F$201-Operations!AS565*Operations!AS571)/1000</f>
        <v/>
      </c>
      <c r="AT576" s="20">
        <f>Operations!AT575*(Inputs!$F$201-Operations!AT565*Operations!AT571)/1000</f>
        <v/>
      </c>
      <c r="AU576" s="20">
        <f>Operations!AU575*(Inputs!$F$201-Operations!AU565*Operations!AU571)/1000</f>
        <v/>
      </c>
    </row>
    <row r="577">
      <c r="D577" t="inlineStr">
        <is>
          <t>R4 generation sold at node</t>
        </is>
      </c>
      <c r="E577" t="inlineStr">
        <is>
          <t>GWh</t>
        </is>
      </c>
      <c r="J577" s="20">
        <f>Operations!J570</f>
        <v/>
      </c>
      <c r="K577" s="20">
        <f>Operations!K570</f>
        <v/>
      </c>
      <c r="L577" s="20">
        <f>Operations!L570</f>
        <v/>
      </c>
      <c r="M577" s="20">
        <f>Operations!M570</f>
        <v/>
      </c>
      <c r="N577" s="20">
        <f>Operations!N570</f>
        <v/>
      </c>
      <c r="O577" s="20">
        <f>Operations!O570</f>
        <v/>
      </c>
      <c r="P577" s="20">
        <f>Operations!P570</f>
        <v/>
      </c>
      <c r="Q577" s="20">
        <f>Operations!Q570</f>
        <v/>
      </c>
      <c r="R577" s="20">
        <f>Operations!R570</f>
        <v/>
      </c>
      <c r="S577" s="20">
        <f>Operations!S570</f>
        <v/>
      </c>
      <c r="T577" s="20">
        <f>Operations!T570</f>
        <v/>
      </c>
      <c r="U577" s="20">
        <f>Operations!U570</f>
        <v/>
      </c>
      <c r="V577" s="20">
        <f>Operations!V570</f>
        <v/>
      </c>
      <c r="W577" s="20">
        <f>Operations!W570</f>
        <v/>
      </c>
      <c r="X577" s="20">
        <f>Operations!X570</f>
        <v/>
      </c>
      <c r="Y577" s="20">
        <f>Operations!Y570</f>
        <v/>
      </c>
      <c r="Z577" s="20">
        <f>Operations!Z570</f>
        <v/>
      </c>
      <c r="AA577" s="20">
        <f>Operations!AA570</f>
        <v/>
      </c>
      <c r="AB577" s="20">
        <f>Operations!AB570</f>
        <v/>
      </c>
      <c r="AC577" s="20">
        <f>Operations!AC570</f>
        <v/>
      </c>
      <c r="AD577" s="20">
        <f>Operations!AD570</f>
        <v/>
      </c>
      <c r="AE577" s="20">
        <f>Operations!AE570</f>
        <v/>
      </c>
      <c r="AF577" s="20">
        <f>Operations!AF570</f>
        <v/>
      </c>
      <c r="AG577" s="20">
        <f>Operations!AG570</f>
        <v/>
      </c>
      <c r="AH577" s="20">
        <f>Operations!AH570</f>
        <v/>
      </c>
      <c r="AI577" s="20">
        <f>Operations!AI570</f>
        <v/>
      </c>
      <c r="AJ577" s="20">
        <f>Operations!AJ570</f>
        <v/>
      </c>
      <c r="AK577" s="20">
        <f>Operations!AK570</f>
        <v/>
      </c>
      <c r="AL577" s="20">
        <f>Operations!AL570</f>
        <v/>
      </c>
      <c r="AM577" s="20">
        <f>Operations!AM570</f>
        <v/>
      </c>
      <c r="AN577" s="20">
        <f>Operations!AN570</f>
        <v/>
      </c>
      <c r="AO577" s="20">
        <f>Operations!AO570</f>
        <v/>
      </c>
      <c r="AP577" s="20">
        <f>Operations!AP570</f>
        <v/>
      </c>
      <c r="AQ577" s="20">
        <f>Operations!AQ570</f>
        <v/>
      </c>
      <c r="AR577" s="20">
        <f>Operations!AR570</f>
        <v/>
      </c>
      <c r="AS577" s="20">
        <f>Operations!AS570</f>
        <v/>
      </c>
      <c r="AT577" s="20">
        <f>Operations!AT570</f>
        <v/>
      </c>
      <c r="AU577" s="20">
        <f>Operations!AU570</f>
        <v/>
      </c>
    </row>
    <row r="578">
      <c r="D578" t="inlineStr">
        <is>
          <t>R4 contracted revenue</t>
        </is>
      </c>
      <c r="E578" t="inlineStr">
        <is>
          <t>USD m</t>
        </is>
      </c>
      <c r="J578" s="20">
        <f>0</f>
        <v/>
      </c>
      <c r="K578" s="20">
        <f>0</f>
        <v/>
      </c>
      <c r="L578" s="20">
        <f>0</f>
        <v/>
      </c>
      <c r="M578" s="20">
        <f>0</f>
        <v/>
      </c>
      <c r="N578" s="20">
        <f>0</f>
        <v/>
      </c>
      <c r="O578" s="20">
        <f>0</f>
        <v/>
      </c>
      <c r="P578" s="20">
        <f>0</f>
        <v/>
      </c>
      <c r="Q578" s="20">
        <f>0</f>
        <v/>
      </c>
      <c r="R578" s="20">
        <f>0</f>
        <v/>
      </c>
      <c r="S578" s="20">
        <f>0</f>
        <v/>
      </c>
      <c r="T578" s="20">
        <f>0</f>
        <v/>
      </c>
      <c r="U578" s="20">
        <f>0</f>
        <v/>
      </c>
      <c r="V578" s="20">
        <f>0</f>
        <v/>
      </c>
      <c r="W578" s="20">
        <f>0</f>
        <v/>
      </c>
      <c r="X578" s="20">
        <f>0</f>
        <v/>
      </c>
      <c r="Y578" s="20">
        <f>0</f>
        <v/>
      </c>
      <c r="Z578" s="20">
        <f>0</f>
        <v/>
      </c>
      <c r="AA578" s="20">
        <f>0</f>
        <v/>
      </c>
      <c r="AB578" s="20">
        <f>0</f>
        <v/>
      </c>
      <c r="AC578" s="20">
        <f>0</f>
        <v/>
      </c>
      <c r="AD578" s="20">
        <f>0</f>
        <v/>
      </c>
      <c r="AE578" s="20">
        <f>0</f>
        <v/>
      </c>
      <c r="AF578" s="20">
        <f>0</f>
        <v/>
      </c>
      <c r="AG578" s="20">
        <f>0</f>
        <v/>
      </c>
      <c r="AH578" s="20">
        <f>0</f>
        <v/>
      </c>
      <c r="AI578" s="20">
        <f>0</f>
        <v/>
      </c>
      <c r="AJ578" s="20">
        <f>0</f>
        <v/>
      </c>
      <c r="AK578" s="20">
        <f>0</f>
        <v/>
      </c>
      <c r="AL578" s="20">
        <f>0</f>
        <v/>
      </c>
      <c r="AM578" s="20">
        <f>0</f>
        <v/>
      </c>
      <c r="AN578" s="20">
        <f>0</f>
        <v/>
      </c>
      <c r="AO578" s="20">
        <f>0</f>
        <v/>
      </c>
      <c r="AP578" s="20">
        <f>0</f>
        <v/>
      </c>
      <c r="AQ578" s="20">
        <f>0</f>
        <v/>
      </c>
      <c r="AR578" s="20">
        <f>0</f>
        <v/>
      </c>
      <c r="AS578" s="20">
        <f>0</f>
        <v/>
      </c>
      <c r="AT578" s="20">
        <f>0</f>
        <v/>
      </c>
      <c r="AU578" s="20">
        <f>0</f>
        <v/>
      </c>
    </row>
    <row r="579">
      <c r="D579" t="inlineStr">
        <is>
          <t>R4 hedged revenue (volume x strike)</t>
        </is>
      </c>
      <c r="E579" t="inlineStr">
        <is>
          <t>USD m</t>
        </is>
      </c>
      <c r="J579" s="20">
        <f>Operations!J575*Inputs!$F$201/1000</f>
        <v/>
      </c>
      <c r="K579" s="20">
        <f>Operations!K575*Inputs!$F$201/1000</f>
        <v/>
      </c>
      <c r="L579" s="20">
        <f>Operations!L575*Inputs!$F$201/1000</f>
        <v/>
      </c>
      <c r="M579" s="20">
        <f>Operations!M575*Inputs!$F$201/1000</f>
        <v/>
      </c>
      <c r="N579" s="20">
        <f>Operations!N575*Inputs!$F$201/1000</f>
        <v/>
      </c>
      <c r="O579" s="20">
        <f>Operations!O575*Inputs!$F$201/1000</f>
        <v/>
      </c>
      <c r="P579" s="20">
        <f>Operations!P575*Inputs!$F$201/1000</f>
        <v/>
      </c>
      <c r="Q579" s="20">
        <f>Operations!Q575*Inputs!$F$201/1000</f>
        <v/>
      </c>
      <c r="R579" s="20">
        <f>Operations!R575*Inputs!$F$201/1000</f>
        <v/>
      </c>
      <c r="S579" s="20">
        <f>Operations!S575*Inputs!$F$201/1000</f>
        <v/>
      </c>
      <c r="T579" s="20">
        <f>Operations!T575*Inputs!$F$201/1000</f>
        <v/>
      </c>
      <c r="U579" s="20">
        <f>Operations!U575*Inputs!$F$201/1000</f>
        <v/>
      </c>
      <c r="V579" s="20">
        <f>Operations!V575*Inputs!$F$201/1000</f>
        <v/>
      </c>
      <c r="W579" s="20">
        <f>Operations!W575*Inputs!$F$201/1000</f>
        <v/>
      </c>
      <c r="X579" s="20">
        <f>Operations!X575*Inputs!$F$201/1000</f>
        <v/>
      </c>
      <c r="Y579" s="20">
        <f>Operations!Y575*Inputs!$F$201/1000</f>
        <v/>
      </c>
      <c r="Z579" s="20">
        <f>Operations!Z575*Inputs!$F$201/1000</f>
        <v/>
      </c>
      <c r="AA579" s="20">
        <f>Operations!AA575*Inputs!$F$201/1000</f>
        <v/>
      </c>
      <c r="AB579" s="20">
        <f>Operations!AB575*Inputs!$F$201/1000</f>
        <v/>
      </c>
      <c r="AC579" s="20">
        <f>Operations!AC575*Inputs!$F$201/1000</f>
        <v/>
      </c>
      <c r="AD579" s="20">
        <f>Operations!AD575*Inputs!$F$201/1000</f>
        <v/>
      </c>
      <c r="AE579" s="20">
        <f>Operations!AE575*Inputs!$F$201/1000</f>
        <v/>
      </c>
      <c r="AF579" s="20">
        <f>Operations!AF575*Inputs!$F$201/1000</f>
        <v/>
      </c>
      <c r="AG579" s="20">
        <f>Operations!AG575*Inputs!$F$201/1000</f>
        <v/>
      </c>
      <c r="AH579" s="20">
        <f>Operations!AH575*Inputs!$F$201/1000</f>
        <v/>
      </c>
      <c r="AI579" s="20">
        <f>Operations!AI575*Inputs!$F$201/1000</f>
        <v/>
      </c>
      <c r="AJ579" s="20">
        <f>Operations!AJ575*Inputs!$F$201/1000</f>
        <v/>
      </c>
      <c r="AK579" s="20">
        <f>Operations!AK575*Inputs!$F$201/1000</f>
        <v/>
      </c>
      <c r="AL579" s="20">
        <f>Operations!AL575*Inputs!$F$201/1000</f>
        <v/>
      </c>
      <c r="AM579" s="20">
        <f>Operations!AM575*Inputs!$F$201/1000</f>
        <v/>
      </c>
      <c r="AN579" s="20">
        <f>Operations!AN575*Inputs!$F$201/1000</f>
        <v/>
      </c>
      <c r="AO579" s="20">
        <f>Operations!AO575*Inputs!$F$201/1000</f>
        <v/>
      </c>
      <c r="AP579" s="20">
        <f>Operations!AP575*Inputs!$F$201/1000</f>
        <v/>
      </c>
      <c r="AQ579" s="20">
        <f>Operations!AQ575*Inputs!$F$201/1000</f>
        <v/>
      </c>
      <c r="AR579" s="20">
        <f>Operations!AR575*Inputs!$F$201/1000</f>
        <v/>
      </c>
      <c r="AS579" s="20">
        <f>Operations!AS575*Inputs!$F$201/1000</f>
        <v/>
      </c>
      <c r="AT579" s="20">
        <f>Operations!AT575*Inputs!$F$201/1000</f>
        <v/>
      </c>
      <c r="AU579" s="20">
        <f>Operations!AU575*Inputs!$F$201/1000</f>
        <v/>
      </c>
    </row>
    <row r="580">
      <c r="D580" t="inlineStr">
        <is>
          <t>R4 market revenue at node</t>
        </is>
      </c>
      <c r="E580" t="inlineStr">
        <is>
          <t>USD m</t>
        </is>
      </c>
      <c r="G580" s="20">
        <f>SUM(J580:AU580)</f>
        <v/>
      </c>
      <c r="J580" s="20">
        <f>Operations!J577*Operations!J573/1000</f>
        <v/>
      </c>
      <c r="K580" s="20">
        <f>Operations!K577*Operations!K573/1000</f>
        <v/>
      </c>
      <c r="L580" s="20">
        <f>Operations!L577*Operations!L573/1000</f>
        <v/>
      </c>
      <c r="M580" s="20">
        <f>Operations!M577*Operations!M573/1000</f>
        <v/>
      </c>
      <c r="N580" s="20">
        <f>Operations!N577*Operations!N573/1000</f>
        <v/>
      </c>
      <c r="O580" s="20">
        <f>Operations!O577*Operations!O573/1000</f>
        <v/>
      </c>
      <c r="P580" s="20">
        <f>Operations!P577*Operations!P573/1000</f>
        <v/>
      </c>
      <c r="Q580" s="20">
        <f>Operations!Q577*Operations!Q573/1000</f>
        <v/>
      </c>
      <c r="R580" s="20">
        <f>Operations!R577*Operations!R573/1000</f>
        <v/>
      </c>
      <c r="S580" s="20">
        <f>Operations!S577*Operations!S573/1000</f>
        <v/>
      </c>
      <c r="T580" s="20">
        <f>Operations!T577*Operations!T573/1000</f>
        <v/>
      </c>
      <c r="U580" s="20">
        <f>Operations!U577*Operations!U573/1000</f>
        <v/>
      </c>
      <c r="V580" s="20">
        <f>Operations!V577*Operations!V573/1000</f>
        <v/>
      </c>
      <c r="W580" s="20">
        <f>Operations!W577*Operations!W573/1000</f>
        <v/>
      </c>
      <c r="X580" s="20">
        <f>Operations!X577*Operations!X573/1000</f>
        <v/>
      </c>
      <c r="Y580" s="20">
        <f>Operations!Y577*Operations!Y573/1000</f>
        <v/>
      </c>
      <c r="Z580" s="20">
        <f>Operations!Z577*Operations!Z573/1000</f>
        <v/>
      </c>
      <c r="AA580" s="20">
        <f>Operations!AA577*Operations!AA573/1000</f>
        <v/>
      </c>
      <c r="AB580" s="20">
        <f>Operations!AB577*Operations!AB573/1000</f>
        <v/>
      </c>
      <c r="AC580" s="20">
        <f>Operations!AC577*Operations!AC573/1000</f>
        <v/>
      </c>
      <c r="AD580" s="20">
        <f>Operations!AD577*Operations!AD573/1000</f>
        <v/>
      </c>
      <c r="AE580" s="20">
        <f>Operations!AE577*Operations!AE573/1000</f>
        <v/>
      </c>
      <c r="AF580" s="20">
        <f>Operations!AF577*Operations!AF573/1000</f>
        <v/>
      </c>
      <c r="AG580" s="20">
        <f>Operations!AG577*Operations!AG573/1000</f>
        <v/>
      </c>
      <c r="AH580" s="20">
        <f>Operations!AH577*Operations!AH573/1000</f>
        <v/>
      </c>
      <c r="AI580" s="20">
        <f>Operations!AI577*Operations!AI573/1000</f>
        <v/>
      </c>
      <c r="AJ580" s="20">
        <f>Operations!AJ577*Operations!AJ573/1000</f>
        <v/>
      </c>
      <c r="AK580" s="20">
        <f>Operations!AK577*Operations!AK573/1000</f>
        <v/>
      </c>
      <c r="AL580" s="20">
        <f>Operations!AL577*Operations!AL573/1000</f>
        <v/>
      </c>
      <c r="AM580" s="20">
        <f>Operations!AM577*Operations!AM573/1000</f>
        <v/>
      </c>
      <c r="AN580" s="20">
        <f>Operations!AN577*Operations!AN573/1000</f>
        <v/>
      </c>
      <c r="AO580" s="20">
        <f>Operations!AO577*Operations!AO573/1000</f>
        <v/>
      </c>
      <c r="AP580" s="20">
        <f>Operations!AP577*Operations!AP573/1000</f>
        <v/>
      </c>
      <c r="AQ580" s="20">
        <f>Operations!AQ577*Operations!AQ573/1000</f>
        <v/>
      </c>
      <c r="AR580" s="20">
        <f>Operations!AR577*Operations!AR573/1000</f>
        <v/>
      </c>
      <c r="AS580" s="20">
        <f>Operations!AS577*Operations!AS573/1000</f>
        <v/>
      </c>
      <c r="AT580" s="20">
        <f>Operations!AT577*Operations!AT573/1000</f>
        <v/>
      </c>
      <c r="AU580" s="20">
        <f>Operations!AU577*Operations!AU573/1000</f>
        <v/>
      </c>
    </row>
    <row r="581">
      <c r="D581" t="inlineStr">
        <is>
          <t>R4 total revenue</t>
        </is>
      </c>
      <c r="E581" t="inlineStr">
        <is>
          <t>USD m</t>
        </is>
      </c>
      <c r="G581" s="20">
        <f>SUM(J581:AU581)</f>
        <v/>
      </c>
      <c r="J581" s="20">
        <f>Operations!J580+Operations!J576</f>
        <v/>
      </c>
      <c r="K581" s="20">
        <f>Operations!K580+Operations!K576</f>
        <v/>
      </c>
      <c r="L581" s="20">
        <f>Operations!L580+Operations!L576</f>
        <v/>
      </c>
      <c r="M581" s="20">
        <f>Operations!M580+Operations!M576</f>
        <v/>
      </c>
      <c r="N581" s="20">
        <f>Operations!N580+Operations!N576</f>
        <v/>
      </c>
      <c r="O581" s="20">
        <f>Operations!O580+Operations!O576</f>
        <v/>
      </c>
      <c r="P581" s="20">
        <f>Operations!P580+Operations!P576</f>
        <v/>
      </c>
      <c r="Q581" s="20">
        <f>Operations!Q580+Operations!Q576</f>
        <v/>
      </c>
      <c r="R581" s="20">
        <f>Operations!R580+Operations!R576</f>
        <v/>
      </c>
      <c r="S581" s="20">
        <f>Operations!S580+Operations!S576</f>
        <v/>
      </c>
      <c r="T581" s="20">
        <f>Operations!T580+Operations!T576</f>
        <v/>
      </c>
      <c r="U581" s="20">
        <f>Operations!U580+Operations!U576</f>
        <v/>
      </c>
      <c r="V581" s="20">
        <f>Operations!V580+Operations!V576</f>
        <v/>
      </c>
      <c r="W581" s="20">
        <f>Operations!W580+Operations!W576</f>
        <v/>
      </c>
      <c r="X581" s="20">
        <f>Operations!X580+Operations!X576</f>
        <v/>
      </c>
      <c r="Y581" s="20">
        <f>Operations!Y580+Operations!Y576</f>
        <v/>
      </c>
      <c r="Z581" s="20">
        <f>Operations!Z580+Operations!Z576</f>
        <v/>
      </c>
      <c r="AA581" s="20">
        <f>Operations!AA580+Operations!AA576</f>
        <v/>
      </c>
      <c r="AB581" s="20">
        <f>Operations!AB580+Operations!AB576</f>
        <v/>
      </c>
      <c r="AC581" s="20">
        <f>Operations!AC580+Operations!AC576</f>
        <v/>
      </c>
      <c r="AD581" s="20">
        <f>Operations!AD580+Operations!AD576</f>
        <v/>
      </c>
      <c r="AE581" s="20">
        <f>Operations!AE580+Operations!AE576</f>
        <v/>
      </c>
      <c r="AF581" s="20">
        <f>Operations!AF580+Operations!AF576</f>
        <v/>
      </c>
      <c r="AG581" s="20">
        <f>Operations!AG580+Operations!AG576</f>
        <v/>
      </c>
      <c r="AH581" s="20">
        <f>Operations!AH580+Operations!AH576</f>
        <v/>
      </c>
      <c r="AI581" s="20">
        <f>Operations!AI580+Operations!AI576</f>
        <v/>
      </c>
      <c r="AJ581" s="20">
        <f>Operations!AJ580+Operations!AJ576</f>
        <v/>
      </c>
      <c r="AK581" s="20">
        <f>Operations!AK580+Operations!AK576</f>
        <v/>
      </c>
      <c r="AL581" s="20">
        <f>Operations!AL580+Operations!AL576</f>
        <v/>
      </c>
      <c r="AM581" s="20">
        <f>Operations!AM580+Operations!AM576</f>
        <v/>
      </c>
      <c r="AN581" s="20">
        <f>Operations!AN580+Operations!AN576</f>
        <v/>
      </c>
      <c r="AO581" s="20">
        <f>Operations!AO580+Operations!AO576</f>
        <v/>
      </c>
      <c r="AP581" s="20">
        <f>Operations!AP580+Operations!AP576</f>
        <v/>
      </c>
      <c r="AQ581" s="20">
        <f>Operations!AQ580+Operations!AQ576</f>
        <v/>
      </c>
      <c r="AR581" s="20">
        <f>Operations!AR580+Operations!AR576</f>
        <v/>
      </c>
      <c r="AS581" s="20">
        <f>Operations!AS580+Operations!AS576</f>
        <v/>
      </c>
      <c r="AT581" s="20">
        <f>Operations!AT580+Operations!AT576</f>
        <v/>
      </c>
      <c r="AU581" s="20">
        <f>Operations!AU580+Operations!AU576</f>
        <v/>
      </c>
    </row>
    <row r="582">
      <c r="D582" t="inlineStr">
        <is>
          <t>R4 merchant revenue (total less contracted and hedged)</t>
        </is>
      </c>
      <c r="E582" t="inlineStr">
        <is>
          <t>USD m</t>
        </is>
      </c>
      <c r="J582" s="20">
        <f>Operations!J581-Operations!J578-Operations!J579</f>
        <v/>
      </c>
      <c r="K582" s="20">
        <f>Operations!K581-Operations!K578-Operations!K579</f>
        <v/>
      </c>
      <c r="L582" s="20">
        <f>Operations!L581-Operations!L578-Operations!L579</f>
        <v/>
      </c>
      <c r="M582" s="20">
        <f>Operations!M581-Operations!M578-Operations!M579</f>
        <v/>
      </c>
      <c r="N582" s="20">
        <f>Operations!N581-Operations!N578-Operations!N579</f>
        <v/>
      </c>
      <c r="O582" s="20">
        <f>Operations!O581-Operations!O578-Operations!O579</f>
        <v/>
      </c>
      <c r="P582" s="20">
        <f>Operations!P581-Operations!P578-Operations!P579</f>
        <v/>
      </c>
      <c r="Q582" s="20">
        <f>Operations!Q581-Operations!Q578-Operations!Q579</f>
        <v/>
      </c>
      <c r="R582" s="20">
        <f>Operations!R581-Operations!R578-Operations!R579</f>
        <v/>
      </c>
      <c r="S582" s="20">
        <f>Operations!S581-Operations!S578-Operations!S579</f>
        <v/>
      </c>
      <c r="T582" s="20">
        <f>Operations!T581-Operations!T578-Operations!T579</f>
        <v/>
      </c>
      <c r="U582" s="20">
        <f>Operations!U581-Operations!U578-Operations!U579</f>
        <v/>
      </c>
      <c r="V582" s="20">
        <f>Operations!V581-Operations!V578-Operations!V579</f>
        <v/>
      </c>
      <c r="W582" s="20">
        <f>Operations!W581-Operations!W578-Operations!W579</f>
        <v/>
      </c>
      <c r="X582" s="20">
        <f>Operations!X581-Operations!X578-Operations!X579</f>
        <v/>
      </c>
      <c r="Y582" s="20">
        <f>Operations!Y581-Operations!Y578-Operations!Y579</f>
        <v/>
      </c>
      <c r="Z582" s="20">
        <f>Operations!Z581-Operations!Z578-Operations!Z579</f>
        <v/>
      </c>
      <c r="AA582" s="20">
        <f>Operations!AA581-Operations!AA578-Operations!AA579</f>
        <v/>
      </c>
      <c r="AB582" s="20">
        <f>Operations!AB581-Operations!AB578-Operations!AB579</f>
        <v/>
      </c>
      <c r="AC582" s="20">
        <f>Operations!AC581-Operations!AC578-Operations!AC579</f>
        <v/>
      </c>
      <c r="AD582" s="20">
        <f>Operations!AD581-Operations!AD578-Operations!AD579</f>
        <v/>
      </c>
      <c r="AE582" s="20">
        <f>Operations!AE581-Operations!AE578-Operations!AE579</f>
        <v/>
      </c>
      <c r="AF582" s="20">
        <f>Operations!AF581-Operations!AF578-Operations!AF579</f>
        <v/>
      </c>
      <c r="AG582" s="20">
        <f>Operations!AG581-Operations!AG578-Operations!AG579</f>
        <v/>
      </c>
      <c r="AH582" s="20">
        <f>Operations!AH581-Operations!AH578-Operations!AH579</f>
        <v/>
      </c>
      <c r="AI582" s="20">
        <f>Operations!AI581-Operations!AI578-Operations!AI579</f>
        <v/>
      </c>
      <c r="AJ582" s="20">
        <f>Operations!AJ581-Operations!AJ578-Operations!AJ579</f>
        <v/>
      </c>
      <c r="AK582" s="20">
        <f>Operations!AK581-Operations!AK578-Operations!AK579</f>
        <v/>
      </c>
      <c r="AL582" s="20">
        <f>Operations!AL581-Operations!AL578-Operations!AL579</f>
        <v/>
      </c>
      <c r="AM582" s="20">
        <f>Operations!AM581-Operations!AM578-Operations!AM579</f>
        <v/>
      </c>
      <c r="AN582" s="20">
        <f>Operations!AN581-Operations!AN578-Operations!AN579</f>
        <v/>
      </c>
      <c r="AO582" s="20">
        <f>Operations!AO581-Operations!AO578-Operations!AO579</f>
        <v/>
      </c>
      <c r="AP582" s="20">
        <f>Operations!AP581-Operations!AP578-Operations!AP579</f>
        <v/>
      </c>
      <c r="AQ582" s="20">
        <f>Operations!AQ581-Operations!AQ578-Operations!AQ579</f>
        <v/>
      </c>
      <c r="AR582" s="20">
        <f>Operations!AR581-Operations!AR578-Operations!AR579</f>
        <v/>
      </c>
      <c r="AS582" s="20">
        <f>Operations!AS581-Operations!AS578-Operations!AS579</f>
        <v/>
      </c>
      <c r="AT582" s="20">
        <f>Operations!AT581-Operations!AT578-Operations!AT579</f>
        <v/>
      </c>
      <c r="AU582" s="20">
        <f>Operations!AU581-Operations!AU578-Operations!AU579</f>
        <v/>
      </c>
    </row>
    <row r="583">
      <c r="D583" t="inlineStr">
        <is>
          <t>R4 opex (O&amp;M, land, insurance, property tax, site)</t>
        </is>
      </c>
      <c r="E583" t="inlineStr">
        <is>
          <t>USD m</t>
        </is>
      </c>
      <c r="J583" s="20">
        <f>Inputs!$F$125*Inputs!$F$121/1000*Time!J$9*Time!J$10*Operations!J562*Operations!$F$421</f>
        <v/>
      </c>
      <c r="K583" s="20">
        <f>Inputs!$F$125*Inputs!$F$121/1000*Time!K$9*Time!K$10*Operations!K562*Operations!$F$421</f>
        <v/>
      </c>
      <c r="L583" s="20">
        <f>Inputs!$F$125*Inputs!$F$121/1000*Time!L$9*Time!L$10*Operations!L562*Operations!$F$421</f>
        <v/>
      </c>
      <c r="M583" s="20">
        <f>Inputs!$F$125*Inputs!$F$121/1000*Time!M$9*Time!M$10*Operations!M562*Operations!$F$421</f>
        <v/>
      </c>
      <c r="N583" s="20">
        <f>Inputs!$F$125*Inputs!$F$121/1000*Time!N$9*Time!N$10*Operations!N562*Operations!$F$421</f>
        <v/>
      </c>
      <c r="O583" s="20">
        <f>Inputs!$F$125*Inputs!$F$121/1000*Time!O$9*Time!O$10*Operations!O562*Operations!$F$421</f>
        <v/>
      </c>
      <c r="P583" s="20">
        <f>Inputs!$F$125*Inputs!$F$121/1000*Time!P$9*Time!P$10*Operations!P562*Operations!$F$421</f>
        <v/>
      </c>
      <c r="Q583" s="20">
        <f>Inputs!$F$125*Inputs!$F$121/1000*Time!Q$9*Time!Q$10*Operations!Q562*Operations!$F$421</f>
        <v/>
      </c>
      <c r="R583" s="20">
        <f>Inputs!$F$125*Inputs!$F$121/1000*Time!R$9*Time!R$10*Operations!R562*Operations!$F$421</f>
        <v/>
      </c>
      <c r="S583" s="20">
        <f>Inputs!$F$125*Inputs!$F$121/1000*Time!S$9*Time!S$10*Operations!S562*Operations!$F$421</f>
        <v/>
      </c>
      <c r="T583" s="20">
        <f>Inputs!$F$125*Inputs!$F$121/1000*Time!T$9*Time!T$10*Operations!T562*Operations!$F$421</f>
        <v/>
      </c>
      <c r="U583" s="20">
        <f>Inputs!$F$125*Inputs!$F$121/1000*Time!U$9*Time!U$10*Operations!U562*Operations!$F$421</f>
        <v/>
      </c>
      <c r="V583" s="20">
        <f>Inputs!$F$125*Inputs!$F$121/1000*Time!V$9*Time!V$10*Operations!V562*Operations!$F$421</f>
        <v/>
      </c>
      <c r="W583" s="20">
        <f>Inputs!$F$125*Inputs!$F$121/1000*Time!W$9*Time!W$10*Operations!W562*Operations!$F$421</f>
        <v/>
      </c>
      <c r="X583" s="20">
        <f>Inputs!$F$125*Inputs!$F$121/1000*Time!X$9*Time!X$10*Operations!X562*Operations!$F$421</f>
        <v/>
      </c>
      <c r="Y583" s="20">
        <f>Inputs!$F$125*Inputs!$F$121/1000*Time!Y$9*Time!Y$10*Operations!Y562*Operations!$F$421</f>
        <v/>
      </c>
      <c r="Z583" s="20">
        <f>Inputs!$F$125*Inputs!$F$121/1000*Time!Z$9*Time!Z$10*Operations!Z562*Operations!$F$421</f>
        <v/>
      </c>
      <c r="AA583" s="20">
        <f>Inputs!$F$125*Inputs!$F$121/1000*Time!AA$9*Time!AA$10*Operations!AA562*Operations!$F$421</f>
        <v/>
      </c>
      <c r="AB583" s="20">
        <f>Inputs!$F$125*Inputs!$F$121/1000*Time!AB$9*Time!AB$10*Operations!AB562*Operations!$F$421</f>
        <v/>
      </c>
      <c r="AC583" s="20">
        <f>Inputs!$F$125*Inputs!$F$121/1000*Time!AC$9*Time!AC$10*Operations!AC562*Operations!$F$421</f>
        <v/>
      </c>
      <c r="AD583" s="20">
        <f>Inputs!$F$125*Inputs!$F$121/1000*Time!AD$9*Time!AD$10*Operations!AD562*Operations!$F$421</f>
        <v/>
      </c>
      <c r="AE583" s="20">
        <f>Inputs!$F$125*Inputs!$F$121/1000*Time!AE$9*Time!AE$10*Operations!AE562*Operations!$F$421</f>
        <v/>
      </c>
      <c r="AF583" s="20">
        <f>Inputs!$F$125*Inputs!$F$121/1000*Time!AF$9*Time!AF$10*Operations!AF562*Operations!$F$421</f>
        <v/>
      </c>
      <c r="AG583" s="20">
        <f>Inputs!$F$125*Inputs!$F$121/1000*Time!AG$9*Time!AG$10*Operations!AG562*Operations!$F$421</f>
        <v/>
      </c>
      <c r="AH583" s="20">
        <f>Inputs!$F$125*Inputs!$F$121/1000*Time!AH$9*Time!AH$10*Operations!AH562*Operations!$F$421</f>
        <v/>
      </c>
      <c r="AI583" s="20">
        <f>Inputs!$F$125*Inputs!$F$121/1000*Time!AI$9*Time!AI$10*Operations!AI562*Operations!$F$421</f>
        <v/>
      </c>
      <c r="AJ583" s="20">
        <f>Inputs!$F$125*Inputs!$F$121/1000*Time!AJ$9*Time!AJ$10*Operations!AJ562*Operations!$F$421</f>
        <v/>
      </c>
      <c r="AK583" s="20">
        <f>Inputs!$F$125*Inputs!$F$121/1000*Time!AK$9*Time!AK$10*Operations!AK562*Operations!$F$421</f>
        <v/>
      </c>
      <c r="AL583" s="20">
        <f>Inputs!$F$125*Inputs!$F$121/1000*Time!AL$9*Time!AL$10*Operations!AL562*Operations!$F$421</f>
        <v/>
      </c>
      <c r="AM583" s="20">
        <f>Inputs!$F$125*Inputs!$F$121/1000*Time!AM$9*Time!AM$10*Operations!AM562*Operations!$F$421</f>
        <v/>
      </c>
      <c r="AN583" s="20">
        <f>Inputs!$F$125*Inputs!$F$121/1000*Time!AN$9*Time!AN$10*Operations!AN562*Operations!$F$421</f>
        <v/>
      </c>
      <c r="AO583" s="20">
        <f>Inputs!$F$125*Inputs!$F$121/1000*Time!AO$9*Time!AO$10*Operations!AO562*Operations!$F$421</f>
        <v/>
      </c>
      <c r="AP583" s="20">
        <f>Inputs!$F$125*Inputs!$F$121/1000*Time!AP$9*Time!AP$10*Operations!AP562*Operations!$F$421</f>
        <v/>
      </c>
      <c r="AQ583" s="20">
        <f>Inputs!$F$125*Inputs!$F$121/1000*Time!AQ$9*Time!AQ$10*Operations!AQ562*Operations!$F$421</f>
        <v/>
      </c>
      <c r="AR583" s="20">
        <f>Inputs!$F$125*Inputs!$F$121/1000*Time!AR$9*Time!AR$10*Operations!AR562*Operations!$F$421</f>
        <v/>
      </c>
      <c r="AS583" s="20">
        <f>Inputs!$F$125*Inputs!$F$121/1000*Time!AS$9*Time!AS$10*Operations!AS562*Operations!$F$421</f>
        <v/>
      </c>
      <c r="AT583" s="20">
        <f>Inputs!$F$125*Inputs!$F$121/1000*Time!AT$9*Time!AT$10*Operations!AT562*Operations!$F$421</f>
        <v/>
      </c>
      <c r="AU583" s="20">
        <f>Inputs!$F$125*Inputs!$F$121/1000*Time!AU$9*Time!AU$10*Operations!AU562*Operations!$F$421</f>
        <v/>
      </c>
    </row>
    <row r="584">
      <c r="D584" t="inlineStr">
        <is>
          <t>R4 land lease (in opex)</t>
        </is>
      </c>
      <c r="E584" t="inlineStr">
        <is>
          <t>USD m</t>
        </is>
      </c>
      <c r="J584" s="20">
        <f>0</f>
        <v/>
      </c>
      <c r="K584" s="20">
        <f>0</f>
        <v/>
      </c>
      <c r="L584" s="20">
        <f>0</f>
        <v/>
      </c>
      <c r="M584" s="20">
        <f>0</f>
        <v/>
      </c>
      <c r="N584" s="20">
        <f>0</f>
        <v/>
      </c>
      <c r="O584" s="20">
        <f>0</f>
        <v/>
      </c>
      <c r="P584" s="20">
        <f>0</f>
        <v/>
      </c>
      <c r="Q584" s="20">
        <f>0</f>
        <v/>
      </c>
      <c r="R584" s="20">
        <f>0</f>
        <v/>
      </c>
      <c r="S584" s="20">
        <f>0</f>
        <v/>
      </c>
      <c r="T584" s="20">
        <f>0</f>
        <v/>
      </c>
      <c r="U584" s="20">
        <f>0</f>
        <v/>
      </c>
      <c r="V584" s="20">
        <f>0</f>
        <v/>
      </c>
      <c r="W584" s="20">
        <f>0</f>
        <v/>
      </c>
      <c r="X584" s="20">
        <f>0</f>
        <v/>
      </c>
      <c r="Y584" s="20">
        <f>0</f>
        <v/>
      </c>
      <c r="Z584" s="20">
        <f>0</f>
        <v/>
      </c>
      <c r="AA584" s="20">
        <f>0</f>
        <v/>
      </c>
      <c r="AB584" s="20">
        <f>0</f>
        <v/>
      </c>
      <c r="AC584" s="20">
        <f>0</f>
        <v/>
      </c>
      <c r="AD584" s="20">
        <f>0</f>
        <v/>
      </c>
      <c r="AE584" s="20">
        <f>0</f>
        <v/>
      </c>
      <c r="AF584" s="20">
        <f>0</f>
        <v/>
      </c>
      <c r="AG584" s="20">
        <f>0</f>
        <v/>
      </c>
      <c r="AH584" s="20">
        <f>0</f>
        <v/>
      </c>
      <c r="AI584" s="20">
        <f>0</f>
        <v/>
      </c>
      <c r="AJ584" s="20">
        <f>0</f>
        <v/>
      </c>
      <c r="AK584" s="20">
        <f>0</f>
        <v/>
      </c>
      <c r="AL584" s="20">
        <f>0</f>
        <v/>
      </c>
      <c r="AM584" s="20">
        <f>0</f>
        <v/>
      </c>
      <c r="AN584" s="20">
        <f>0</f>
        <v/>
      </c>
      <c r="AO584" s="20">
        <f>0</f>
        <v/>
      </c>
      <c r="AP584" s="20">
        <f>0</f>
        <v/>
      </c>
      <c r="AQ584" s="20">
        <f>0</f>
        <v/>
      </c>
      <c r="AR584" s="20">
        <f>0</f>
        <v/>
      </c>
      <c r="AS584" s="20">
        <f>0</f>
        <v/>
      </c>
      <c r="AT584" s="20">
        <f>0</f>
        <v/>
      </c>
      <c r="AU584" s="20">
        <f>0</f>
        <v/>
      </c>
    </row>
    <row r="585">
      <c r="D585" t="inlineStr">
        <is>
          <t>R4 decommissioning surety cost</t>
        </is>
      </c>
      <c r="E585" t="inlineStr">
        <is>
          <t>USD m</t>
        </is>
      </c>
      <c r="J585" s="20">
        <f>Inputs!$F$236/100*Inputs!$F$126*Inputs!$F$121/1000*Time!J$9*Operations!J562</f>
        <v/>
      </c>
      <c r="K585" s="20">
        <f>Inputs!$F$236/100*Inputs!$F$126*Inputs!$F$121/1000*Time!K$9*Operations!K562</f>
        <v/>
      </c>
      <c r="L585" s="20">
        <f>Inputs!$F$236/100*Inputs!$F$126*Inputs!$F$121/1000*Time!L$9*Operations!L562</f>
        <v/>
      </c>
      <c r="M585" s="20">
        <f>Inputs!$F$236/100*Inputs!$F$126*Inputs!$F$121/1000*Time!M$9*Operations!M562</f>
        <v/>
      </c>
      <c r="N585" s="20">
        <f>Inputs!$F$236/100*Inputs!$F$126*Inputs!$F$121/1000*Time!N$9*Operations!N562</f>
        <v/>
      </c>
      <c r="O585" s="20">
        <f>Inputs!$F$236/100*Inputs!$F$126*Inputs!$F$121/1000*Time!O$9*Operations!O562</f>
        <v/>
      </c>
      <c r="P585" s="20">
        <f>Inputs!$F$236/100*Inputs!$F$126*Inputs!$F$121/1000*Time!P$9*Operations!P562</f>
        <v/>
      </c>
      <c r="Q585" s="20">
        <f>Inputs!$F$236/100*Inputs!$F$126*Inputs!$F$121/1000*Time!Q$9*Operations!Q562</f>
        <v/>
      </c>
      <c r="R585" s="20">
        <f>Inputs!$F$236/100*Inputs!$F$126*Inputs!$F$121/1000*Time!R$9*Operations!R562</f>
        <v/>
      </c>
      <c r="S585" s="20">
        <f>Inputs!$F$236/100*Inputs!$F$126*Inputs!$F$121/1000*Time!S$9*Operations!S562</f>
        <v/>
      </c>
      <c r="T585" s="20">
        <f>Inputs!$F$236/100*Inputs!$F$126*Inputs!$F$121/1000*Time!T$9*Operations!T562</f>
        <v/>
      </c>
      <c r="U585" s="20">
        <f>Inputs!$F$236/100*Inputs!$F$126*Inputs!$F$121/1000*Time!U$9*Operations!U562</f>
        <v/>
      </c>
      <c r="V585" s="20">
        <f>Inputs!$F$236/100*Inputs!$F$126*Inputs!$F$121/1000*Time!V$9*Operations!V562</f>
        <v/>
      </c>
      <c r="W585" s="20">
        <f>Inputs!$F$236/100*Inputs!$F$126*Inputs!$F$121/1000*Time!W$9*Operations!W562</f>
        <v/>
      </c>
      <c r="X585" s="20">
        <f>Inputs!$F$236/100*Inputs!$F$126*Inputs!$F$121/1000*Time!X$9*Operations!X562</f>
        <v/>
      </c>
      <c r="Y585" s="20">
        <f>Inputs!$F$236/100*Inputs!$F$126*Inputs!$F$121/1000*Time!Y$9*Operations!Y562</f>
        <v/>
      </c>
      <c r="Z585" s="20">
        <f>Inputs!$F$236/100*Inputs!$F$126*Inputs!$F$121/1000*Time!Z$9*Operations!Z562</f>
        <v/>
      </c>
      <c r="AA585" s="20">
        <f>Inputs!$F$236/100*Inputs!$F$126*Inputs!$F$121/1000*Time!AA$9*Operations!AA562</f>
        <v/>
      </c>
      <c r="AB585" s="20">
        <f>Inputs!$F$236/100*Inputs!$F$126*Inputs!$F$121/1000*Time!AB$9*Operations!AB562</f>
        <v/>
      </c>
      <c r="AC585" s="20">
        <f>Inputs!$F$236/100*Inputs!$F$126*Inputs!$F$121/1000*Time!AC$9*Operations!AC562</f>
        <v/>
      </c>
      <c r="AD585" s="20">
        <f>Inputs!$F$236/100*Inputs!$F$126*Inputs!$F$121/1000*Time!AD$9*Operations!AD562</f>
        <v/>
      </c>
      <c r="AE585" s="20">
        <f>Inputs!$F$236/100*Inputs!$F$126*Inputs!$F$121/1000*Time!AE$9*Operations!AE562</f>
        <v/>
      </c>
      <c r="AF585" s="20">
        <f>Inputs!$F$236/100*Inputs!$F$126*Inputs!$F$121/1000*Time!AF$9*Operations!AF562</f>
        <v/>
      </c>
      <c r="AG585" s="20">
        <f>Inputs!$F$236/100*Inputs!$F$126*Inputs!$F$121/1000*Time!AG$9*Operations!AG562</f>
        <v/>
      </c>
      <c r="AH585" s="20">
        <f>Inputs!$F$236/100*Inputs!$F$126*Inputs!$F$121/1000*Time!AH$9*Operations!AH562</f>
        <v/>
      </c>
      <c r="AI585" s="20">
        <f>Inputs!$F$236/100*Inputs!$F$126*Inputs!$F$121/1000*Time!AI$9*Operations!AI562</f>
        <v/>
      </c>
      <c r="AJ585" s="20">
        <f>Inputs!$F$236/100*Inputs!$F$126*Inputs!$F$121/1000*Time!AJ$9*Operations!AJ562</f>
        <v/>
      </c>
      <c r="AK585" s="20">
        <f>Inputs!$F$236/100*Inputs!$F$126*Inputs!$F$121/1000*Time!AK$9*Operations!AK562</f>
        <v/>
      </c>
      <c r="AL585" s="20">
        <f>Inputs!$F$236/100*Inputs!$F$126*Inputs!$F$121/1000*Time!AL$9*Operations!AL562</f>
        <v/>
      </c>
      <c r="AM585" s="20">
        <f>Inputs!$F$236/100*Inputs!$F$126*Inputs!$F$121/1000*Time!AM$9*Operations!AM562</f>
        <v/>
      </c>
      <c r="AN585" s="20">
        <f>Inputs!$F$236/100*Inputs!$F$126*Inputs!$F$121/1000*Time!AN$9*Operations!AN562</f>
        <v/>
      </c>
      <c r="AO585" s="20">
        <f>Inputs!$F$236/100*Inputs!$F$126*Inputs!$F$121/1000*Time!AO$9*Operations!AO562</f>
        <v/>
      </c>
      <c r="AP585" s="20">
        <f>Inputs!$F$236/100*Inputs!$F$126*Inputs!$F$121/1000*Time!AP$9*Operations!AP562</f>
        <v/>
      </c>
      <c r="AQ585" s="20">
        <f>Inputs!$F$236/100*Inputs!$F$126*Inputs!$F$121/1000*Time!AQ$9*Operations!AQ562</f>
        <v/>
      </c>
      <c r="AR585" s="20">
        <f>Inputs!$F$236/100*Inputs!$F$126*Inputs!$F$121/1000*Time!AR$9*Operations!AR562</f>
        <v/>
      </c>
      <c r="AS585" s="20">
        <f>Inputs!$F$236/100*Inputs!$F$126*Inputs!$F$121/1000*Time!AS$9*Operations!AS562</f>
        <v/>
      </c>
      <c r="AT585" s="20">
        <f>Inputs!$F$236/100*Inputs!$F$126*Inputs!$F$121/1000*Time!AT$9*Operations!AT562</f>
        <v/>
      </c>
      <c r="AU585" s="20">
        <f>Inputs!$F$236/100*Inputs!$F$126*Inputs!$F$121/1000*Time!AU$9*Operations!AU562</f>
        <v/>
      </c>
    </row>
    <row r="586">
      <c r="D586" t="inlineStr">
        <is>
          <t>R4 Texas margin tax</t>
        </is>
      </c>
      <c r="E586" t="inlineStr">
        <is>
          <t>USD m</t>
        </is>
      </c>
      <c r="J586" s="20">
        <f>Inputs!$F$237/100*Inputs!$F$238/100*Operations!J581</f>
        <v/>
      </c>
      <c r="K586" s="20">
        <f>Inputs!$F$237/100*Inputs!$F$238/100*Operations!K581</f>
        <v/>
      </c>
      <c r="L586" s="20">
        <f>Inputs!$F$237/100*Inputs!$F$238/100*Operations!L581</f>
        <v/>
      </c>
      <c r="M586" s="20">
        <f>Inputs!$F$237/100*Inputs!$F$238/100*Operations!M581</f>
        <v/>
      </c>
      <c r="N586" s="20">
        <f>Inputs!$F$237/100*Inputs!$F$238/100*Operations!N581</f>
        <v/>
      </c>
      <c r="O586" s="20">
        <f>Inputs!$F$237/100*Inputs!$F$238/100*Operations!O581</f>
        <v/>
      </c>
      <c r="P586" s="20">
        <f>Inputs!$F$237/100*Inputs!$F$238/100*Operations!P581</f>
        <v/>
      </c>
      <c r="Q586" s="20">
        <f>Inputs!$F$237/100*Inputs!$F$238/100*Operations!Q581</f>
        <v/>
      </c>
      <c r="R586" s="20">
        <f>Inputs!$F$237/100*Inputs!$F$238/100*Operations!R581</f>
        <v/>
      </c>
      <c r="S586" s="20">
        <f>Inputs!$F$237/100*Inputs!$F$238/100*Operations!S581</f>
        <v/>
      </c>
      <c r="T586" s="20">
        <f>Inputs!$F$237/100*Inputs!$F$238/100*Operations!T581</f>
        <v/>
      </c>
      <c r="U586" s="20">
        <f>Inputs!$F$237/100*Inputs!$F$238/100*Operations!U581</f>
        <v/>
      </c>
      <c r="V586" s="20">
        <f>Inputs!$F$237/100*Inputs!$F$238/100*Operations!V581</f>
        <v/>
      </c>
      <c r="W586" s="20">
        <f>Inputs!$F$237/100*Inputs!$F$238/100*Operations!W581</f>
        <v/>
      </c>
      <c r="X586" s="20">
        <f>Inputs!$F$237/100*Inputs!$F$238/100*Operations!X581</f>
        <v/>
      </c>
      <c r="Y586" s="20">
        <f>Inputs!$F$237/100*Inputs!$F$238/100*Operations!Y581</f>
        <v/>
      </c>
      <c r="Z586" s="20">
        <f>Inputs!$F$237/100*Inputs!$F$238/100*Operations!Z581</f>
        <v/>
      </c>
      <c r="AA586" s="20">
        <f>Inputs!$F$237/100*Inputs!$F$238/100*Operations!AA581</f>
        <v/>
      </c>
      <c r="AB586" s="20">
        <f>Inputs!$F$237/100*Inputs!$F$238/100*Operations!AB581</f>
        <v/>
      </c>
      <c r="AC586" s="20">
        <f>Inputs!$F$237/100*Inputs!$F$238/100*Operations!AC581</f>
        <v/>
      </c>
      <c r="AD586" s="20">
        <f>Inputs!$F$237/100*Inputs!$F$238/100*Operations!AD581</f>
        <v/>
      </c>
      <c r="AE586" s="20">
        <f>Inputs!$F$237/100*Inputs!$F$238/100*Operations!AE581</f>
        <v/>
      </c>
      <c r="AF586" s="20">
        <f>Inputs!$F$237/100*Inputs!$F$238/100*Operations!AF581</f>
        <v/>
      </c>
      <c r="AG586" s="20">
        <f>Inputs!$F$237/100*Inputs!$F$238/100*Operations!AG581</f>
        <v/>
      </c>
      <c r="AH586" s="20">
        <f>Inputs!$F$237/100*Inputs!$F$238/100*Operations!AH581</f>
        <v/>
      </c>
      <c r="AI586" s="20">
        <f>Inputs!$F$237/100*Inputs!$F$238/100*Operations!AI581</f>
        <v/>
      </c>
      <c r="AJ586" s="20">
        <f>Inputs!$F$237/100*Inputs!$F$238/100*Operations!AJ581</f>
        <v/>
      </c>
      <c r="AK586" s="20">
        <f>Inputs!$F$237/100*Inputs!$F$238/100*Operations!AK581</f>
        <v/>
      </c>
      <c r="AL586" s="20">
        <f>Inputs!$F$237/100*Inputs!$F$238/100*Operations!AL581</f>
        <v/>
      </c>
      <c r="AM586" s="20">
        <f>Inputs!$F$237/100*Inputs!$F$238/100*Operations!AM581</f>
        <v/>
      </c>
      <c r="AN586" s="20">
        <f>Inputs!$F$237/100*Inputs!$F$238/100*Operations!AN581</f>
        <v/>
      </c>
      <c r="AO586" s="20">
        <f>Inputs!$F$237/100*Inputs!$F$238/100*Operations!AO581</f>
        <v/>
      </c>
      <c r="AP586" s="20">
        <f>Inputs!$F$237/100*Inputs!$F$238/100*Operations!AP581</f>
        <v/>
      </c>
      <c r="AQ586" s="20">
        <f>Inputs!$F$237/100*Inputs!$F$238/100*Operations!AQ581</f>
        <v/>
      </c>
      <c r="AR586" s="20">
        <f>Inputs!$F$237/100*Inputs!$F$238/100*Operations!AR581</f>
        <v/>
      </c>
      <c r="AS586" s="20">
        <f>Inputs!$F$237/100*Inputs!$F$238/100*Operations!AS581</f>
        <v/>
      </c>
      <c r="AT586" s="20">
        <f>Inputs!$F$237/100*Inputs!$F$238/100*Operations!AT581</f>
        <v/>
      </c>
      <c r="AU586" s="20">
        <f>Inputs!$F$237/100*Inputs!$F$238/100*Operations!AU581</f>
        <v/>
      </c>
    </row>
    <row r="587">
      <c r="D587" t="inlineStr">
        <is>
          <t>R4 EBITDA</t>
        </is>
      </c>
      <c r="E587" t="inlineStr">
        <is>
          <t>USD m</t>
        </is>
      </c>
      <c r="G587" s="20">
        <f>SUM(J587:AU587)</f>
        <v/>
      </c>
      <c r="J587" s="20">
        <f>Operations!J581-Operations!J583-Operations!J584-Operations!J585-Operations!J586</f>
        <v/>
      </c>
      <c r="K587" s="20">
        <f>Operations!K581-Operations!K583-Operations!K584-Operations!K585-Operations!K586</f>
        <v/>
      </c>
      <c r="L587" s="20">
        <f>Operations!L581-Operations!L583-Operations!L584-Operations!L585-Operations!L586</f>
        <v/>
      </c>
      <c r="M587" s="20">
        <f>Operations!M581-Operations!M583-Operations!M584-Operations!M585-Operations!M586</f>
        <v/>
      </c>
      <c r="N587" s="20">
        <f>Operations!N581-Operations!N583-Operations!N584-Operations!N585-Operations!N586</f>
        <v/>
      </c>
      <c r="O587" s="20">
        <f>Operations!O581-Operations!O583-Operations!O584-Operations!O585-Operations!O586</f>
        <v/>
      </c>
      <c r="P587" s="20">
        <f>Operations!P581-Operations!P583-Operations!P584-Operations!P585-Operations!P586</f>
        <v/>
      </c>
      <c r="Q587" s="20">
        <f>Operations!Q581-Operations!Q583-Operations!Q584-Operations!Q585-Operations!Q586</f>
        <v/>
      </c>
      <c r="R587" s="20">
        <f>Operations!R581-Operations!R583-Operations!R584-Operations!R585-Operations!R586</f>
        <v/>
      </c>
      <c r="S587" s="20">
        <f>Operations!S581-Operations!S583-Operations!S584-Operations!S585-Operations!S586</f>
        <v/>
      </c>
      <c r="T587" s="20">
        <f>Operations!T581-Operations!T583-Operations!T584-Operations!T585-Operations!T586</f>
        <v/>
      </c>
      <c r="U587" s="20">
        <f>Operations!U581-Operations!U583-Operations!U584-Operations!U585-Operations!U586</f>
        <v/>
      </c>
      <c r="V587" s="20">
        <f>Operations!V581-Operations!V583-Operations!V584-Operations!V585-Operations!V586</f>
        <v/>
      </c>
      <c r="W587" s="20">
        <f>Operations!W581-Operations!W583-Operations!W584-Operations!W585-Operations!W586</f>
        <v/>
      </c>
      <c r="X587" s="20">
        <f>Operations!X581-Operations!X583-Operations!X584-Operations!X585-Operations!X586</f>
        <v/>
      </c>
      <c r="Y587" s="20">
        <f>Operations!Y581-Operations!Y583-Operations!Y584-Operations!Y585-Operations!Y586</f>
        <v/>
      </c>
      <c r="Z587" s="20">
        <f>Operations!Z581-Operations!Z583-Operations!Z584-Operations!Z585-Operations!Z586</f>
        <v/>
      </c>
      <c r="AA587" s="20">
        <f>Operations!AA581-Operations!AA583-Operations!AA584-Operations!AA585-Operations!AA586</f>
        <v/>
      </c>
      <c r="AB587" s="20">
        <f>Operations!AB581-Operations!AB583-Operations!AB584-Operations!AB585-Operations!AB586</f>
        <v/>
      </c>
      <c r="AC587" s="20">
        <f>Operations!AC581-Operations!AC583-Operations!AC584-Operations!AC585-Operations!AC586</f>
        <v/>
      </c>
      <c r="AD587" s="20">
        <f>Operations!AD581-Operations!AD583-Operations!AD584-Operations!AD585-Operations!AD586</f>
        <v/>
      </c>
      <c r="AE587" s="20">
        <f>Operations!AE581-Operations!AE583-Operations!AE584-Operations!AE585-Operations!AE586</f>
        <v/>
      </c>
      <c r="AF587" s="20">
        <f>Operations!AF581-Operations!AF583-Operations!AF584-Operations!AF585-Operations!AF586</f>
        <v/>
      </c>
      <c r="AG587" s="20">
        <f>Operations!AG581-Operations!AG583-Operations!AG584-Operations!AG585-Operations!AG586</f>
        <v/>
      </c>
      <c r="AH587" s="20">
        <f>Operations!AH581-Operations!AH583-Operations!AH584-Operations!AH585-Operations!AH586</f>
        <v/>
      </c>
      <c r="AI587" s="20">
        <f>Operations!AI581-Operations!AI583-Operations!AI584-Operations!AI585-Operations!AI586</f>
        <v/>
      </c>
      <c r="AJ587" s="20">
        <f>Operations!AJ581-Operations!AJ583-Operations!AJ584-Operations!AJ585-Operations!AJ586</f>
        <v/>
      </c>
      <c r="AK587" s="20">
        <f>Operations!AK581-Operations!AK583-Operations!AK584-Operations!AK585-Operations!AK586</f>
        <v/>
      </c>
      <c r="AL587" s="20">
        <f>Operations!AL581-Operations!AL583-Operations!AL584-Operations!AL585-Operations!AL586</f>
        <v/>
      </c>
      <c r="AM587" s="20">
        <f>Operations!AM581-Operations!AM583-Operations!AM584-Operations!AM585-Operations!AM586</f>
        <v/>
      </c>
      <c r="AN587" s="20">
        <f>Operations!AN581-Operations!AN583-Operations!AN584-Operations!AN585-Operations!AN586</f>
        <v/>
      </c>
      <c r="AO587" s="20">
        <f>Operations!AO581-Operations!AO583-Operations!AO584-Operations!AO585-Operations!AO586</f>
        <v/>
      </c>
      <c r="AP587" s="20">
        <f>Operations!AP581-Operations!AP583-Operations!AP584-Operations!AP585-Operations!AP586</f>
        <v/>
      </c>
      <c r="AQ587" s="20">
        <f>Operations!AQ581-Operations!AQ583-Operations!AQ584-Operations!AQ585-Operations!AQ586</f>
        <v/>
      </c>
      <c r="AR587" s="20">
        <f>Operations!AR581-Operations!AR583-Operations!AR584-Operations!AR585-Operations!AR586</f>
        <v/>
      </c>
      <c r="AS587" s="20">
        <f>Operations!AS581-Operations!AS583-Operations!AS584-Operations!AS585-Operations!AS586</f>
        <v/>
      </c>
      <c r="AT587" s="20">
        <f>Operations!AT581-Operations!AT583-Operations!AT584-Operations!AT585-Operations!AT586</f>
        <v/>
      </c>
      <c r="AU587" s="20">
        <f>Operations!AU581-Operations!AU583-Operations!AU584-Operations!AU585-Operations!AU586</f>
        <v/>
      </c>
    </row>
    <row r="588">
      <c r="D588" t="inlineStr">
        <is>
          <t>R4 capex</t>
        </is>
      </c>
      <c r="E588" t="inlineStr">
        <is>
          <t>USD m</t>
        </is>
      </c>
      <c r="J588" s="20">
        <f>0</f>
        <v/>
      </c>
      <c r="K588" s="20">
        <f>0</f>
        <v/>
      </c>
      <c r="L588" s="20">
        <f>0</f>
        <v/>
      </c>
      <c r="M588" s="20">
        <f>0</f>
        <v/>
      </c>
      <c r="N588" s="20">
        <f>0</f>
        <v/>
      </c>
      <c r="O588" s="20">
        <f>0</f>
        <v/>
      </c>
      <c r="P588" s="20">
        <f>0</f>
        <v/>
      </c>
      <c r="Q588" s="20">
        <f>0</f>
        <v/>
      </c>
      <c r="R588" s="20">
        <f>0</f>
        <v/>
      </c>
      <c r="S588" s="20">
        <f>0</f>
        <v/>
      </c>
      <c r="T588" s="20">
        <f>0</f>
        <v/>
      </c>
      <c r="U588" s="20">
        <f>0</f>
        <v/>
      </c>
      <c r="V588" s="20">
        <f>0</f>
        <v/>
      </c>
      <c r="W588" s="20">
        <f>0</f>
        <v/>
      </c>
      <c r="X588" s="20">
        <f>0</f>
        <v/>
      </c>
      <c r="Y588" s="20">
        <f>0</f>
        <v/>
      </c>
      <c r="Z588" s="20">
        <f>0</f>
        <v/>
      </c>
      <c r="AA588" s="20">
        <f>0</f>
        <v/>
      </c>
      <c r="AB588" s="20">
        <f>0</f>
        <v/>
      </c>
      <c r="AC588" s="20">
        <f>0</f>
        <v/>
      </c>
      <c r="AD588" s="20">
        <f>0</f>
        <v/>
      </c>
      <c r="AE588" s="20">
        <f>0</f>
        <v/>
      </c>
      <c r="AF588" s="20">
        <f>0</f>
        <v/>
      </c>
      <c r="AG588" s="20">
        <f>0</f>
        <v/>
      </c>
      <c r="AH588" s="20">
        <f>0</f>
        <v/>
      </c>
      <c r="AI588" s="20">
        <f>0</f>
        <v/>
      </c>
      <c r="AJ588" s="20">
        <f>0</f>
        <v/>
      </c>
      <c r="AK588" s="20">
        <f>0</f>
        <v/>
      </c>
      <c r="AL588" s="20">
        <f>0</f>
        <v/>
      </c>
      <c r="AM588" s="20">
        <f>0</f>
        <v/>
      </c>
      <c r="AN588" s="20">
        <f>0</f>
        <v/>
      </c>
      <c r="AO588" s="20">
        <f>0</f>
        <v/>
      </c>
      <c r="AP588" s="20">
        <f>0</f>
        <v/>
      </c>
      <c r="AQ588" s="20">
        <f>0</f>
        <v/>
      </c>
      <c r="AR588" s="20">
        <f>0</f>
        <v/>
      </c>
      <c r="AS588" s="20">
        <f>0</f>
        <v/>
      </c>
      <c r="AT588" s="20">
        <f>0</f>
        <v/>
      </c>
      <c r="AU588" s="20">
        <f>0</f>
        <v/>
      </c>
    </row>
    <row r="589">
      <c r="D589" t="inlineStr">
        <is>
          <t>R4 decommissioning at end of life</t>
        </is>
      </c>
      <c r="E589" t="inlineStr">
        <is>
          <t>USD m</t>
        </is>
      </c>
      <c r="J589" s="20">
        <f>IF(Time!J$4=YEAR(Inputs!$F$123),Inputs!$F$126*Inputs!$F$121/1000*Time!J$9,0)</f>
        <v/>
      </c>
      <c r="K589" s="20">
        <f>IF(Time!K$4=YEAR(Inputs!$F$123),Inputs!$F$126*Inputs!$F$121/1000*Time!K$9,0)</f>
        <v/>
      </c>
      <c r="L589" s="20">
        <f>IF(Time!L$4=YEAR(Inputs!$F$123),Inputs!$F$126*Inputs!$F$121/1000*Time!L$9,0)</f>
        <v/>
      </c>
      <c r="M589" s="20">
        <f>IF(Time!M$4=YEAR(Inputs!$F$123),Inputs!$F$126*Inputs!$F$121/1000*Time!M$9,0)</f>
        <v/>
      </c>
      <c r="N589" s="20">
        <f>IF(Time!N$4=YEAR(Inputs!$F$123),Inputs!$F$126*Inputs!$F$121/1000*Time!N$9,0)</f>
        <v/>
      </c>
      <c r="O589" s="20">
        <f>IF(Time!O$4=YEAR(Inputs!$F$123),Inputs!$F$126*Inputs!$F$121/1000*Time!O$9,0)</f>
        <v/>
      </c>
      <c r="P589" s="20">
        <f>IF(Time!P$4=YEAR(Inputs!$F$123),Inputs!$F$126*Inputs!$F$121/1000*Time!P$9,0)</f>
        <v/>
      </c>
      <c r="Q589" s="20">
        <f>IF(Time!Q$4=YEAR(Inputs!$F$123),Inputs!$F$126*Inputs!$F$121/1000*Time!Q$9,0)</f>
        <v/>
      </c>
      <c r="R589" s="20">
        <f>IF(Time!R$4=YEAR(Inputs!$F$123),Inputs!$F$126*Inputs!$F$121/1000*Time!R$9,0)</f>
        <v/>
      </c>
      <c r="S589" s="20">
        <f>IF(Time!S$4=YEAR(Inputs!$F$123),Inputs!$F$126*Inputs!$F$121/1000*Time!S$9,0)</f>
        <v/>
      </c>
      <c r="T589" s="20">
        <f>IF(Time!T$4=YEAR(Inputs!$F$123),Inputs!$F$126*Inputs!$F$121/1000*Time!T$9,0)</f>
        <v/>
      </c>
      <c r="U589" s="20">
        <f>IF(Time!U$4=YEAR(Inputs!$F$123),Inputs!$F$126*Inputs!$F$121/1000*Time!U$9,0)</f>
        <v/>
      </c>
      <c r="V589" s="20">
        <f>IF(Time!V$4=YEAR(Inputs!$F$123),Inputs!$F$126*Inputs!$F$121/1000*Time!V$9,0)</f>
        <v/>
      </c>
      <c r="W589" s="20">
        <f>IF(Time!W$4=YEAR(Inputs!$F$123),Inputs!$F$126*Inputs!$F$121/1000*Time!W$9,0)</f>
        <v/>
      </c>
      <c r="X589" s="20">
        <f>IF(Time!X$4=YEAR(Inputs!$F$123),Inputs!$F$126*Inputs!$F$121/1000*Time!X$9,0)</f>
        <v/>
      </c>
      <c r="Y589" s="20">
        <f>IF(Time!Y$4=YEAR(Inputs!$F$123),Inputs!$F$126*Inputs!$F$121/1000*Time!Y$9,0)</f>
        <v/>
      </c>
      <c r="Z589" s="20">
        <f>IF(Time!Z$4=YEAR(Inputs!$F$123),Inputs!$F$126*Inputs!$F$121/1000*Time!Z$9,0)</f>
        <v/>
      </c>
      <c r="AA589" s="20">
        <f>IF(Time!AA$4=YEAR(Inputs!$F$123),Inputs!$F$126*Inputs!$F$121/1000*Time!AA$9,0)</f>
        <v/>
      </c>
      <c r="AB589" s="20">
        <f>IF(Time!AB$4=YEAR(Inputs!$F$123),Inputs!$F$126*Inputs!$F$121/1000*Time!AB$9,0)</f>
        <v/>
      </c>
      <c r="AC589" s="20">
        <f>IF(Time!AC$4=YEAR(Inputs!$F$123),Inputs!$F$126*Inputs!$F$121/1000*Time!AC$9,0)</f>
        <v/>
      </c>
      <c r="AD589" s="20">
        <f>IF(Time!AD$4=YEAR(Inputs!$F$123),Inputs!$F$126*Inputs!$F$121/1000*Time!AD$9,0)</f>
        <v/>
      </c>
      <c r="AE589" s="20">
        <f>IF(Time!AE$4=YEAR(Inputs!$F$123),Inputs!$F$126*Inputs!$F$121/1000*Time!AE$9,0)</f>
        <v/>
      </c>
      <c r="AF589" s="20">
        <f>IF(Time!AF$4=YEAR(Inputs!$F$123),Inputs!$F$126*Inputs!$F$121/1000*Time!AF$9,0)</f>
        <v/>
      </c>
      <c r="AG589" s="20">
        <f>IF(Time!AG$4=YEAR(Inputs!$F$123),Inputs!$F$126*Inputs!$F$121/1000*Time!AG$9,0)</f>
        <v/>
      </c>
      <c r="AH589" s="20">
        <f>IF(Time!AH$4=YEAR(Inputs!$F$123),Inputs!$F$126*Inputs!$F$121/1000*Time!AH$9,0)</f>
        <v/>
      </c>
      <c r="AI589" s="20">
        <f>IF(Time!AI$4=YEAR(Inputs!$F$123),Inputs!$F$126*Inputs!$F$121/1000*Time!AI$9,0)</f>
        <v/>
      </c>
      <c r="AJ589" s="20">
        <f>IF(Time!AJ$4=YEAR(Inputs!$F$123),Inputs!$F$126*Inputs!$F$121/1000*Time!AJ$9,0)</f>
        <v/>
      </c>
      <c r="AK589" s="20">
        <f>IF(Time!AK$4=YEAR(Inputs!$F$123),Inputs!$F$126*Inputs!$F$121/1000*Time!AK$9,0)</f>
        <v/>
      </c>
      <c r="AL589" s="20">
        <f>IF(Time!AL$4=YEAR(Inputs!$F$123),Inputs!$F$126*Inputs!$F$121/1000*Time!AL$9,0)</f>
        <v/>
      </c>
      <c r="AM589" s="20">
        <f>IF(Time!AM$4=YEAR(Inputs!$F$123),Inputs!$F$126*Inputs!$F$121/1000*Time!AM$9,0)</f>
        <v/>
      </c>
      <c r="AN589" s="20">
        <f>IF(Time!AN$4=YEAR(Inputs!$F$123),Inputs!$F$126*Inputs!$F$121/1000*Time!AN$9,0)</f>
        <v/>
      </c>
      <c r="AO589" s="20">
        <f>IF(Time!AO$4=YEAR(Inputs!$F$123),Inputs!$F$126*Inputs!$F$121/1000*Time!AO$9,0)</f>
        <v/>
      </c>
      <c r="AP589" s="20">
        <f>IF(Time!AP$4=YEAR(Inputs!$F$123),Inputs!$F$126*Inputs!$F$121/1000*Time!AP$9,0)</f>
        <v/>
      </c>
      <c r="AQ589" s="20">
        <f>IF(Time!AQ$4=YEAR(Inputs!$F$123),Inputs!$F$126*Inputs!$F$121/1000*Time!AQ$9,0)</f>
        <v/>
      </c>
      <c r="AR589" s="20">
        <f>IF(Time!AR$4=YEAR(Inputs!$F$123),Inputs!$F$126*Inputs!$F$121/1000*Time!AR$9,0)</f>
        <v/>
      </c>
      <c r="AS589" s="20">
        <f>IF(Time!AS$4=YEAR(Inputs!$F$123),Inputs!$F$126*Inputs!$F$121/1000*Time!AS$9,0)</f>
        <v/>
      </c>
      <c r="AT589" s="20">
        <f>IF(Time!AT$4=YEAR(Inputs!$F$123),Inputs!$F$126*Inputs!$F$121/1000*Time!AT$9,0)</f>
        <v/>
      </c>
      <c r="AU589" s="20">
        <f>IF(Time!AU$4=YEAR(Inputs!$F$123),Inputs!$F$126*Inputs!$F$121/1000*Time!AU$9,0)</f>
        <v/>
      </c>
    </row>
    <row r="590">
      <c r="D590" t="inlineStr">
        <is>
          <t>R4 pre-tax cash flow, 100% of asset</t>
        </is>
      </c>
      <c r="E590" t="inlineStr">
        <is>
          <t>USD m</t>
        </is>
      </c>
      <c r="G590" s="20">
        <f>SUM(J590:AU590)</f>
        <v/>
      </c>
      <c r="J590" s="20">
        <f>Operations!J587-Operations!J588-Operations!J589</f>
        <v/>
      </c>
      <c r="K590" s="20">
        <f>Operations!K587-Operations!K588-Operations!K589</f>
        <v/>
      </c>
      <c r="L590" s="20">
        <f>Operations!L587-Operations!L588-Operations!L589</f>
        <v/>
      </c>
      <c r="M590" s="20">
        <f>Operations!M587-Operations!M588-Operations!M589</f>
        <v/>
      </c>
      <c r="N590" s="20">
        <f>Operations!N587-Operations!N588-Operations!N589</f>
        <v/>
      </c>
      <c r="O590" s="20">
        <f>Operations!O587-Operations!O588-Operations!O589</f>
        <v/>
      </c>
      <c r="P590" s="20">
        <f>Operations!P587-Operations!P588-Operations!P589</f>
        <v/>
      </c>
      <c r="Q590" s="20">
        <f>Operations!Q587-Operations!Q588-Operations!Q589</f>
        <v/>
      </c>
      <c r="R590" s="20">
        <f>Operations!R587-Operations!R588-Operations!R589</f>
        <v/>
      </c>
      <c r="S590" s="20">
        <f>Operations!S587-Operations!S588-Operations!S589</f>
        <v/>
      </c>
      <c r="T590" s="20">
        <f>Operations!T587-Operations!T588-Operations!T589</f>
        <v/>
      </c>
      <c r="U590" s="20">
        <f>Operations!U587-Operations!U588-Operations!U589</f>
        <v/>
      </c>
      <c r="V590" s="20">
        <f>Operations!V587-Operations!V588-Operations!V589</f>
        <v/>
      </c>
      <c r="W590" s="20">
        <f>Operations!W587-Operations!W588-Operations!W589</f>
        <v/>
      </c>
      <c r="X590" s="20">
        <f>Operations!X587-Operations!X588-Operations!X589</f>
        <v/>
      </c>
      <c r="Y590" s="20">
        <f>Operations!Y587-Operations!Y588-Operations!Y589</f>
        <v/>
      </c>
      <c r="Z590" s="20">
        <f>Operations!Z587-Operations!Z588-Operations!Z589</f>
        <v/>
      </c>
      <c r="AA590" s="20">
        <f>Operations!AA587-Operations!AA588-Operations!AA589</f>
        <v/>
      </c>
      <c r="AB590" s="20">
        <f>Operations!AB587-Operations!AB588-Operations!AB589</f>
        <v/>
      </c>
      <c r="AC590" s="20">
        <f>Operations!AC587-Operations!AC588-Operations!AC589</f>
        <v/>
      </c>
      <c r="AD590" s="20">
        <f>Operations!AD587-Operations!AD588-Operations!AD589</f>
        <v/>
      </c>
      <c r="AE590" s="20">
        <f>Operations!AE587-Operations!AE588-Operations!AE589</f>
        <v/>
      </c>
      <c r="AF590" s="20">
        <f>Operations!AF587-Operations!AF588-Operations!AF589</f>
        <v/>
      </c>
      <c r="AG590" s="20">
        <f>Operations!AG587-Operations!AG588-Operations!AG589</f>
        <v/>
      </c>
      <c r="AH590" s="20">
        <f>Operations!AH587-Operations!AH588-Operations!AH589</f>
        <v/>
      </c>
      <c r="AI590" s="20">
        <f>Operations!AI587-Operations!AI588-Operations!AI589</f>
        <v/>
      </c>
      <c r="AJ590" s="20">
        <f>Operations!AJ587-Operations!AJ588-Operations!AJ589</f>
        <v/>
      </c>
      <c r="AK590" s="20">
        <f>Operations!AK587-Operations!AK588-Operations!AK589</f>
        <v/>
      </c>
      <c r="AL590" s="20">
        <f>Operations!AL587-Operations!AL588-Operations!AL589</f>
        <v/>
      </c>
      <c r="AM590" s="20">
        <f>Operations!AM587-Operations!AM588-Operations!AM589</f>
        <v/>
      </c>
      <c r="AN590" s="20">
        <f>Operations!AN587-Operations!AN588-Operations!AN589</f>
        <v/>
      </c>
      <c r="AO590" s="20">
        <f>Operations!AO587-Operations!AO588-Operations!AO589</f>
        <v/>
      </c>
      <c r="AP590" s="20">
        <f>Operations!AP587-Operations!AP588-Operations!AP589</f>
        <v/>
      </c>
      <c r="AQ590" s="20">
        <f>Operations!AQ587-Operations!AQ588-Operations!AQ589</f>
        <v/>
      </c>
      <c r="AR590" s="20">
        <f>Operations!AR587-Operations!AR588-Operations!AR589</f>
        <v/>
      </c>
      <c r="AS590" s="20">
        <f>Operations!AS587-Operations!AS588-Operations!AS589</f>
        <v/>
      </c>
      <c r="AT590" s="20">
        <f>Operations!AT587-Operations!AT588-Operations!AT589</f>
        <v/>
      </c>
      <c r="AU590" s="20">
        <f>Operations!AU587-Operations!AU588-Operations!AU589</f>
        <v/>
      </c>
    </row>
    <row r="591">
      <c r="D591" t="inlineStr">
        <is>
          <t>R4 tax equity cash share</t>
        </is>
      </c>
      <c r="E591" t="inlineStr">
        <is>
          <t>fraction</t>
        </is>
      </c>
      <c r="J591" s="14">
        <f>0</f>
        <v/>
      </c>
      <c r="K591" s="14">
        <f>0</f>
        <v/>
      </c>
      <c r="L591" s="14">
        <f>0</f>
        <v/>
      </c>
      <c r="M591" s="14">
        <f>0</f>
        <v/>
      </c>
      <c r="N591" s="14">
        <f>0</f>
        <v/>
      </c>
      <c r="O591" s="14">
        <f>0</f>
        <v/>
      </c>
      <c r="P591" s="14">
        <f>0</f>
        <v/>
      </c>
      <c r="Q591" s="14">
        <f>0</f>
        <v/>
      </c>
      <c r="R591" s="14">
        <f>0</f>
        <v/>
      </c>
      <c r="S591" s="14">
        <f>0</f>
        <v/>
      </c>
      <c r="T591" s="14">
        <f>0</f>
        <v/>
      </c>
      <c r="U591" s="14">
        <f>0</f>
        <v/>
      </c>
      <c r="V591" s="14">
        <f>0</f>
        <v/>
      </c>
      <c r="W591" s="14">
        <f>0</f>
        <v/>
      </c>
      <c r="X591" s="14">
        <f>0</f>
        <v/>
      </c>
      <c r="Y591" s="14">
        <f>0</f>
        <v/>
      </c>
      <c r="Z591" s="14">
        <f>0</f>
        <v/>
      </c>
      <c r="AA591" s="14">
        <f>0</f>
        <v/>
      </c>
      <c r="AB591" s="14">
        <f>0</f>
        <v/>
      </c>
      <c r="AC591" s="14">
        <f>0</f>
        <v/>
      </c>
      <c r="AD591" s="14">
        <f>0</f>
        <v/>
      </c>
      <c r="AE591" s="14">
        <f>0</f>
        <v/>
      </c>
      <c r="AF591" s="14">
        <f>0</f>
        <v/>
      </c>
      <c r="AG591" s="14">
        <f>0</f>
        <v/>
      </c>
      <c r="AH591" s="14">
        <f>0</f>
        <v/>
      </c>
      <c r="AI591" s="14">
        <f>0</f>
        <v/>
      </c>
      <c r="AJ591" s="14">
        <f>0</f>
        <v/>
      </c>
      <c r="AK591" s="14">
        <f>0</f>
        <v/>
      </c>
      <c r="AL591" s="14">
        <f>0</f>
        <v/>
      </c>
      <c r="AM591" s="14">
        <f>0</f>
        <v/>
      </c>
      <c r="AN591" s="14">
        <f>0</f>
        <v/>
      </c>
      <c r="AO591" s="14">
        <f>0</f>
        <v/>
      </c>
      <c r="AP591" s="14">
        <f>0</f>
        <v/>
      </c>
      <c r="AQ591" s="14">
        <f>0</f>
        <v/>
      </c>
      <c r="AR591" s="14">
        <f>0</f>
        <v/>
      </c>
      <c r="AS591" s="14">
        <f>0</f>
        <v/>
      </c>
      <c r="AT591" s="14">
        <f>0</f>
        <v/>
      </c>
      <c r="AU591" s="14">
        <f>0</f>
        <v/>
      </c>
    </row>
    <row r="592">
      <c r="D592" t="inlineStr">
        <is>
          <t>R4 Mesa share of taxable income</t>
        </is>
      </c>
      <c r="E592" t="inlineStr">
        <is>
          <t>fraction</t>
        </is>
      </c>
      <c r="J592" s="14">
        <f>1</f>
        <v/>
      </c>
      <c r="K592" s="14">
        <f>1</f>
        <v/>
      </c>
      <c r="L592" s="14">
        <f>1</f>
        <v/>
      </c>
      <c r="M592" s="14">
        <f>1</f>
        <v/>
      </c>
      <c r="N592" s="14">
        <f>1</f>
        <v/>
      </c>
      <c r="O592" s="14">
        <f>1</f>
        <v/>
      </c>
      <c r="P592" s="14">
        <f>1</f>
        <v/>
      </c>
      <c r="Q592" s="14">
        <f>1</f>
        <v/>
      </c>
      <c r="R592" s="14">
        <f>1</f>
        <v/>
      </c>
      <c r="S592" s="14">
        <f>1</f>
        <v/>
      </c>
      <c r="T592" s="14">
        <f>1</f>
        <v/>
      </c>
      <c r="U592" s="14">
        <f>1</f>
        <v/>
      </c>
      <c r="V592" s="14">
        <f>1</f>
        <v/>
      </c>
      <c r="W592" s="14">
        <f>1</f>
        <v/>
      </c>
      <c r="X592" s="14">
        <f>1</f>
        <v/>
      </c>
      <c r="Y592" s="14">
        <f>1</f>
        <v/>
      </c>
      <c r="Z592" s="14">
        <f>1</f>
        <v/>
      </c>
      <c r="AA592" s="14">
        <f>1</f>
        <v/>
      </c>
      <c r="AB592" s="14">
        <f>1</f>
        <v/>
      </c>
      <c r="AC592" s="14">
        <f>1</f>
        <v/>
      </c>
      <c r="AD592" s="14">
        <f>1</f>
        <v/>
      </c>
      <c r="AE592" s="14">
        <f>1</f>
        <v/>
      </c>
      <c r="AF592" s="14">
        <f>1</f>
        <v/>
      </c>
      <c r="AG592" s="14">
        <f>1</f>
        <v/>
      </c>
      <c r="AH592" s="14">
        <f>1</f>
        <v/>
      </c>
      <c r="AI592" s="14">
        <f>1</f>
        <v/>
      </c>
      <c r="AJ592" s="14">
        <f>1</f>
        <v/>
      </c>
      <c r="AK592" s="14">
        <f>1</f>
        <v/>
      </c>
      <c r="AL592" s="14">
        <f>1</f>
        <v/>
      </c>
      <c r="AM592" s="14">
        <f>1</f>
        <v/>
      </c>
      <c r="AN592" s="14">
        <f>1</f>
        <v/>
      </c>
      <c r="AO592" s="14">
        <f>1</f>
        <v/>
      </c>
      <c r="AP592" s="14">
        <f>1</f>
        <v/>
      </c>
      <c r="AQ592" s="14">
        <f>1</f>
        <v/>
      </c>
      <c r="AR592" s="14">
        <f>1</f>
        <v/>
      </c>
      <c r="AS592" s="14">
        <f>1</f>
        <v/>
      </c>
      <c r="AT592" s="14">
        <f>1</f>
        <v/>
      </c>
      <c r="AU592" s="14">
        <f>1</f>
        <v/>
      </c>
    </row>
    <row r="593">
      <c r="D593" t="inlineStr">
        <is>
          <t>R4 Mesa share of cash flow</t>
        </is>
      </c>
      <c r="E593" t="inlineStr">
        <is>
          <t>USD m</t>
        </is>
      </c>
      <c r="G593" s="20">
        <f>SUM(J593:AU593)</f>
        <v/>
      </c>
      <c r="J593" s="20">
        <f>Operations!J590*(1-Operations!J591)*Operations!J564</f>
        <v/>
      </c>
      <c r="K593" s="20">
        <f>Operations!K590*(1-Operations!K591)*Operations!K564</f>
        <v/>
      </c>
      <c r="L593" s="20">
        <f>Operations!L590*(1-Operations!L591)*Operations!L564</f>
        <v/>
      </c>
      <c r="M593" s="20">
        <f>Operations!M590*(1-Operations!M591)*Operations!M564</f>
        <v/>
      </c>
      <c r="N593" s="20">
        <f>Operations!N590*(1-Operations!N591)*Operations!N564</f>
        <v/>
      </c>
      <c r="O593" s="20">
        <f>Operations!O590*(1-Operations!O591)*Operations!O564</f>
        <v/>
      </c>
      <c r="P593" s="20">
        <f>Operations!P590*(1-Operations!P591)*Operations!P564</f>
        <v/>
      </c>
      <c r="Q593" s="20">
        <f>Operations!Q590*(1-Operations!Q591)*Operations!Q564</f>
        <v/>
      </c>
      <c r="R593" s="20">
        <f>Operations!R590*(1-Operations!R591)*Operations!R564</f>
        <v/>
      </c>
      <c r="S593" s="20">
        <f>Operations!S590*(1-Operations!S591)*Operations!S564</f>
        <v/>
      </c>
      <c r="T593" s="20">
        <f>Operations!T590*(1-Operations!T591)*Operations!T564</f>
        <v/>
      </c>
      <c r="U593" s="20">
        <f>Operations!U590*(1-Operations!U591)*Operations!U564</f>
        <v/>
      </c>
      <c r="V593" s="20">
        <f>Operations!V590*(1-Operations!V591)*Operations!V564</f>
        <v/>
      </c>
      <c r="W593" s="20">
        <f>Operations!W590*(1-Operations!W591)*Operations!W564</f>
        <v/>
      </c>
      <c r="X593" s="20">
        <f>Operations!X590*(1-Operations!X591)*Operations!X564</f>
        <v/>
      </c>
      <c r="Y593" s="20">
        <f>Operations!Y590*(1-Operations!Y591)*Operations!Y564</f>
        <v/>
      </c>
      <c r="Z593" s="20">
        <f>Operations!Z590*(1-Operations!Z591)*Operations!Z564</f>
        <v/>
      </c>
      <c r="AA593" s="20">
        <f>Operations!AA590*(1-Operations!AA591)*Operations!AA564</f>
        <v/>
      </c>
      <c r="AB593" s="20">
        <f>Operations!AB590*(1-Operations!AB591)*Operations!AB564</f>
        <v/>
      </c>
      <c r="AC593" s="20">
        <f>Operations!AC590*(1-Operations!AC591)*Operations!AC564</f>
        <v/>
      </c>
      <c r="AD593" s="20">
        <f>Operations!AD590*(1-Operations!AD591)*Operations!AD564</f>
        <v/>
      </c>
      <c r="AE593" s="20">
        <f>Operations!AE590*(1-Operations!AE591)*Operations!AE564</f>
        <v/>
      </c>
      <c r="AF593" s="20">
        <f>Operations!AF590*(1-Operations!AF591)*Operations!AF564</f>
        <v/>
      </c>
      <c r="AG593" s="20">
        <f>Operations!AG590*(1-Operations!AG591)*Operations!AG564</f>
        <v/>
      </c>
      <c r="AH593" s="20">
        <f>Operations!AH590*(1-Operations!AH591)*Operations!AH564</f>
        <v/>
      </c>
      <c r="AI593" s="20">
        <f>Operations!AI590*(1-Operations!AI591)*Operations!AI564</f>
        <v/>
      </c>
      <c r="AJ593" s="20">
        <f>Operations!AJ590*(1-Operations!AJ591)*Operations!AJ564</f>
        <v/>
      </c>
      <c r="AK593" s="20">
        <f>Operations!AK590*(1-Operations!AK591)*Operations!AK564</f>
        <v/>
      </c>
      <c r="AL593" s="20">
        <f>Operations!AL590*(1-Operations!AL591)*Operations!AL564</f>
        <v/>
      </c>
      <c r="AM593" s="20">
        <f>Operations!AM590*(1-Operations!AM591)*Operations!AM564</f>
        <v/>
      </c>
      <c r="AN593" s="20">
        <f>Operations!AN590*(1-Operations!AN591)*Operations!AN564</f>
        <v/>
      </c>
      <c r="AO593" s="20">
        <f>Operations!AO590*(1-Operations!AO591)*Operations!AO564</f>
        <v/>
      </c>
      <c r="AP593" s="20">
        <f>Operations!AP590*(1-Operations!AP591)*Operations!AP564</f>
        <v/>
      </c>
      <c r="AQ593" s="20">
        <f>Operations!AQ590*(1-Operations!AQ591)*Operations!AQ564</f>
        <v/>
      </c>
      <c r="AR593" s="20">
        <f>Operations!AR590*(1-Operations!AR591)*Operations!AR564</f>
        <v/>
      </c>
      <c r="AS593" s="20">
        <f>Operations!AS590*(1-Operations!AS591)*Operations!AS564</f>
        <v/>
      </c>
      <c r="AT593" s="20">
        <f>Operations!AT590*(1-Operations!AT591)*Operations!AT564</f>
        <v/>
      </c>
      <c r="AU593" s="20">
        <f>Operations!AU590*(1-Operations!AU591)*Operations!AU564</f>
        <v/>
      </c>
    </row>
    <row r="594">
      <c r="D594" t="inlineStr">
        <is>
          <t>R4 Mesa taxable operating income</t>
        </is>
      </c>
      <c r="E594" t="inlineStr">
        <is>
          <t>USD m</t>
        </is>
      </c>
      <c r="J594" s="20">
        <f>Operations!J590*Operations!J592*Operations!J564</f>
        <v/>
      </c>
      <c r="K594" s="20">
        <f>Operations!K590*Operations!K592*Operations!K564</f>
        <v/>
      </c>
      <c r="L594" s="20">
        <f>Operations!L590*Operations!L592*Operations!L564</f>
        <v/>
      </c>
      <c r="M594" s="20">
        <f>Operations!M590*Operations!M592*Operations!M564</f>
        <v/>
      </c>
      <c r="N594" s="20">
        <f>Operations!N590*Operations!N592*Operations!N564</f>
        <v/>
      </c>
      <c r="O594" s="20">
        <f>Operations!O590*Operations!O592*Operations!O564</f>
        <v/>
      </c>
      <c r="P594" s="20">
        <f>Operations!P590*Operations!P592*Operations!P564</f>
        <v/>
      </c>
      <c r="Q594" s="20">
        <f>Operations!Q590*Operations!Q592*Operations!Q564</f>
        <v/>
      </c>
      <c r="R594" s="20">
        <f>Operations!R590*Operations!R592*Operations!R564</f>
        <v/>
      </c>
      <c r="S594" s="20">
        <f>Operations!S590*Operations!S592*Operations!S564</f>
        <v/>
      </c>
      <c r="T594" s="20">
        <f>Operations!T590*Operations!T592*Operations!T564</f>
        <v/>
      </c>
      <c r="U594" s="20">
        <f>Operations!U590*Operations!U592*Operations!U564</f>
        <v/>
      </c>
      <c r="V594" s="20">
        <f>Operations!V590*Operations!V592*Operations!V564</f>
        <v/>
      </c>
      <c r="W594" s="20">
        <f>Operations!W590*Operations!W592*Operations!W564</f>
        <v/>
      </c>
      <c r="X594" s="20">
        <f>Operations!X590*Operations!X592*Operations!X564</f>
        <v/>
      </c>
      <c r="Y594" s="20">
        <f>Operations!Y590*Operations!Y592*Operations!Y564</f>
        <v/>
      </c>
      <c r="Z594" s="20">
        <f>Operations!Z590*Operations!Z592*Operations!Z564</f>
        <v/>
      </c>
      <c r="AA594" s="20">
        <f>Operations!AA590*Operations!AA592*Operations!AA564</f>
        <v/>
      </c>
      <c r="AB594" s="20">
        <f>Operations!AB590*Operations!AB592*Operations!AB564</f>
        <v/>
      </c>
      <c r="AC594" s="20">
        <f>Operations!AC590*Operations!AC592*Operations!AC564</f>
        <v/>
      </c>
      <c r="AD594" s="20">
        <f>Operations!AD590*Operations!AD592*Operations!AD564</f>
        <v/>
      </c>
      <c r="AE594" s="20">
        <f>Operations!AE590*Operations!AE592*Operations!AE564</f>
        <v/>
      </c>
      <c r="AF594" s="20">
        <f>Operations!AF590*Operations!AF592*Operations!AF564</f>
        <v/>
      </c>
      <c r="AG594" s="20">
        <f>Operations!AG590*Operations!AG592*Operations!AG564</f>
        <v/>
      </c>
      <c r="AH594" s="20">
        <f>Operations!AH590*Operations!AH592*Operations!AH564</f>
        <v/>
      </c>
      <c r="AI594" s="20">
        <f>Operations!AI590*Operations!AI592*Operations!AI564</f>
        <v/>
      </c>
      <c r="AJ594" s="20">
        <f>Operations!AJ590*Operations!AJ592*Operations!AJ564</f>
        <v/>
      </c>
      <c r="AK594" s="20">
        <f>Operations!AK590*Operations!AK592*Operations!AK564</f>
        <v/>
      </c>
      <c r="AL594" s="20">
        <f>Operations!AL590*Operations!AL592*Operations!AL564</f>
        <v/>
      </c>
      <c r="AM594" s="20">
        <f>Operations!AM590*Operations!AM592*Operations!AM564</f>
        <v/>
      </c>
      <c r="AN594" s="20">
        <f>Operations!AN590*Operations!AN592*Operations!AN564</f>
        <v/>
      </c>
      <c r="AO594" s="20">
        <f>Operations!AO590*Operations!AO592*Operations!AO564</f>
        <v/>
      </c>
      <c r="AP594" s="20">
        <f>Operations!AP590*Operations!AP592*Operations!AP564</f>
        <v/>
      </c>
      <c r="AQ594" s="20">
        <f>Operations!AQ590*Operations!AQ592*Operations!AQ564</f>
        <v/>
      </c>
      <c r="AR594" s="20">
        <f>Operations!AR590*Operations!AR592*Operations!AR564</f>
        <v/>
      </c>
      <c r="AS594" s="20">
        <f>Operations!AS590*Operations!AS592*Operations!AS564</f>
        <v/>
      </c>
      <c r="AT594" s="20">
        <f>Operations!AT590*Operations!AT592*Operations!AT564</f>
        <v/>
      </c>
      <c r="AU594" s="20">
        <f>Operations!AU590*Operations!AU592*Operations!AU564</f>
        <v/>
      </c>
    </row>
    <row r="595">
      <c r="D595" t="inlineStr">
        <is>
          <t>R4 Mesa unlevered post-tax cash flow (before price shield)</t>
        </is>
      </c>
      <c r="E595" t="inlineStr">
        <is>
          <t>USD m</t>
        </is>
      </c>
      <c r="J595" s="20">
        <f>Operations!J593-Inputs!$F$241/100*Operations!J594</f>
        <v/>
      </c>
      <c r="K595" s="20">
        <f>Operations!K593-Inputs!$F$241/100*Operations!K594</f>
        <v/>
      </c>
      <c r="L595" s="20">
        <f>Operations!L593-Inputs!$F$241/100*Operations!L594</f>
        <v/>
      </c>
      <c r="M595" s="20">
        <f>Operations!M593-Inputs!$F$241/100*Operations!M594</f>
        <v/>
      </c>
      <c r="N595" s="20">
        <f>Operations!N593-Inputs!$F$241/100*Operations!N594</f>
        <v/>
      </c>
      <c r="O595" s="20">
        <f>Operations!O593-Inputs!$F$241/100*Operations!O594</f>
        <v/>
      </c>
      <c r="P595" s="20">
        <f>Operations!P593-Inputs!$F$241/100*Operations!P594</f>
        <v/>
      </c>
      <c r="Q595" s="20">
        <f>Operations!Q593-Inputs!$F$241/100*Operations!Q594</f>
        <v/>
      </c>
      <c r="R595" s="20">
        <f>Operations!R593-Inputs!$F$241/100*Operations!R594</f>
        <v/>
      </c>
      <c r="S595" s="20">
        <f>Operations!S593-Inputs!$F$241/100*Operations!S594</f>
        <v/>
      </c>
      <c r="T595" s="20">
        <f>Operations!T593-Inputs!$F$241/100*Operations!T594</f>
        <v/>
      </c>
      <c r="U595" s="20">
        <f>Operations!U593-Inputs!$F$241/100*Operations!U594</f>
        <v/>
      </c>
      <c r="V595" s="20">
        <f>Operations!V593-Inputs!$F$241/100*Operations!V594</f>
        <v/>
      </c>
      <c r="W595" s="20">
        <f>Operations!W593-Inputs!$F$241/100*Operations!W594</f>
        <v/>
      </c>
      <c r="X595" s="20">
        <f>Operations!X593-Inputs!$F$241/100*Operations!X594</f>
        <v/>
      </c>
      <c r="Y595" s="20">
        <f>Operations!Y593-Inputs!$F$241/100*Operations!Y594</f>
        <v/>
      </c>
      <c r="Z595" s="20">
        <f>Operations!Z593-Inputs!$F$241/100*Operations!Z594</f>
        <v/>
      </c>
      <c r="AA595" s="20">
        <f>Operations!AA593-Inputs!$F$241/100*Operations!AA594</f>
        <v/>
      </c>
      <c r="AB595" s="20">
        <f>Operations!AB593-Inputs!$F$241/100*Operations!AB594</f>
        <v/>
      </c>
      <c r="AC595" s="20">
        <f>Operations!AC593-Inputs!$F$241/100*Operations!AC594</f>
        <v/>
      </c>
      <c r="AD595" s="20">
        <f>Operations!AD593-Inputs!$F$241/100*Operations!AD594</f>
        <v/>
      </c>
      <c r="AE595" s="20">
        <f>Operations!AE593-Inputs!$F$241/100*Operations!AE594</f>
        <v/>
      </c>
      <c r="AF595" s="20">
        <f>Operations!AF593-Inputs!$F$241/100*Operations!AF594</f>
        <v/>
      </c>
      <c r="AG595" s="20">
        <f>Operations!AG593-Inputs!$F$241/100*Operations!AG594</f>
        <v/>
      </c>
      <c r="AH595" s="20">
        <f>Operations!AH593-Inputs!$F$241/100*Operations!AH594</f>
        <v/>
      </c>
      <c r="AI595" s="20">
        <f>Operations!AI593-Inputs!$F$241/100*Operations!AI594</f>
        <v/>
      </c>
      <c r="AJ595" s="20">
        <f>Operations!AJ593-Inputs!$F$241/100*Operations!AJ594</f>
        <v/>
      </c>
      <c r="AK595" s="20">
        <f>Operations!AK593-Inputs!$F$241/100*Operations!AK594</f>
        <v/>
      </c>
      <c r="AL595" s="20">
        <f>Operations!AL593-Inputs!$F$241/100*Operations!AL594</f>
        <v/>
      </c>
      <c r="AM595" s="20">
        <f>Operations!AM593-Inputs!$F$241/100*Operations!AM594</f>
        <v/>
      </c>
      <c r="AN595" s="20">
        <f>Operations!AN593-Inputs!$F$241/100*Operations!AN594</f>
        <v/>
      </c>
      <c r="AO595" s="20">
        <f>Operations!AO593-Inputs!$F$241/100*Operations!AO594</f>
        <v/>
      </c>
      <c r="AP595" s="20">
        <f>Operations!AP593-Inputs!$F$241/100*Operations!AP594</f>
        <v/>
      </c>
      <c r="AQ595" s="20">
        <f>Operations!AQ593-Inputs!$F$241/100*Operations!AQ594</f>
        <v/>
      </c>
      <c r="AR595" s="20">
        <f>Operations!AR593-Inputs!$F$241/100*Operations!AR594</f>
        <v/>
      </c>
      <c r="AS595" s="20">
        <f>Operations!AS593-Inputs!$F$241/100*Operations!AS594</f>
        <v/>
      </c>
      <c r="AT595" s="20">
        <f>Operations!AT593-Inputs!$F$241/100*Operations!AT594</f>
        <v/>
      </c>
      <c r="AU595" s="20">
        <f>Operations!AU593-Inputs!$F$241/100*Operations!AU594</f>
        <v/>
      </c>
    </row>
    <row r="596">
      <c r="D596" t="inlineStr">
        <is>
          <t>R4 contracted share of revenue</t>
        </is>
      </c>
      <c r="E596" t="inlineStr">
        <is>
          <t>fraction</t>
        </is>
      </c>
      <c r="J596" s="14">
        <f>IF(Operations!J581=0,0,Operations!J578/Operations!J581)</f>
        <v/>
      </c>
      <c r="K596" s="14">
        <f>IF(Operations!K581=0,0,Operations!K578/Operations!K581)</f>
        <v/>
      </c>
      <c r="L596" s="14">
        <f>IF(Operations!L581=0,0,Operations!L578/Operations!L581)</f>
        <v/>
      </c>
      <c r="M596" s="14">
        <f>IF(Operations!M581=0,0,Operations!M578/Operations!M581)</f>
        <v/>
      </c>
      <c r="N596" s="14">
        <f>IF(Operations!N581=0,0,Operations!N578/Operations!N581)</f>
        <v/>
      </c>
      <c r="O596" s="14">
        <f>IF(Operations!O581=0,0,Operations!O578/Operations!O581)</f>
        <v/>
      </c>
      <c r="P596" s="14">
        <f>IF(Operations!P581=0,0,Operations!P578/Operations!P581)</f>
        <v/>
      </c>
      <c r="Q596" s="14">
        <f>IF(Operations!Q581=0,0,Operations!Q578/Operations!Q581)</f>
        <v/>
      </c>
      <c r="R596" s="14">
        <f>IF(Operations!R581=0,0,Operations!R578/Operations!R581)</f>
        <v/>
      </c>
      <c r="S596" s="14">
        <f>IF(Operations!S581=0,0,Operations!S578/Operations!S581)</f>
        <v/>
      </c>
      <c r="T596" s="14">
        <f>IF(Operations!T581=0,0,Operations!T578/Operations!T581)</f>
        <v/>
      </c>
      <c r="U596" s="14">
        <f>IF(Operations!U581=0,0,Operations!U578/Operations!U581)</f>
        <v/>
      </c>
      <c r="V596" s="14">
        <f>IF(Operations!V581=0,0,Operations!V578/Operations!V581)</f>
        <v/>
      </c>
      <c r="W596" s="14">
        <f>IF(Operations!W581=0,0,Operations!W578/Operations!W581)</f>
        <v/>
      </c>
      <c r="X596" s="14">
        <f>IF(Operations!X581=0,0,Operations!X578/Operations!X581)</f>
        <v/>
      </c>
      <c r="Y596" s="14">
        <f>IF(Operations!Y581=0,0,Operations!Y578/Operations!Y581)</f>
        <v/>
      </c>
      <c r="Z596" s="14">
        <f>IF(Operations!Z581=0,0,Operations!Z578/Operations!Z581)</f>
        <v/>
      </c>
      <c r="AA596" s="14">
        <f>IF(Operations!AA581=0,0,Operations!AA578/Operations!AA581)</f>
        <v/>
      </c>
      <c r="AB596" s="14">
        <f>IF(Operations!AB581=0,0,Operations!AB578/Operations!AB581)</f>
        <v/>
      </c>
      <c r="AC596" s="14">
        <f>IF(Operations!AC581=0,0,Operations!AC578/Operations!AC581)</f>
        <v/>
      </c>
      <c r="AD596" s="14">
        <f>IF(Operations!AD581=0,0,Operations!AD578/Operations!AD581)</f>
        <v/>
      </c>
      <c r="AE596" s="14">
        <f>IF(Operations!AE581=0,0,Operations!AE578/Operations!AE581)</f>
        <v/>
      </c>
      <c r="AF596" s="14">
        <f>IF(Operations!AF581=0,0,Operations!AF578/Operations!AF581)</f>
        <v/>
      </c>
      <c r="AG596" s="14">
        <f>IF(Operations!AG581=0,0,Operations!AG578/Operations!AG581)</f>
        <v/>
      </c>
      <c r="AH596" s="14">
        <f>IF(Operations!AH581=0,0,Operations!AH578/Operations!AH581)</f>
        <v/>
      </c>
      <c r="AI596" s="14">
        <f>IF(Operations!AI581=0,0,Operations!AI578/Operations!AI581)</f>
        <v/>
      </c>
      <c r="AJ596" s="14">
        <f>IF(Operations!AJ581=0,0,Operations!AJ578/Operations!AJ581)</f>
        <v/>
      </c>
      <c r="AK596" s="14">
        <f>IF(Operations!AK581=0,0,Operations!AK578/Operations!AK581)</f>
        <v/>
      </c>
      <c r="AL596" s="14">
        <f>IF(Operations!AL581=0,0,Operations!AL578/Operations!AL581)</f>
        <v/>
      </c>
      <c r="AM596" s="14">
        <f>IF(Operations!AM581=0,0,Operations!AM578/Operations!AM581)</f>
        <v/>
      </c>
      <c r="AN596" s="14">
        <f>IF(Operations!AN581=0,0,Operations!AN578/Operations!AN581)</f>
        <v/>
      </c>
      <c r="AO596" s="14">
        <f>IF(Operations!AO581=0,0,Operations!AO578/Operations!AO581)</f>
        <v/>
      </c>
      <c r="AP596" s="14">
        <f>IF(Operations!AP581=0,0,Operations!AP578/Operations!AP581)</f>
        <v/>
      </c>
      <c r="AQ596" s="14">
        <f>IF(Operations!AQ581=0,0,Operations!AQ578/Operations!AQ581)</f>
        <v/>
      </c>
      <c r="AR596" s="14">
        <f>IF(Operations!AR581=0,0,Operations!AR578/Operations!AR581)</f>
        <v/>
      </c>
      <c r="AS596" s="14">
        <f>IF(Operations!AS581=0,0,Operations!AS578/Operations!AS581)</f>
        <v/>
      </c>
      <c r="AT596" s="14">
        <f>IF(Operations!AT581=0,0,Operations!AT578/Operations!AT581)</f>
        <v/>
      </c>
      <c r="AU596" s="14">
        <f>IF(Operations!AU581=0,0,Operations!AU578/Operations!AU581)</f>
        <v/>
      </c>
    </row>
    <row r="597">
      <c r="D597" t="inlineStr">
        <is>
          <t>R4 hedged share of revenue</t>
        </is>
      </c>
      <c r="E597" t="inlineStr">
        <is>
          <t>fraction</t>
        </is>
      </c>
      <c r="J597" s="14">
        <f>IF(Operations!J581=0,0,Operations!J579/Operations!J581)</f>
        <v/>
      </c>
      <c r="K597" s="14">
        <f>IF(Operations!K581=0,0,Operations!K579/Operations!K581)</f>
        <v/>
      </c>
      <c r="L597" s="14">
        <f>IF(Operations!L581=0,0,Operations!L579/Operations!L581)</f>
        <v/>
      </c>
      <c r="M597" s="14">
        <f>IF(Operations!M581=0,0,Operations!M579/Operations!M581)</f>
        <v/>
      </c>
      <c r="N597" s="14">
        <f>IF(Operations!N581=0,0,Operations!N579/Operations!N581)</f>
        <v/>
      </c>
      <c r="O597" s="14">
        <f>IF(Operations!O581=0,0,Operations!O579/Operations!O581)</f>
        <v/>
      </c>
      <c r="P597" s="14">
        <f>IF(Operations!P581=0,0,Operations!P579/Operations!P581)</f>
        <v/>
      </c>
      <c r="Q597" s="14">
        <f>IF(Operations!Q581=0,0,Operations!Q579/Operations!Q581)</f>
        <v/>
      </c>
      <c r="R597" s="14">
        <f>IF(Operations!R581=0,0,Operations!R579/Operations!R581)</f>
        <v/>
      </c>
      <c r="S597" s="14">
        <f>IF(Operations!S581=0,0,Operations!S579/Operations!S581)</f>
        <v/>
      </c>
      <c r="T597" s="14">
        <f>IF(Operations!T581=0,0,Operations!T579/Operations!T581)</f>
        <v/>
      </c>
      <c r="U597" s="14">
        <f>IF(Operations!U581=0,0,Operations!U579/Operations!U581)</f>
        <v/>
      </c>
      <c r="V597" s="14">
        <f>IF(Operations!V581=0,0,Operations!V579/Operations!V581)</f>
        <v/>
      </c>
      <c r="W597" s="14">
        <f>IF(Operations!W581=0,0,Operations!W579/Operations!W581)</f>
        <v/>
      </c>
      <c r="X597" s="14">
        <f>IF(Operations!X581=0,0,Operations!X579/Operations!X581)</f>
        <v/>
      </c>
      <c r="Y597" s="14">
        <f>IF(Operations!Y581=0,0,Operations!Y579/Operations!Y581)</f>
        <v/>
      </c>
      <c r="Z597" s="14">
        <f>IF(Operations!Z581=0,0,Operations!Z579/Operations!Z581)</f>
        <v/>
      </c>
      <c r="AA597" s="14">
        <f>IF(Operations!AA581=0,0,Operations!AA579/Operations!AA581)</f>
        <v/>
      </c>
      <c r="AB597" s="14">
        <f>IF(Operations!AB581=0,0,Operations!AB579/Operations!AB581)</f>
        <v/>
      </c>
      <c r="AC597" s="14">
        <f>IF(Operations!AC581=0,0,Operations!AC579/Operations!AC581)</f>
        <v/>
      </c>
      <c r="AD597" s="14">
        <f>IF(Operations!AD581=0,0,Operations!AD579/Operations!AD581)</f>
        <v/>
      </c>
      <c r="AE597" s="14">
        <f>IF(Operations!AE581=0,0,Operations!AE579/Operations!AE581)</f>
        <v/>
      </c>
      <c r="AF597" s="14">
        <f>IF(Operations!AF581=0,0,Operations!AF579/Operations!AF581)</f>
        <v/>
      </c>
      <c r="AG597" s="14">
        <f>IF(Operations!AG581=0,0,Operations!AG579/Operations!AG581)</f>
        <v/>
      </c>
      <c r="AH597" s="14">
        <f>IF(Operations!AH581=0,0,Operations!AH579/Operations!AH581)</f>
        <v/>
      </c>
      <c r="AI597" s="14">
        <f>IF(Operations!AI581=0,0,Operations!AI579/Operations!AI581)</f>
        <v/>
      </c>
      <c r="AJ597" s="14">
        <f>IF(Operations!AJ581=0,0,Operations!AJ579/Operations!AJ581)</f>
        <v/>
      </c>
      <c r="AK597" s="14">
        <f>IF(Operations!AK581=0,0,Operations!AK579/Operations!AK581)</f>
        <v/>
      </c>
      <c r="AL597" s="14">
        <f>IF(Operations!AL581=0,0,Operations!AL579/Operations!AL581)</f>
        <v/>
      </c>
      <c r="AM597" s="14">
        <f>IF(Operations!AM581=0,0,Operations!AM579/Operations!AM581)</f>
        <v/>
      </c>
      <c r="AN597" s="14">
        <f>IF(Operations!AN581=0,0,Operations!AN579/Operations!AN581)</f>
        <v/>
      </c>
      <c r="AO597" s="14">
        <f>IF(Operations!AO581=0,0,Operations!AO579/Operations!AO581)</f>
        <v/>
      </c>
      <c r="AP597" s="14">
        <f>IF(Operations!AP581=0,0,Operations!AP579/Operations!AP581)</f>
        <v/>
      </c>
      <c r="AQ597" s="14">
        <f>IF(Operations!AQ581=0,0,Operations!AQ579/Operations!AQ581)</f>
        <v/>
      </c>
      <c r="AR597" s="14">
        <f>IF(Operations!AR581=0,0,Operations!AR579/Operations!AR581)</f>
        <v/>
      </c>
      <c r="AS597" s="14">
        <f>IF(Operations!AS581=0,0,Operations!AS579/Operations!AS581)</f>
        <v/>
      </c>
      <c r="AT597" s="14">
        <f>IF(Operations!AT581=0,0,Operations!AT579/Operations!AT581)</f>
        <v/>
      </c>
      <c r="AU597" s="14">
        <f>IF(Operations!AU581=0,0,Operations!AU579/Operations!AU581)</f>
        <v/>
      </c>
    </row>
    <row r="598">
      <c r="D598" t="inlineStr">
        <is>
          <t>R4 merchant share of revenue</t>
        </is>
      </c>
      <c r="E598" t="inlineStr">
        <is>
          <t>fraction</t>
        </is>
      </c>
      <c r="J598" s="14">
        <f>1-Operations!J596-Operations!J597</f>
        <v/>
      </c>
      <c r="K598" s="14">
        <f>1-Operations!K596-Operations!K597</f>
        <v/>
      </c>
      <c r="L598" s="14">
        <f>1-Operations!L596-Operations!L597</f>
        <v/>
      </c>
      <c r="M598" s="14">
        <f>1-Operations!M596-Operations!M597</f>
        <v/>
      </c>
      <c r="N598" s="14">
        <f>1-Operations!N596-Operations!N597</f>
        <v/>
      </c>
      <c r="O598" s="14">
        <f>1-Operations!O596-Operations!O597</f>
        <v/>
      </c>
      <c r="P598" s="14">
        <f>1-Operations!P596-Operations!P597</f>
        <v/>
      </c>
      <c r="Q598" s="14">
        <f>1-Operations!Q596-Operations!Q597</f>
        <v/>
      </c>
      <c r="R598" s="14">
        <f>1-Operations!R596-Operations!R597</f>
        <v/>
      </c>
      <c r="S598" s="14">
        <f>1-Operations!S596-Operations!S597</f>
        <v/>
      </c>
      <c r="T598" s="14">
        <f>1-Operations!T596-Operations!T597</f>
        <v/>
      </c>
      <c r="U598" s="14">
        <f>1-Operations!U596-Operations!U597</f>
        <v/>
      </c>
      <c r="V598" s="14">
        <f>1-Operations!V596-Operations!V597</f>
        <v/>
      </c>
      <c r="W598" s="14">
        <f>1-Operations!W596-Operations!W597</f>
        <v/>
      </c>
      <c r="X598" s="14">
        <f>1-Operations!X596-Operations!X597</f>
        <v/>
      </c>
      <c r="Y598" s="14">
        <f>1-Operations!Y596-Operations!Y597</f>
        <v/>
      </c>
      <c r="Z598" s="14">
        <f>1-Operations!Z596-Operations!Z597</f>
        <v/>
      </c>
      <c r="AA598" s="14">
        <f>1-Operations!AA596-Operations!AA597</f>
        <v/>
      </c>
      <c r="AB598" s="14">
        <f>1-Operations!AB596-Operations!AB597</f>
        <v/>
      </c>
      <c r="AC598" s="14">
        <f>1-Operations!AC596-Operations!AC597</f>
        <v/>
      </c>
      <c r="AD598" s="14">
        <f>1-Operations!AD596-Operations!AD597</f>
        <v/>
      </c>
      <c r="AE598" s="14">
        <f>1-Operations!AE596-Operations!AE597</f>
        <v/>
      </c>
      <c r="AF598" s="14">
        <f>1-Operations!AF596-Operations!AF597</f>
        <v/>
      </c>
      <c r="AG598" s="14">
        <f>1-Operations!AG596-Operations!AG597</f>
        <v/>
      </c>
      <c r="AH598" s="14">
        <f>1-Operations!AH596-Operations!AH597</f>
        <v/>
      </c>
      <c r="AI598" s="14">
        <f>1-Operations!AI596-Operations!AI597</f>
        <v/>
      </c>
      <c r="AJ598" s="14">
        <f>1-Operations!AJ596-Operations!AJ597</f>
        <v/>
      </c>
      <c r="AK598" s="14">
        <f>1-Operations!AK596-Operations!AK597</f>
        <v/>
      </c>
      <c r="AL598" s="14">
        <f>1-Operations!AL596-Operations!AL597</f>
        <v/>
      </c>
      <c r="AM598" s="14">
        <f>1-Operations!AM596-Operations!AM597</f>
        <v/>
      </c>
      <c r="AN598" s="14">
        <f>1-Operations!AN596-Operations!AN597</f>
        <v/>
      </c>
      <c r="AO598" s="14">
        <f>1-Operations!AO596-Operations!AO597</f>
        <v/>
      </c>
      <c r="AP598" s="14">
        <f>1-Operations!AP596-Operations!AP597</f>
        <v/>
      </c>
      <c r="AQ598" s="14">
        <f>1-Operations!AQ596-Operations!AQ597</f>
        <v/>
      </c>
      <c r="AR598" s="14">
        <f>1-Operations!AR596-Operations!AR597</f>
        <v/>
      </c>
      <c r="AS598" s="14">
        <f>1-Operations!AS596-Operations!AS597</f>
        <v/>
      </c>
      <c r="AT598" s="14">
        <f>1-Operations!AT596-Operations!AT597</f>
        <v/>
      </c>
      <c r="AU598" s="14">
        <f>1-Operations!AU596-Operations!AU597</f>
        <v/>
      </c>
    </row>
    <row r="599">
      <c r="D599" t="inlineStr">
        <is>
          <t>R4 Mesa-share contracted revenue</t>
        </is>
      </c>
      <c r="E599" t="inlineStr">
        <is>
          <t>USD m</t>
        </is>
      </c>
      <c r="J599" s="20">
        <f>Operations!J578*Operations!J564*(1-Operations!J591)</f>
        <v/>
      </c>
      <c r="K599" s="20">
        <f>Operations!K578*Operations!K564*(1-Operations!K591)</f>
        <v/>
      </c>
      <c r="L599" s="20">
        <f>Operations!L578*Operations!L564*(1-Operations!L591)</f>
        <v/>
      </c>
      <c r="M599" s="20">
        <f>Operations!M578*Operations!M564*(1-Operations!M591)</f>
        <v/>
      </c>
      <c r="N599" s="20">
        <f>Operations!N578*Operations!N564*(1-Operations!N591)</f>
        <v/>
      </c>
      <c r="O599" s="20">
        <f>Operations!O578*Operations!O564*(1-Operations!O591)</f>
        <v/>
      </c>
      <c r="P599" s="20">
        <f>Operations!P578*Operations!P564*(1-Operations!P591)</f>
        <v/>
      </c>
      <c r="Q599" s="20">
        <f>Operations!Q578*Operations!Q564*(1-Operations!Q591)</f>
        <v/>
      </c>
      <c r="R599" s="20">
        <f>Operations!R578*Operations!R564*(1-Operations!R591)</f>
        <v/>
      </c>
      <c r="S599" s="20">
        <f>Operations!S578*Operations!S564*(1-Operations!S591)</f>
        <v/>
      </c>
      <c r="T599" s="20">
        <f>Operations!T578*Operations!T564*(1-Operations!T591)</f>
        <v/>
      </c>
      <c r="U599" s="20">
        <f>Operations!U578*Operations!U564*(1-Operations!U591)</f>
        <v/>
      </c>
      <c r="V599" s="20">
        <f>Operations!V578*Operations!V564*(1-Operations!V591)</f>
        <v/>
      </c>
      <c r="W599" s="20">
        <f>Operations!W578*Operations!W564*(1-Operations!W591)</f>
        <v/>
      </c>
      <c r="X599" s="20">
        <f>Operations!X578*Operations!X564*(1-Operations!X591)</f>
        <v/>
      </c>
      <c r="Y599" s="20">
        <f>Operations!Y578*Operations!Y564*(1-Operations!Y591)</f>
        <v/>
      </c>
      <c r="Z599" s="20">
        <f>Operations!Z578*Operations!Z564*(1-Operations!Z591)</f>
        <v/>
      </c>
      <c r="AA599" s="20">
        <f>Operations!AA578*Operations!AA564*(1-Operations!AA591)</f>
        <v/>
      </c>
      <c r="AB599" s="20">
        <f>Operations!AB578*Operations!AB564*(1-Operations!AB591)</f>
        <v/>
      </c>
      <c r="AC599" s="20">
        <f>Operations!AC578*Operations!AC564*(1-Operations!AC591)</f>
        <v/>
      </c>
      <c r="AD599" s="20">
        <f>Operations!AD578*Operations!AD564*(1-Operations!AD591)</f>
        <v/>
      </c>
      <c r="AE599" s="20">
        <f>Operations!AE578*Operations!AE564*(1-Operations!AE591)</f>
        <v/>
      </c>
      <c r="AF599" s="20">
        <f>Operations!AF578*Operations!AF564*(1-Operations!AF591)</f>
        <v/>
      </c>
      <c r="AG599" s="20">
        <f>Operations!AG578*Operations!AG564*(1-Operations!AG591)</f>
        <v/>
      </c>
      <c r="AH599" s="20">
        <f>Operations!AH578*Operations!AH564*(1-Operations!AH591)</f>
        <v/>
      </c>
      <c r="AI599" s="20">
        <f>Operations!AI578*Operations!AI564*(1-Operations!AI591)</f>
        <v/>
      </c>
      <c r="AJ599" s="20">
        <f>Operations!AJ578*Operations!AJ564*(1-Operations!AJ591)</f>
        <v/>
      </c>
      <c r="AK599" s="20">
        <f>Operations!AK578*Operations!AK564*(1-Operations!AK591)</f>
        <v/>
      </c>
      <c r="AL599" s="20">
        <f>Operations!AL578*Operations!AL564*(1-Operations!AL591)</f>
        <v/>
      </c>
      <c r="AM599" s="20">
        <f>Operations!AM578*Operations!AM564*(1-Operations!AM591)</f>
        <v/>
      </c>
      <c r="AN599" s="20">
        <f>Operations!AN578*Operations!AN564*(1-Operations!AN591)</f>
        <v/>
      </c>
      <c r="AO599" s="20">
        <f>Operations!AO578*Operations!AO564*(1-Operations!AO591)</f>
        <v/>
      </c>
      <c r="AP599" s="20">
        <f>Operations!AP578*Operations!AP564*(1-Operations!AP591)</f>
        <v/>
      </c>
      <c r="AQ599" s="20">
        <f>Operations!AQ578*Operations!AQ564*(1-Operations!AQ591)</f>
        <v/>
      </c>
      <c r="AR599" s="20">
        <f>Operations!AR578*Operations!AR564*(1-Operations!AR591)</f>
        <v/>
      </c>
      <c r="AS599" s="20">
        <f>Operations!AS578*Operations!AS564*(1-Operations!AS591)</f>
        <v/>
      </c>
      <c r="AT599" s="20">
        <f>Operations!AT578*Operations!AT564*(1-Operations!AT591)</f>
        <v/>
      </c>
      <c r="AU599" s="20">
        <f>Operations!AU578*Operations!AU564*(1-Operations!AU591)</f>
        <v/>
      </c>
    </row>
    <row r="600">
      <c r="D600" t="inlineStr">
        <is>
          <t>R4 Mesa-share hedged revenue</t>
        </is>
      </c>
      <c r="E600" t="inlineStr">
        <is>
          <t>USD m</t>
        </is>
      </c>
      <c r="J600" s="20">
        <f>Operations!J579*Operations!J564*(1-Operations!J591)</f>
        <v/>
      </c>
      <c r="K600" s="20">
        <f>Operations!K579*Operations!K564*(1-Operations!K591)</f>
        <v/>
      </c>
      <c r="L600" s="20">
        <f>Operations!L579*Operations!L564*(1-Operations!L591)</f>
        <v/>
      </c>
      <c r="M600" s="20">
        <f>Operations!M579*Operations!M564*(1-Operations!M591)</f>
        <v/>
      </c>
      <c r="N600" s="20">
        <f>Operations!N579*Operations!N564*(1-Operations!N591)</f>
        <v/>
      </c>
      <c r="O600" s="20">
        <f>Operations!O579*Operations!O564*(1-Operations!O591)</f>
        <v/>
      </c>
      <c r="P600" s="20">
        <f>Operations!P579*Operations!P564*(1-Operations!P591)</f>
        <v/>
      </c>
      <c r="Q600" s="20">
        <f>Operations!Q579*Operations!Q564*(1-Operations!Q591)</f>
        <v/>
      </c>
      <c r="R600" s="20">
        <f>Operations!R579*Operations!R564*(1-Operations!R591)</f>
        <v/>
      </c>
      <c r="S600" s="20">
        <f>Operations!S579*Operations!S564*(1-Operations!S591)</f>
        <v/>
      </c>
      <c r="T600" s="20">
        <f>Operations!T579*Operations!T564*(1-Operations!T591)</f>
        <v/>
      </c>
      <c r="U600" s="20">
        <f>Operations!U579*Operations!U564*(1-Operations!U591)</f>
        <v/>
      </c>
      <c r="V600" s="20">
        <f>Operations!V579*Operations!V564*(1-Operations!V591)</f>
        <v/>
      </c>
      <c r="W600" s="20">
        <f>Operations!W579*Operations!W564*(1-Operations!W591)</f>
        <v/>
      </c>
      <c r="X600" s="20">
        <f>Operations!X579*Operations!X564*(1-Operations!X591)</f>
        <v/>
      </c>
      <c r="Y600" s="20">
        <f>Operations!Y579*Operations!Y564*(1-Operations!Y591)</f>
        <v/>
      </c>
      <c r="Z600" s="20">
        <f>Operations!Z579*Operations!Z564*(1-Operations!Z591)</f>
        <v/>
      </c>
      <c r="AA600" s="20">
        <f>Operations!AA579*Operations!AA564*(1-Operations!AA591)</f>
        <v/>
      </c>
      <c r="AB600" s="20">
        <f>Operations!AB579*Operations!AB564*(1-Operations!AB591)</f>
        <v/>
      </c>
      <c r="AC600" s="20">
        <f>Operations!AC579*Operations!AC564*(1-Operations!AC591)</f>
        <v/>
      </c>
      <c r="AD600" s="20">
        <f>Operations!AD579*Operations!AD564*(1-Operations!AD591)</f>
        <v/>
      </c>
      <c r="AE600" s="20">
        <f>Operations!AE579*Operations!AE564*(1-Operations!AE591)</f>
        <v/>
      </c>
      <c r="AF600" s="20">
        <f>Operations!AF579*Operations!AF564*(1-Operations!AF591)</f>
        <v/>
      </c>
      <c r="AG600" s="20">
        <f>Operations!AG579*Operations!AG564*(1-Operations!AG591)</f>
        <v/>
      </c>
      <c r="AH600" s="20">
        <f>Operations!AH579*Operations!AH564*(1-Operations!AH591)</f>
        <v/>
      </c>
      <c r="AI600" s="20">
        <f>Operations!AI579*Operations!AI564*(1-Operations!AI591)</f>
        <v/>
      </c>
      <c r="AJ600" s="20">
        <f>Operations!AJ579*Operations!AJ564*(1-Operations!AJ591)</f>
        <v/>
      </c>
      <c r="AK600" s="20">
        <f>Operations!AK579*Operations!AK564*(1-Operations!AK591)</f>
        <v/>
      </c>
      <c r="AL600" s="20">
        <f>Operations!AL579*Operations!AL564*(1-Operations!AL591)</f>
        <v/>
      </c>
      <c r="AM600" s="20">
        <f>Operations!AM579*Operations!AM564*(1-Operations!AM591)</f>
        <v/>
      </c>
      <c r="AN600" s="20">
        <f>Operations!AN579*Operations!AN564*(1-Operations!AN591)</f>
        <v/>
      </c>
      <c r="AO600" s="20">
        <f>Operations!AO579*Operations!AO564*(1-Operations!AO591)</f>
        <v/>
      </c>
      <c r="AP600" s="20">
        <f>Operations!AP579*Operations!AP564*(1-Operations!AP591)</f>
        <v/>
      </c>
      <c r="AQ600" s="20">
        <f>Operations!AQ579*Operations!AQ564*(1-Operations!AQ591)</f>
        <v/>
      </c>
      <c r="AR600" s="20">
        <f>Operations!AR579*Operations!AR564*(1-Operations!AR591)</f>
        <v/>
      </c>
      <c r="AS600" s="20">
        <f>Operations!AS579*Operations!AS564*(1-Operations!AS591)</f>
        <v/>
      </c>
      <c r="AT600" s="20">
        <f>Operations!AT579*Operations!AT564*(1-Operations!AT591)</f>
        <v/>
      </c>
      <c r="AU600" s="20">
        <f>Operations!AU579*Operations!AU564*(1-Operations!AU591)</f>
        <v/>
      </c>
    </row>
    <row r="601">
      <c r="D601" t="inlineStr">
        <is>
          <t>R4 Mesa-share merchant revenue</t>
        </is>
      </c>
      <c r="E601" t="inlineStr">
        <is>
          <t>USD m</t>
        </is>
      </c>
      <c r="J601" s="20">
        <f>Operations!J582*Operations!J564*(1-Operations!J591)</f>
        <v/>
      </c>
      <c r="K601" s="20">
        <f>Operations!K582*Operations!K564*(1-Operations!K591)</f>
        <v/>
      </c>
      <c r="L601" s="20">
        <f>Operations!L582*Operations!L564*(1-Operations!L591)</f>
        <v/>
      </c>
      <c r="M601" s="20">
        <f>Operations!M582*Operations!M564*(1-Operations!M591)</f>
        <v/>
      </c>
      <c r="N601" s="20">
        <f>Operations!N582*Operations!N564*(1-Operations!N591)</f>
        <v/>
      </c>
      <c r="O601" s="20">
        <f>Operations!O582*Operations!O564*(1-Operations!O591)</f>
        <v/>
      </c>
      <c r="P601" s="20">
        <f>Operations!P582*Operations!P564*(1-Operations!P591)</f>
        <v/>
      </c>
      <c r="Q601" s="20">
        <f>Operations!Q582*Operations!Q564*(1-Operations!Q591)</f>
        <v/>
      </c>
      <c r="R601" s="20">
        <f>Operations!R582*Operations!R564*(1-Operations!R591)</f>
        <v/>
      </c>
      <c r="S601" s="20">
        <f>Operations!S582*Operations!S564*(1-Operations!S591)</f>
        <v/>
      </c>
      <c r="T601" s="20">
        <f>Operations!T582*Operations!T564*(1-Operations!T591)</f>
        <v/>
      </c>
      <c r="U601" s="20">
        <f>Operations!U582*Operations!U564*(1-Operations!U591)</f>
        <v/>
      </c>
      <c r="V601" s="20">
        <f>Operations!V582*Operations!V564*(1-Operations!V591)</f>
        <v/>
      </c>
      <c r="W601" s="20">
        <f>Operations!W582*Operations!W564*(1-Operations!W591)</f>
        <v/>
      </c>
      <c r="X601" s="20">
        <f>Operations!X582*Operations!X564*(1-Operations!X591)</f>
        <v/>
      </c>
      <c r="Y601" s="20">
        <f>Operations!Y582*Operations!Y564*(1-Operations!Y591)</f>
        <v/>
      </c>
      <c r="Z601" s="20">
        <f>Operations!Z582*Operations!Z564*(1-Operations!Z591)</f>
        <v/>
      </c>
      <c r="AA601" s="20">
        <f>Operations!AA582*Operations!AA564*(1-Operations!AA591)</f>
        <v/>
      </c>
      <c r="AB601" s="20">
        <f>Operations!AB582*Operations!AB564*(1-Operations!AB591)</f>
        <v/>
      </c>
      <c r="AC601" s="20">
        <f>Operations!AC582*Operations!AC564*(1-Operations!AC591)</f>
        <v/>
      </c>
      <c r="AD601" s="20">
        <f>Operations!AD582*Operations!AD564*(1-Operations!AD591)</f>
        <v/>
      </c>
      <c r="AE601" s="20">
        <f>Operations!AE582*Operations!AE564*(1-Operations!AE591)</f>
        <v/>
      </c>
      <c r="AF601" s="20">
        <f>Operations!AF582*Operations!AF564*(1-Operations!AF591)</f>
        <v/>
      </c>
      <c r="AG601" s="20">
        <f>Operations!AG582*Operations!AG564*(1-Operations!AG591)</f>
        <v/>
      </c>
      <c r="AH601" s="20">
        <f>Operations!AH582*Operations!AH564*(1-Operations!AH591)</f>
        <v/>
      </c>
      <c r="AI601" s="20">
        <f>Operations!AI582*Operations!AI564*(1-Operations!AI591)</f>
        <v/>
      </c>
      <c r="AJ601" s="20">
        <f>Operations!AJ582*Operations!AJ564*(1-Operations!AJ591)</f>
        <v/>
      </c>
      <c r="AK601" s="20">
        <f>Operations!AK582*Operations!AK564*(1-Operations!AK591)</f>
        <v/>
      </c>
      <c r="AL601" s="20">
        <f>Operations!AL582*Operations!AL564*(1-Operations!AL591)</f>
        <v/>
      </c>
      <c r="AM601" s="20">
        <f>Operations!AM582*Operations!AM564*(1-Operations!AM591)</f>
        <v/>
      </c>
      <c r="AN601" s="20">
        <f>Operations!AN582*Operations!AN564*(1-Operations!AN591)</f>
        <v/>
      </c>
      <c r="AO601" s="20">
        <f>Operations!AO582*Operations!AO564*(1-Operations!AO591)</f>
        <v/>
      </c>
      <c r="AP601" s="20">
        <f>Operations!AP582*Operations!AP564*(1-Operations!AP591)</f>
        <v/>
      </c>
      <c r="AQ601" s="20">
        <f>Operations!AQ582*Operations!AQ564*(1-Operations!AQ591)</f>
        <v/>
      </c>
      <c r="AR601" s="20">
        <f>Operations!AR582*Operations!AR564*(1-Operations!AR591)</f>
        <v/>
      </c>
      <c r="AS601" s="20">
        <f>Operations!AS582*Operations!AS564*(1-Operations!AS591)</f>
        <v/>
      </c>
      <c r="AT601" s="20">
        <f>Operations!AT582*Operations!AT564*(1-Operations!AT591)</f>
        <v/>
      </c>
      <c r="AU601" s="20">
        <f>Operations!AU582*Operations!AU564*(1-Operations!AU591)</f>
        <v/>
      </c>
    </row>
    <row r="602">
      <c r="D602" t="inlineStr">
        <is>
          <t>R4 Mesa-share revenue</t>
        </is>
      </c>
      <c r="E602" t="inlineStr">
        <is>
          <t>USD m</t>
        </is>
      </c>
      <c r="J602" s="20">
        <f>Operations!J581*Operations!J564*(1-Operations!J591)</f>
        <v/>
      </c>
      <c r="K602" s="20">
        <f>Operations!K581*Operations!K564*(1-Operations!K591)</f>
        <v/>
      </c>
      <c r="L602" s="20">
        <f>Operations!L581*Operations!L564*(1-Operations!L591)</f>
        <v/>
      </c>
      <c r="M602" s="20">
        <f>Operations!M581*Operations!M564*(1-Operations!M591)</f>
        <v/>
      </c>
      <c r="N602" s="20">
        <f>Operations!N581*Operations!N564*(1-Operations!N591)</f>
        <v/>
      </c>
      <c r="O602" s="20">
        <f>Operations!O581*Operations!O564*(1-Operations!O591)</f>
        <v/>
      </c>
      <c r="P602" s="20">
        <f>Operations!P581*Operations!P564*(1-Operations!P591)</f>
        <v/>
      </c>
      <c r="Q602" s="20">
        <f>Operations!Q581*Operations!Q564*(1-Operations!Q591)</f>
        <v/>
      </c>
      <c r="R602" s="20">
        <f>Operations!R581*Operations!R564*(1-Operations!R591)</f>
        <v/>
      </c>
      <c r="S602" s="20">
        <f>Operations!S581*Operations!S564*(1-Operations!S591)</f>
        <v/>
      </c>
      <c r="T602" s="20">
        <f>Operations!T581*Operations!T564*(1-Operations!T591)</f>
        <v/>
      </c>
      <c r="U602" s="20">
        <f>Operations!U581*Operations!U564*(1-Operations!U591)</f>
        <v/>
      </c>
      <c r="V602" s="20">
        <f>Operations!V581*Operations!V564*(1-Operations!V591)</f>
        <v/>
      </c>
      <c r="W602" s="20">
        <f>Operations!W581*Operations!W564*(1-Operations!W591)</f>
        <v/>
      </c>
      <c r="X602" s="20">
        <f>Operations!X581*Operations!X564*(1-Operations!X591)</f>
        <v/>
      </c>
      <c r="Y602" s="20">
        <f>Operations!Y581*Operations!Y564*(1-Operations!Y591)</f>
        <v/>
      </c>
      <c r="Z602" s="20">
        <f>Operations!Z581*Operations!Z564*(1-Operations!Z591)</f>
        <v/>
      </c>
      <c r="AA602" s="20">
        <f>Operations!AA581*Operations!AA564*(1-Operations!AA591)</f>
        <v/>
      </c>
      <c r="AB602" s="20">
        <f>Operations!AB581*Operations!AB564*(1-Operations!AB591)</f>
        <v/>
      </c>
      <c r="AC602" s="20">
        <f>Operations!AC581*Operations!AC564*(1-Operations!AC591)</f>
        <v/>
      </c>
      <c r="AD602" s="20">
        <f>Operations!AD581*Operations!AD564*(1-Operations!AD591)</f>
        <v/>
      </c>
      <c r="AE602" s="20">
        <f>Operations!AE581*Operations!AE564*(1-Operations!AE591)</f>
        <v/>
      </c>
      <c r="AF602" s="20">
        <f>Operations!AF581*Operations!AF564*(1-Operations!AF591)</f>
        <v/>
      </c>
      <c r="AG602" s="20">
        <f>Operations!AG581*Operations!AG564*(1-Operations!AG591)</f>
        <v/>
      </c>
      <c r="AH602" s="20">
        <f>Operations!AH581*Operations!AH564*(1-Operations!AH591)</f>
        <v/>
      </c>
      <c r="AI602" s="20">
        <f>Operations!AI581*Operations!AI564*(1-Operations!AI591)</f>
        <v/>
      </c>
      <c r="AJ602" s="20">
        <f>Operations!AJ581*Operations!AJ564*(1-Operations!AJ591)</f>
        <v/>
      </c>
      <c r="AK602" s="20">
        <f>Operations!AK581*Operations!AK564*(1-Operations!AK591)</f>
        <v/>
      </c>
      <c r="AL602" s="20">
        <f>Operations!AL581*Operations!AL564*(1-Operations!AL591)</f>
        <v/>
      </c>
      <c r="AM602" s="20">
        <f>Operations!AM581*Operations!AM564*(1-Operations!AM591)</f>
        <v/>
      </c>
      <c r="AN602" s="20">
        <f>Operations!AN581*Operations!AN564*(1-Operations!AN591)</f>
        <v/>
      </c>
      <c r="AO602" s="20">
        <f>Operations!AO581*Operations!AO564*(1-Operations!AO591)</f>
        <v/>
      </c>
      <c r="AP602" s="20">
        <f>Operations!AP581*Operations!AP564*(1-Operations!AP591)</f>
        <v/>
      </c>
      <c r="AQ602" s="20">
        <f>Operations!AQ581*Operations!AQ564*(1-Operations!AQ591)</f>
        <v/>
      </c>
      <c r="AR602" s="20">
        <f>Operations!AR581*Operations!AR564*(1-Operations!AR591)</f>
        <v/>
      </c>
      <c r="AS602" s="20">
        <f>Operations!AS581*Operations!AS564*(1-Operations!AS591)</f>
        <v/>
      </c>
      <c r="AT602" s="20">
        <f>Operations!AT581*Operations!AT564*(1-Operations!AT591)</f>
        <v/>
      </c>
      <c r="AU602" s="20">
        <f>Operations!AU581*Operations!AU564*(1-Operations!AU591)</f>
        <v/>
      </c>
    </row>
    <row r="603">
      <c r="D603" s="19" t="inlineStr">
        <is>
          <t>R5 Calloway Mesa Solar (single-axis tracking PV)</t>
        </is>
      </c>
    </row>
    <row r="604">
      <c r="D604" t="inlineStr">
        <is>
          <t>R5 operating fraction</t>
        </is>
      </c>
      <c r="E604" t="inlineStr">
        <is>
          <t>fraction</t>
        </is>
      </c>
      <c r="J604" s="14">
        <f>MAX(0,MIN(Inputs!$F$134,Time!J$6)-MAX(Inputs!$F$133,Time!J$5))/Time!J$7</f>
        <v/>
      </c>
      <c r="K604" s="14">
        <f>MAX(0,MIN(Inputs!$F$134,Time!K$6)-MAX(Inputs!$F$133,Time!K$5))/Time!K$7</f>
        <v/>
      </c>
      <c r="L604" s="14">
        <f>MAX(0,MIN(Inputs!$F$134,Time!L$6)-MAX(Inputs!$F$133,Time!L$5))/Time!L$7</f>
        <v/>
      </c>
      <c r="M604" s="14">
        <f>MAX(0,MIN(Inputs!$F$134,Time!M$6)-MAX(Inputs!$F$133,Time!M$5))/Time!M$7</f>
        <v/>
      </c>
      <c r="N604" s="14">
        <f>MAX(0,MIN(Inputs!$F$134,Time!N$6)-MAX(Inputs!$F$133,Time!N$5))/Time!N$7</f>
        <v/>
      </c>
      <c r="O604" s="14">
        <f>MAX(0,MIN(Inputs!$F$134,Time!O$6)-MAX(Inputs!$F$133,Time!O$5))/Time!O$7</f>
        <v/>
      </c>
      <c r="P604" s="14">
        <f>MAX(0,MIN(Inputs!$F$134,Time!P$6)-MAX(Inputs!$F$133,Time!P$5))/Time!P$7</f>
        <v/>
      </c>
      <c r="Q604" s="14">
        <f>MAX(0,MIN(Inputs!$F$134,Time!Q$6)-MAX(Inputs!$F$133,Time!Q$5))/Time!Q$7</f>
        <v/>
      </c>
      <c r="R604" s="14">
        <f>MAX(0,MIN(Inputs!$F$134,Time!R$6)-MAX(Inputs!$F$133,Time!R$5))/Time!R$7</f>
        <v/>
      </c>
      <c r="S604" s="14">
        <f>MAX(0,MIN(Inputs!$F$134,Time!S$6)-MAX(Inputs!$F$133,Time!S$5))/Time!S$7</f>
        <v/>
      </c>
      <c r="T604" s="14">
        <f>MAX(0,MIN(Inputs!$F$134,Time!T$6)-MAX(Inputs!$F$133,Time!T$5))/Time!T$7</f>
        <v/>
      </c>
      <c r="U604" s="14">
        <f>MAX(0,MIN(Inputs!$F$134,Time!U$6)-MAX(Inputs!$F$133,Time!U$5))/Time!U$7</f>
        <v/>
      </c>
      <c r="V604" s="14">
        <f>MAX(0,MIN(Inputs!$F$134,Time!V$6)-MAX(Inputs!$F$133,Time!V$5))/Time!V$7</f>
        <v/>
      </c>
      <c r="W604" s="14">
        <f>MAX(0,MIN(Inputs!$F$134,Time!W$6)-MAX(Inputs!$F$133,Time!W$5))/Time!W$7</f>
        <v/>
      </c>
      <c r="X604" s="14">
        <f>MAX(0,MIN(Inputs!$F$134,Time!X$6)-MAX(Inputs!$F$133,Time!X$5))/Time!X$7</f>
        <v/>
      </c>
      <c r="Y604" s="14">
        <f>MAX(0,MIN(Inputs!$F$134,Time!Y$6)-MAX(Inputs!$F$133,Time!Y$5))/Time!Y$7</f>
        <v/>
      </c>
      <c r="Z604" s="14">
        <f>MAX(0,MIN(Inputs!$F$134,Time!Z$6)-MAX(Inputs!$F$133,Time!Z$5))/Time!Z$7</f>
        <v/>
      </c>
      <c r="AA604" s="14">
        <f>MAX(0,MIN(Inputs!$F$134,Time!AA$6)-MAX(Inputs!$F$133,Time!AA$5))/Time!AA$7</f>
        <v/>
      </c>
      <c r="AB604" s="14">
        <f>MAX(0,MIN(Inputs!$F$134,Time!AB$6)-MAX(Inputs!$F$133,Time!AB$5))/Time!AB$7</f>
        <v/>
      </c>
      <c r="AC604" s="14">
        <f>MAX(0,MIN(Inputs!$F$134,Time!AC$6)-MAX(Inputs!$F$133,Time!AC$5))/Time!AC$7</f>
        <v/>
      </c>
      <c r="AD604" s="14">
        <f>MAX(0,MIN(Inputs!$F$134,Time!AD$6)-MAX(Inputs!$F$133,Time!AD$5))/Time!AD$7</f>
        <v/>
      </c>
      <c r="AE604" s="14">
        <f>MAX(0,MIN(Inputs!$F$134,Time!AE$6)-MAX(Inputs!$F$133,Time!AE$5))/Time!AE$7</f>
        <v/>
      </c>
      <c r="AF604" s="14">
        <f>MAX(0,MIN(Inputs!$F$134,Time!AF$6)-MAX(Inputs!$F$133,Time!AF$5))/Time!AF$7</f>
        <v/>
      </c>
      <c r="AG604" s="14">
        <f>MAX(0,MIN(Inputs!$F$134,Time!AG$6)-MAX(Inputs!$F$133,Time!AG$5))/Time!AG$7</f>
        <v/>
      </c>
      <c r="AH604" s="14">
        <f>MAX(0,MIN(Inputs!$F$134,Time!AH$6)-MAX(Inputs!$F$133,Time!AH$5))/Time!AH$7</f>
        <v/>
      </c>
      <c r="AI604" s="14">
        <f>MAX(0,MIN(Inputs!$F$134,Time!AI$6)-MAX(Inputs!$F$133,Time!AI$5))/Time!AI$7</f>
        <v/>
      </c>
      <c r="AJ604" s="14">
        <f>MAX(0,MIN(Inputs!$F$134,Time!AJ$6)-MAX(Inputs!$F$133,Time!AJ$5))/Time!AJ$7</f>
        <v/>
      </c>
      <c r="AK604" s="14">
        <f>MAX(0,MIN(Inputs!$F$134,Time!AK$6)-MAX(Inputs!$F$133,Time!AK$5))/Time!AK$7</f>
        <v/>
      </c>
      <c r="AL604" s="14">
        <f>MAX(0,MIN(Inputs!$F$134,Time!AL$6)-MAX(Inputs!$F$133,Time!AL$5))/Time!AL$7</f>
        <v/>
      </c>
      <c r="AM604" s="14">
        <f>MAX(0,MIN(Inputs!$F$134,Time!AM$6)-MAX(Inputs!$F$133,Time!AM$5))/Time!AM$7</f>
        <v/>
      </c>
      <c r="AN604" s="14">
        <f>MAX(0,MIN(Inputs!$F$134,Time!AN$6)-MAX(Inputs!$F$133,Time!AN$5))/Time!AN$7</f>
        <v/>
      </c>
      <c r="AO604" s="14">
        <f>MAX(0,MIN(Inputs!$F$134,Time!AO$6)-MAX(Inputs!$F$133,Time!AO$5))/Time!AO$7</f>
        <v/>
      </c>
      <c r="AP604" s="14">
        <f>MAX(0,MIN(Inputs!$F$134,Time!AP$6)-MAX(Inputs!$F$133,Time!AP$5))/Time!AP$7</f>
        <v/>
      </c>
      <c r="AQ604" s="14">
        <f>MAX(0,MIN(Inputs!$F$134,Time!AQ$6)-MAX(Inputs!$F$133,Time!AQ$5))/Time!AQ$7</f>
        <v/>
      </c>
      <c r="AR604" s="14">
        <f>MAX(0,MIN(Inputs!$F$134,Time!AR$6)-MAX(Inputs!$F$133,Time!AR$5))/Time!AR$7</f>
        <v/>
      </c>
      <c r="AS604" s="14">
        <f>MAX(0,MIN(Inputs!$F$134,Time!AS$6)-MAX(Inputs!$F$133,Time!AS$5))/Time!AS$7</f>
        <v/>
      </c>
      <c r="AT604" s="14">
        <f>MAX(0,MIN(Inputs!$F$134,Time!AT$6)-MAX(Inputs!$F$133,Time!AT$5))/Time!AT$7</f>
        <v/>
      </c>
      <c r="AU604" s="14">
        <f>MAX(0,MIN(Inputs!$F$134,Time!AU$6)-MAX(Inputs!$F$133,Time!AU$5))/Time!AU$7</f>
        <v/>
      </c>
    </row>
    <row r="605">
      <c r="D605" t="inlineStr">
        <is>
          <t>R5 owned fraction</t>
        </is>
      </c>
      <c r="E605" t="inlineStr">
        <is>
          <t>fraction</t>
        </is>
      </c>
      <c r="J605" s="14">
        <f>MAX(0,MIN(Inputs!$F$134,Time!J$6)-MAX(MAX(Inputs!$F$135,Inputs!$F$133),Time!J$5))/Time!J$7</f>
        <v/>
      </c>
      <c r="K605" s="14">
        <f>MAX(0,MIN(Inputs!$F$134,Time!K$6)-MAX(MAX(Inputs!$F$135,Inputs!$F$133),Time!K$5))/Time!K$7</f>
        <v/>
      </c>
      <c r="L605" s="14">
        <f>MAX(0,MIN(Inputs!$F$134,Time!L$6)-MAX(MAX(Inputs!$F$135,Inputs!$F$133),Time!L$5))/Time!L$7</f>
        <v/>
      </c>
      <c r="M605" s="14">
        <f>MAX(0,MIN(Inputs!$F$134,Time!M$6)-MAX(MAX(Inputs!$F$135,Inputs!$F$133),Time!M$5))/Time!M$7</f>
        <v/>
      </c>
      <c r="N605" s="14">
        <f>MAX(0,MIN(Inputs!$F$134,Time!N$6)-MAX(MAX(Inputs!$F$135,Inputs!$F$133),Time!N$5))/Time!N$7</f>
        <v/>
      </c>
      <c r="O605" s="14">
        <f>MAX(0,MIN(Inputs!$F$134,Time!O$6)-MAX(MAX(Inputs!$F$135,Inputs!$F$133),Time!O$5))/Time!O$7</f>
        <v/>
      </c>
      <c r="P605" s="14">
        <f>MAX(0,MIN(Inputs!$F$134,Time!P$6)-MAX(MAX(Inputs!$F$135,Inputs!$F$133),Time!P$5))/Time!P$7</f>
        <v/>
      </c>
      <c r="Q605" s="14">
        <f>MAX(0,MIN(Inputs!$F$134,Time!Q$6)-MAX(MAX(Inputs!$F$135,Inputs!$F$133),Time!Q$5))/Time!Q$7</f>
        <v/>
      </c>
      <c r="R605" s="14">
        <f>MAX(0,MIN(Inputs!$F$134,Time!R$6)-MAX(MAX(Inputs!$F$135,Inputs!$F$133),Time!R$5))/Time!R$7</f>
        <v/>
      </c>
      <c r="S605" s="14">
        <f>MAX(0,MIN(Inputs!$F$134,Time!S$6)-MAX(MAX(Inputs!$F$135,Inputs!$F$133),Time!S$5))/Time!S$7</f>
        <v/>
      </c>
      <c r="T605" s="14">
        <f>MAX(0,MIN(Inputs!$F$134,Time!T$6)-MAX(MAX(Inputs!$F$135,Inputs!$F$133),Time!T$5))/Time!T$7</f>
        <v/>
      </c>
      <c r="U605" s="14">
        <f>MAX(0,MIN(Inputs!$F$134,Time!U$6)-MAX(MAX(Inputs!$F$135,Inputs!$F$133),Time!U$5))/Time!U$7</f>
        <v/>
      </c>
      <c r="V605" s="14">
        <f>MAX(0,MIN(Inputs!$F$134,Time!V$6)-MAX(MAX(Inputs!$F$135,Inputs!$F$133),Time!V$5))/Time!V$7</f>
        <v/>
      </c>
      <c r="W605" s="14">
        <f>MAX(0,MIN(Inputs!$F$134,Time!W$6)-MAX(MAX(Inputs!$F$135,Inputs!$F$133),Time!W$5))/Time!W$7</f>
        <v/>
      </c>
      <c r="X605" s="14">
        <f>MAX(0,MIN(Inputs!$F$134,Time!X$6)-MAX(MAX(Inputs!$F$135,Inputs!$F$133),Time!X$5))/Time!X$7</f>
        <v/>
      </c>
      <c r="Y605" s="14">
        <f>MAX(0,MIN(Inputs!$F$134,Time!Y$6)-MAX(MAX(Inputs!$F$135,Inputs!$F$133),Time!Y$5))/Time!Y$7</f>
        <v/>
      </c>
      <c r="Z605" s="14">
        <f>MAX(0,MIN(Inputs!$F$134,Time!Z$6)-MAX(MAX(Inputs!$F$135,Inputs!$F$133),Time!Z$5))/Time!Z$7</f>
        <v/>
      </c>
      <c r="AA605" s="14">
        <f>MAX(0,MIN(Inputs!$F$134,Time!AA$6)-MAX(MAX(Inputs!$F$135,Inputs!$F$133),Time!AA$5))/Time!AA$7</f>
        <v/>
      </c>
      <c r="AB605" s="14">
        <f>MAX(0,MIN(Inputs!$F$134,Time!AB$6)-MAX(MAX(Inputs!$F$135,Inputs!$F$133),Time!AB$5))/Time!AB$7</f>
        <v/>
      </c>
      <c r="AC605" s="14">
        <f>MAX(0,MIN(Inputs!$F$134,Time!AC$6)-MAX(MAX(Inputs!$F$135,Inputs!$F$133),Time!AC$5))/Time!AC$7</f>
        <v/>
      </c>
      <c r="AD605" s="14">
        <f>MAX(0,MIN(Inputs!$F$134,Time!AD$6)-MAX(MAX(Inputs!$F$135,Inputs!$F$133),Time!AD$5))/Time!AD$7</f>
        <v/>
      </c>
      <c r="AE605" s="14">
        <f>MAX(0,MIN(Inputs!$F$134,Time!AE$6)-MAX(MAX(Inputs!$F$135,Inputs!$F$133),Time!AE$5))/Time!AE$7</f>
        <v/>
      </c>
      <c r="AF605" s="14">
        <f>MAX(0,MIN(Inputs!$F$134,Time!AF$6)-MAX(MAX(Inputs!$F$135,Inputs!$F$133),Time!AF$5))/Time!AF$7</f>
        <v/>
      </c>
      <c r="AG605" s="14">
        <f>MAX(0,MIN(Inputs!$F$134,Time!AG$6)-MAX(MAX(Inputs!$F$135,Inputs!$F$133),Time!AG$5))/Time!AG$7</f>
        <v/>
      </c>
      <c r="AH605" s="14">
        <f>MAX(0,MIN(Inputs!$F$134,Time!AH$6)-MAX(MAX(Inputs!$F$135,Inputs!$F$133),Time!AH$5))/Time!AH$7</f>
        <v/>
      </c>
      <c r="AI605" s="14">
        <f>MAX(0,MIN(Inputs!$F$134,Time!AI$6)-MAX(MAX(Inputs!$F$135,Inputs!$F$133),Time!AI$5))/Time!AI$7</f>
        <v/>
      </c>
      <c r="AJ605" s="14">
        <f>MAX(0,MIN(Inputs!$F$134,Time!AJ$6)-MAX(MAX(Inputs!$F$135,Inputs!$F$133),Time!AJ$5))/Time!AJ$7</f>
        <v/>
      </c>
      <c r="AK605" s="14">
        <f>MAX(0,MIN(Inputs!$F$134,Time!AK$6)-MAX(MAX(Inputs!$F$135,Inputs!$F$133),Time!AK$5))/Time!AK$7</f>
        <v/>
      </c>
      <c r="AL605" s="14">
        <f>MAX(0,MIN(Inputs!$F$134,Time!AL$6)-MAX(MAX(Inputs!$F$135,Inputs!$F$133),Time!AL$5))/Time!AL$7</f>
        <v/>
      </c>
      <c r="AM605" s="14">
        <f>MAX(0,MIN(Inputs!$F$134,Time!AM$6)-MAX(MAX(Inputs!$F$135,Inputs!$F$133),Time!AM$5))/Time!AM$7</f>
        <v/>
      </c>
      <c r="AN605" s="14">
        <f>MAX(0,MIN(Inputs!$F$134,Time!AN$6)-MAX(MAX(Inputs!$F$135,Inputs!$F$133),Time!AN$5))/Time!AN$7</f>
        <v/>
      </c>
      <c r="AO605" s="14">
        <f>MAX(0,MIN(Inputs!$F$134,Time!AO$6)-MAX(MAX(Inputs!$F$135,Inputs!$F$133),Time!AO$5))/Time!AO$7</f>
        <v/>
      </c>
      <c r="AP605" s="14">
        <f>MAX(0,MIN(Inputs!$F$134,Time!AP$6)-MAX(MAX(Inputs!$F$135,Inputs!$F$133),Time!AP$5))/Time!AP$7</f>
        <v/>
      </c>
      <c r="AQ605" s="14">
        <f>MAX(0,MIN(Inputs!$F$134,Time!AQ$6)-MAX(MAX(Inputs!$F$135,Inputs!$F$133),Time!AQ$5))/Time!AQ$7</f>
        <v/>
      </c>
      <c r="AR605" s="14">
        <f>MAX(0,MIN(Inputs!$F$134,Time!AR$6)-MAX(MAX(Inputs!$F$135,Inputs!$F$133),Time!AR$5))/Time!AR$7</f>
        <v/>
      </c>
      <c r="AS605" s="14">
        <f>MAX(0,MIN(Inputs!$F$134,Time!AS$6)-MAX(MAX(Inputs!$F$135,Inputs!$F$133),Time!AS$5))/Time!AS$7</f>
        <v/>
      </c>
      <c r="AT605" s="14">
        <f>MAX(0,MIN(Inputs!$F$134,Time!AT$6)-MAX(MAX(Inputs!$F$135,Inputs!$F$133),Time!AT$5))/Time!AT$7</f>
        <v/>
      </c>
      <c r="AU605" s="14">
        <f>MAX(0,MIN(Inputs!$F$134,Time!AU$6)-MAX(MAX(Inputs!$F$135,Inputs!$F$133),Time!AU$5))/Time!AU$7</f>
        <v/>
      </c>
    </row>
    <row r="606">
      <c r="D606" t="inlineStr">
        <is>
          <t>R5 owned share of operating period</t>
        </is>
      </c>
      <c r="E606" t="inlineStr">
        <is>
          <t>fraction</t>
        </is>
      </c>
      <c r="J606" s="14">
        <f>IF(Operations!J604&gt;0,Operations!J605/Operations!J604,0)</f>
        <v/>
      </c>
      <c r="K606" s="14">
        <f>IF(Operations!K604&gt;0,Operations!K605/Operations!K604,0)</f>
        <v/>
      </c>
      <c r="L606" s="14">
        <f>IF(Operations!L604&gt;0,Operations!L605/Operations!L604,0)</f>
        <v/>
      </c>
      <c r="M606" s="14">
        <f>IF(Operations!M604&gt;0,Operations!M605/Operations!M604,0)</f>
        <v/>
      </c>
      <c r="N606" s="14">
        <f>IF(Operations!N604&gt;0,Operations!N605/Operations!N604,0)</f>
        <v/>
      </c>
      <c r="O606" s="14">
        <f>IF(Operations!O604&gt;0,Operations!O605/Operations!O604,0)</f>
        <v/>
      </c>
      <c r="P606" s="14">
        <f>IF(Operations!P604&gt;0,Operations!P605/Operations!P604,0)</f>
        <v/>
      </c>
      <c r="Q606" s="14">
        <f>IF(Operations!Q604&gt;0,Operations!Q605/Operations!Q604,0)</f>
        <v/>
      </c>
      <c r="R606" s="14">
        <f>IF(Operations!R604&gt;0,Operations!R605/Operations!R604,0)</f>
        <v/>
      </c>
      <c r="S606" s="14">
        <f>IF(Operations!S604&gt;0,Operations!S605/Operations!S604,0)</f>
        <v/>
      </c>
      <c r="T606" s="14">
        <f>IF(Operations!T604&gt;0,Operations!T605/Operations!T604,0)</f>
        <v/>
      </c>
      <c r="U606" s="14">
        <f>IF(Operations!U604&gt;0,Operations!U605/Operations!U604,0)</f>
        <v/>
      </c>
      <c r="V606" s="14">
        <f>IF(Operations!V604&gt;0,Operations!V605/Operations!V604,0)</f>
        <v/>
      </c>
      <c r="W606" s="14">
        <f>IF(Operations!W604&gt;0,Operations!W605/Operations!W604,0)</f>
        <v/>
      </c>
      <c r="X606" s="14">
        <f>IF(Operations!X604&gt;0,Operations!X605/Operations!X604,0)</f>
        <v/>
      </c>
      <c r="Y606" s="14">
        <f>IF(Operations!Y604&gt;0,Operations!Y605/Operations!Y604,0)</f>
        <v/>
      </c>
      <c r="Z606" s="14">
        <f>IF(Operations!Z604&gt;0,Operations!Z605/Operations!Z604,0)</f>
        <v/>
      </c>
      <c r="AA606" s="14">
        <f>IF(Operations!AA604&gt;0,Operations!AA605/Operations!AA604,0)</f>
        <v/>
      </c>
      <c r="AB606" s="14">
        <f>IF(Operations!AB604&gt;0,Operations!AB605/Operations!AB604,0)</f>
        <v/>
      </c>
      <c r="AC606" s="14">
        <f>IF(Operations!AC604&gt;0,Operations!AC605/Operations!AC604,0)</f>
        <v/>
      </c>
      <c r="AD606" s="14">
        <f>IF(Operations!AD604&gt;0,Operations!AD605/Operations!AD604,0)</f>
        <v/>
      </c>
      <c r="AE606" s="14">
        <f>IF(Operations!AE604&gt;0,Operations!AE605/Operations!AE604,0)</f>
        <v/>
      </c>
      <c r="AF606" s="14">
        <f>IF(Operations!AF604&gt;0,Operations!AF605/Operations!AF604,0)</f>
        <v/>
      </c>
      <c r="AG606" s="14">
        <f>IF(Operations!AG604&gt;0,Operations!AG605/Operations!AG604,0)</f>
        <v/>
      </c>
      <c r="AH606" s="14">
        <f>IF(Operations!AH604&gt;0,Operations!AH605/Operations!AH604,0)</f>
        <v/>
      </c>
      <c r="AI606" s="14">
        <f>IF(Operations!AI604&gt;0,Operations!AI605/Operations!AI604,0)</f>
        <v/>
      </c>
      <c r="AJ606" s="14">
        <f>IF(Operations!AJ604&gt;0,Operations!AJ605/Operations!AJ604,0)</f>
        <v/>
      </c>
      <c r="AK606" s="14">
        <f>IF(Operations!AK604&gt;0,Operations!AK605/Operations!AK604,0)</f>
        <v/>
      </c>
      <c r="AL606" s="14">
        <f>IF(Operations!AL604&gt;0,Operations!AL605/Operations!AL604,0)</f>
        <v/>
      </c>
      <c r="AM606" s="14">
        <f>IF(Operations!AM604&gt;0,Operations!AM605/Operations!AM604,0)</f>
        <v/>
      </c>
      <c r="AN606" s="14">
        <f>IF(Operations!AN604&gt;0,Operations!AN605/Operations!AN604,0)</f>
        <v/>
      </c>
      <c r="AO606" s="14">
        <f>IF(Operations!AO604&gt;0,Operations!AO605/Operations!AO604,0)</f>
        <v/>
      </c>
      <c r="AP606" s="14">
        <f>IF(Operations!AP604&gt;0,Operations!AP605/Operations!AP604,0)</f>
        <v/>
      </c>
      <c r="AQ606" s="14">
        <f>IF(Operations!AQ604&gt;0,Operations!AQ605/Operations!AQ604,0)</f>
        <v/>
      </c>
      <c r="AR606" s="14">
        <f>IF(Operations!AR604&gt;0,Operations!AR605/Operations!AR604,0)</f>
        <v/>
      </c>
      <c r="AS606" s="14">
        <f>IF(Operations!AS604&gt;0,Operations!AS605/Operations!AS604,0)</f>
        <v/>
      </c>
      <c r="AT606" s="14">
        <f>IF(Operations!AT604&gt;0,Operations!AT605/Operations!AT604,0)</f>
        <v/>
      </c>
      <c r="AU606" s="14">
        <f>IF(Operations!AU604&gt;0,Operations!AU605/Operations!AU604,0)</f>
        <v/>
      </c>
    </row>
    <row r="607">
      <c r="D607" t="inlineStr">
        <is>
          <t>R5 own hub ATC</t>
        </is>
      </c>
      <c r="E607" t="inlineStr">
        <is>
          <t>USD/MWh</t>
        </is>
      </c>
      <c r="J607" s="18">
        <f>Operations!J424</f>
        <v/>
      </c>
      <c r="K607" s="18">
        <f>Operations!K424</f>
        <v/>
      </c>
      <c r="L607" s="18">
        <f>Operations!L424</f>
        <v/>
      </c>
      <c r="M607" s="18">
        <f>Operations!M424</f>
        <v/>
      </c>
      <c r="N607" s="18">
        <f>Operations!N424</f>
        <v/>
      </c>
      <c r="O607" s="18">
        <f>Operations!O424</f>
        <v/>
      </c>
      <c r="P607" s="18">
        <f>Operations!P424</f>
        <v/>
      </c>
      <c r="Q607" s="18">
        <f>Operations!Q424</f>
        <v/>
      </c>
      <c r="R607" s="18">
        <f>Operations!R424</f>
        <v/>
      </c>
      <c r="S607" s="18">
        <f>Operations!S424</f>
        <v/>
      </c>
      <c r="T607" s="18">
        <f>Operations!T424</f>
        <v/>
      </c>
      <c r="U607" s="18">
        <f>Operations!U424</f>
        <v/>
      </c>
      <c r="V607" s="18">
        <f>Operations!V424</f>
        <v/>
      </c>
      <c r="W607" s="18">
        <f>Operations!W424</f>
        <v/>
      </c>
      <c r="X607" s="18">
        <f>Operations!X424</f>
        <v/>
      </c>
      <c r="Y607" s="18">
        <f>Operations!Y424</f>
        <v/>
      </c>
      <c r="Z607" s="18">
        <f>Operations!Z424</f>
        <v/>
      </c>
      <c r="AA607" s="18">
        <f>Operations!AA424</f>
        <v/>
      </c>
      <c r="AB607" s="18">
        <f>Operations!AB424</f>
        <v/>
      </c>
      <c r="AC607" s="18">
        <f>Operations!AC424</f>
        <v/>
      </c>
      <c r="AD607" s="18">
        <f>Operations!AD424</f>
        <v/>
      </c>
      <c r="AE607" s="18">
        <f>Operations!AE424</f>
        <v/>
      </c>
      <c r="AF607" s="18">
        <f>Operations!AF424</f>
        <v/>
      </c>
      <c r="AG607" s="18">
        <f>Operations!AG424</f>
        <v/>
      </c>
      <c r="AH607" s="18">
        <f>Operations!AH424</f>
        <v/>
      </c>
      <c r="AI607" s="18">
        <f>Operations!AI424</f>
        <v/>
      </c>
      <c r="AJ607" s="18">
        <f>Operations!AJ424</f>
        <v/>
      </c>
      <c r="AK607" s="18">
        <f>Operations!AK424</f>
        <v/>
      </c>
      <c r="AL607" s="18">
        <f>Operations!AL424</f>
        <v/>
      </c>
      <c r="AM607" s="18">
        <f>Operations!AM424</f>
        <v/>
      </c>
      <c r="AN607" s="18">
        <f>Operations!AN424</f>
        <v/>
      </c>
      <c r="AO607" s="18">
        <f>Operations!AO424</f>
        <v/>
      </c>
      <c r="AP607" s="18">
        <f>Operations!AP424</f>
        <v/>
      </c>
      <c r="AQ607" s="18">
        <f>Operations!AQ424</f>
        <v/>
      </c>
      <c r="AR607" s="18">
        <f>Operations!AR424</f>
        <v/>
      </c>
      <c r="AS607" s="18">
        <f>Operations!AS424</f>
        <v/>
      </c>
      <c r="AT607" s="18">
        <f>Operations!AT424</f>
        <v/>
      </c>
      <c r="AU607" s="18">
        <f>Operations!AU424</f>
        <v/>
      </c>
    </row>
    <row r="608">
      <c r="D608" t="inlineStr">
        <is>
          <t>R5 volume factor</t>
        </is>
      </c>
      <c r="E608" t="inlineStr">
        <is>
          <t>factor</t>
        </is>
      </c>
      <c r="J608" s="14">
        <f>CHOOSE(Operations!$F$418,1,Inputs!$F$139/100,Inputs!$F$140/100,Operations!$F$36/100)</f>
        <v/>
      </c>
      <c r="K608" s="14">
        <f>CHOOSE(Operations!$F$418,1,Inputs!$F$139/100,Inputs!$F$140/100,Operations!$F$36/100)</f>
        <v/>
      </c>
      <c r="L608" s="14">
        <f>CHOOSE(Operations!$F$418,1,Inputs!$F$139/100,Inputs!$F$140/100,Operations!$F$36/100)</f>
        <v/>
      </c>
      <c r="M608" s="14">
        <f>CHOOSE(Operations!$F$418,1,Inputs!$F$139/100,Inputs!$F$140/100,Operations!$F$36/100)</f>
        <v/>
      </c>
      <c r="N608" s="14">
        <f>CHOOSE(Operations!$F$418,1,Inputs!$F$139/100,Inputs!$F$140/100,Operations!$F$36/100)</f>
        <v/>
      </c>
      <c r="O608" s="14">
        <f>CHOOSE(Operations!$F$418,1,Inputs!$F$139/100,Inputs!$F$140/100,Operations!$F$36/100)</f>
        <v/>
      </c>
      <c r="P608" s="14">
        <f>CHOOSE(Operations!$F$418,1,Inputs!$F$139/100,Inputs!$F$140/100,Operations!$F$36/100)</f>
        <v/>
      </c>
      <c r="Q608" s="14">
        <f>CHOOSE(Operations!$F$418,1,Inputs!$F$139/100,Inputs!$F$140/100,Operations!$F$36/100)</f>
        <v/>
      </c>
      <c r="R608" s="14">
        <f>CHOOSE(Operations!$F$418,1,Inputs!$F$139/100,Inputs!$F$140/100,Operations!$F$36/100)</f>
        <v/>
      </c>
      <c r="S608" s="14">
        <f>CHOOSE(Operations!$F$418,1,Inputs!$F$139/100,Inputs!$F$140/100,Operations!$F$36/100)</f>
        <v/>
      </c>
      <c r="T608" s="14">
        <f>CHOOSE(Operations!$F$418,1,Inputs!$F$139/100,Inputs!$F$140/100,Operations!$F$36/100)</f>
        <v/>
      </c>
      <c r="U608" s="14">
        <f>CHOOSE(Operations!$F$418,1,Inputs!$F$139/100,Inputs!$F$140/100,Operations!$F$36/100)</f>
        <v/>
      </c>
      <c r="V608" s="14">
        <f>CHOOSE(Operations!$F$418,1,Inputs!$F$139/100,Inputs!$F$140/100,Operations!$F$36/100)</f>
        <v/>
      </c>
      <c r="W608" s="14">
        <f>CHOOSE(Operations!$F$418,1,Inputs!$F$139/100,Inputs!$F$140/100,Operations!$F$36/100)</f>
        <v/>
      </c>
      <c r="X608" s="14">
        <f>CHOOSE(Operations!$F$418,1,Inputs!$F$139/100,Inputs!$F$140/100,Operations!$F$36/100)</f>
        <v/>
      </c>
      <c r="Y608" s="14">
        <f>CHOOSE(Operations!$F$418,1,Inputs!$F$139/100,Inputs!$F$140/100,Operations!$F$36/100)</f>
        <v/>
      </c>
      <c r="Z608" s="14">
        <f>CHOOSE(Operations!$F$418,1,Inputs!$F$139/100,Inputs!$F$140/100,Operations!$F$36/100)</f>
        <v/>
      </c>
      <c r="AA608" s="14">
        <f>CHOOSE(Operations!$F$418,1,Inputs!$F$139/100,Inputs!$F$140/100,Operations!$F$36/100)</f>
        <v/>
      </c>
      <c r="AB608" s="14">
        <f>CHOOSE(Operations!$F$418,1,Inputs!$F$139/100,Inputs!$F$140/100,Operations!$F$36/100)</f>
        <v/>
      </c>
      <c r="AC608" s="14">
        <f>CHOOSE(Operations!$F$418,1,Inputs!$F$139/100,Inputs!$F$140/100,Operations!$F$36/100)</f>
        <v/>
      </c>
      <c r="AD608" s="14">
        <f>CHOOSE(Operations!$F$418,1,Inputs!$F$139/100,Inputs!$F$140/100,Operations!$F$36/100)</f>
        <v/>
      </c>
      <c r="AE608" s="14">
        <f>CHOOSE(Operations!$F$418,1,Inputs!$F$139/100,Inputs!$F$140/100,Operations!$F$36/100)</f>
        <v/>
      </c>
      <c r="AF608" s="14">
        <f>CHOOSE(Operations!$F$418,1,Inputs!$F$139/100,Inputs!$F$140/100,Operations!$F$36/100)</f>
        <v/>
      </c>
      <c r="AG608" s="14">
        <f>CHOOSE(Operations!$F$418,1,Inputs!$F$139/100,Inputs!$F$140/100,Operations!$F$36/100)</f>
        <v/>
      </c>
      <c r="AH608" s="14">
        <f>CHOOSE(Operations!$F$418,1,Inputs!$F$139/100,Inputs!$F$140/100,Operations!$F$36/100)</f>
        <v/>
      </c>
      <c r="AI608" s="14">
        <f>CHOOSE(Operations!$F$418,1,Inputs!$F$139/100,Inputs!$F$140/100,Operations!$F$36/100)</f>
        <v/>
      </c>
      <c r="AJ608" s="14">
        <f>CHOOSE(Operations!$F$418,1,Inputs!$F$139/100,Inputs!$F$140/100,Operations!$F$36/100)</f>
        <v/>
      </c>
      <c r="AK608" s="14">
        <f>CHOOSE(Operations!$F$418,1,Inputs!$F$139/100,Inputs!$F$140/100,Operations!$F$36/100)</f>
        <v/>
      </c>
      <c r="AL608" s="14">
        <f>CHOOSE(Operations!$F$418,1,Inputs!$F$139/100,Inputs!$F$140/100,Operations!$F$36/100)</f>
        <v/>
      </c>
      <c r="AM608" s="14">
        <f>CHOOSE(Operations!$F$418,1,Inputs!$F$139/100,Inputs!$F$140/100,Operations!$F$36/100)</f>
        <v/>
      </c>
      <c r="AN608" s="14">
        <f>CHOOSE(Operations!$F$418,1,Inputs!$F$139/100,Inputs!$F$140/100,Operations!$F$36/100)</f>
        <v/>
      </c>
      <c r="AO608" s="14">
        <f>CHOOSE(Operations!$F$418,1,Inputs!$F$139/100,Inputs!$F$140/100,Operations!$F$36/100)</f>
        <v/>
      </c>
      <c r="AP608" s="14">
        <f>CHOOSE(Operations!$F$418,1,Inputs!$F$139/100,Inputs!$F$140/100,Operations!$F$36/100)</f>
        <v/>
      </c>
      <c r="AQ608" s="14">
        <f>CHOOSE(Operations!$F$418,1,Inputs!$F$139/100,Inputs!$F$140/100,Operations!$F$36/100)</f>
        <v/>
      </c>
      <c r="AR608" s="14">
        <f>CHOOSE(Operations!$F$418,1,Inputs!$F$139/100,Inputs!$F$140/100,Operations!$F$36/100)</f>
        <v/>
      </c>
      <c r="AS608" s="14">
        <f>CHOOSE(Operations!$F$418,1,Inputs!$F$139/100,Inputs!$F$140/100,Operations!$F$36/100)</f>
        <v/>
      </c>
      <c r="AT608" s="14">
        <f>CHOOSE(Operations!$F$418,1,Inputs!$F$139/100,Inputs!$F$140/100,Operations!$F$36/100)</f>
        <v/>
      </c>
      <c r="AU608" s="14">
        <f>CHOOSE(Operations!$F$418,1,Inputs!$F$139/100,Inputs!$F$140/100,Operations!$F$36/100)</f>
        <v/>
      </c>
    </row>
    <row r="609">
      <c r="D609" t="inlineStr">
        <is>
          <t>R5 degradation factor</t>
        </is>
      </c>
      <c r="E609" t="inlineStr">
        <is>
          <t>factor</t>
        </is>
      </c>
      <c r="J609" s="14">
        <f>(1-Inputs!$F$141/100)^MAX(0,Time!J$4-Inputs!$F$142)</f>
        <v/>
      </c>
      <c r="K609" s="14">
        <f>(1-Inputs!$F$141/100)^MAX(0,Time!K$4-Inputs!$F$142)</f>
        <v/>
      </c>
      <c r="L609" s="14">
        <f>(1-Inputs!$F$141/100)^MAX(0,Time!L$4-Inputs!$F$142)</f>
        <v/>
      </c>
      <c r="M609" s="14">
        <f>(1-Inputs!$F$141/100)^MAX(0,Time!M$4-Inputs!$F$142)</f>
        <v/>
      </c>
      <c r="N609" s="14">
        <f>(1-Inputs!$F$141/100)^MAX(0,Time!N$4-Inputs!$F$142)</f>
        <v/>
      </c>
      <c r="O609" s="14">
        <f>(1-Inputs!$F$141/100)^MAX(0,Time!O$4-Inputs!$F$142)</f>
        <v/>
      </c>
      <c r="P609" s="14">
        <f>(1-Inputs!$F$141/100)^MAX(0,Time!P$4-Inputs!$F$142)</f>
        <v/>
      </c>
      <c r="Q609" s="14">
        <f>(1-Inputs!$F$141/100)^MAX(0,Time!Q$4-Inputs!$F$142)</f>
        <v/>
      </c>
      <c r="R609" s="14">
        <f>(1-Inputs!$F$141/100)^MAX(0,Time!R$4-Inputs!$F$142)</f>
        <v/>
      </c>
      <c r="S609" s="14">
        <f>(1-Inputs!$F$141/100)^MAX(0,Time!S$4-Inputs!$F$142)</f>
        <v/>
      </c>
      <c r="T609" s="14">
        <f>(1-Inputs!$F$141/100)^MAX(0,Time!T$4-Inputs!$F$142)</f>
        <v/>
      </c>
      <c r="U609" s="14">
        <f>(1-Inputs!$F$141/100)^MAX(0,Time!U$4-Inputs!$F$142)</f>
        <v/>
      </c>
      <c r="V609" s="14">
        <f>(1-Inputs!$F$141/100)^MAX(0,Time!V$4-Inputs!$F$142)</f>
        <v/>
      </c>
      <c r="W609" s="14">
        <f>(1-Inputs!$F$141/100)^MAX(0,Time!W$4-Inputs!$F$142)</f>
        <v/>
      </c>
      <c r="X609" s="14">
        <f>(1-Inputs!$F$141/100)^MAX(0,Time!X$4-Inputs!$F$142)</f>
        <v/>
      </c>
      <c r="Y609" s="14">
        <f>(1-Inputs!$F$141/100)^MAX(0,Time!Y$4-Inputs!$F$142)</f>
        <v/>
      </c>
      <c r="Z609" s="14">
        <f>(1-Inputs!$F$141/100)^MAX(0,Time!Z$4-Inputs!$F$142)</f>
        <v/>
      </c>
      <c r="AA609" s="14">
        <f>(1-Inputs!$F$141/100)^MAX(0,Time!AA$4-Inputs!$F$142)</f>
        <v/>
      </c>
      <c r="AB609" s="14">
        <f>(1-Inputs!$F$141/100)^MAX(0,Time!AB$4-Inputs!$F$142)</f>
        <v/>
      </c>
      <c r="AC609" s="14">
        <f>(1-Inputs!$F$141/100)^MAX(0,Time!AC$4-Inputs!$F$142)</f>
        <v/>
      </c>
      <c r="AD609" s="14">
        <f>(1-Inputs!$F$141/100)^MAX(0,Time!AD$4-Inputs!$F$142)</f>
        <v/>
      </c>
      <c r="AE609" s="14">
        <f>(1-Inputs!$F$141/100)^MAX(0,Time!AE$4-Inputs!$F$142)</f>
        <v/>
      </c>
      <c r="AF609" s="14">
        <f>(1-Inputs!$F$141/100)^MAX(0,Time!AF$4-Inputs!$F$142)</f>
        <v/>
      </c>
      <c r="AG609" s="14">
        <f>(1-Inputs!$F$141/100)^MAX(0,Time!AG$4-Inputs!$F$142)</f>
        <v/>
      </c>
      <c r="AH609" s="14">
        <f>(1-Inputs!$F$141/100)^MAX(0,Time!AH$4-Inputs!$F$142)</f>
        <v/>
      </c>
      <c r="AI609" s="14">
        <f>(1-Inputs!$F$141/100)^MAX(0,Time!AI$4-Inputs!$F$142)</f>
        <v/>
      </c>
      <c r="AJ609" s="14">
        <f>(1-Inputs!$F$141/100)^MAX(0,Time!AJ$4-Inputs!$F$142)</f>
        <v/>
      </c>
      <c r="AK609" s="14">
        <f>(1-Inputs!$F$141/100)^MAX(0,Time!AK$4-Inputs!$F$142)</f>
        <v/>
      </c>
      <c r="AL609" s="14">
        <f>(1-Inputs!$F$141/100)^MAX(0,Time!AL$4-Inputs!$F$142)</f>
        <v/>
      </c>
      <c r="AM609" s="14">
        <f>(1-Inputs!$F$141/100)^MAX(0,Time!AM$4-Inputs!$F$142)</f>
        <v/>
      </c>
      <c r="AN609" s="14">
        <f>(1-Inputs!$F$141/100)^MAX(0,Time!AN$4-Inputs!$F$142)</f>
        <v/>
      </c>
      <c r="AO609" s="14">
        <f>(1-Inputs!$F$141/100)^MAX(0,Time!AO$4-Inputs!$F$142)</f>
        <v/>
      </c>
      <c r="AP609" s="14">
        <f>(1-Inputs!$F$141/100)^MAX(0,Time!AP$4-Inputs!$F$142)</f>
        <v/>
      </c>
      <c r="AQ609" s="14">
        <f>(1-Inputs!$F$141/100)^MAX(0,Time!AQ$4-Inputs!$F$142)</f>
        <v/>
      </c>
      <c r="AR609" s="14">
        <f>(1-Inputs!$F$141/100)^MAX(0,Time!AR$4-Inputs!$F$142)</f>
        <v/>
      </c>
      <c r="AS609" s="14">
        <f>(1-Inputs!$F$141/100)^MAX(0,Time!AS$4-Inputs!$F$142)</f>
        <v/>
      </c>
      <c r="AT609" s="14">
        <f>(1-Inputs!$F$141/100)^MAX(0,Time!AT$4-Inputs!$F$142)</f>
        <v/>
      </c>
      <c r="AU609" s="14">
        <f>(1-Inputs!$F$141/100)^MAX(0,Time!AU$4-Inputs!$F$142)</f>
        <v/>
      </c>
    </row>
    <row r="610">
      <c r="D610" t="inlineStr">
        <is>
          <t>R5 curtailment</t>
        </is>
      </c>
      <c r="E610" t="inlineStr">
        <is>
          <t>fraction</t>
        </is>
      </c>
      <c r="J610" s="14">
        <f>(IF(Time!J$4&gt;=Inputs!$F$61,Inputs!$F$67,Inputs!$F$66+(Inputs!$F$67-Inputs!$F$66)*(Time!J$4-Inputs!$F$23)/(Inputs!$F$61-Inputs!$F$23))+Operations!$F$420)/100</f>
        <v/>
      </c>
      <c r="K610" s="14">
        <f>(IF(Time!K$4&gt;=Inputs!$F$61,Inputs!$F$67,Inputs!$F$66+(Inputs!$F$67-Inputs!$F$66)*(Time!K$4-Inputs!$F$23)/(Inputs!$F$61-Inputs!$F$23))+Operations!$F$420)/100</f>
        <v/>
      </c>
      <c r="L610" s="14">
        <f>(IF(Time!L$4&gt;=Inputs!$F$61,Inputs!$F$67,Inputs!$F$66+(Inputs!$F$67-Inputs!$F$66)*(Time!L$4-Inputs!$F$23)/(Inputs!$F$61-Inputs!$F$23))+Operations!$F$420)/100</f>
        <v/>
      </c>
      <c r="M610" s="14">
        <f>(IF(Time!M$4&gt;=Inputs!$F$61,Inputs!$F$67,Inputs!$F$66+(Inputs!$F$67-Inputs!$F$66)*(Time!M$4-Inputs!$F$23)/(Inputs!$F$61-Inputs!$F$23))+Operations!$F$420)/100</f>
        <v/>
      </c>
      <c r="N610" s="14">
        <f>(IF(Time!N$4&gt;=Inputs!$F$61,Inputs!$F$67,Inputs!$F$66+(Inputs!$F$67-Inputs!$F$66)*(Time!N$4-Inputs!$F$23)/(Inputs!$F$61-Inputs!$F$23))+Operations!$F$420)/100</f>
        <v/>
      </c>
      <c r="O610" s="14">
        <f>(IF(Time!O$4&gt;=Inputs!$F$61,Inputs!$F$67,Inputs!$F$66+(Inputs!$F$67-Inputs!$F$66)*(Time!O$4-Inputs!$F$23)/(Inputs!$F$61-Inputs!$F$23))+Operations!$F$420)/100</f>
        <v/>
      </c>
      <c r="P610" s="14">
        <f>(IF(Time!P$4&gt;=Inputs!$F$61,Inputs!$F$67,Inputs!$F$66+(Inputs!$F$67-Inputs!$F$66)*(Time!P$4-Inputs!$F$23)/(Inputs!$F$61-Inputs!$F$23))+Operations!$F$420)/100</f>
        <v/>
      </c>
      <c r="Q610" s="14">
        <f>(IF(Time!Q$4&gt;=Inputs!$F$61,Inputs!$F$67,Inputs!$F$66+(Inputs!$F$67-Inputs!$F$66)*(Time!Q$4-Inputs!$F$23)/(Inputs!$F$61-Inputs!$F$23))+Operations!$F$420)/100</f>
        <v/>
      </c>
      <c r="R610" s="14">
        <f>(IF(Time!R$4&gt;=Inputs!$F$61,Inputs!$F$67,Inputs!$F$66+(Inputs!$F$67-Inputs!$F$66)*(Time!R$4-Inputs!$F$23)/(Inputs!$F$61-Inputs!$F$23))+Operations!$F$420)/100</f>
        <v/>
      </c>
      <c r="S610" s="14">
        <f>(IF(Time!S$4&gt;=Inputs!$F$61,Inputs!$F$67,Inputs!$F$66+(Inputs!$F$67-Inputs!$F$66)*(Time!S$4-Inputs!$F$23)/(Inputs!$F$61-Inputs!$F$23))+Operations!$F$420)/100</f>
        <v/>
      </c>
      <c r="T610" s="14">
        <f>(IF(Time!T$4&gt;=Inputs!$F$61,Inputs!$F$67,Inputs!$F$66+(Inputs!$F$67-Inputs!$F$66)*(Time!T$4-Inputs!$F$23)/(Inputs!$F$61-Inputs!$F$23))+Operations!$F$420)/100</f>
        <v/>
      </c>
      <c r="U610" s="14">
        <f>(IF(Time!U$4&gt;=Inputs!$F$61,Inputs!$F$67,Inputs!$F$66+(Inputs!$F$67-Inputs!$F$66)*(Time!U$4-Inputs!$F$23)/(Inputs!$F$61-Inputs!$F$23))+Operations!$F$420)/100</f>
        <v/>
      </c>
      <c r="V610" s="14">
        <f>(IF(Time!V$4&gt;=Inputs!$F$61,Inputs!$F$67,Inputs!$F$66+(Inputs!$F$67-Inputs!$F$66)*(Time!V$4-Inputs!$F$23)/(Inputs!$F$61-Inputs!$F$23))+Operations!$F$420)/100</f>
        <v/>
      </c>
      <c r="W610" s="14">
        <f>(IF(Time!W$4&gt;=Inputs!$F$61,Inputs!$F$67,Inputs!$F$66+(Inputs!$F$67-Inputs!$F$66)*(Time!W$4-Inputs!$F$23)/(Inputs!$F$61-Inputs!$F$23))+Operations!$F$420)/100</f>
        <v/>
      </c>
      <c r="X610" s="14">
        <f>(IF(Time!X$4&gt;=Inputs!$F$61,Inputs!$F$67,Inputs!$F$66+(Inputs!$F$67-Inputs!$F$66)*(Time!X$4-Inputs!$F$23)/(Inputs!$F$61-Inputs!$F$23))+Operations!$F$420)/100</f>
        <v/>
      </c>
      <c r="Y610" s="14">
        <f>(IF(Time!Y$4&gt;=Inputs!$F$61,Inputs!$F$67,Inputs!$F$66+(Inputs!$F$67-Inputs!$F$66)*(Time!Y$4-Inputs!$F$23)/(Inputs!$F$61-Inputs!$F$23))+Operations!$F$420)/100</f>
        <v/>
      </c>
      <c r="Z610" s="14">
        <f>(IF(Time!Z$4&gt;=Inputs!$F$61,Inputs!$F$67,Inputs!$F$66+(Inputs!$F$67-Inputs!$F$66)*(Time!Z$4-Inputs!$F$23)/(Inputs!$F$61-Inputs!$F$23))+Operations!$F$420)/100</f>
        <v/>
      </c>
      <c r="AA610" s="14">
        <f>(IF(Time!AA$4&gt;=Inputs!$F$61,Inputs!$F$67,Inputs!$F$66+(Inputs!$F$67-Inputs!$F$66)*(Time!AA$4-Inputs!$F$23)/(Inputs!$F$61-Inputs!$F$23))+Operations!$F$420)/100</f>
        <v/>
      </c>
      <c r="AB610" s="14">
        <f>(IF(Time!AB$4&gt;=Inputs!$F$61,Inputs!$F$67,Inputs!$F$66+(Inputs!$F$67-Inputs!$F$66)*(Time!AB$4-Inputs!$F$23)/(Inputs!$F$61-Inputs!$F$23))+Operations!$F$420)/100</f>
        <v/>
      </c>
      <c r="AC610" s="14">
        <f>(IF(Time!AC$4&gt;=Inputs!$F$61,Inputs!$F$67,Inputs!$F$66+(Inputs!$F$67-Inputs!$F$66)*(Time!AC$4-Inputs!$F$23)/(Inputs!$F$61-Inputs!$F$23))+Operations!$F$420)/100</f>
        <v/>
      </c>
      <c r="AD610" s="14">
        <f>(IF(Time!AD$4&gt;=Inputs!$F$61,Inputs!$F$67,Inputs!$F$66+(Inputs!$F$67-Inputs!$F$66)*(Time!AD$4-Inputs!$F$23)/(Inputs!$F$61-Inputs!$F$23))+Operations!$F$420)/100</f>
        <v/>
      </c>
      <c r="AE610" s="14">
        <f>(IF(Time!AE$4&gt;=Inputs!$F$61,Inputs!$F$67,Inputs!$F$66+(Inputs!$F$67-Inputs!$F$66)*(Time!AE$4-Inputs!$F$23)/(Inputs!$F$61-Inputs!$F$23))+Operations!$F$420)/100</f>
        <v/>
      </c>
      <c r="AF610" s="14">
        <f>(IF(Time!AF$4&gt;=Inputs!$F$61,Inputs!$F$67,Inputs!$F$66+(Inputs!$F$67-Inputs!$F$66)*(Time!AF$4-Inputs!$F$23)/(Inputs!$F$61-Inputs!$F$23))+Operations!$F$420)/100</f>
        <v/>
      </c>
      <c r="AG610" s="14">
        <f>(IF(Time!AG$4&gt;=Inputs!$F$61,Inputs!$F$67,Inputs!$F$66+(Inputs!$F$67-Inputs!$F$66)*(Time!AG$4-Inputs!$F$23)/(Inputs!$F$61-Inputs!$F$23))+Operations!$F$420)/100</f>
        <v/>
      </c>
      <c r="AH610" s="14">
        <f>(IF(Time!AH$4&gt;=Inputs!$F$61,Inputs!$F$67,Inputs!$F$66+(Inputs!$F$67-Inputs!$F$66)*(Time!AH$4-Inputs!$F$23)/(Inputs!$F$61-Inputs!$F$23))+Operations!$F$420)/100</f>
        <v/>
      </c>
      <c r="AI610" s="14">
        <f>(IF(Time!AI$4&gt;=Inputs!$F$61,Inputs!$F$67,Inputs!$F$66+(Inputs!$F$67-Inputs!$F$66)*(Time!AI$4-Inputs!$F$23)/(Inputs!$F$61-Inputs!$F$23))+Operations!$F$420)/100</f>
        <v/>
      </c>
      <c r="AJ610" s="14">
        <f>(IF(Time!AJ$4&gt;=Inputs!$F$61,Inputs!$F$67,Inputs!$F$66+(Inputs!$F$67-Inputs!$F$66)*(Time!AJ$4-Inputs!$F$23)/(Inputs!$F$61-Inputs!$F$23))+Operations!$F$420)/100</f>
        <v/>
      </c>
      <c r="AK610" s="14">
        <f>(IF(Time!AK$4&gt;=Inputs!$F$61,Inputs!$F$67,Inputs!$F$66+(Inputs!$F$67-Inputs!$F$66)*(Time!AK$4-Inputs!$F$23)/(Inputs!$F$61-Inputs!$F$23))+Operations!$F$420)/100</f>
        <v/>
      </c>
      <c r="AL610" s="14">
        <f>(IF(Time!AL$4&gt;=Inputs!$F$61,Inputs!$F$67,Inputs!$F$66+(Inputs!$F$67-Inputs!$F$66)*(Time!AL$4-Inputs!$F$23)/(Inputs!$F$61-Inputs!$F$23))+Operations!$F$420)/100</f>
        <v/>
      </c>
      <c r="AM610" s="14">
        <f>(IF(Time!AM$4&gt;=Inputs!$F$61,Inputs!$F$67,Inputs!$F$66+(Inputs!$F$67-Inputs!$F$66)*(Time!AM$4-Inputs!$F$23)/(Inputs!$F$61-Inputs!$F$23))+Operations!$F$420)/100</f>
        <v/>
      </c>
      <c r="AN610" s="14">
        <f>(IF(Time!AN$4&gt;=Inputs!$F$61,Inputs!$F$67,Inputs!$F$66+(Inputs!$F$67-Inputs!$F$66)*(Time!AN$4-Inputs!$F$23)/(Inputs!$F$61-Inputs!$F$23))+Operations!$F$420)/100</f>
        <v/>
      </c>
      <c r="AO610" s="14">
        <f>(IF(Time!AO$4&gt;=Inputs!$F$61,Inputs!$F$67,Inputs!$F$66+(Inputs!$F$67-Inputs!$F$66)*(Time!AO$4-Inputs!$F$23)/(Inputs!$F$61-Inputs!$F$23))+Operations!$F$420)/100</f>
        <v/>
      </c>
      <c r="AP610" s="14">
        <f>(IF(Time!AP$4&gt;=Inputs!$F$61,Inputs!$F$67,Inputs!$F$66+(Inputs!$F$67-Inputs!$F$66)*(Time!AP$4-Inputs!$F$23)/(Inputs!$F$61-Inputs!$F$23))+Operations!$F$420)/100</f>
        <v/>
      </c>
      <c r="AQ610" s="14">
        <f>(IF(Time!AQ$4&gt;=Inputs!$F$61,Inputs!$F$67,Inputs!$F$66+(Inputs!$F$67-Inputs!$F$66)*(Time!AQ$4-Inputs!$F$23)/(Inputs!$F$61-Inputs!$F$23))+Operations!$F$420)/100</f>
        <v/>
      </c>
      <c r="AR610" s="14">
        <f>(IF(Time!AR$4&gt;=Inputs!$F$61,Inputs!$F$67,Inputs!$F$66+(Inputs!$F$67-Inputs!$F$66)*(Time!AR$4-Inputs!$F$23)/(Inputs!$F$61-Inputs!$F$23))+Operations!$F$420)/100</f>
        <v/>
      </c>
      <c r="AS610" s="14">
        <f>(IF(Time!AS$4&gt;=Inputs!$F$61,Inputs!$F$67,Inputs!$F$66+(Inputs!$F$67-Inputs!$F$66)*(Time!AS$4-Inputs!$F$23)/(Inputs!$F$61-Inputs!$F$23))+Operations!$F$420)/100</f>
        <v/>
      </c>
      <c r="AT610" s="14">
        <f>(IF(Time!AT$4&gt;=Inputs!$F$61,Inputs!$F$67,Inputs!$F$66+(Inputs!$F$67-Inputs!$F$66)*(Time!AT$4-Inputs!$F$23)/(Inputs!$F$61-Inputs!$F$23))+Operations!$F$420)/100</f>
        <v/>
      </c>
      <c r="AU610" s="14">
        <f>(IF(Time!AU$4&gt;=Inputs!$F$61,Inputs!$F$67,Inputs!$F$66+(Inputs!$F$67-Inputs!$F$66)*(Time!AU$4-Inputs!$F$23)/(Inputs!$F$61-Inputs!$F$23))+Operations!$F$420)/100</f>
        <v/>
      </c>
    </row>
    <row r="611">
      <c r="D611" t="inlineStr">
        <is>
          <t>R5 net generation, full year</t>
        </is>
      </c>
      <c r="E611" t="inlineStr">
        <is>
          <t>GWh</t>
        </is>
      </c>
      <c r="J611" s="20">
        <f>Inputs!$F$138*Operations!J608*Inputs!$F$185/100*Operations!J609*(1-Operations!J610)</f>
        <v/>
      </c>
      <c r="K611" s="20">
        <f>Inputs!$F$138*Operations!K608*Inputs!$F$185/100*Operations!K609*(1-Operations!K610)</f>
        <v/>
      </c>
      <c r="L611" s="20">
        <f>Inputs!$F$138*Operations!L608*Inputs!$F$185/100*Operations!L609*(1-Operations!L610)</f>
        <v/>
      </c>
      <c r="M611" s="20">
        <f>Inputs!$F$138*Operations!M608*Inputs!$F$185/100*Operations!M609*(1-Operations!M610)</f>
        <v/>
      </c>
      <c r="N611" s="20">
        <f>Inputs!$F$138*Operations!N608*Inputs!$F$185/100*Operations!N609*(1-Operations!N610)</f>
        <v/>
      </c>
      <c r="O611" s="20">
        <f>Inputs!$F$138*Operations!O608*Inputs!$F$185/100*Operations!O609*(1-Operations!O610)</f>
        <v/>
      </c>
      <c r="P611" s="20">
        <f>Inputs!$F$138*Operations!P608*Inputs!$F$185/100*Operations!P609*(1-Operations!P610)</f>
        <v/>
      </c>
      <c r="Q611" s="20">
        <f>Inputs!$F$138*Operations!Q608*Inputs!$F$185/100*Operations!Q609*(1-Operations!Q610)</f>
        <v/>
      </c>
      <c r="R611" s="20">
        <f>Inputs!$F$138*Operations!R608*Inputs!$F$185/100*Operations!R609*(1-Operations!R610)</f>
        <v/>
      </c>
      <c r="S611" s="20">
        <f>Inputs!$F$138*Operations!S608*Inputs!$F$185/100*Operations!S609*(1-Operations!S610)</f>
        <v/>
      </c>
      <c r="T611" s="20">
        <f>Inputs!$F$138*Operations!T608*Inputs!$F$185/100*Operations!T609*(1-Operations!T610)</f>
        <v/>
      </c>
      <c r="U611" s="20">
        <f>Inputs!$F$138*Operations!U608*Inputs!$F$185/100*Operations!U609*(1-Operations!U610)</f>
        <v/>
      </c>
      <c r="V611" s="20">
        <f>Inputs!$F$138*Operations!V608*Inputs!$F$185/100*Operations!V609*(1-Operations!V610)</f>
        <v/>
      </c>
      <c r="W611" s="20">
        <f>Inputs!$F$138*Operations!W608*Inputs!$F$185/100*Operations!W609*(1-Operations!W610)</f>
        <v/>
      </c>
      <c r="X611" s="20">
        <f>Inputs!$F$138*Operations!X608*Inputs!$F$185/100*Operations!X609*(1-Operations!X610)</f>
        <v/>
      </c>
      <c r="Y611" s="20">
        <f>Inputs!$F$138*Operations!Y608*Inputs!$F$185/100*Operations!Y609*(1-Operations!Y610)</f>
        <v/>
      </c>
      <c r="Z611" s="20">
        <f>Inputs!$F$138*Operations!Z608*Inputs!$F$185/100*Operations!Z609*(1-Operations!Z610)</f>
        <v/>
      </c>
      <c r="AA611" s="20">
        <f>Inputs!$F$138*Operations!AA608*Inputs!$F$185/100*Operations!AA609*(1-Operations!AA610)</f>
        <v/>
      </c>
      <c r="AB611" s="20">
        <f>Inputs!$F$138*Operations!AB608*Inputs!$F$185/100*Operations!AB609*(1-Operations!AB610)</f>
        <v/>
      </c>
      <c r="AC611" s="20">
        <f>Inputs!$F$138*Operations!AC608*Inputs!$F$185/100*Operations!AC609*(1-Operations!AC610)</f>
        <v/>
      </c>
      <c r="AD611" s="20">
        <f>Inputs!$F$138*Operations!AD608*Inputs!$F$185/100*Operations!AD609*(1-Operations!AD610)</f>
        <v/>
      </c>
      <c r="AE611" s="20">
        <f>Inputs!$F$138*Operations!AE608*Inputs!$F$185/100*Operations!AE609*(1-Operations!AE610)</f>
        <v/>
      </c>
      <c r="AF611" s="20">
        <f>Inputs!$F$138*Operations!AF608*Inputs!$F$185/100*Operations!AF609*(1-Operations!AF610)</f>
        <v/>
      </c>
      <c r="AG611" s="20">
        <f>Inputs!$F$138*Operations!AG608*Inputs!$F$185/100*Operations!AG609*(1-Operations!AG610)</f>
        <v/>
      </c>
      <c r="AH611" s="20">
        <f>Inputs!$F$138*Operations!AH608*Inputs!$F$185/100*Operations!AH609*(1-Operations!AH610)</f>
        <v/>
      </c>
      <c r="AI611" s="20">
        <f>Inputs!$F$138*Operations!AI608*Inputs!$F$185/100*Operations!AI609*(1-Operations!AI610)</f>
        <v/>
      </c>
      <c r="AJ611" s="20">
        <f>Inputs!$F$138*Operations!AJ608*Inputs!$F$185/100*Operations!AJ609*(1-Operations!AJ610)</f>
        <v/>
      </c>
      <c r="AK611" s="20">
        <f>Inputs!$F$138*Operations!AK608*Inputs!$F$185/100*Operations!AK609*(1-Operations!AK610)</f>
        <v/>
      </c>
      <c r="AL611" s="20">
        <f>Inputs!$F$138*Operations!AL608*Inputs!$F$185/100*Operations!AL609*(1-Operations!AL610)</f>
        <v/>
      </c>
      <c r="AM611" s="20">
        <f>Inputs!$F$138*Operations!AM608*Inputs!$F$185/100*Operations!AM609*(1-Operations!AM610)</f>
        <v/>
      </c>
      <c r="AN611" s="20">
        <f>Inputs!$F$138*Operations!AN608*Inputs!$F$185/100*Operations!AN609*(1-Operations!AN610)</f>
        <v/>
      </c>
      <c r="AO611" s="20">
        <f>Inputs!$F$138*Operations!AO608*Inputs!$F$185/100*Operations!AO609*(1-Operations!AO610)</f>
        <v/>
      </c>
      <c r="AP611" s="20">
        <f>Inputs!$F$138*Operations!AP608*Inputs!$F$185/100*Operations!AP609*(1-Operations!AP610)</f>
        <v/>
      </c>
      <c r="AQ611" s="20">
        <f>Inputs!$F$138*Operations!AQ608*Inputs!$F$185/100*Operations!AQ609*(1-Operations!AQ610)</f>
        <v/>
      </c>
      <c r="AR611" s="20">
        <f>Inputs!$F$138*Operations!AR608*Inputs!$F$185/100*Operations!AR609*(1-Operations!AR610)</f>
        <v/>
      </c>
      <c r="AS611" s="20">
        <f>Inputs!$F$138*Operations!AS608*Inputs!$F$185/100*Operations!AS609*(1-Operations!AS610)</f>
        <v/>
      </c>
      <c r="AT611" s="20">
        <f>Inputs!$F$138*Operations!AT608*Inputs!$F$185/100*Operations!AT609*(1-Operations!AT610)</f>
        <v/>
      </c>
      <c r="AU611" s="20">
        <f>Inputs!$F$138*Operations!AU608*Inputs!$F$185/100*Operations!AU609*(1-Operations!AU610)</f>
        <v/>
      </c>
    </row>
    <row r="612">
      <c r="D612" t="inlineStr">
        <is>
          <t>R5 net generation</t>
        </is>
      </c>
      <c r="E612" t="inlineStr">
        <is>
          <t>GWh</t>
        </is>
      </c>
      <c r="G612" s="20">
        <f>SUM(J612:AU612)</f>
        <v/>
      </c>
      <c r="J612" s="20">
        <f>Operations!J611*Operations!J604</f>
        <v/>
      </c>
      <c r="K612" s="20">
        <f>Operations!K611*Operations!K604</f>
        <v/>
      </c>
      <c r="L612" s="20">
        <f>Operations!L611*Operations!L604</f>
        <v/>
      </c>
      <c r="M612" s="20">
        <f>Operations!M611*Operations!M604</f>
        <v/>
      </c>
      <c r="N612" s="20">
        <f>Operations!N611*Operations!N604</f>
        <v/>
      </c>
      <c r="O612" s="20">
        <f>Operations!O611*Operations!O604</f>
        <v/>
      </c>
      <c r="P612" s="20">
        <f>Operations!P611*Operations!P604</f>
        <v/>
      </c>
      <c r="Q612" s="20">
        <f>Operations!Q611*Operations!Q604</f>
        <v/>
      </c>
      <c r="R612" s="20">
        <f>Operations!R611*Operations!R604</f>
        <v/>
      </c>
      <c r="S612" s="20">
        <f>Operations!S611*Operations!S604</f>
        <v/>
      </c>
      <c r="T612" s="20">
        <f>Operations!T611*Operations!T604</f>
        <v/>
      </c>
      <c r="U612" s="20">
        <f>Operations!U611*Operations!U604</f>
        <v/>
      </c>
      <c r="V612" s="20">
        <f>Operations!V611*Operations!V604</f>
        <v/>
      </c>
      <c r="W612" s="20">
        <f>Operations!W611*Operations!W604</f>
        <v/>
      </c>
      <c r="X612" s="20">
        <f>Operations!X611*Operations!X604</f>
        <v/>
      </c>
      <c r="Y612" s="20">
        <f>Operations!Y611*Operations!Y604</f>
        <v/>
      </c>
      <c r="Z612" s="20">
        <f>Operations!Z611*Operations!Z604</f>
        <v/>
      </c>
      <c r="AA612" s="20">
        <f>Operations!AA611*Operations!AA604</f>
        <v/>
      </c>
      <c r="AB612" s="20">
        <f>Operations!AB611*Operations!AB604</f>
        <v/>
      </c>
      <c r="AC612" s="20">
        <f>Operations!AC611*Operations!AC604</f>
        <v/>
      </c>
      <c r="AD612" s="20">
        <f>Operations!AD611*Operations!AD604</f>
        <v/>
      </c>
      <c r="AE612" s="20">
        <f>Operations!AE611*Operations!AE604</f>
        <v/>
      </c>
      <c r="AF612" s="20">
        <f>Operations!AF611*Operations!AF604</f>
        <v/>
      </c>
      <c r="AG612" s="20">
        <f>Operations!AG611*Operations!AG604</f>
        <v/>
      </c>
      <c r="AH612" s="20">
        <f>Operations!AH611*Operations!AH604</f>
        <v/>
      </c>
      <c r="AI612" s="20">
        <f>Operations!AI611*Operations!AI604</f>
        <v/>
      </c>
      <c r="AJ612" s="20">
        <f>Operations!AJ611*Operations!AJ604</f>
        <v/>
      </c>
      <c r="AK612" s="20">
        <f>Operations!AK611*Operations!AK604</f>
        <v/>
      </c>
      <c r="AL612" s="20">
        <f>Operations!AL611*Operations!AL604</f>
        <v/>
      </c>
      <c r="AM612" s="20">
        <f>Operations!AM611*Operations!AM604</f>
        <v/>
      </c>
      <c r="AN612" s="20">
        <f>Operations!AN611*Operations!AN604</f>
        <v/>
      </c>
      <c r="AO612" s="20">
        <f>Operations!AO611*Operations!AO604</f>
        <v/>
      </c>
      <c r="AP612" s="20">
        <f>Operations!AP611*Operations!AP604</f>
        <v/>
      </c>
      <c r="AQ612" s="20">
        <f>Operations!AQ611*Operations!AQ604</f>
        <v/>
      </c>
      <c r="AR612" s="20">
        <f>Operations!AR611*Operations!AR604</f>
        <v/>
      </c>
      <c r="AS612" s="20">
        <f>Operations!AS611*Operations!AS604</f>
        <v/>
      </c>
      <c r="AT612" s="20">
        <f>Operations!AT611*Operations!AT604</f>
        <v/>
      </c>
      <c r="AU612" s="20">
        <f>Operations!AU611*Operations!AU604</f>
        <v/>
      </c>
    </row>
    <row r="613">
      <c r="D613" t="inlineStr">
        <is>
          <t>R5 hub capture ratio</t>
        </is>
      </c>
      <c r="E613" t="inlineStr">
        <is>
          <t>ratio</t>
        </is>
      </c>
      <c r="J613" s="14">
        <f>Operations!J430</f>
        <v/>
      </c>
      <c r="K613" s="14">
        <f>Operations!K430</f>
        <v/>
      </c>
      <c r="L613" s="14">
        <f>Operations!L430</f>
        <v/>
      </c>
      <c r="M613" s="14">
        <f>Operations!M430</f>
        <v/>
      </c>
      <c r="N613" s="14">
        <f>Operations!N430</f>
        <v/>
      </c>
      <c r="O613" s="14">
        <f>Operations!O430</f>
        <v/>
      </c>
      <c r="P613" s="14">
        <f>Operations!P430</f>
        <v/>
      </c>
      <c r="Q613" s="14">
        <f>Operations!Q430</f>
        <v/>
      </c>
      <c r="R613" s="14">
        <f>Operations!R430</f>
        <v/>
      </c>
      <c r="S613" s="14">
        <f>Operations!S430</f>
        <v/>
      </c>
      <c r="T613" s="14">
        <f>Operations!T430</f>
        <v/>
      </c>
      <c r="U613" s="14">
        <f>Operations!U430</f>
        <v/>
      </c>
      <c r="V613" s="14">
        <f>Operations!V430</f>
        <v/>
      </c>
      <c r="W613" s="14">
        <f>Operations!W430</f>
        <v/>
      </c>
      <c r="X613" s="14">
        <f>Operations!X430</f>
        <v/>
      </c>
      <c r="Y613" s="14">
        <f>Operations!Y430</f>
        <v/>
      </c>
      <c r="Z613" s="14">
        <f>Operations!Z430</f>
        <v/>
      </c>
      <c r="AA613" s="14">
        <f>Operations!AA430</f>
        <v/>
      </c>
      <c r="AB613" s="14">
        <f>Operations!AB430</f>
        <v/>
      </c>
      <c r="AC613" s="14">
        <f>Operations!AC430</f>
        <v/>
      </c>
      <c r="AD613" s="14">
        <f>Operations!AD430</f>
        <v/>
      </c>
      <c r="AE613" s="14">
        <f>Operations!AE430</f>
        <v/>
      </c>
      <c r="AF613" s="14">
        <f>Operations!AF430</f>
        <v/>
      </c>
      <c r="AG613" s="14">
        <f>Operations!AG430</f>
        <v/>
      </c>
      <c r="AH613" s="14">
        <f>Operations!AH430</f>
        <v/>
      </c>
      <c r="AI613" s="14">
        <f>Operations!AI430</f>
        <v/>
      </c>
      <c r="AJ613" s="14">
        <f>Operations!AJ430</f>
        <v/>
      </c>
      <c r="AK613" s="14">
        <f>Operations!AK430</f>
        <v/>
      </c>
      <c r="AL613" s="14">
        <f>Operations!AL430</f>
        <v/>
      </c>
      <c r="AM613" s="14">
        <f>Operations!AM430</f>
        <v/>
      </c>
      <c r="AN613" s="14">
        <f>Operations!AN430</f>
        <v/>
      </c>
      <c r="AO613" s="14">
        <f>Operations!AO430</f>
        <v/>
      </c>
      <c r="AP613" s="14">
        <f>Operations!AP430</f>
        <v/>
      </c>
      <c r="AQ613" s="14">
        <f>Operations!AQ430</f>
        <v/>
      </c>
      <c r="AR613" s="14">
        <f>Operations!AR430</f>
        <v/>
      </c>
      <c r="AS613" s="14">
        <f>Operations!AS430</f>
        <v/>
      </c>
      <c r="AT613" s="14">
        <f>Operations!AT430</f>
        <v/>
      </c>
      <c r="AU613" s="14">
        <f>Operations!AU430</f>
        <v/>
      </c>
    </row>
    <row r="614">
      <c r="D614" t="inlineStr">
        <is>
          <t>R5 node capture ratio</t>
        </is>
      </c>
      <c r="E614" t="inlineStr">
        <is>
          <t>ratio</t>
        </is>
      </c>
      <c r="J614" s="14">
        <f>Operations!J613-Inputs!$F$52</f>
        <v/>
      </c>
      <c r="K614" s="14">
        <f>Operations!K613-Inputs!$F$52</f>
        <v/>
      </c>
      <c r="L614" s="14">
        <f>Operations!L613-Inputs!$F$52</f>
        <v/>
      </c>
      <c r="M614" s="14">
        <f>Operations!M613-Inputs!$F$52</f>
        <v/>
      </c>
      <c r="N614" s="14">
        <f>Operations!N613-Inputs!$F$52</f>
        <v/>
      </c>
      <c r="O614" s="14">
        <f>Operations!O613-Inputs!$F$52</f>
        <v/>
      </c>
      <c r="P614" s="14">
        <f>Operations!P613-Inputs!$F$52</f>
        <v/>
      </c>
      <c r="Q614" s="14">
        <f>Operations!Q613-Inputs!$F$52</f>
        <v/>
      </c>
      <c r="R614" s="14">
        <f>Operations!R613-Inputs!$F$52</f>
        <v/>
      </c>
      <c r="S614" s="14">
        <f>Operations!S613-Inputs!$F$52</f>
        <v/>
      </c>
      <c r="T614" s="14">
        <f>Operations!T613-Inputs!$F$52</f>
        <v/>
      </c>
      <c r="U614" s="14">
        <f>Operations!U613-Inputs!$F$52</f>
        <v/>
      </c>
      <c r="V614" s="14">
        <f>Operations!V613-Inputs!$F$52</f>
        <v/>
      </c>
      <c r="W614" s="14">
        <f>Operations!W613-Inputs!$F$52</f>
        <v/>
      </c>
      <c r="X614" s="14">
        <f>Operations!X613-Inputs!$F$52</f>
        <v/>
      </c>
      <c r="Y614" s="14">
        <f>Operations!Y613-Inputs!$F$52</f>
        <v/>
      </c>
      <c r="Z614" s="14">
        <f>Operations!Z613-Inputs!$F$52</f>
        <v/>
      </c>
      <c r="AA614" s="14">
        <f>Operations!AA613-Inputs!$F$52</f>
        <v/>
      </c>
      <c r="AB614" s="14">
        <f>Operations!AB613-Inputs!$F$52</f>
        <v/>
      </c>
      <c r="AC614" s="14">
        <f>Operations!AC613-Inputs!$F$52</f>
        <v/>
      </c>
      <c r="AD614" s="14">
        <f>Operations!AD613-Inputs!$F$52</f>
        <v/>
      </c>
      <c r="AE614" s="14">
        <f>Operations!AE613-Inputs!$F$52</f>
        <v/>
      </c>
      <c r="AF614" s="14">
        <f>Operations!AF613-Inputs!$F$52</f>
        <v/>
      </c>
      <c r="AG614" s="14">
        <f>Operations!AG613-Inputs!$F$52</f>
        <v/>
      </c>
      <c r="AH614" s="14">
        <f>Operations!AH613-Inputs!$F$52</f>
        <v/>
      </c>
      <c r="AI614" s="14">
        <f>Operations!AI613-Inputs!$F$52</f>
        <v/>
      </c>
      <c r="AJ614" s="14">
        <f>Operations!AJ613-Inputs!$F$52</f>
        <v/>
      </c>
      <c r="AK614" s="14">
        <f>Operations!AK613-Inputs!$F$52</f>
        <v/>
      </c>
      <c r="AL614" s="14">
        <f>Operations!AL613-Inputs!$F$52</f>
        <v/>
      </c>
      <c r="AM614" s="14">
        <f>Operations!AM613-Inputs!$F$52</f>
        <v/>
      </c>
      <c r="AN614" s="14">
        <f>Operations!AN613-Inputs!$F$52</f>
        <v/>
      </c>
      <c r="AO614" s="14">
        <f>Operations!AO613-Inputs!$F$52</f>
        <v/>
      </c>
      <c r="AP614" s="14">
        <f>Operations!AP613-Inputs!$F$52</f>
        <v/>
      </c>
      <c r="AQ614" s="14">
        <f>Operations!AQ613-Inputs!$F$52</f>
        <v/>
      </c>
      <c r="AR614" s="14">
        <f>Operations!AR613-Inputs!$F$52</f>
        <v/>
      </c>
      <c r="AS614" s="14">
        <f>Operations!AS613-Inputs!$F$52</f>
        <v/>
      </c>
      <c r="AT614" s="14">
        <f>Operations!AT613-Inputs!$F$52</f>
        <v/>
      </c>
      <c r="AU614" s="14">
        <f>Operations!AU613-Inputs!$F$52</f>
        <v/>
      </c>
    </row>
    <row r="615">
      <c r="D615" t="inlineStr">
        <is>
          <t>R5 realized node price</t>
        </is>
      </c>
      <c r="E615" t="inlineStr">
        <is>
          <t>USD/MWh</t>
        </is>
      </c>
      <c r="J615" s="18">
        <f>Operations!J607*Operations!J614</f>
        <v/>
      </c>
      <c r="K615" s="18">
        <f>Operations!K607*Operations!K614</f>
        <v/>
      </c>
      <c r="L615" s="18">
        <f>Operations!L607*Operations!L614</f>
        <v/>
      </c>
      <c r="M615" s="18">
        <f>Operations!M607*Operations!M614</f>
        <v/>
      </c>
      <c r="N615" s="18">
        <f>Operations!N607*Operations!N614</f>
        <v/>
      </c>
      <c r="O615" s="18">
        <f>Operations!O607*Operations!O614</f>
        <v/>
      </c>
      <c r="P615" s="18">
        <f>Operations!P607*Operations!P614</f>
        <v/>
      </c>
      <c r="Q615" s="18">
        <f>Operations!Q607*Operations!Q614</f>
        <v/>
      </c>
      <c r="R615" s="18">
        <f>Operations!R607*Operations!R614</f>
        <v/>
      </c>
      <c r="S615" s="18">
        <f>Operations!S607*Operations!S614</f>
        <v/>
      </c>
      <c r="T615" s="18">
        <f>Operations!T607*Operations!T614</f>
        <v/>
      </c>
      <c r="U615" s="18">
        <f>Operations!U607*Operations!U614</f>
        <v/>
      </c>
      <c r="V615" s="18">
        <f>Operations!V607*Operations!V614</f>
        <v/>
      </c>
      <c r="W615" s="18">
        <f>Operations!W607*Operations!W614</f>
        <v/>
      </c>
      <c r="X615" s="18">
        <f>Operations!X607*Operations!X614</f>
        <v/>
      </c>
      <c r="Y615" s="18">
        <f>Operations!Y607*Operations!Y614</f>
        <v/>
      </c>
      <c r="Z615" s="18">
        <f>Operations!Z607*Operations!Z614</f>
        <v/>
      </c>
      <c r="AA615" s="18">
        <f>Operations!AA607*Operations!AA614</f>
        <v/>
      </c>
      <c r="AB615" s="18">
        <f>Operations!AB607*Operations!AB614</f>
        <v/>
      </c>
      <c r="AC615" s="18">
        <f>Operations!AC607*Operations!AC614</f>
        <v/>
      </c>
      <c r="AD615" s="18">
        <f>Operations!AD607*Operations!AD614</f>
        <v/>
      </c>
      <c r="AE615" s="18">
        <f>Operations!AE607*Operations!AE614</f>
        <v/>
      </c>
      <c r="AF615" s="18">
        <f>Operations!AF607*Operations!AF614</f>
        <v/>
      </c>
      <c r="AG615" s="18">
        <f>Operations!AG607*Operations!AG614</f>
        <v/>
      </c>
      <c r="AH615" s="18">
        <f>Operations!AH607*Operations!AH614</f>
        <v/>
      </c>
      <c r="AI615" s="18">
        <f>Operations!AI607*Operations!AI614</f>
        <v/>
      </c>
      <c r="AJ615" s="18">
        <f>Operations!AJ607*Operations!AJ614</f>
        <v/>
      </c>
      <c r="AK615" s="18">
        <f>Operations!AK607*Operations!AK614</f>
        <v/>
      </c>
      <c r="AL615" s="18">
        <f>Operations!AL607*Operations!AL614</f>
        <v/>
      </c>
      <c r="AM615" s="18">
        <f>Operations!AM607*Operations!AM614</f>
        <v/>
      </c>
      <c r="AN615" s="18">
        <f>Operations!AN607*Operations!AN614</f>
        <v/>
      </c>
      <c r="AO615" s="18">
        <f>Operations!AO607*Operations!AO614</f>
        <v/>
      </c>
      <c r="AP615" s="18">
        <f>Operations!AP607*Operations!AP614</f>
        <v/>
      </c>
      <c r="AQ615" s="18">
        <f>Operations!AQ607*Operations!AQ614</f>
        <v/>
      </c>
      <c r="AR615" s="18">
        <f>Operations!AR607*Operations!AR614</f>
        <v/>
      </c>
      <c r="AS615" s="18">
        <f>Operations!AS607*Operations!AS614</f>
        <v/>
      </c>
      <c r="AT615" s="18">
        <f>Operations!AT607*Operations!AT614</f>
        <v/>
      </c>
      <c r="AU615" s="18">
        <f>Operations!AU607*Operations!AU614</f>
        <v/>
      </c>
    </row>
    <row r="616">
      <c r="D616" t="inlineStr">
        <is>
          <t>R5 vPPA term fraction</t>
        </is>
      </c>
      <c r="E616" t="inlineStr">
        <is>
          <t>fraction</t>
        </is>
      </c>
      <c r="J616" s="14">
        <f>MAX(0,MIN(Inputs!$F$205,Time!J$6)-MAX(Inputs!$F$133,Time!J$5))/Time!J$7</f>
        <v/>
      </c>
      <c r="K616" s="14">
        <f>MAX(0,MIN(Inputs!$F$205,Time!K$6)-MAX(Inputs!$F$133,Time!K$5))/Time!K$7</f>
        <v/>
      </c>
      <c r="L616" s="14">
        <f>MAX(0,MIN(Inputs!$F$205,Time!L$6)-MAX(Inputs!$F$133,Time!L$5))/Time!L$7</f>
        <v/>
      </c>
      <c r="M616" s="14">
        <f>MAX(0,MIN(Inputs!$F$205,Time!M$6)-MAX(Inputs!$F$133,Time!M$5))/Time!M$7</f>
        <v/>
      </c>
      <c r="N616" s="14">
        <f>MAX(0,MIN(Inputs!$F$205,Time!N$6)-MAX(Inputs!$F$133,Time!N$5))/Time!N$7</f>
        <v/>
      </c>
      <c r="O616" s="14">
        <f>MAX(0,MIN(Inputs!$F$205,Time!O$6)-MAX(Inputs!$F$133,Time!O$5))/Time!O$7</f>
        <v/>
      </c>
      <c r="P616" s="14">
        <f>MAX(0,MIN(Inputs!$F$205,Time!P$6)-MAX(Inputs!$F$133,Time!P$5))/Time!P$7</f>
        <v/>
      </c>
      <c r="Q616" s="14">
        <f>MAX(0,MIN(Inputs!$F$205,Time!Q$6)-MAX(Inputs!$F$133,Time!Q$5))/Time!Q$7</f>
        <v/>
      </c>
      <c r="R616" s="14">
        <f>MAX(0,MIN(Inputs!$F$205,Time!R$6)-MAX(Inputs!$F$133,Time!R$5))/Time!R$7</f>
        <v/>
      </c>
      <c r="S616" s="14">
        <f>MAX(0,MIN(Inputs!$F$205,Time!S$6)-MAX(Inputs!$F$133,Time!S$5))/Time!S$7</f>
        <v/>
      </c>
      <c r="T616" s="14">
        <f>MAX(0,MIN(Inputs!$F$205,Time!T$6)-MAX(Inputs!$F$133,Time!T$5))/Time!T$7</f>
        <v/>
      </c>
      <c r="U616" s="14">
        <f>MAX(0,MIN(Inputs!$F$205,Time!U$6)-MAX(Inputs!$F$133,Time!U$5))/Time!U$7</f>
        <v/>
      </c>
      <c r="V616" s="14">
        <f>MAX(0,MIN(Inputs!$F$205,Time!V$6)-MAX(Inputs!$F$133,Time!V$5))/Time!V$7</f>
        <v/>
      </c>
      <c r="W616" s="14">
        <f>MAX(0,MIN(Inputs!$F$205,Time!W$6)-MAX(Inputs!$F$133,Time!W$5))/Time!W$7</f>
        <v/>
      </c>
      <c r="X616" s="14">
        <f>MAX(0,MIN(Inputs!$F$205,Time!X$6)-MAX(Inputs!$F$133,Time!X$5))/Time!X$7</f>
        <v/>
      </c>
      <c r="Y616" s="14">
        <f>MAX(0,MIN(Inputs!$F$205,Time!Y$6)-MAX(Inputs!$F$133,Time!Y$5))/Time!Y$7</f>
        <v/>
      </c>
      <c r="Z616" s="14">
        <f>MAX(0,MIN(Inputs!$F$205,Time!Z$6)-MAX(Inputs!$F$133,Time!Z$5))/Time!Z$7</f>
        <v/>
      </c>
      <c r="AA616" s="14">
        <f>MAX(0,MIN(Inputs!$F$205,Time!AA$6)-MAX(Inputs!$F$133,Time!AA$5))/Time!AA$7</f>
        <v/>
      </c>
      <c r="AB616" s="14">
        <f>MAX(0,MIN(Inputs!$F$205,Time!AB$6)-MAX(Inputs!$F$133,Time!AB$5))/Time!AB$7</f>
        <v/>
      </c>
      <c r="AC616" s="14">
        <f>MAX(0,MIN(Inputs!$F$205,Time!AC$6)-MAX(Inputs!$F$133,Time!AC$5))/Time!AC$7</f>
        <v/>
      </c>
      <c r="AD616" s="14">
        <f>MAX(0,MIN(Inputs!$F$205,Time!AD$6)-MAX(Inputs!$F$133,Time!AD$5))/Time!AD$7</f>
        <v/>
      </c>
      <c r="AE616" s="14">
        <f>MAX(0,MIN(Inputs!$F$205,Time!AE$6)-MAX(Inputs!$F$133,Time!AE$5))/Time!AE$7</f>
        <v/>
      </c>
      <c r="AF616" s="14">
        <f>MAX(0,MIN(Inputs!$F$205,Time!AF$6)-MAX(Inputs!$F$133,Time!AF$5))/Time!AF$7</f>
        <v/>
      </c>
      <c r="AG616" s="14">
        <f>MAX(0,MIN(Inputs!$F$205,Time!AG$6)-MAX(Inputs!$F$133,Time!AG$5))/Time!AG$7</f>
        <v/>
      </c>
      <c r="AH616" s="14">
        <f>MAX(0,MIN(Inputs!$F$205,Time!AH$6)-MAX(Inputs!$F$133,Time!AH$5))/Time!AH$7</f>
        <v/>
      </c>
      <c r="AI616" s="14">
        <f>MAX(0,MIN(Inputs!$F$205,Time!AI$6)-MAX(Inputs!$F$133,Time!AI$5))/Time!AI$7</f>
        <v/>
      </c>
      <c r="AJ616" s="14">
        <f>MAX(0,MIN(Inputs!$F$205,Time!AJ$6)-MAX(Inputs!$F$133,Time!AJ$5))/Time!AJ$7</f>
        <v/>
      </c>
      <c r="AK616" s="14">
        <f>MAX(0,MIN(Inputs!$F$205,Time!AK$6)-MAX(Inputs!$F$133,Time!AK$5))/Time!AK$7</f>
        <v/>
      </c>
      <c r="AL616" s="14">
        <f>MAX(0,MIN(Inputs!$F$205,Time!AL$6)-MAX(Inputs!$F$133,Time!AL$5))/Time!AL$7</f>
        <v/>
      </c>
      <c r="AM616" s="14">
        <f>MAX(0,MIN(Inputs!$F$205,Time!AM$6)-MAX(Inputs!$F$133,Time!AM$5))/Time!AM$7</f>
        <v/>
      </c>
      <c r="AN616" s="14">
        <f>MAX(0,MIN(Inputs!$F$205,Time!AN$6)-MAX(Inputs!$F$133,Time!AN$5))/Time!AN$7</f>
        <v/>
      </c>
      <c r="AO616" s="14">
        <f>MAX(0,MIN(Inputs!$F$205,Time!AO$6)-MAX(Inputs!$F$133,Time!AO$5))/Time!AO$7</f>
        <v/>
      </c>
      <c r="AP616" s="14">
        <f>MAX(0,MIN(Inputs!$F$205,Time!AP$6)-MAX(Inputs!$F$133,Time!AP$5))/Time!AP$7</f>
        <v/>
      </c>
      <c r="AQ616" s="14">
        <f>MAX(0,MIN(Inputs!$F$205,Time!AQ$6)-MAX(Inputs!$F$133,Time!AQ$5))/Time!AQ$7</f>
        <v/>
      </c>
      <c r="AR616" s="14">
        <f>MAX(0,MIN(Inputs!$F$205,Time!AR$6)-MAX(Inputs!$F$133,Time!AR$5))/Time!AR$7</f>
        <v/>
      </c>
      <c r="AS616" s="14">
        <f>MAX(0,MIN(Inputs!$F$205,Time!AS$6)-MAX(Inputs!$F$133,Time!AS$5))/Time!AS$7</f>
        <v/>
      </c>
      <c r="AT616" s="14">
        <f>MAX(0,MIN(Inputs!$F$205,Time!AT$6)-MAX(Inputs!$F$133,Time!AT$5))/Time!AT$7</f>
        <v/>
      </c>
      <c r="AU616" s="14">
        <f>MAX(0,MIN(Inputs!$F$205,Time!AU$6)-MAX(Inputs!$F$133,Time!AU$5))/Time!AU$7</f>
        <v/>
      </c>
    </row>
    <row r="617">
      <c r="D617" t="inlineStr">
        <is>
          <t>R5 vPPA volume (as generated)</t>
        </is>
      </c>
      <c r="E617" t="inlineStr">
        <is>
          <t>GWh</t>
        </is>
      </c>
      <c r="J617" s="20">
        <f>Operations!J611*Operations!J616</f>
        <v/>
      </c>
      <c r="K617" s="20">
        <f>Operations!K611*Operations!K616</f>
        <v/>
      </c>
      <c r="L617" s="20">
        <f>Operations!L611*Operations!L616</f>
        <v/>
      </c>
      <c r="M617" s="20">
        <f>Operations!M611*Operations!M616</f>
        <v/>
      </c>
      <c r="N617" s="20">
        <f>Operations!N611*Operations!N616</f>
        <v/>
      </c>
      <c r="O617" s="20">
        <f>Operations!O611*Operations!O616</f>
        <v/>
      </c>
      <c r="P617" s="20">
        <f>Operations!P611*Operations!P616</f>
        <v/>
      </c>
      <c r="Q617" s="20">
        <f>Operations!Q611*Operations!Q616</f>
        <v/>
      </c>
      <c r="R617" s="20">
        <f>Operations!R611*Operations!R616</f>
        <v/>
      </c>
      <c r="S617" s="20">
        <f>Operations!S611*Operations!S616</f>
        <v/>
      </c>
      <c r="T617" s="20">
        <f>Operations!T611*Operations!T616</f>
        <v/>
      </c>
      <c r="U617" s="20">
        <f>Operations!U611*Operations!U616</f>
        <v/>
      </c>
      <c r="V617" s="20">
        <f>Operations!V611*Operations!V616</f>
        <v/>
      </c>
      <c r="W617" s="20">
        <f>Operations!W611*Operations!W616</f>
        <v/>
      </c>
      <c r="X617" s="20">
        <f>Operations!X611*Operations!X616</f>
        <v/>
      </c>
      <c r="Y617" s="20">
        <f>Operations!Y611*Operations!Y616</f>
        <v/>
      </c>
      <c r="Z617" s="20">
        <f>Operations!Z611*Operations!Z616</f>
        <v/>
      </c>
      <c r="AA617" s="20">
        <f>Operations!AA611*Operations!AA616</f>
        <v/>
      </c>
      <c r="AB617" s="20">
        <f>Operations!AB611*Operations!AB616</f>
        <v/>
      </c>
      <c r="AC617" s="20">
        <f>Operations!AC611*Operations!AC616</f>
        <v/>
      </c>
      <c r="AD617" s="20">
        <f>Operations!AD611*Operations!AD616</f>
        <v/>
      </c>
      <c r="AE617" s="20">
        <f>Operations!AE611*Operations!AE616</f>
        <v/>
      </c>
      <c r="AF617" s="20">
        <f>Operations!AF611*Operations!AF616</f>
        <v/>
      </c>
      <c r="AG617" s="20">
        <f>Operations!AG611*Operations!AG616</f>
        <v/>
      </c>
      <c r="AH617" s="20">
        <f>Operations!AH611*Operations!AH616</f>
        <v/>
      </c>
      <c r="AI617" s="20">
        <f>Operations!AI611*Operations!AI616</f>
        <v/>
      </c>
      <c r="AJ617" s="20">
        <f>Operations!AJ611*Operations!AJ616</f>
        <v/>
      </c>
      <c r="AK617" s="20">
        <f>Operations!AK611*Operations!AK616</f>
        <v/>
      </c>
      <c r="AL617" s="20">
        <f>Operations!AL611*Operations!AL616</f>
        <v/>
      </c>
      <c r="AM617" s="20">
        <f>Operations!AM611*Operations!AM616</f>
        <v/>
      </c>
      <c r="AN617" s="20">
        <f>Operations!AN611*Operations!AN616</f>
        <v/>
      </c>
      <c r="AO617" s="20">
        <f>Operations!AO611*Operations!AO616</f>
        <v/>
      </c>
      <c r="AP617" s="20">
        <f>Operations!AP611*Operations!AP616</f>
        <v/>
      </c>
      <c r="AQ617" s="20">
        <f>Operations!AQ611*Operations!AQ616</f>
        <v/>
      </c>
      <c r="AR617" s="20">
        <f>Operations!AR611*Operations!AR616</f>
        <v/>
      </c>
      <c r="AS617" s="20">
        <f>Operations!AS611*Operations!AS616</f>
        <v/>
      </c>
      <c r="AT617" s="20">
        <f>Operations!AT611*Operations!AT616</f>
        <v/>
      </c>
      <c r="AU617" s="20">
        <f>Operations!AU611*Operations!AU616</f>
        <v/>
      </c>
    </row>
    <row r="618">
      <c r="D618" t="inlineStr">
        <is>
          <t>R5 vPPA settlement (strike less hub capture price)</t>
        </is>
      </c>
      <c r="E618" t="inlineStr">
        <is>
          <t>USD m</t>
        </is>
      </c>
      <c r="G618" s="20">
        <f>SUM(J618:AU618)</f>
        <v/>
      </c>
      <c r="J618" s="20">
        <f>Operations!J617*(Inputs!$F$204-Operations!J607*Operations!J613)/1000</f>
        <v/>
      </c>
      <c r="K618" s="20">
        <f>Operations!K617*(Inputs!$F$204-Operations!K607*Operations!K613)/1000</f>
        <v/>
      </c>
      <c r="L618" s="20">
        <f>Operations!L617*(Inputs!$F$204-Operations!L607*Operations!L613)/1000</f>
        <v/>
      </c>
      <c r="M618" s="20">
        <f>Operations!M617*(Inputs!$F$204-Operations!M607*Operations!M613)/1000</f>
        <v/>
      </c>
      <c r="N618" s="20">
        <f>Operations!N617*(Inputs!$F$204-Operations!N607*Operations!N613)/1000</f>
        <v/>
      </c>
      <c r="O618" s="20">
        <f>Operations!O617*(Inputs!$F$204-Operations!O607*Operations!O613)/1000</f>
        <v/>
      </c>
      <c r="P618" s="20">
        <f>Operations!P617*(Inputs!$F$204-Operations!P607*Operations!P613)/1000</f>
        <v/>
      </c>
      <c r="Q618" s="20">
        <f>Operations!Q617*(Inputs!$F$204-Operations!Q607*Operations!Q613)/1000</f>
        <v/>
      </c>
      <c r="R618" s="20">
        <f>Operations!R617*(Inputs!$F$204-Operations!R607*Operations!R613)/1000</f>
        <v/>
      </c>
      <c r="S618" s="20">
        <f>Operations!S617*(Inputs!$F$204-Operations!S607*Operations!S613)/1000</f>
        <v/>
      </c>
      <c r="T618" s="20">
        <f>Operations!T617*(Inputs!$F$204-Operations!T607*Operations!T613)/1000</f>
        <v/>
      </c>
      <c r="U618" s="20">
        <f>Operations!U617*(Inputs!$F$204-Operations!U607*Operations!U613)/1000</f>
        <v/>
      </c>
      <c r="V618" s="20">
        <f>Operations!V617*(Inputs!$F$204-Operations!V607*Operations!V613)/1000</f>
        <v/>
      </c>
      <c r="W618" s="20">
        <f>Operations!W617*(Inputs!$F$204-Operations!W607*Operations!W613)/1000</f>
        <v/>
      </c>
      <c r="X618" s="20">
        <f>Operations!X617*(Inputs!$F$204-Operations!X607*Operations!X613)/1000</f>
        <v/>
      </c>
      <c r="Y618" s="20">
        <f>Operations!Y617*(Inputs!$F$204-Operations!Y607*Operations!Y613)/1000</f>
        <v/>
      </c>
      <c r="Z618" s="20">
        <f>Operations!Z617*(Inputs!$F$204-Operations!Z607*Operations!Z613)/1000</f>
        <v/>
      </c>
      <c r="AA618" s="20">
        <f>Operations!AA617*(Inputs!$F$204-Operations!AA607*Operations!AA613)/1000</f>
        <v/>
      </c>
      <c r="AB618" s="20">
        <f>Operations!AB617*(Inputs!$F$204-Operations!AB607*Operations!AB613)/1000</f>
        <v/>
      </c>
      <c r="AC618" s="20">
        <f>Operations!AC617*(Inputs!$F$204-Operations!AC607*Operations!AC613)/1000</f>
        <v/>
      </c>
      <c r="AD618" s="20">
        <f>Operations!AD617*(Inputs!$F$204-Operations!AD607*Operations!AD613)/1000</f>
        <v/>
      </c>
      <c r="AE618" s="20">
        <f>Operations!AE617*(Inputs!$F$204-Operations!AE607*Operations!AE613)/1000</f>
        <v/>
      </c>
      <c r="AF618" s="20">
        <f>Operations!AF617*(Inputs!$F$204-Operations!AF607*Operations!AF613)/1000</f>
        <v/>
      </c>
      <c r="AG618" s="20">
        <f>Operations!AG617*(Inputs!$F$204-Operations!AG607*Operations!AG613)/1000</f>
        <v/>
      </c>
      <c r="AH618" s="20">
        <f>Operations!AH617*(Inputs!$F$204-Operations!AH607*Operations!AH613)/1000</f>
        <v/>
      </c>
      <c r="AI618" s="20">
        <f>Operations!AI617*(Inputs!$F$204-Operations!AI607*Operations!AI613)/1000</f>
        <v/>
      </c>
      <c r="AJ618" s="20">
        <f>Operations!AJ617*(Inputs!$F$204-Operations!AJ607*Operations!AJ613)/1000</f>
        <v/>
      </c>
      <c r="AK618" s="20">
        <f>Operations!AK617*(Inputs!$F$204-Operations!AK607*Operations!AK613)/1000</f>
        <v/>
      </c>
      <c r="AL618" s="20">
        <f>Operations!AL617*(Inputs!$F$204-Operations!AL607*Operations!AL613)/1000</f>
        <v/>
      </c>
      <c r="AM618" s="20">
        <f>Operations!AM617*(Inputs!$F$204-Operations!AM607*Operations!AM613)/1000</f>
        <v/>
      </c>
      <c r="AN618" s="20">
        <f>Operations!AN617*(Inputs!$F$204-Operations!AN607*Operations!AN613)/1000</f>
        <v/>
      </c>
      <c r="AO618" s="20">
        <f>Operations!AO617*(Inputs!$F$204-Operations!AO607*Operations!AO613)/1000</f>
        <v/>
      </c>
      <c r="AP618" s="20">
        <f>Operations!AP617*(Inputs!$F$204-Operations!AP607*Operations!AP613)/1000</f>
        <v/>
      </c>
      <c r="AQ618" s="20">
        <f>Operations!AQ617*(Inputs!$F$204-Operations!AQ607*Operations!AQ613)/1000</f>
        <v/>
      </c>
      <c r="AR618" s="20">
        <f>Operations!AR617*(Inputs!$F$204-Operations!AR607*Operations!AR613)/1000</f>
        <v/>
      </c>
      <c r="AS618" s="20">
        <f>Operations!AS617*(Inputs!$F$204-Operations!AS607*Operations!AS613)/1000</f>
        <v/>
      </c>
      <c r="AT618" s="20">
        <f>Operations!AT617*(Inputs!$F$204-Operations!AT607*Operations!AT613)/1000</f>
        <v/>
      </c>
      <c r="AU618" s="20">
        <f>Operations!AU617*(Inputs!$F$204-Operations!AU607*Operations!AU613)/1000</f>
        <v/>
      </c>
    </row>
    <row r="619">
      <c r="D619" t="inlineStr">
        <is>
          <t>R5 generation sold at node</t>
        </is>
      </c>
      <c r="E619" t="inlineStr">
        <is>
          <t>GWh</t>
        </is>
      </c>
      <c r="J619" s="20">
        <f>Operations!J612</f>
        <v/>
      </c>
      <c r="K619" s="20">
        <f>Operations!K612</f>
        <v/>
      </c>
      <c r="L619" s="20">
        <f>Operations!L612</f>
        <v/>
      </c>
      <c r="M619" s="20">
        <f>Operations!M612</f>
        <v/>
      </c>
      <c r="N619" s="20">
        <f>Operations!N612</f>
        <v/>
      </c>
      <c r="O619" s="20">
        <f>Operations!O612</f>
        <v/>
      </c>
      <c r="P619" s="20">
        <f>Operations!P612</f>
        <v/>
      </c>
      <c r="Q619" s="20">
        <f>Operations!Q612</f>
        <v/>
      </c>
      <c r="R619" s="20">
        <f>Operations!R612</f>
        <v/>
      </c>
      <c r="S619" s="20">
        <f>Operations!S612</f>
        <v/>
      </c>
      <c r="T619" s="20">
        <f>Operations!T612</f>
        <v/>
      </c>
      <c r="U619" s="20">
        <f>Operations!U612</f>
        <v/>
      </c>
      <c r="V619" s="20">
        <f>Operations!V612</f>
        <v/>
      </c>
      <c r="W619" s="20">
        <f>Operations!W612</f>
        <v/>
      </c>
      <c r="X619" s="20">
        <f>Operations!X612</f>
        <v/>
      </c>
      <c r="Y619" s="20">
        <f>Operations!Y612</f>
        <v/>
      </c>
      <c r="Z619" s="20">
        <f>Operations!Z612</f>
        <v/>
      </c>
      <c r="AA619" s="20">
        <f>Operations!AA612</f>
        <v/>
      </c>
      <c r="AB619" s="20">
        <f>Operations!AB612</f>
        <v/>
      </c>
      <c r="AC619" s="20">
        <f>Operations!AC612</f>
        <v/>
      </c>
      <c r="AD619" s="20">
        <f>Operations!AD612</f>
        <v/>
      </c>
      <c r="AE619" s="20">
        <f>Operations!AE612</f>
        <v/>
      </c>
      <c r="AF619" s="20">
        <f>Operations!AF612</f>
        <v/>
      </c>
      <c r="AG619" s="20">
        <f>Operations!AG612</f>
        <v/>
      </c>
      <c r="AH619" s="20">
        <f>Operations!AH612</f>
        <v/>
      </c>
      <c r="AI619" s="20">
        <f>Operations!AI612</f>
        <v/>
      </c>
      <c r="AJ619" s="20">
        <f>Operations!AJ612</f>
        <v/>
      </c>
      <c r="AK619" s="20">
        <f>Operations!AK612</f>
        <v/>
      </c>
      <c r="AL619" s="20">
        <f>Operations!AL612</f>
        <v/>
      </c>
      <c r="AM619" s="20">
        <f>Operations!AM612</f>
        <v/>
      </c>
      <c r="AN619" s="20">
        <f>Operations!AN612</f>
        <v/>
      </c>
      <c r="AO619" s="20">
        <f>Operations!AO612</f>
        <v/>
      </c>
      <c r="AP619" s="20">
        <f>Operations!AP612</f>
        <v/>
      </c>
      <c r="AQ619" s="20">
        <f>Operations!AQ612</f>
        <v/>
      </c>
      <c r="AR619" s="20">
        <f>Operations!AR612</f>
        <v/>
      </c>
      <c r="AS619" s="20">
        <f>Operations!AS612</f>
        <v/>
      </c>
      <c r="AT619" s="20">
        <f>Operations!AT612</f>
        <v/>
      </c>
      <c r="AU619" s="20">
        <f>Operations!AU612</f>
        <v/>
      </c>
    </row>
    <row r="620">
      <c r="D620" t="inlineStr">
        <is>
          <t>R5 contracted revenue (strike x volume)</t>
        </is>
      </c>
      <c r="E620" t="inlineStr">
        <is>
          <t>USD m</t>
        </is>
      </c>
      <c r="J620" s="20">
        <f>Operations!J617*Inputs!$F$204/1000</f>
        <v/>
      </c>
      <c r="K620" s="20">
        <f>Operations!K617*Inputs!$F$204/1000</f>
        <v/>
      </c>
      <c r="L620" s="20">
        <f>Operations!L617*Inputs!$F$204/1000</f>
        <v/>
      </c>
      <c r="M620" s="20">
        <f>Operations!M617*Inputs!$F$204/1000</f>
        <v/>
      </c>
      <c r="N620" s="20">
        <f>Operations!N617*Inputs!$F$204/1000</f>
        <v/>
      </c>
      <c r="O620" s="20">
        <f>Operations!O617*Inputs!$F$204/1000</f>
        <v/>
      </c>
      <c r="P620" s="20">
        <f>Operations!P617*Inputs!$F$204/1000</f>
        <v/>
      </c>
      <c r="Q620" s="20">
        <f>Operations!Q617*Inputs!$F$204/1000</f>
        <v/>
      </c>
      <c r="R620" s="20">
        <f>Operations!R617*Inputs!$F$204/1000</f>
        <v/>
      </c>
      <c r="S620" s="20">
        <f>Operations!S617*Inputs!$F$204/1000</f>
        <v/>
      </c>
      <c r="T620" s="20">
        <f>Operations!T617*Inputs!$F$204/1000</f>
        <v/>
      </c>
      <c r="U620" s="20">
        <f>Operations!U617*Inputs!$F$204/1000</f>
        <v/>
      </c>
      <c r="V620" s="20">
        <f>Operations!V617*Inputs!$F$204/1000</f>
        <v/>
      </c>
      <c r="W620" s="20">
        <f>Operations!W617*Inputs!$F$204/1000</f>
        <v/>
      </c>
      <c r="X620" s="20">
        <f>Operations!X617*Inputs!$F$204/1000</f>
        <v/>
      </c>
      <c r="Y620" s="20">
        <f>Operations!Y617*Inputs!$F$204/1000</f>
        <v/>
      </c>
      <c r="Z620" s="20">
        <f>Operations!Z617*Inputs!$F$204/1000</f>
        <v/>
      </c>
      <c r="AA620" s="20">
        <f>Operations!AA617*Inputs!$F$204/1000</f>
        <v/>
      </c>
      <c r="AB620" s="20">
        <f>Operations!AB617*Inputs!$F$204/1000</f>
        <v/>
      </c>
      <c r="AC620" s="20">
        <f>Operations!AC617*Inputs!$F$204/1000</f>
        <v/>
      </c>
      <c r="AD620" s="20">
        <f>Operations!AD617*Inputs!$F$204/1000</f>
        <v/>
      </c>
      <c r="AE620" s="20">
        <f>Operations!AE617*Inputs!$F$204/1000</f>
        <v/>
      </c>
      <c r="AF620" s="20">
        <f>Operations!AF617*Inputs!$F$204/1000</f>
        <v/>
      </c>
      <c r="AG620" s="20">
        <f>Operations!AG617*Inputs!$F$204/1000</f>
        <v/>
      </c>
      <c r="AH620" s="20">
        <f>Operations!AH617*Inputs!$F$204/1000</f>
        <v/>
      </c>
      <c r="AI620" s="20">
        <f>Operations!AI617*Inputs!$F$204/1000</f>
        <v/>
      </c>
      <c r="AJ620" s="20">
        <f>Operations!AJ617*Inputs!$F$204/1000</f>
        <v/>
      </c>
      <c r="AK620" s="20">
        <f>Operations!AK617*Inputs!$F$204/1000</f>
        <v/>
      </c>
      <c r="AL620" s="20">
        <f>Operations!AL617*Inputs!$F$204/1000</f>
        <v/>
      </c>
      <c r="AM620" s="20">
        <f>Operations!AM617*Inputs!$F$204/1000</f>
        <v/>
      </c>
      <c r="AN620" s="20">
        <f>Operations!AN617*Inputs!$F$204/1000</f>
        <v/>
      </c>
      <c r="AO620" s="20">
        <f>Operations!AO617*Inputs!$F$204/1000</f>
        <v/>
      </c>
      <c r="AP620" s="20">
        <f>Operations!AP617*Inputs!$F$204/1000</f>
        <v/>
      </c>
      <c r="AQ620" s="20">
        <f>Operations!AQ617*Inputs!$F$204/1000</f>
        <v/>
      </c>
      <c r="AR620" s="20">
        <f>Operations!AR617*Inputs!$F$204/1000</f>
        <v/>
      </c>
      <c r="AS620" s="20">
        <f>Operations!AS617*Inputs!$F$204/1000</f>
        <v/>
      </c>
      <c r="AT620" s="20">
        <f>Operations!AT617*Inputs!$F$204/1000</f>
        <v/>
      </c>
      <c r="AU620" s="20">
        <f>Operations!AU617*Inputs!$F$204/1000</f>
        <v/>
      </c>
    </row>
    <row r="621">
      <c r="D621" t="inlineStr">
        <is>
          <t>R5 hedged revenue</t>
        </is>
      </c>
      <c r="E621" t="inlineStr">
        <is>
          <t>USD m</t>
        </is>
      </c>
      <c r="J621" s="20">
        <f>0</f>
        <v/>
      </c>
      <c r="K621" s="20">
        <f>0</f>
        <v/>
      </c>
      <c r="L621" s="20">
        <f>0</f>
        <v/>
      </c>
      <c r="M621" s="20">
        <f>0</f>
        <v/>
      </c>
      <c r="N621" s="20">
        <f>0</f>
        <v/>
      </c>
      <c r="O621" s="20">
        <f>0</f>
        <v/>
      </c>
      <c r="P621" s="20">
        <f>0</f>
        <v/>
      </c>
      <c r="Q621" s="20">
        <f>0</f>
        <v/>
      </c>
      <c r="R621" s="20">
        <f>0</f>
        <v/>
      </c>
      <c r="S621" s="20">
        <f>0</f>
        <v/>
      </c>
      <c r="T621" s="20">
        <f>0</f>
        <v/>
      </c>
      <c r="U621" s="20">
        <f>0</f>
        <v/>
      </c>
      <c r="V621" s="20">
        <f>0</f>
        <v/>
      </c>
      <c r="W621" s="20">
        <f>0</f>
        <v/>
      </c>
      <c r="X621" s="20">
        <f>0</f>
        <v/>
      </c>
      <c r="Y621" s="20">
        <f>0</f>
        <v/>
      </c>
      <c r="Z621" s="20">
        <f>0</f>
        <v/>
      </c>
      <c r="AA621" s="20">
        <f>0</f>
        <v/>
      </c>
      <c r="AB621" s="20">
        <f>0</f>
        <v/>
      </c>
      <c r="AC621" s="20">
        <f>0</f>
        <v/>
      </c>
      <c r="AD621" s="20">
        <f>0</f>
        <v/>
      </c>
      <c r="AE621" s="20">
        <f>0</f>
        <v/>
      </c>
      <c r="AF621" s="20">
        <f>0</f>
        <v/>
      </c>
      <c r="AG621" s="20">
        <f>0</f>
        <v/>
      </c>
      <c r="AH621" s="20">
        <f>0</f>
        <v/>
      </c>
      <c r="AI621" s="20">
        <f>0</f>
        <v/>
      </c>
      <c r="AJ621" s="20">
        <f>0</f>
        <v/>
      </c>
      <c r="AK621" s="20">
        <f>0</f>
        <v/>
      </c>
      <c r="AL621" s="20">
        <f>0</f>
        <v/>
      </c>
      <c r="AM621" s="20">
        <f>0</f>
        <v/>
      </c>
      <c r="AN621" s="20">
        <f>0</f>
        <v/>
      </c>
      <c r="AO621" s="20">
        <f>0</f>
        <v/>
      </c>
      <c r="AP621" s="20">
        <f>0</f>
        <v/>
      </c>
      <c r="AQ621" s="20">
        <f>0</f>
        <v/>
      </c>
      <c r="AR621" s="20">
        <f>0</f>
        <v/>
      </c>
      <c r="AS621" s="20">
        <f>0</f>
        <v/>
      </c>
      <c r="AT621" s="20">
        <f>0</f>
        <v/>
      </c>
      <c r="AU621" s="20">
        <f>0</f>
        <v/>
      </c>
    </row>
    <row r="622">
      <c r="D622" t="inlineStr">
        <is>
          <t>R5 market revenue at node</t>
        </is>
      </c>
      <c r="E622" t="inlineStr">
        <is>
          <t>USD m</t>
        </is>
      </c>
      <c r="G622" s="20">
        <f>SUM(J622:AU622)</f>
        <v/>
      </c>
      <c r="J622" s="20">
        <f>Operations!J619*Operations!J615/1000</f>
        <v/>
      </c>
      <c r="K622" s="20">
        <f>Operations!K619*Operations!K615/1000</f>
        <v/>
      </c>
      <c r="L622" s="20">
        <f>Operations!L619*Operations!L615/1000</f>
        <v/>
      </c>
      <c r="M622" s="20">
        <f>Operations!M619*Operations!M615/1000</f>
        <v/>
      </c>
      <c r="N622" s="20">
        <f>Operations!N619*Operations!N615/1000</f>
        <v/>
      </c>
      <c r="O622" s="20">
        <f>Operations!O619*Operations!O615/1000</f>
        <v/>
      </c>
      <c r="P622" s="20">
        <f>Operations!P619*Operations!P615/1000</f>
        <v/>
      </c>
      <c r="Q622" s="20">
        <f>Operations!Q619*Operations!Q615/1000</f>
        <v/>
      </c>
      <c r="R622" s="20">
        <f>Operations!R619*Operations!R615/1000</f>
        <v/>
      </c>
      <c r="S622" s="20">
        <f>Operations!S619*Operations!S615/1000</f>
        <v/>
      </c>
      <c r="T622" s="20">
        <f>Operations!T619*Operations!T615/1000</f>
        <v/>
      </c>
      <c r="U622" s="20">
        <f>Operations!U619*Operations!U615/1000</f>
        <v/>
      </c>
      <c r="V622" s="20">
        <f>Operations!V619*Operations!V615/1000</f>
        <v/>
      </c>
      <c r="W622" s="20">
        <f>Operations!W619*Operations!W615/1000</f>
        <v/>
      </c>
      <c r="X622" s="20">
        <f>Operations!X619*Operations!X615/1000</f>
        <v/>
      </c>
      <c r="Y622" s="20">
        <f>Operations!Y619*Operations!Y615/1000</f>
        <v/>
      </c>
      <c r="Z622" s="20">
        <f>Operations!Z619*Operations!Z615/1000</f>
        <v/>
      </c>
      <c r="AA622" s="20">
        <f>Operations!AA619*Operations!AA615/1000</f>
        <v/>
      </c>
      <c r="AB622" s="20">
        <f>Operations!AB619*Operations!AB615/1000</f>
        <v/>
      </c>
      <c r="AC622" s="20">
        <f>Operations!AC619*Operations!AC615/1000</f>
        <v/>
      </c>
      <c r="AD622" s="20">
        <f>Operations!AD619*Operations!AD615/1000</f>
        <v/>
      </c>
      <c r="AE622" s="20">
        <f>Operations!AE619*Operations!AE615/1000</f>
        <v/>
      </c>
      <c r="AF622" s="20">
        <f>Operations!AF619*Operations!AF615/1000</f>
        <v/>
      </c>
      <c r="AG622" s="20">
        <f>Operations!AG619*Operations!AG615/1000</f>
        <v/>
      </c>
      <c r="AH622" s="20">
        <f>Operations!AH619*Operations!AH615/1000</f>
        <v/>
      </c>
      <c r="AI622" s="20">
        <f>Operations!AI619*Operations!AI615/1000</f>
        <v/>
      </c>
      <c r="AJ622" s="20">
        <f>Operations!AJ619*Operations!AJ615/1000</f>
        <v/>
      </c>
      <c r="AK622" s="20">
        <f>Operations!AK619*Operations!AK615/1000</f>
        <v/>
      </c>
      <c r="AL622" s="20">
        <f>Operations!AL619*Operations!AL615/1000</f>
        <v/>
      </c>
      <c r="AM622" s="20">
        <f>Operations!AM619*Operations!AM615/1000</f>
        <v/>
      </c>
      <c r="AN622" s="20">
        <f>Operations!AN619*Operations!AN615/1000</f>
        <v/>
      </c>
      <c r="AO622" s="20">
        <f>Operations!AO619*Operations!AO615/1000</f>
        <v/>
      </c>
      <c r="AP622" s="20">
        <f>Operations!AP619*Operations!AP615/1000</f>
        <v/>
      </c>
      <c r="AQ622" s="20">
        <f>Operations!AQ619*Operations!AQ615/1000</f>
        <v/>
      </c>
      <c r="AR622" s="20">
        <f>Operations!AR619*Operations!AR615/1000</f>
        <v/>
      </c>
      <c r="AS622" s="20">
        <f>Operations!AS619*Operations!AS615/1000</f>
        <v/>
      </c>
      <c r="AT622" s="20">
        <f>Operations!AT619*Operations!AT615/1000</f>
        <v/>
      </c>
      <c r="AU622" s="20">
        <f>Operations!AU619*Operations!AU615/1000</f>
        <v/>
      </c>
    </row>
    <row r="623">
      <c r="D623" t="inlineStr">
        <is>
          <t>R5 total revenue</t>
        </is>
      </c>
      <c r="E623" t="inlineStr">
        <is>
          <t>USD m</t>
        </is>
      </c>
      <c r="G623" s="20">
        <f>SUM(J623:AU623)</f>
        <v/>
      </c>
      <c r="J623" s="20">
        <f>Operations!J622+Operations!J618</f>
        <v/>
      </c>
      <c r="K623" s="20">
        <f>Operations!K622+Operations!K618</f>
        <v/>
      </c>
      <c r="L623" s="20">
        <f>Operations!L622+Operations!L618</f>
        <v/>
      </c>
      <c r="M623" s="20">
        <f>Operations!M622+Operations!M618</f>
        <v/>
      </c>
      <c r="N623" s="20">
        <f>Operations!N622+Operations!N618</f>
        <v/>
      </c>
      <c r="O623" s="20">
        <f>Operations!O622+Operations!O618</f>
        <v/>
      </c>
      <c r="P623" s="20">
        <f>Operations!P622+Operations!P618</f>
        <v/>
      </c>
      <c r="Q623" s="20">
        <f>Operations!Q622+Operations!Q618</f>
        <v/>
      </c>
      <c r="R623" s="20">
        <f>Operations!R622+Operations!R618</f>
        <v/>
      </c>
      <c r="S623" s="20">
        <f>Operations!S622+Operations!S618</f>
        <v/>
      </c>
      <c r="T623" s="20">
        <f>Operations!T622+Operations!T618</f>
        <v/>
      </c>
      <c r="U623" s="20">
        <f>Operations!U622+Operations!U618</f>
        <v/>
      </c>
      <c r="V623" s="20">
        <f>Operations!V622+Operations!V618</f>
        <v/>
      </c>
      <c r="W623" s="20">
        <f>Operations!W622+Operations!W618</f>
        <v/>
      </c>
      <c r="X623" s="20">
        <f>Operations!X622+Operations!X618</f>
        <v/>
      </c>
      <c r="Y623" s="20">
        <f>Operations!Y622+Operations!Y618</f>
        <v/>
      </c>
      <c r="Z623" s="20">
        <f>Operations!Z622+Operations!Z618</f>
        <v/>
      </c>
      <c r="AA623" s="20">
        <f>Operations!AA622+Operations!AA618</f>
        <v/>
      </c>
      <c r="AB623" s="20">
        <f>Operations!AB622+Operations!AB618</f>
        <v/>
      </c>
      <c r="AC623" s="20">
        <f>Operations!AC622+Operations!AC618</f>
        <v/>
      </c>
      <c r="AD623" s="20">
        <f>Operations!AD622+Operations!AD618</f>
        <v/>
      </c>
      <c r="AE623" s="20">
        <f>Operations!AE622+Operations!AE618</f>
        <v/>
      </c>
      <c r="AF623" s="20">
        <f>Operations!AF622+Operations!AF618</f>
        <v/>
      </c>
      <c r="AG623" s="20">
        <f>Operations!AG622+Operations!AG618</f>
        <v/>
      </c>
      <c r="AH623" s="20">
        <f>Operations!AH622+Operations!AH618</f>
        <v/>
      </c>
      <c r="AI623" s="20">
        <f>Operations!AI622+Operations!AI618</f>
        <v/>
      </c>
      <c r="AJ623" s="20">
        <f>Operations!AJ622+Operations!AJ618</f>
        <v/>
      </c>
      <c r="AK623" s="20">
        <f>Operations!AK622+Operations!AK618</f>
        <v/>
      </c>
      <c r="AL623" s="20">
        <f>Operations!AL622+Operations!AL618</f>
        <v/>
      </c>
      <c r="AM623" s="20">
        <f>Operations!AM622+Operations!AM618</f>
        <v/>
      </c>
      <c r="AN623" s="20">
        <f>Operations!AN622+Operations!AN618</f>
        <v/>
      </c>
      <c r="AO623" s="20">
        <f>Operations!AO622+Operations!AO618</f>
        <v/>
      </c>
      <c r="AP623" s="20">
        <f>Operations!AP622+Operations!AP618</f>
        <v/>
      </c>
      <c r="AQ623" s="20">
        <f>Operations!AQ622+Operations!AQ618</f>
        <v/>
      </c>
      <c r="AR623" s="20">
        <f>Operations!AR622+Operations!AR618</f>
        <v/>
      </c>
      <c r="AS623" s="20">
        <f>Operations!AS622+Operations!AS618</f>
        <v/>
      </c>
      <c r="AT623" s="20">
        <f>Operations!AT622+Operations!AT618</f>
        <v/>
      </c>
      <c r="AU623" s="20">
        <f>Operations!AU622+Operations!AU618</f>
        <v/>
      </c>
    </row>
    <row r="624">
      <c r="D624" t="inlineStr">
        <is>
          <t>R5 merchant revenue (total less contracted and hedged)</t>
        </is>
      </c>
      <c r="E624" t="inlineStr">
        <is>
          <t>USD m</t>
        </is>
      </c>
      <c r="J624" s="20">
        <f>Operations!J623-Operations!J620-Operations!J621</f>
        <v/>
      </c>
      <c r="K624" s="20">
        <f>Operations!K623-Operations!K620-Operations!K621</f>
        <v/>
      </c>
      <c r="L624" s="20">
        <f>Operations!L623-Operations!L620-Operations!L621</f>
        <v/>
      </c>
      <c r="M624" s="20">
        <f>Operations!M623-Operations!M620-Operations!M621</f>
        <v/>
      </c>
      <c r="N624" s="20">
        <f>Operations!N623-Operations!N620-Operations!N621</f>
        <v/>
      </c>
      <c r="O624" s="20">
        <f>Operations!O623-Operations!O620-Operations!O621</f>
        <v/>
      </c>
      <c r="P624" s="20">
        <f>Operations!P623-Operations!P620-Operations!P621</f>
        <v/>
      </c>
      <c r="Q624" s="20">
        <f>Operations!Q623-Operations!Q620-Operations!Q621</f>
        <v/>
      </c>
      <c r="R624" s="20">
        <f>Operations!R623-Operations!R620-Operations!R621</f>
        <v/>
      </c>
      <c r="S624" s="20">
        <f>Operations!S623-Operations!S620-Operations!S621</f>
        <v/>
      </c>
      <c r="T624" s="20">
        <f>Operations!T623-Operations!T620-Operations!T621</f>
        <v/>
      </c>
      <c r="U624" s="20">
        <f>Operations!U623-Operations!U620-Operations!U621</f>
        <v/>
      </c>
      <c r="V624" s="20">
        <f>Operations!V623-Operations!V620-Operations!V621</f>
        <v/>
      </c>
      <c r="W624" s="20">
        <f>Operations!W623-Operations!W620-Operations!W621</f>
        <v/>
      </c>
      <c r="X624" s="20">
        <f>Operations!X623-Operations!X620-Operations!X621</f>
        <v/>
      </c>
      <c r="Y624" s="20">
        <f>Operations!Y623-Operations!Y620-Operations!Y621</f>
        <v/>
      </c>
      <c r="Z624" s="20">
        <f>Operations!Z623-Operations!Z620-Operations!Z621</f>
        <v/>
      </c>
      <c r="AA624" s="20">
        <f>Operations!AA623-Operations!AA620-Operations!AA621</f>
        <v/>
      </c>
      <c r="AB624" s="20">
        <f>Operations!AB623-Operations!AB620-Operations!AB621</f>
        <v/>
      </c>
      <c r="AC624" s="20">
        <f>Operations!AC623-Operations!AC620-Operations!AC621</f>
        <v/>
      </c>
      <c r="AD624" s="20">
        <f>Operations!AD623-Operations!AD620-Operations!AD621</f>
        <v/>
      </c>
      <c r="AE624" s="20">
        <f>Operations!AE623-Operations!AE620-Operations!AE621</f>
        <v/>
      </c>
      <c r="AF624" s="20">
        <f>Operations!AF623-Operations!AF620-Operations!AF621</f>
        <v/>
      </c>
      <c r="AG624" s="20">
        <f>Operations!AG623-Operations!AG620-Operations!AG621</f>
        <v/>
      </c>
      <c r="AH624" s="20">
        <f>Operations!AH623-Operations!AH620-Operations!AH621</f>
        <v/>
      </c>
      <c r="AI624" s="20">
        <f>Operations!AI623-Operations!AI620-Operations!AI621</f>
        <v/>
      </c>
      <c r="AJ624" s="20">
        <f>Operations!AJ623-Operations!AJ620-Operations!AJ621</f>
        <v/>
      </c>
      <c r="AK624" s="20">
        <f>Operations!AK623-Operations!AK620-Operations!AK621</f>
        <v/>
      </c>
      <c r="AL624" s="20">
        <f>Operations!AL623-Operations!AL620-Operations!AL621</f>
        <v/>
      </c>
      <c r="AM624" s="20">
        <f>Operations!AM623-Operations!AM620-Operations!AM621</f>
        <v/>
      </c>
      <c r="AN624" s="20">
        <f>Operations!AN623-Operations!AN620-Operations!AN621</f>
        <v/>
      </c>
      <c r="AO624" s="20">
        <f>Operations!AO623-Operations!AO620-Operations!AO621</f>
        <v/>
      </c>
      <c r="AP624" s="20">
        <f>Operations!AP623-Operations!AP620-Operations!AP621</f>
        <v/>
      </c>
      <c r="AQ624" s="20">
        <f>Operations!AQ623-Operations!AQ620-Operations!AQ621</f>
        <v/>
      </c>
      <c r="AR624" s="20">
        <f>Operations!AR623-Operations!AR620-Operations!AR621</f>
        <v/>
      </c>
      <c r="AS624" s="20">
        <f>Operations!AS623-Operations!AS620-Operations!AS621</f>
        <v/>
      </c>
      <c r="AT624" s="20">
        <f>Operations!AT623-Operations!AT620-Operations!AT621</f>
        <v/>
      </c>
      <c r="AU624" s="20">
        <f>Operations!AU623-Operations!AU620-Operations!AU621</f>
        <v/>
      </c>
    </row>
    <row r="625">
      <c r="D625" t="inlineStr">
        <is>
          <t>R5 opex (O&amp;M, land, insurance, property tax, site)</t>
        </is>
      </c>
      <c r="E625" t="inlineStr">
        <is>
          <t>USD m</t>
        </is>
      </c>
      <c r="J625" s="20">
        <f>Inputs!$F$136*Inputs!$F$132/1000*Time!J$9*Time!J$10*Operations!J604*Operations!$F$421</f>
        <v/>
      </c>
      <c r="K625" s="20">
        <f>Inputs!$F$136*Inputs!$F$132/1000*Time!K$9*Time!K$10*Operations!K604*Operations!$F$421</f>
        <v/>
      </c>
      <c r="L625" s="20">
        <f>Inputs!$F$136*Inputs!$F$132/1000*Time!L$9*Time!L$10*Operations!L604*Operations!$F$421</f>
        <v/>
      </c>
      <c r="M625" s="20">
        <f>Inputs!$F$136*Inputs!$F$132/1000*Time!M$9*Time!M$10*Operations!M604*Operations!$F$421</f>
        <v/>
      </c>
      <c r="N625" s="20">
        <f>Inputs!$F$136*Inputs!$F$132/1000*Time!N$9*Time!N$10*Operations!N604*Operations!$F$421</f>
        <v/>
      </c>
      <c r="O625" s="20">
        <f>Inputs!$F$136*Inputs!$F$132/1000*Time!O$9*Time!O$10*Operations!O604*Operations!$F$421</f>
        <v/>
      </c>
      <c r="P625" s="20">
        <f>Inputs!$F$136*Inputs!$F$132/1000*Time!P$9*Time!P$10*Operations!P604*Operations!$F$421</f>
        <v/>
      </c>
      <c r="Q625" s="20">
        <f>Inputs!$F$136*Inputs!$F$132/1000*Time!Q$9*Time!Q$10*Operations!Q604*Operations!$F$421</f>
        <v/>
      </c>
      <c r="R625" s="20">
        <f>Inputs!$F$136*Inputs!$F$132/1000*Time!R$9*Time!R$10*Operations!R604*Operations!$F$421</f>
        <v/>
      </c>
      <c r="S625" s="20">
        <f>Inputs!$F$136*Inputs!$F$132/1000*Time!S$9*Time!S$10*Operations!S604*Operations!$F$421</f>
        <v/>
      </c>
      <c r="T625" s="20">
        <f>Inputs!$F$136*Inputs!$F$132/1000*Time!T$9*Time!T$10*Operations!T604*Operations!$F$421</f>
        <v/>
      </c>
      <c r="U625" s="20">
        <f>Inputs!$F$136*Inputs!$F$132/1000*Time!U$9*Time!U$10*Operations!U604*Operations!$F$421</f>
        <v/>
      </c>
      <c r="V625" s="20">
        <f>Inputs!$F$136*Inputs!$F$132/1000*Time!V$9*Time!V$10*Operations!V604*Operations!$F$421</f>
        <v/>
      </c>
      <c r="W625" s="20">
        <f>Inputs!$F$136*Inputs!$F$132/1000*Time!W$9*Time!W$10*Operations!W604*Operations!$F$421</f>
        <v/>
      </c>
      <c r="X625" s="20">
        <f>Inputs!$F$136*Inputs!$F$132/1000*Time!X$9*Time!X$10*Operations!X604*Operations!$F$421</f>
        <v/>
      </c>
      <c r="Y625" s="20">
        <f>Inputs!$F$136*Inputs!$F$132/1000*Time!Y$9*Time!Y$10*Operations!Y604*Operations!$F$421</f>
        <v/>
      </c>
      <c r="Z625" s="20">
        <f>Inputs!$F$136*Inputs!$F$132/1000*Time!Z$9*Time!Z$10*Operations!Z604*Operations!$F$421</f>
        <v/>
      </c>
      <c r="AA625" s="20">
        <f>Inputs!$F$136*Inputs!$F$132/1000*Time!AA$9*Time!AA$10*Operations!AA604*Operations!$F$421</f>
        <v/>
      </c>
      <c r="AB625" s="20">
        <f>Inputs!$F$136*Inputs!$F$132/1000*Time!AB$9*Time!AB$10*Operations!AB604*Operations!$F$421</f>
        <v/>
      </c>
      <c r="AC625" s="20">
        <f>Inputs!$F$136*Inputs!$F$132/1000*Time!AC$9*Time!AC$10*Operations!AC604*Operations!$F$421</f>
        <v/>
      </c>
      <c r="AD625" s="20">
        <f>Inputs!$F$136*Inputs!$F$132/1000*Time!AD$9*Time!AD$10*Operations!AD604*Operations!$F$421</f>
        <v/>
      </c>
      <c r="AE625" s="20">
        <f>Inputs!$F$136*Inputs!$F$132/1000*Time!AE$9*Time!AE$10*Operations!AE604*Operations!$F$421</f>
        <v/>
      </c>
      <c r="AF625" s="20">
        <f>Inputs!$F$136*Inputs!$F$132/1000*Time!AF$9*Time!AF$10*Operations!AF604*Operations!$F$421</f>
        <v/>
      </c>
      <c r="AG625" s="20">
        <f>Inputs!$F$136*Inputs!$F$132/1000*Time!AG$9*Time!AG$10*Operations!AG604*Operations!$F$421</f>
        <v/>
      </c>
      <c r="AH625" s="20">
        <f>Inputs!$F$136*Inputs!$F$132/1000*Time!AH$9*Time!AH$10*Operations!AH604*Operations!$F$421</f>
        <v/>
      </c>
      <c r="AI625" s="20">
        <f>Inputs!$F$136*Inputs!$F$132/1000*Time!AI$9*Time!AI$10*Operations!AI604*Operations!$F$421</f>
        <v/>
      </c>
      <c r="AJ625" s="20">
        <f>Inputs!$F$136*Inputs!$F$132/1000*Time!AJ$9*Time!AJ$10*Operations!AJ604*Operations!$F$421</f>
        <v/>
      </c>
      <c r="AK625" s="20">
        <f>Inputs!$F$136*Inputs!$F$132/1000*Time!AK$9*Time!AK$10*Operations!AK604*Operations!$F$421</f>
        <v/>
      </c>
      <c r="AL625" s="20">
        <f>Inputs!$F$136*Inputs!$F$132/1000*Time!AL$9*Time!AL$10*Operations!AL604*Operations!$F$421</f>
        <v/>
      </c>
      <c r="AM625" s="20">
        <f>Inputs!$F$136*Inputs!$F$132/1000*Time!AM$9*Time!AM$10*Operations!AM604*Operations!$F$421</f>
        <v/>
      </c>
      <c r="AN625" s="20">
        <f>Inputs!$F$136*Inputs!$F$132/1000*Time!AN$9*Time!AN$10*Operations!AN604*Operations!$F$421</f>
        <v/>
      </c>
      <c r="AO625" s="20">
        <f>Inputs!$F$136*Inputs!$F$132/1000*Time!AO$9*Time!AO$10*Operations!AO604*Operations!$F$421</f>
        <v/>
      </c>
      <c r="AP625" s="20">
        <f>Inputs!$F$136*Inputs!$F$132/1000*Time!AP$9*Time!AP$10*Operations!AP604*Operations!$F$421</f>
        <v/>
      </c>
      <c r="AQ625" s="20">
        <f>Inputs!$F$136*Inputs!$F$132/1000*Time!AQ$9*Time!AQ$10*Operations!AQ604*Operations!$F$421</f>
        <v/>
      </c>
      <c r="AR625" s="20">
        <f>Inputs!$F$136*Inputs!$F$132/1000*Time!AR$9*Time!AR$10*Operations!AR604*Operations!$F$421</f>
        <v/>
      </c>
      <c r="AS625" s="20">
        <f>Inputs!$F$136*Inputs!$F$132/1000*Time!AS$9*Time!AS$10*Operations!AS604*Operations!$F$421</f>
        <v/>
      </c>
      <c r="AT625" s="20">
        <f>Inputs!$F$136*Inputs!$F$132/1000*Time!AT$9*Time!AT$10*Operations!AT604*Operations!$F$421</f>
        <v/>
      </c>
      <c r="AU625" s="20">
        <f>Inputs!$F$136*Inputs!$F$132/1000*Time!AU$9*Time!AU$10*Operations!AU604*Operations!$F$421</f>
        <v/>
      </c>
    </row>
    <row r="626">
      <c r="D626" t="inlineStr">
        <is>
          <t>R5 land lease (in opex)</t>
        </is>
      </c>
      <c r="E626" t="inlineStr">
        <is>
          <t>USD m</t>
        </is>
      </c>
      <c r="J626" s="20">
        <f>0</f>
        <v/>
      </c>
      <c r="K626" s="20">
        <f>0</f>
        <v/>
      </c>
      <c r="L626" s="20">
        <f>0</f>
        <v/>
      </c>
      <c r="M626" s="20">
        <f>0</f>
        <v/>
      </c>
      <c r="N626" s="20">
        <f>0</f>
        <v/>
      </c>
      <c r="O626" s="20">
        <f>0</f>
        <v/>
      </c>
      <c r="P626" s="20">
        <f>0</f>
        <v/>
      </c>
      <c r="Q626" s="20">
        <f>0</f>
        <v/>
      </c>
      <c r="R626" s="20">
        <f>0</f>
        <v/>
      </c>
      <c r="S626" s="20">
        <f>0</f>
        <v/>
      </c>
      <c r="T626" s="20">
        <f>0</f>
        <v/>
      </c>
      <c r="U626" s="20">
        <f>0</f>
        <v/>
      </c>
      <c r="V626" s="20">
        <f>0</f>
        <v/>
      </c>
      <c r="W626" s="20">
        <f>0</f>
        <v/>
      </c>
      <c r="X626" s="20">
        <f>0</f>
        <v/>
      </c>
      <c r="Y626" s="20">
        <f>0</f>
        <v/>
      </c>
      <c r="Z626" s="20">
        <f>0</f>
        <v/>
      </c>
      <c r="AA626" s="20">
        <f>0</f>
        <v/>
      </c>
      <c r="AB626" s="20">
        <f>0</f>
        <v/>
      </c>
      <c r="AC626" s="20">
        <f>0</f>
        <v/>
      </c>
      <c r="AD626" s="20">
        <f>0</f>
        <v/>
      </c>
      <c r="AE626" s="20">
        <f>0</f>
        <v/>
      </c>
      <c r="AF626" s="20">
        <f>0</f>
        <v/>
      </c>
      <c r="AG626" s="20">
        <f>0</f>
        <v/>
      </c>
      <c r="AH626" s="20">
        <f>0</f>
        <v/>
      </c>
      <c r="AI626" s="20">
        <f>0</f>
        <v/>
      </c>
      <c r="AJ626" s="20">
        <f>0</f>
        <v/>
      </c>
      <c r="AK626" s="20">
        <f>0</f>
        <v/>
      </c>
      <c r="AL626" s="20">
        <f>0</f>
        <v/>
      </c>
      <c r="AM626" s="20">
        <f>0</f>
        <v/>
      </c>
      <c r="AN626" s="20">
        <f>0</f>
        <v/>
      </c>
      <c r="AO626" s="20">
        <f>0</f>
        <v/>
      </c>
      <c r="AP626" s="20">
        <f>0</f>
        <v/>
      </c>
      <c r="AQ626" s="20">
        <f>0</f>
        <v/>
      </c>
      <c r="AR626" s="20">
        <f>0</f>
        <v/>
      </c>
      <c r="AS626" s="20">
        <f>0</f>
        <v/>
      </c>
      <c r="AT626" s="20">
        <f>0</f>
        <v/>
      </c>
      <c r="AU626" s="20">
        <f>0</f>
        <v/>
      </c>
    </row>
    <row r="627">
      <c r="D627" t="inlineStr">
        <is>
          <t>R5 decommissioning surety cost</t>
        </is>
      </c>
      <c r="E627" t="inlineStr">
        <is>
          <t>USD m</t>
        </is>
      </c>
      <c r="J627" s="20">
        <f>Inputs!$F$236/100*Inputs!$F$137*Inputs!$F$132/1000*Time!J$9*Operations!J604</f>
        <v/>
      </c>
      <c r="K627" s="20">
        <f>Inputs!$F$236/100*Inputs!$F$137*Inputs!$F$132/1000*Time!K$9*Operations!K604</f>
        <v/>
      </c>
      <c r="L627" s="20">
        <f>Inputs!$F$236/100*Inputs!$F$137*Inputs!$F$132/1000*Time!L$9*Operations!L604</f>
        <v/>
      </c>
      <c r="M627" s="20">
        <f>Inputs!$F$236/100*Inputs!$F$137*Inputs!$F$132/1000*Time!M$9*Operations!M604</f>
        <v/>
      </c>
      <c r="N627" s="20">
        <f>Inputs!$F$236/100*Inputs!$F$137*Inputs!$F$132/1000*Time!N$9*Operations!N604</f>
        <v/>
      </c>
      <c r="O627" s="20">
        <f>Inputs!$F$236/100*Inputs!$F$137*Inputs!$F$132/1000*Time!O$9*Operations!O604</f>
        <v/>
      </c>
      <c r="P627" s="20">
        <f>Inputs!$F$236/100*Inputs!$F$137*Inputs!$F$132/1000*Time!P$9*Operations!P604</f>
        <v/>
      </c>
      <c r="Q627" s="20">
        <f>Inputs!$F$236/100*Inputs!$F$137*Inputs!$F$132/1000*Time!Q$9*Operations!Q604</f>
        <v/>
      </c>
      <c r="R627" s="20">
        <f>Inputs!$F$236/100*Inputs!$F$137*Inputs!$F$132/1000*Time!R$9*Operations!R604</f>
        <v/>
      </c>
      <c r="S627" s="20">
        <f>Inputs!$F$236/100*Inputs!$F$137*Inputs!$F$132/1000*Time!S$9*Operations!S604</f>
        <v/>
      </c>
      <c r="T627" s="20">
        <f>Inputs!$F$236/100*Inputs!$F$137*Inputs!$F$132/1000*Time!T$9*Operations!T604</f>
        <v/>
      </c>
      <c r="U627" s="20">
        <f>Inputs!$F$236/100*Inputs!$F$137*Inputs!$F$132/1000*Time!U$9*Operations!U604</f>
        <v/>
      </c>
      <c r="V627" s="20">
        <f>Inputs!$F$236/100*Inputs!$F$137*Inputs!$F$132/1000*Time!V$9*Operations!V604</f>
        <v/>
      </c>
      <c r="W627" s="20">
        <f>Inputs!$F$236/100*Inputs!$F$137*Inputs!$F$132/1000*Time!W$9*Operations!W604</f>
        <v/>
      </c>
      <c r="X627" s="20">
        <f>Inputs!$F$236/100*Inputs!$F$137*Inputs!$F$132/1000*Time!X$9*Operations!X604</f>
        <v/>
      </c>
      <c r="Y627" s="20">
        <f>Inputs!$F$236/100*Inputs!$F$137*Inputs!$F$132/1000*Time!Y$9*Operations!Y604</f>
        <v/>
      </c>
      <c r="Z627" s="20">
        <f>Inputs!$F$236/100*Inputs!$F$137*Inputs!$F$132/1000*Time!Z$9*Operations!Z604</f>
        <v/>
      </c>
      <c r="AA627" s="20">
        <f>Inputs!$F$236/100*Inputs!$F$137*Inputs!$F$132/1000*Time!AA$9*Operations!AA604</f>
        <v/>
      </c>
      <c r="AB627" s="20">
        <f>Inputs!$F$236/100*Inputs!$F$137*Inputs!$F$132/1000*Time!AB$9*Operations!AB604</f>
        <v/>
      </c>
      <c r="AC627" s="20">
        <f>Inputs!$F$236/100*Inputs!$F$137*Inputs!$F$132/1000*Time!AC$9*Operations!AC604</f>
        <v/>
      </c>
      <c r="AD627" s="20">
        <f>Inputs!$F$236/100*Inputs!$F$137*Inputs!$F$132/1000*Time!AD$9*Operations!AD604</f>
        <v/>
      </c>
      <c r="AE627" s="20">
        <f>Inputs!$F$236/100*Inputs!$F$137*Inputs!$F$132/1000*Time!AE$9*Operations!AE604</f>
        <v/>
      </c>
      <c r="AF627" s="20">
        <f>Inputs!$F$236/100*Inputs!$F$137*Inputs!$F$132/1000*Time!AF$9*Operations!AF604</f>
        <v/>
      </c>
      <c r="AG627" s="20">
        <f>Inputs!$F$236/100*Inputs!$F$137*Inputs!$F$132/1000*Time!AG$9*Operations!AG604</f>
        <v/>
      </c>
      <c r="AH627" s="20">
        <f>Inputs!$F$236/100*Inputs!$F$137*Inputs!$F$132/1000*Time!AH$9*Operations!AH604</f>
        <v/>
      </c>
      <c r="AI627" s="20">
        <f>Inputs!$F$236/100*Inputs!$F$137*Inputs!$F$132/1000*Time!AI$9*Operations!AI604</f>
        <v/>
      </c>
      <c r="AJ627" s="20">
        <f>Inputs!$F$236/100*Inputs!$F$137*Inputs!$F$132/1000*Time!AJ$9*Operations!AJ604</f>
        <v/>
      </c>
      <c r="AK627" s="20">
        <f>Inputs!$F$236/100*Inputs!$F$137*Inputs!$F$132/1000*Time!AK$9*Operations!AK604</f>
        <v/>
      </c>
      <c r="AL627" s="20">
        <f>Inputs!$F$236/100*Inputs!$F$137*Inputs!$F$132/1000*Time!AL$9*Operations!AL604</f>
        <v/>
      </c>
      <c r="AM627" s="20">
        <f>Inputs!$F$236/100*Inputs!$F$137*Inputs!$F$132/1000*Time!AM$9*Operations!AM604</f>
        <v/>
      </c>
      <c r="AN627" s="20">
        <f>Inputs!$F$236/100*Inputs!$F$137*Inputs!$F$132/1000*Time!AN$9*Operations!AN604</f>
        <v/>
      </c>
      <c r="AO627" s="20">
        <f>Inputs!$F$236/100*Inputs!$F$137*Inputs!$F$132/1000*Time!AO$9*Operations!AO604</f>
        <v/>
      </c>
      <c r="AP627" s="20">
        <f>Inputs!$F$236/100*Inputs!$F$137*Inputs!$F$132/1000*Time!AP$9*Operations!AP604</f>
        <v/>
      </c>
      <c r="AQ627" s="20">
        <f>Inputs!$F$236/100*Inputs!$F$137*Inputs!$F$132/1000*Time!AQ$9*Operations!AQ604</f>
        <v/>
      </c>
      <c r="AR627" s="20">
        <f>Inputs!$F$236/100*Inputs!$F$137*Inputs!$F$132/1000*Time!AR$9*Operations!AR604</f>
        <v/>
      </c>
      <c r="AS627" s="20">
        <f>Inputs!$F$236/100*Inputs!$F$137*Inputs!$F$132/1000*Time!AS$9*Operations!AS604</f>
        <v/>
      </c>
      <c r="AT627" s="20">
        <f>Inputs!$F$236/100*Inputs!$F$137*Inputs!$F$132/1000*Time!AT$9*Operations!AT604</f>
        <v/>
      </c>
      <c r="AU627" s="20">
        <f>Inputs!$F$236/100*Inputs!$F$137*Inputs!$F$132/1000*Time!AU$9*Operations!AU604</f>
        <v/>
      </c>
    </row>
    <row r="628">
      <c r="D628" t="inlineStr">
        <is>
          <t>R5 Texas margin tax</t>
        </is>
      </c>
      <c r="E628" t="inlineStr">
        <is>
          <t>USD m</t>
        </is>
      </c>
      <c r="J628" s="20">
        <f>Inputs!$F$237/100*Inputs!$F$238/100*Operations!J623</f>
        <v/>
      </c>
      <c r="K628" s="20">
        <f>Inputs!$F$237/100*Inputs!$F$238/100*Operations!K623</f>
        <v/>
      </c>
      <c r="L628" s="20">
        <f>Inputs!$F$237/100*Inputs!$F$238/100*Operations!L623</f>
        <v/>
      </c>
      <c r="M628" s="20">
        <f>Inputs!$F$237/100*Inputs!$F$238/100*Operations!M623</f>
        <v/>
      </c>
      <c r="N628" s="20">
        <f>Inputs!$F$237/100*Inputs!$F$238/100*Operations!N623</f>
        <v/>
      </c>
      <c r="O628" s="20">
        <f>Inputs!$F$237/100*Inputs!$F$238/100*Operations!O623</f>
        <v/>
      </c>
      <c r="P628" s="20">
        <f>Inputs!$F$237/100*Inputs!$F$238/100*Operations!P623</f>
        <v/>
      </c>
      <c r="Q628" s="20">
        <f>Inputs!$F$237/100*Inputs!$F$238/100*Operations!Q623</f>
        <v/>
      </c>
      <c r="R628" s="20">
        <f>Inputs!$F$237/100*Inputs!$F$238/100*Operations!R623</f>
        <v/>
      </c>
      <c r="S628" s="20">
        <f>Inputs!$F$237/100*Inputs!$F$238/100*Operations!S623</f>
        <v/>
      </c>
      <c r="T628" s="20">
        <f>Inputs!$F$237/100*Inputs!$F$238/100*Operations!T623</f>
        <v/>
      </c>
      <c r="U628" s="20">
        <f>Inputs!$F$237/100*Inputs!$F$238/100*Operations!U623</f>
        <v/>
      </c>
      <c r="V628" s="20">
        <f>Inputs!$F$237/100*Inputs!$F$238/100*Operations!V623</f>
        <v/>
      </c>
      <c r="W628" s="20">
        <f>Inputs!$F$237/100*Inputs!$F$238/100*Operations!W623</f>
        <v/>
      </c>
      <c r="X628" s="20">
        <f>Inputs!$F$237/100*Inputs!$F$238/100*Operations!X623</f>
        <v/>
      </c>
      <c r="Y628" s="20">
        <f>Inputs!$F$237/100*Inputs!$F$238/100*Operations!Y623</f>
        <v/>
      </c>
      <c r="Z628" s="20">
        <f>Inputs!$F$237/100*Inputs!$F$238/100*Operations!Z623</f>
        <v/>
      </c>
      <c r="AA628" s="20">
        <f>Inputs!$F$237/100*Inputs!$F$238/100*Operations!AA623</f>
        <v/>
      </c>
      <c r="AB628" s="20">
        <f>Inputs!$F$237/100*Inputs!$F$238/100*Operations!AB623</f>
        <v/>
      </c>
      <c r="AC628" s="20">
        <f>Inputs!$F$237/100*Inputs!$F$238/100*Operations!AC623</f>
        <v/>
      </c>
      <c r="AD628" s="20">
        <f>Inputs!$F$237/100*Inputs!$F$238/100*Operations!AD623</f>
        <v/>
      </c>
      <c r="AE628" s="20">
        <f>Inputs!$F$237/100*Inputs!$F$238/100*Operations!AE623</f>
        <v/>
      </c>
      <c r="AF628" s="20">
        <f>Inputs!$F$237/100*Inputs!$F$238/100*Operations!AF623</f>
        <v/>
      </c>
      <c r="AG628" s="20">
        <f>Inputs!$F$237/100*Inputs!$F$238/100*Operations!AG623</f>
        <v/>
      </c>
      <c r="AH628" s="20">
        <f>Inputs!$F$237/100*Inputs!$F$238/100*Operations!AH623</f>
        <v/>
      </c>
      <c r="AI628" s="20">
        <f>Inputs!$F$237/100*Inputs!$F$238/100*Operations!AI623</f>
        <v/>
      </c>
      <c r="AJ628" s="20">
        <f>Inputs!$F$237/100*Inputs!$F$238/100*Operations!AJ623</f>
        <v/>
      </c>
      <c r="AK628" s="20">
        <f>Inputs!$F$237/100*Inputs!$F$238/100*Operations!AK623</f>
        <v/>
      </c>
      <c r="AL628" s="20">
        <f>Inputs!$F$237/100*Inputs!$F$238/100*Operations!AL623</f>
        <v/>
      </c>
      <c r="AM628" s="20">
        <f>Inputs!$F$237/100*Inputs!$F$238/100*Operations!AM623</f>
        <v/>
      </c>
      <c r="AN628" s="20">
        <f>Inputs!$F$237/100*Inputs!$F$238/100*Operations!AN623</f>
        <v/>
      </c>
      <c r="AO628" s="20">
        <f>Inputs!$F$237/100*Inputs!$F$238/100*Operations!AO623</f>
        <v/>
      </c>
      <c r="AP628" s="20">
        <f>Inputs!$F$237/100*Inputs!$F$238/100*Operations!AP623</f>
        <v/>
      </c>
      <c r="AQ628" s="20">
        <f>Inputs!$F$237/100*Inputs!$F$238/100*Operations!AQ623</f>
        <v/>
      </c>
      <c r="AR628" s="20">
        <f>Inputs!$F$237/100*Inputs!$F$238/100*Operations!AR623</f>
        <v/>
      </c>
      <c r="AS628" s="20">
        <f>Inputs!$F$237/100*Inputs!$F$238/100*Operations!AS623</f>
        <v/>
      </c>
      <c r="AT628" s="20">
        <f>Inputs!$F$237/100*Inputs!$F$238/100*Operations!AT623</f>
        <v/>
      </c>
      <c r="AU628" s="20">
        <f>Inputs!$F$237/100*Inputs!$F$238/100*Operations!AU623</f>
        <v/>
      </c>
    </row>
    <row r="629">
      <c r="D629" t="inlineStr">
        <is>
          <t>R5 EBITDA</t>
        </is>
      </c>
      <c r="E629" t="inlineStr">
        <is>
          <t>USD m</t>
        </is>
      </c>
      <c r="G629" s="20">
        <f>SUM(J629:AU629)</f>
        <v/>
      </c>
      <c r="J629" s="20">
        <f>Operations!J623-Operations!J625-Operations!J626-Operations!J627-Operations!J628</f>
        <v/>
      </c>
      <c r="K629" s="20">
        <f>Operations!K623-Operations!K625-Operations!K626-Operations!K627-Operations!K628</f>
        <v/>
      </c>
      <c r="L629" s="20">
        <f>Operations!L623-Operations!L625-Operations!L626-Operations!L627-Operations!L628</f>
        <v/>
      </c>
      <c r="M629" s="20">
        <f>Operations!M623-Operations!M625-Operations!M626-Operations!M627-Operations!M628</f>
        <v/>
      </c>
      <c r="N629" s="20">
        <f>Operations!N623-Operations!N625-Operations!N626-Operations!N627-Operations!N628</f>
        <v/>
      </c>
      <c r="O629" s="20">
        <f>Operations!O623-Operations!O625-Operations!O626-Operations!O627-Operations!O628</f>
        <v/>
      </c>
      <c r="P629" s="20">
        <f>Operations!P623-Operations!P625-Operations!P626-Operations!P627-Operations!P628</f>
        <v/>
      </c>
      <c r="Q629" s="20">
        <f>Operations!Q623-Operations!Q625-Operations!Q626-Operations!Q627-Operations!Q628</f>
        <v/>
      </c>
      <c r="R629" s="20">
        <f>Operations!R623-Operations!R625-Operations!R626-Operations!R627-Operations!R628</f>
        <v/>
      </c>
      <c r="S629" s="20">
        <f>Operations!S623-Operations!S625-Operations!S626-Operations!S627-Operations!S628</f>
        <v/>
      </c>
      <c r="T629" s="20">
        <f>Operations!T623-Operations!T625-Operations!T626-Operations!T627-Operations!T628</f>
        <v/>
      </c>
      <c r="U629" s="20">
        <f>Operations!U623-Operations!U625-Operations!U626-Operations!U627-Operations!U628</f>
        <v/>
      </c>
      <c r="V629" s="20">
        <f>Operations!V623-Operations!V625-Operations!V626-Operations!V627-Operations!V628</f>
        <v/>
      </c>
      <c r="W629" s="20">
        <f>Operations!W623-Operations!W625-Operations!W626-Operations!W627-Operations!W628</f>
        <v/>
      </c>
      <c r="X629" s="20">
        <f>Operations!X623-Operations!X625-Operations!X626-Operations!X627-Operations!X628</f>
        <v/>
      </c>
      <c r="Y629" s="20">
        <f>Operations!Y623-Operations!Y625-Operations!Y626-Operations!Y627-Operations!Y628</f>
        <v/>
      </c>
      <c r="Z629" s="20">
        <f>Operations!Z623-Operations!Z625-Operations!Z626-Operations!Z627-Operations!Z628</f>
        <v/>
      </c>
      <c r="AA629" s="20">
        <f>Operations!AA623-Operations!AA625-Operations!AA626-Operations!AA627-Operations!AA628</f>
        <v/>
      </c>
      <c r="AB629" s="20">
        <f>Operations!AB623-Operations!AB625-Operations!AB626-Operations!AB627-Operations!AB628</f>
        <v/>
      </c>
      <c r="AC629" s="20">
        <f>Operations!AC623-Operations!AC625-Operations!AC626-Operations!AC627-Operations!AC628</f>
        <v/>
      </c>
      <c r="AD629" s="20">
        <f>Operations!AD623-Operations!AD625-Operations!AD626-Operations!AD627-Operations!AD628</f>
        <v/>
      </c>
      <c r="AE629" s="20">
        <f>Operations!AE623-Operations!AE625-Operations!AE626-Operations!AE627-Operations!AE628</f>
        <v/>
      </c>
      <c r="AF629" s="20">
        <f>Operations!AF623-Operations!AF625-Operations!AF626-Operations!AF627-Operations!AF628</f>
        <v/>
      </c>
      <c r="AG629" s="20">
        <f>Operations!AG623-Operations!AG625-Operations!AG626-Operations!AG627-Operations!AG628</f>
        <v/>
      </c>
      <c r="AH629" s="20">
        <f>Operations!AH623-Operations!AH625-Operations!AH626-Operations!AH627-Operations!AH628</f>
        <v/>
      </c>
      <c r="AI629" s="20">
        <f>Operations!AI623-Operations!AI625-Operations!AI626-Operations!AI627-Operations!AI628</f>
        <v/>
      </c>
      <c r="AJ629" s="20">
        <f>Operations!AJ623-Operations!AJ625-Operations!AJ626-Operations!AJ627-Operations!AJ628</f>
        <v/>
      </c>
      <c r="AK629" s="20">
        <f>Operations!AK623-Operations!AK625-Operations!AK626-Operations!AK627-Operations!AK628</f>
        <v/>
      </c>
      <c r="AL629" s="20">
        <f>Operations!AL623-Operations!AL625-Operations!AL626-Operations!AL627-Operations!AL628</f>
        <v/>
      </c>
      <c r="AM629" s="20">
        <f>Operations!AM623-Operations!AM625-Operations!AM626-Operations!AM627-Operations!AM628</f>
        <v/>
      </c>
      <c r="AN629" s="20">
        <f>Operations!AN623-Operations!AN625-Operations!AN626-Operations!AN627-Operations!AN628</f>
        <v/>
      </c>
      <c r="AO629" s="20">
        <f>Operations!AO623-Operations!AO625-Operations!AO626-Operations!AO627-Operations!AO628</f>
        <v/>
      </c>
      <c r="AP629" s="20">
        <f>Operations!AP623-Operations!AP625-Operations!AP626-Operations!AP627-Operations!AP628</f>
        <v/>
      </c>
      <c r="AQ629" s="20">
        <f>Operations!AQ623-Operations!AQ625-Operations!AQ626-Operations!AQ627-Operations!AQ628</f>
        <v/>
      </c>
      <c r="AR629" s="20">
        <f>Operations!AR623-Operations!AR625-Operations!AR626-Operations!AR627-Operations!AR628</f>
        <v/>
      </c>
      <c r="AS629" s="20">
        <f>Operations!AS623-Operations!AS625-Operations!AS626-Operations!AS627-Operations!AS628</f>
        <v/>
      </c>
      <c r="AT629" s="20">
        <f>Operations!AT623-Operations!AT625-Operations!AT626-Operations!AT627-Operations!AT628</f>
        <v/>
      </c>
      <c r="AU629" s="20">
        <f>Operations!AU623-Operations!AU625-Operations!AU626-Operations!AU627-Operations!AU628</f>
        <v/>
      </c>
    </row>
    <row r="630">
      <c r="D630" t="inlineStr">
        <is>
          <t>R5 capex</t>
        </is>
      </c>
      <c r="E630" t="inlineStr">
        <is>
          <t>USD m</t>
        </is>
      </c>
      <c r="J630" s="20">
        <f>0</f>
        <v/>
      </c>
      <c r="K630" s="20">
        <f>0</f>
        <v/>
      </c>
      <c r="L630" s="20">
        <f>0</f>
        <v/>
      </c>
      <c r="M630" s="20">
        <f>0</f>
        <v/>
      </c>
      <c r="N630" s="20">
        <f>0</f>
        <v/>
      </c>
      <c r="O630" s="20">
        <f>0</f>
        <v/>
      </c>
      <c r="P630" s="20">
        <f>0</f>
        <v/>
      </c>
      <c r="Q630" s="20">
        <f>0</f>
        <v/>
      </c>
      <c r="R630" s="20">
        <f>0</f>
        <v/>
      </c>
      <c r="S630" s="20">
        <f>0</f>
        <v/>
      </c>
      <c r="T630" s="20">
        <f>0</f>
        <v/>
      </c>
      <c r="U630" s="20">
        <f>0</f>
        <v/>
      </c>
      <c r="V630" s="20">
        <f>0</f>
        <v/>
      </c>
      <c r="W630" s="20">
        <f>0</f>
        <v/>
      </c>
      <c r="X630" s="20">
        <f>0</f>
        <v/>
      </c>
      <c r="Y630" s="20">
        <f>0</f>
        <v/>
      </c>
      <c r="Z630" s="20">
        <f>0</f>
        <v/>
      </c>
      <c r="AA630" s="20">
        <f>0</f>
        <v/>
      </c>
      <c r="AB630" s="20">
        <f>0</f>
        <v/>
      </c>
      <c r="AC630" s="20">
        <f>0</f>
        <v/>
      </c>
      <c r="AD630" s="20">
        <f>0</f>
        <v/>
      </c>
      <c r="AE630" s="20">
        <f>0</f>
        <v/>
      </c>
      <c r="AF630" s="20">
        <f>0</f>
        <v/>
      </c>
      <c r="AG630" s="20">
        <f>0</f>
        <v/>
      </c>
      <c r="AH630" s="20">
        <f>0</f>
        <v/>
      </c>
      <c r="AI630" s="20">
        <f>0</f>
        <v/>
      </c>
      <c r="AJ630" s="20">
        <f>0</f>
        <v/>
      </c>
      <c r="AK630" s="20">
        <f>0</f>
        <v/>
      </c>
      <c r="AL630" s="20">
        <f>0</f>
        <v/>
      </c>
      <c r="AM630" s="20">
        <f>0</f>
        <v/>
      </c>
      <c r="AN630" s="20">
        <f>0</f>
        <v/>
      </c>
      <c r="AO630" s="20">
        <f>0</f>
        <v/>
      </c>
      <c r="AP630" s="20">
        <f>0</f>
        <v/>
      </c>
      <c r="AQ630" s="20">
        <f>0</f>
        <v/>
      </c>
      <c r="AR630" s="20">
        <f>0</f>
        <v/>
      </c>
      <c r="AS630" s="20">
        <f>0</f>
        <v/>
      </c>
      <c r="AT630" s="20">
        <f>0</f>
        <v/>
      </c>
      <c r="AU630" s="20">
        <f>0</f>
        <v/>
      </c>
    </row>
    <row r="631">
      <c r="D631" t="inlineStr">
        <is>
          <t>R5 decommissioning at end of life</t>
        </is>
      </c>
      <c r="E631" t="inlineStr">
        <is>
          <t>USD m</t>
        </is>
      </c>
      <c r="J631" s="20">
        <f>IF(Time!J$4=YEAR(Inputs!$F$134),Inputs!$F$137*Inputs!$F$132/1000*Time!J$9,0)</f>
        <v/>
      </c>
      <c r="K631" s="20">
        <f>IF(Time!K$4=YEAR(Inputs!$F$134),Inputs!$F$137*Inputs!$F$132/1000*Time!K$9,0)</f>
        <v/>
      </c>
      <c r="L631" s="20">
        <f>IF(Time!L$4=YEAR(Inputs!$F$134),Inputs!$F$137*Inputs!$F$132/1000*Time!L$9,0)</f>
        <v/>
      </c>
      <c r="M631" s="20">
        <f>IF(Time!M$4=YEAR(Inputs!$F$134),Inputs!$F$137*Inputs!$F$132/1000*Time!M$9,0)</f>
        <v/>
      </c>
      <c r="N631" s="20">
        <f>IF(Time!N$4=YEAR(Inputs!$F$134),Inputs!$F$137*Inputs!$F$132/1000*Time!N$9,0)</f>
        <v/>
      </c>
      <c r="O631" s="20">
        <f>IF(Time!O$4=YEAR(Inputs!$F$134),Inputs!$F$137*Inputs!$F$132/1000*Time!O$9,0)</f>
        <v/>
      </c>
      <c r="P631" s="20">
        <f>IF(Time!P$4=YEAR(Inputs!$F$134),Inputs!$F$137*Inputs!$F$132/1000*Time!P$9,0)</f>
        <v/>
      </c>
      <c r="Q631" s="20">
        <f>IF(Time!Q$4=YEAR(Inputs!$F$134),Inputs!$F$137*Inputs!$F$132/1000*Time!Q$9,0)</f>
        <v/>
      </c>
      <c r="R631" s="20">
        <f>IF(Time!R$4=YEAR(Inputs!$F$134),Inputs!$F$137*Inputs!$F$132/1000*Time!R$9,0)</f>
        <v/>
      </c>
      <c r="S631" s="20">
        <f>IF(Time!S$4=YEAR(Inputs!$F$134),Inputs!$F$137*Inputs!$F$132/1000*Time!S$9,0)</f>
        <v/>
      </c>
      <c r="T631" s="20">
        <f>IF(Time!T$4=YEAR(Inputs!$F$134),Inputs!$F$137*Inputs!$F$132/1000*Time!T$9,0)</f>
        <v/>
      </c>
      <c r="U631" s="20">
        <f>IF(Time!U$4=YEAR(Inputs!$F$134),Inputs!$F$137*Inputs!$F$132/1000*Time!U$9,0)</f>
        <v/>
      </c>
      <c r="V631" s="20">
        <f>IF(Time!V$4=YEAR(Inputs!$F$134),Inputs!$F$137*Inputs!$F$132/1000*Time!V$9,0)</f>
        <v/>
      </c>
      <c r="W631" s="20">
        <f>IF(Time!W$4=YEAR(Inputs!$F$134),Inputs!$F$137*Inputs!$F$132/1000*Time!W$9,0)</f>
        <v/>
      </c>
      <c r="X631" s="20">
        <f>IF(Time!X$4=YEAR(Inputs!$F$134),Inputs!$F$137*Inputs!$F$132/1000*Time!X$9,0)</f>
        <v/>
      </c>
      <c r="Y631" s="20">
        <f>IF(Time!Y$4=YEAR(Inputs!$F$134),Inputs!$F$137*Inputs!$F$132/1000*Time!Y$9,0)</f>
        <v/>
      </c>
      <c r="Z631" s="20">
        <f>IF(Time!Z$4=YEAR(Inputs!$F$134),Inputs!$F$137*Inputs!$F$132/1000*Time!Z$9,0)</f>
        <v/>
      </c>
      <c r="AA631" s="20">
        <f>IF(Time!AA$4=YEAR(Inputs!$F$134),Inputs!$F$137*Inputs!$F$132/1000*Time!AA$9,0)</f>
        <v/>
      </c>
      <c r="AB631" s="20">
        <f>IF(Time!AB$4=YEAR(Inputs!$F$134),Inputs!$F$137*Inputs!$F$132/1000*Time!AB$9,0)</f>
        <v/>
      </c>
      <c r="AC631" s="20">
        <f>IF(Time!AC$4=YEAR(Inputs!$F$134),Inputs!$F$137*Inputs!$F$132/1000*Time!AC$9,0)</f>
        <v/>
      </c>
      <c r="AD631" s="20">
        <f>IF(Time!AD$4=YEAR(Inputs!$F$134),Inputs!$F$137*Inputs!$F$132/1000*Time!AD$9,0)</f>
        <v/>
      </c>
      <c r="AE631" s="20">
        <f>IF(Time!AE$4=YEAR(Inputs!$F$134),Inputs!$F$137*Inputs!$F$132/1000*Time!AE$9,0)</f>
        <v/>
      </c>
      <c r="AF631" s="20">
        <f>IF(Time!AF$4=YEAR(Inputs!$F$134),Inputs!$F$137*Inputs!$F$132/1000*Time!AF$9,0)</f>
        <v/>
      </c>
      <c r="AG631" s="20">
        <f>IF(Time!AG$4=YEAR(Inputs!$F$134),Inputs!$F$137*Inputs!$F$132/1000*Time!AG$9,0)</f>
        <v/>
      </c>
      <c r="AH631" s="20">
        <f>IF(Time!AH$4=YEAR(Inputs!$F$134),Inputs!$F$137*Inputs!$F$132/1000*Time!AH$9,0)</f>
        <v/>
      </c>
      <c r="AI631" s="20">
        <f>IF(Time!AI$4=YEAR(Inputs!$F$134),Inputs!$F$137*Inputs!$F$132/1000*Time!AI$9,0)</f>
        <v/>
      </c>
      <c r="AJ631" s="20">
        <f>IF(Time!AJ$4=YEAR(Inputs!$F$134),Inputs!$F$137*Inputs!$F$132/1000*Time!AJ$9,0)</f>
        <v/>
      </c>
      <c r="AK631" s="20">
        <f>IF(Time!AK$4=YEAR(Inputs!$F$134),Inputs!$F$137*Inputs!$F$132/1000*Time!AK$9,0)</f>
        <v/>
      </c>
      <c r="AL631" s="20">
        <f>IF(Time!AL$4=YEAR(Inputs!$F$134),Inputs!$F$137*Inputs!$F$132/1000*Time!AL$9,0)</f>
        <v/>
      </c>
      <c r="AM631" s="20">
        <f>IF(Time!AM$4=YEAR(Inputs!$F$134),Inputs!$F$137*Inputs!$F$132/1000*Time!AM$9,0)</f>
        <v/>
      </c>
      <c r="AN631" s="20">
        <f>IF(Time!AN$4=YEAR(Inputs!$F$134),Inputs!$F$137*Inputs!$F$132/1000*Time!AN$9,0)</f>
        <v/>
      </c>
      <c r="AO631" s="20">
        <f>IF(Time!AO$4=YEAR(Inputs!$F$134),Inputs!$F$137*Inputs!$F$132/1000*Time!AO$9,0)</f>
        <v/>
      </c>
      <c r="AP631" s="20">
        <f>IF(Time!AP$4=YEAR(Inputs!$F$134),Inputs!$F$137*Inputs!$F$132/1000*Time!AP$9,0)</f>
        <v/>
      </c>
      <c r="AQ631" s="20">
        <f>IF(Time!AQ$4=YEAR(Inputs!$F$134),Inputs!$F$137*Inputs!$F$132/1000*Time!AQ$9,0)</f>
        <v/>
      </c>
      <c r="AR631" s="20">
        <f>IF(Time!AR$4=YEAR(Inputs!$F$134),Inputs!$F$137*Inputs!$F$132/1000*Time!AR$9,0)</f>
        <v/>
      </c>
      <c r="AS631" s="20">
        <f>IF(Time!AS$4=YEAR(Inputs!$F$134),Inputs!$F$137*Inputs!$F$132/1000*Time!AS$9,0)</f>
        <v/>
      </c>
      <c r="AT631" s="20">
        <f>IF(Time!AT$4=YEAR(Inputs!$F$134),Inputs!$F$137*Inputs!$F$132/1000*Time!AT$9,0)</f>
        <v/>
      </c>
      <c r="AU631" s="20">
        <f>IF(Time!AU$4=YEAR(Inputs!$F$134),Inputs!$F$137*Inputs!$F$132/1000*Time!AU$9,0)</f>
        <v/>
      </c>
    </row>
    <row r="632">
      <c r="D632" t="inlineStr">
        <is>
          <t>R5 pre-tax cash flow, 100% of asset</t>
        </is>
      </c>
      <c r="E632" t="inlineStr">
        <is>
          <t>USD m</t>
        </is>
      </c>
      <c r="G632" s="20">
        <f>SUM(J632:AU632)</f>
        <v/>
      </c>
      <c r="J632" s="20">
        <f>Operations!J629-Operations!J630-Operations!J631</f>
        <v/>
      </c>
      <c r="K632" s="20">
        <f>Operations!K629-Operations!K630-Operations!K631</f>
        <v/>
      </c>
      <c r="L632" s="20">
        <f>Operations!L629-Operations!L630-Operations!L631</f>
        <v/>
      </c>
      <c r="M632" s="20">
        <f>Operations!M629-Operations!M630-Operations!M631</f>
        <v/>
      </c>
      <c r="N632" s="20">
        <f>Operations!N629-Operations!N630-Operations!N631</f>
        <v/>
      </c>
      <c r="O632" s="20">
        <f>Operations!O629-Operations!O630-Operations!O631</f>
        <v/>
      </c>
      <c r="P632" s="20">
        <f>Operations!P629-Operations!P630-Operations!P631</f>
        <v/>
      </c>
      <c r="Q632" s="20">
        <f>Operations!Q629-Operations!Q630-Operations!Q631</f>
        <v/>
      </c>
      <c r="R632" s="20">
        <f>Operations!R629-Operations!R630-Operations!R631</f>
        <v/>
      </c>
      <c r="S632" s="20">
        <f>Operations!S629-Operations!S630-Operations!S631</f>
        <v/>
      </c>
      <c r="T632" s="20">
        <f>Operations!T629-Operations!T630-Operations!T631</f>
        <v/>
      </c>
      <c r="U632" s="20">
        <f>Operations!U629-Operations!U630-Operations!U631</f>
        <v/>
      </c>
      <c r="V632" s="20">
        <f>Operations!V629-Operations!V630-Operations!V631</f>
        <v/>
      </c>
      <c r="W632" s="20">
        <f>Operations!W629-Operations!W630-Operations!W631</f>
        <v/>
      </c>
      <c r="X632" s="20">
        <f>Operations!X629-Operations!X630-Operations!X631</f>
        <v/>
      </c>
      <c r="Y632" s="20">
        <f>Operations!Y629-Operations!Y630-Operations!Y631</f>
        <v/>
      </c>
      <c r="Z632" s="20">
        <f>Operations!Z629-Operations!Z630-Operations!Z631</f>
        <v/>
      </c>
      <c r="AA632" s="20">
        <f>Operations!AA629-Operations!AA630-Operations!AA631</f>
        <v/>
      </c>
      <c r="AB632" s="20">
        <f>Operations!AB629-Operations!AB630-Operations!AB631</f>
        <v/>
      </c>
      <c r="AC632" s="20">
        <f>Operations!AC629-Operations!AC630-Operations!AC631</f>
        <v/>
      </c>
      <c r="AD632" s="20">
        <f>Operations!AD629-Operations!AD630-Operations!AD631</f>
        <v/>
      </c>
      <c r="AE632" s="20">
        <f>Operations!AE629-Operations!AE630-Operations!AE631</f>
        <v/>
      </c>
      <c r="AF632" s="20">
        <f>Operations!AF629-Operations!AF630-Operations!AF631</f>
        <v/>
      </c>
      <c r="AG632" s="20">
        <f>Operations!AG629-Operations!AG630-Operations!AG631</f>
        <v/>
      </c>
      <c r="AH632" s="20">
        <f>Operations!AH629-Operations!AH630-Operations!AH631</f>
        <v/>
      </c>
      <c r="AI632" s="20">
        <f>Operations!AI629-Operations!AI630-Operations!AI631</f>
        <v/>
      </c>
      <c r="AJ632" s="20">
        <f>Operations!AJ629-Operations!AJ630-Operations!AJ631</f>
        <v/>
      </c>
      <c r="AK632" s="20">
        <f>Operations!AK629-Operations!AK630-Operations!AK631</f>
        <v/>
      </c>
      <c r="AL632" s="20">
        <f>Operations!AL629-Operations!AL630-Operations!AL631</f>
        <v/>
      </c>
      <c r="AM632" s="20">
        <f>Operations!AM629-Operations!AM630-Operations!AM631</f>
        <v/>
      </c>
      <c r="AN632" s="20">
        <f>Operations!AN629-Operations!AN630-Operations!AN631</f>
        <v/>
      </c>
      <c r="AO632" s="20">
        <f>Operations!AO629-Operations!AO630-Operations!AO631</f>
        <v/>
      </c>
      <c r="AP632" s="20">
        <f>Operations!AP629-Operations!AP630-Operations!AP631</f>
        <v/>
      </c>
      <c r="AQ632" s="20">
        <f>Operations!AQ629-Operations!AQ630-Operations!AQ631</f>
        <v/>
      </c>
      <c r="AR632" s="20">
        <f>Operations!AR629-Operations!AR630-Operations!AR631</f>
        <v/>
      </c>
      <c r="AS632" s="20">
        <f>Operations!AS629-Operations!AS630-Operations!AS631</f>
        <v/>
      </c>
      <c r="AT632" s="20">
        <f>Operations!AT629-Operations!AT630-Operations!AT631</f>
        <v/>
      </c>
      <c r="AU632" s="20">
        <f>Operations!AU629-Operations!AU630-Operations!AU631</f>
        <v/>
      </c>
    </row>
    <row r="633">
      <c r="D633" t="inlineStr">
        <is>
          <t>R5 fraction of year before flip</t>
        </is>
      </c>
      <c r="E633" t="inlineStr">
        <is>
          <t>fraction</t>
        </is>
      </c>
      <c r="J633" s="14">
        <f>MAX(0,MIN(Inputs!$F$228,Time!J$6)-Time!J$5)/Time!J$7</f>
        <v/>
      </c>
      <c r="K633" s="14">
        <f>MAX(0,MIN(Inputs!$F$228,Time!K$6)-Time!K$5)/Time!K$7</f>
        <v/>
      </c>
      <c r="L633" s="14">
        <f>MAX(0,MIN(Inputs!$F$228,Time!L$6)-Time!L$5)/Time!L$7</f>
        <v/>
      </c>
      <c r="M633" s="14">
        <f>MAX(0,MIN(Inputs!$F$228,Time!M$6)-Time!M$5)/Time!M$7</f>
        <v/>
      </c>
      <c r="N633" s="14">
        <f>MAX(0,MIN(Inputs!$F$228,Time!N$6)-Time!N$5)/Time!N$7</f>
        <v/>
      </c>
      <c r="O633" s="14">
        <f>MAX(0,MIN(Inputs!$F$228,Time!O$6)-Time!O$5)/Time!O$7</f>
        <v/>
      </c>
      <c r="P633" s="14">
        <f>MAX(0,MIN(Inputs!$F$228,Time!P$6)-Time!P$5)/Time!P$7</f>
        <v/>
      </c>
      <c r="Q633" s="14">
        <f>MAX(0,MIN(Inputs!$F$228,Time!Q$6)-Time!Q$5)/Time!Q$7</f>
        <v/>
      </c>
      <c r="R633" s="14">
        <f>MAX(0,MIN(Inputs!$F$228,Time!R$6)-Time!R$5)/Time!R$7</f>
        <v/>
      </c>
      <c r="S633" s="14">
        <f>MAX(0,MIN(Inputs!$F$228,Time!S$6)-Time!S$5)/Time!S$7</f>
        <v/>
      </c>
      <c r="T633" s="14">
        <f>MAX(0,MIN(Inputs!$F$228,Time!T$6)-Time!T$5)/Time!T$7</f>
        <v/>
      </c>
      <c r="U633" s="14">
        <f>MAX(0,MIN(Inputs!$F$228,Time!U$6)-Time!U$5)/Time!U$7</f>
        <v/>
      </c>
      <c r="V633" s="14">
        <f>MAX(0,MIN(Inputs!$F$228,Time!V$6)-Time!V$5)/Time!V$7</f>
        <v/>
      </c>
      <c r="W633" s="14">
        <f>MAX(0,MIN(Inputs!$F$228,Time!W$6)-Time!W$5)/Time!W$7</f>
        <v/>
      </c>
      <c r="X633" s="14">
        <f>MAX(0,MIN(Inputs!$F$228,Time!X$6)-Time!X$5)/Time!X$7</f>
        <v/>
      </c>
      <c r="Y633" s="14">
        <f>MAX(0,MIN(Inputs!$F$228,Time!Y$6)-Time!Y$5)/Time!Y$7</f>
        <v/>
      </c>
      <c r="Z633" s="14">
        <f>MAX(0,MIN(Inputs!$F$228,Time!Z$6)-Time!Z$5)/Time!Z$7</f>
        <v/>
      </c>
      <c r="AA633" s="14">
        <f>MAX(0,MIN(Inputs!$F$228,Time!AA$6)-Time!AA$5)/Time!AA$7</f>
        <v/>
      </c>
      <c r="AB633" s="14">
        <f>MAX(0,MIN(Inputs!$F$228,Time!AB$6)-Time!AB$5)/Time!AB$7</f>
        <v/>
      </c>
      <c r="AC633" s="14">
        <f>MAX(0,MIN(Inputs!$F$228,Time!AC$6)-Time!AC$5)/Time!AC$7</f>
        <v/>
      </c>
      <c r="AD633" s="14">
        <f>MAX(0,MIN(Inputs!$F$228,Time!AD$6)-Time!AD$5)/Time!AD$7</f>
        <v/>
      </c>
      <c r="AE633" s="14">
        <f>MAX(0,MIN(Inputs!$F$228,Time!AE$6)-Time!AE$5)/Time!AE$7</f>
        <v/>
      </c>
      <c r="AF633" s="14">
        <f>MAX(0,MIN(Inputs!$F$228,Time!AF$6)-Time!AF$5)/Time!AF$7</f>
        <v/>
      </c>
      <c r="AG633" s="14">
        <f>MAX(0,MIN(Inputs!$F$228,Time!AG$6)-Time!AG$5)/Time!AG$7</f>
        <v/>
      </c>
      <c r="AH633" s="14">
        <f>MAX(0,MIN(Inputs!$F$228,Time!AH$6)-Time!AH$5)/Time!AH$7</f>
        <v/>
      </c>
      <c r="AI633" s="14">
        <f>MAX(0,MIN(Inputs!$F$228,Time!AI$6)-Time!AI$5)/Time!AI$7</f>
        <v/>
      </c>
      <c r="AJ633" s="14">
        <f>MAX(0,MIN(Inputs!$F$228,Time!AJ$6)-Time!AJ$5)/Time!AJ$7</f>
        <v/>
      </c>
      <c r="AK633" s="14">
        <f>MAX(0,MIN(Inputs!$F$228,Time!AK$6)-Time!AK$5)/Time!AK$7</f>
        <v/>
      </c>
      <c r="AL633" s="14">
        <f>MAX(0,MIN(Inputs!$F$228,Time!AL$6)-Time!AL$5)/Time!AL$7</f>
        <v/>
      </c>
      <c r="AM633" s="14">
        <f>MAX(0,MIN(Inputs!$F$228,Time!AM$6)-Time!AM$5)/Time!AM$7</f>
        <v/>
      </c>
      <c r="AN633" s="14">
        <f>MAX(0,MIN(Inputs!$F$228,Time!AN$6)-Time!AN$5)/Time!AN$7</f>
        <v/>
      </c>
      <c r="AO633" s="14">
        <f>MAX(0,MIN(Inputs!$F$228,Time!AO$6)-Time!AO$5)/Time!AO$7</f>
        <v/>
      </c>
      <c r="AP633" s="14">
        <f>MAX(0,MIN(Inputs!$F$228,Time!AP$6)-Time!AP$5)/Time!AP$7</f>
        <v/>
      </c>
      <c r="AQ633" s="14">
        <f>MAX(0,MIN(Inputs!$F$228,Time!AQ$6)-Time!AQ$5)/Time!AQ$7</f>
        <v/>
      </c>
      <c r="AR633" s="14">
        <f>MAX(0,MIN(Inputs!$F$228,Time!AR$6)-Time!AR$5)/Time!AR$7</f>
        <v/>
      </c>
      <c r="AS633" s="14">
        <f>MAX(0,MIN(Inputs!$F$228,Time!AS$6)-Time!AS$5)/Time!AS$7</f>
        <v/>
      </c>
      <c r="AT633" s="14">
        <f>MAX(0,MIN(Inputs!$F$228,Time!AT$6)-Time!AT$5)/Time!AT$7</f>
        <v/>
      </c>
      <c r="AU633" s="14">
        <f>MAX(0,MIN(Inputs!$F$228,Time!AU$6)-Time!AU$5)/Time!AU$7</f>
        <v/>
      </c>
    </row>
    <row r="634">
      <c r="D634" t="inlineStr">
        <is>
          <t>R5 tax equity cash share</t>
        </is>
      </c>
      <c r="E634" t="inlineStr">
        <is>
          <t>fraction</t>
        </is>
      </c>
      <c r="J634" s="14">
        <f>Inputs!$F$225/100*Operations!J633+Inputs!$F$227/100*(1-Operations!J633)</f>
        <v/>
      </c>
      <c r="K634" s="14">
        <f>Inputs!$F$225/100*Operations!K633+Inputs!$F$227/100*(1-Operations!K633)</f>
        <v/>
      </c>
      <c r="L634" s="14">
        <f>Inputs!$F$225/100*Operations!L633+Inputs!$F$227/100*(1-Operations!L633)</f>
        <v/>
      </c>
      <c r="M634" s="14">
        <f>Inputs!$F$225/100*Operations!M633+Inputs!$F$227/100*(1-Operations!M633)</f>
        <v/>
      </c>
      <c r="N634" s="14">
        <f>Inputs!$F$225/100*Operations!N633+Inputs!$F$227/100*(1-Operations!N633)</f>
        <v/>
      </c>
      <c r="O634" s="14">
        <f>Inputs!$F$225/100*Operations!O633+Inputs!$F$227/100*(1-Operations!O633)</f>
        <v/>
      </c>
      <c r="P634" s="14">
        <f>Inputs!$F$225/100*Operations!P633+Inputs!$F$227/100*(1-Operations!P633)</f>
        <v/>
      </c>
      <c r="Q634" s="14">
        <f>Inputs!$F$225/100*Operations!Q633+Inputs!$F$227/100*(1-Operations!Q633)</f>
        <v/>
      </c>
      <c r="R634" s="14">
        <f>Inputs!$F$225/100*Operations!R633+Inputs!$F$227/100*(1-Operations!R633)</f>
        <v/>
      </c>
      <c r="S634" s="14">
        <f>Inputs!$F$225/100*Operations!S633+Inputs!$F$227/100*(1-Operations!S633)</f>
        <v/>
      </c>
      <c r="T634" s="14">
        <f>Inputs!$F$225/100*Operations!T633+Inputs!$F$227/100*(1-Operations!T633)</f>
        <v/>
      </c>
      <c r="U634" s="14">
        <f>Inputs!$F$225/100*Operations!U633+Inputs!$F$227/100*(1-Operations!U633)</f>
        <v/>
      </c>
      <c r="V634" s="14">
        <f>Inputs!$F$225/100*Operations!V633+Inputs!$F$227/100*(1-Operations!V633)</f>
        <v/>
      </c>
      <c r="W634" s="14">
        <f>Inputs!$F$225/100*Operations!W633+Inputs!$F$227/100*(1-Operations!W633)</f>
        <v/>
      </c>
      <c r="X634" s="14">
        <f>Inputs!$F$225/100*Operations!X633+Inputs!$F$227/100*(1-Operations!X633)</f>
        <v/>
      </c>
      <c r="Y634" s="14">
        <f>Inputs!$F$225/100*Operations!Y633+Inputs!$F$227/100*(1-Operations!Y633)</f>
        <v/>
      </c>
      <c r="Z634" s="14">
        <f>Inputs!$F$225/100*Operations!Z633+Inputs!$F$227/100*(1-Operations!Z633)</f>
        <v/>
      </c>
      <c r="AA634" s="14">
        <f>Inputs!$F$225/100*Operations!AA633+Inputs!$F$227/100*(1-Operations!AA633)</f>
        <v/>
      </c>
      <c r="AB634" s="14">
        <f>Inputs!$F$225/100*Operations!AB633+Inputs!$F$227/100*(1-Operations!AB633)</f>
        <v/>
      </c>
      <c r="AC634" s="14">
        <f>Inputs!$F$225/100*Operations!AC633+Inputs!$F$227/100*(1-Operations!AC633)</f>
        <v/>
      </c>
      <c r="AD634" s="14">
        <f>Inputs!$F$225/100*Operations!AD633+Inputs!$F$227/100*(1-Operations!AD633)</f>
        <v/>
      </c>
      <c r="AE634" s="14">
        <f>Inputs!$F$225/100*Operations!AE633+Inputs!$F$227/100*(1-Operations!AE633)</f>
        <v/>
      </c>
      <c r="AF634" s="14">
        <f>Inputs!$F$225/100*Operations!AF633+Inputs!$F$227/100*(1-Operations!AF633)</f>
        <v/>
      </c>
      <c r="AG634" s="14">
        <f>Inputs!$F$225/100*Operations!AG633+Inputs!$F$227/100*(1-Operations!AG633)</f>
        <v/>
      </c>
      <c r="AH634" s="14">
        <f>Inputs!$F$225/100*Operations!AH633+Inputs!$F$227/100*(1-Operations!AH633)</f>
        <v/>
      </c>
      <c r="AI634" s="14">
        <f>Inputs!$F$225/100*Operations!AI633+Inputs!$F$227/100*(1-Operations!AI633)</f>
        <v/>
      </c>
      <c r="AJ634" s="14">
        <f>Inputs!$F$225/100*Operations!AJ633+Inputs!$F$227/100*(1-Operations!AJ633)</f>
        <v/>
      </c>
      <c r="AK634" s="14">
        <f>Inputs!$F$225/100*Operations!AK633+Inputs!$F$227/100*(1-Operations!AK633)</f>
        <v/>
      </c>
      <c r="AL634" s="14">
        <f>Inputs!$F$225/100*Operations!AL633+Inputs!$F$227/100*(1-Operations!AL633)</f>
        <v/>
      </c>
      <c r="AM634" s="14">
        <f>Inputs!$F$225/100*Operations!AM633+Inputs!$F$227/100*(1-Operations!AM633)</f>
        <v/>
      </c>
      <c r="AN634" s="14">
        <f>Inputs!$F$225/100*Operations!AN633+Inputs!$F$227/100*(1-Operations!AN633)</f>
        <v/>
      </c>
      <c r="AO634" s="14">
        <f>Inputs!$F$225/100*Operations!AO633+Inputs!$F$227/100*(1-Operations!AO633)</f>
        <v/>
      </c>
      <c r="AP634" s="14">
        <f>Inputs!$F$225/100*Operations!AP633+Inputs!$F$227/100*(1-Operations!AP633)</f>
        <v/>
      </c>
      <c r="AQ634" s="14">
        <f>Inputs!$F$225/100*Operations!AQ633+Inputs!$F$227/100*(1-Operations!AQ633)</f>
        <v/>
      </c>
      <c r="AR634" s="14">
        <f>Inputs!$F$225/100*Operations!AR633+Inputs!$F$227/100*(1-Operations!AR633)</f>
        <v/>
      </c>
      <c r="AS634" s="14">
        <f>Inputs!$F$225/100*Operations!AS633+Inputs!$F$227/100*(1-Operations!AS633)</f>
        <v/>
      </c>
      <c r="AT634" s="14">
        <f>Inputs!$F$225/100*Operations!AT633+Inputs!$F$227/100*(1-Operations!AT633)</f>
        <v/>
      </c>
      <c r="AU634" s="14">
        <f>Inputs!$F$225/100*Operations!AU633+Inputs!$F$227/100*(1-Operations!AU633)</f>
        <v/>
      </c>
    </row>
    <row r="635">
      <c r="D635" t="inlineStr">
        <is>
          <t>R5 Mesa share of taxable income</t>
        </is>
      </c>
      <c r="E635" t="inlineStr">
        <is>
          <t>fraction</t>
        </is>
      </c>
      <c r="J635" s="14">
        <f>(1-Inputs!$F$226/100)*Operations!J633+(1-Inputs!$F$227/100)*(1-Operations!J633)</f>
        <v/>
      </c>
      <c r="K635" s="14">
        <f>(1-Inputs!$F$226/100)*Operations!K633+(1-Inputs!$F$227/100)*(1-Operations!K633)</f>
        <v/>
      </c>
      <c r="L635" s="14">
        <f>(1-Inputs!$F$226/100)*Operations!L633+(1-Inputs!$F$227/100)*(1-Operations!L633)</f>
        <v/>
      </c>
      <c r="M635" s="14">
        <f>(1-Inputs!$F$226/100)*Operations!M633+(1-Inputs!$F$227/100)*(1-Operations!M633)</f>
        <v/>
      </c>
      <c r="N635" s="14">
        <f>(1-Inputs!$F$226/100)*Operations!N633+(1-Inputs!$F$227/100)*(1-Operations!N633)</f>
        <v/>
      </c>
      <c r="O635" s="14">
        <f>(1-Inputs!$F$226/100)*Operations!O633+(1-Inputs!$F$227/100)*(1-Operations!O633)</f>
        <v/>
      </c>
      <c r="P635" s="14">
        <f>(1-Inputs!$F$226/100)*Operations!P633+(1-Inputs!$F$227/100)*(1-Operations!P633)</f>
        <v/>
      </c>
      <c r="Q635" s="14">
        <f>(1-Inputs!$F$226/100)*Operations!Q633+(1-Inputs!$F$227/100)*(1-Operations!Q633)</f>
        <v/>
      </c>
      <c r="R635" s="14">
        <f>(1-Inputs!$F$226/100)*Operations!R633+(1-Inputs!$F$227/100)*(1-Operations!R633)</f>
        <v/>
      </c>
      <c r="S635" s="14">
        <f>(1-Inputs!$F$226/100)*Operations!S633+(1-Inputs!$F$227/100)*(1-Operations!S633)</f>
        <v/>
      </c>
      <c r="T635" s="14">
        <f>(1-Inputs!$F$226/100)*Operations!T633+(1-Inputs!$F$227/100)*(1-Operations!T633)</f>
        <v/>
      </c>
      <c r="U635" s="14">
        <f>(1-Inputs!$F$226/100)*Operations!U633+(1-Inputs!$F$227/100)*(1-Operations!U633)</f>
        <v/>
      </c>
      <c r="V635" s="14">
        <f>(1-Inputs!$F$226/100)*Operations!V633+(1-Inputs!$F$227/100)*(1-Operations!V633)</f>
        <v/>
      </c>
      <c r="W635" s="14">
        <f>(1-Inputs!$F$226/100)*Operations!W633+(1-Inputs!$F$227/100)*(1-Operations!W633)</f>
        <v/>
      </c>
      <c r="X635" s="14">
        <f>(1-Inputs!$F$226/100)*Operations!X633+(1-Inputs!$F$227/100)*(1-Operations!X633)</f>
        <v/>
      </c>
      <c r="Y635" s="14">
        <f>(1-Inputs!$F$226/100)*Operations!Y633+(1-Inputs!$F$227/100)*(1-Operations!Y633)</f>
        <v/>
      </c>
      <c r="Z635" s="14">
        <f>(1-Inputs!$F$226/100)*Operations!Z633+(1-Inputs!$F$227/100)*(1-Operations!Z633)</f>
        <v/>
      </c>
      <c r="AA635" s="14">
        <f>(1-Inputs!$F$226/100)*Operations!AA633+(1-Inputs!$F$227/100)*(1-Operations!AA633)</f>
        <v/>
      </c>
      <c r="AB635" s="14">
        <f>(1-Inputs!$F$226/100)*Operations!AB633+(1-Inputs!$F$227/100)*(1-Operations!AB633)</f>
        <v/>
      </c>
      <c r="AC635" s="14">
        <f>(1-Inputs!$F$226/100)*Operations!AC633+(1-Inputs!$F$227/100)*(1-Operations!AC633)</f>
        <v/>
      </c>
      <c r="AD635" s="14">
        <f>(1-Inputs!$F$226/100)*Operations!AD633+(1-Inputs!$F$227/100)*(1-Operations!AD633)</f>
        <v/>
      </c>
      <c r="AE635" s="14">
        <f>(1-Inputs!$F$226/100)*Operations!AE633+(1-Inputs!$F$227/100)*(1-Operations!AE633)</f>
        <v/>
      </c>
      <c r="AF635" s="14">
        <f>(1-Inputs!$F$226/100)*Operations!AF633+(1-Inputs!$F$227/100)*(1-Operations!AF633)</f>
        <v/>
      </c>
      <c r="AG635" s="14">
        <f>(1-Inputs!$F$226/100)*Operations!AG633+(1-Inputs!$F$227/100)*(1-Operations!AG633)</f>
        <v/>
      </c>
      <c r="AH635" s="14">
        <f>(1-Inputs!$F$226/100)*Operations!AH633+(1-Inputs!$F$227/100)*(1-Operations!AH633)</f>
        <v/>
      </c>
      <c r="AI635" s="14">
        <f>(1-Inputs!$F$226/100)*Operations!AI633+(1-Inputs!$F$227/100)*(1-Operations!AI633)</f>
        <v/>
      </c>
      <c r="AJ635" s="14">
        <f>(1-Inputs!$F$226/100)*Operations!AJ633+(1-Inputs!$F$227/100)*(1-Operations!AJ633)</f>
        <v/>
      </c>
      <c r="AK635" s="14">
        <f>(1-Inputs!$F$226/100)*Operations!AK633+(1-Inputs!$F$227/100)*(1-Operations!AK633)</f>
        <v/>
      </c>
      <c r="AL635" s="14">
        <f>(1-Inputs!$F$226/100)*Operations!AL633+(1-Inputs!$F$227/100)*(1-Operations!AL633)</f>
        <v/>
      </c>
      <c r="AM635" s="14">
        <f>(1-Inputs!$F$226/100)*Operations!AM633+(1-Inputs!$F$227/100)*(1-Operations!AM633)</f>
        <v/>
      </c>
      <c r="AN635" s="14">
        <f>(1-Inputs!$F$226/100)*Operations!AN633+(1-Inputs!$F$227/100)*(1-Operations!AN633)</f>
        <v/>
      </c>
      <c r="AO635" s="14">
        <f>(1-Inputs!$F$226/100)*Operations!AO633+(1-Inputs!$F$227/100)*(1-Operations!AO633)</f>
        <v/>
      </c>
      <c r="AP635" s="14">
        <f>(1-Inputs!$F$226/100)*Operations!AP633+(1-Inputs!$F$227/100)*(1-Operations!AP633)</f>
        <v/>
      </c>
      <c r="AQ635" s="14">
        <f>(1-Inputs!$F$226/100)*Operations!AQ633+(1-Inputs!$F$227/100)*(1-Operations!AQ633)</f>
        <v/>
      </c>
      <c r="AR635" s="14">
        <f>(1-Inputs!$F$226/100)*Operations!AR633+(1-Inputs!$F$227/100)*(1-Operations!AR633)</f>
        <v/>
      </c>
      <c r="AS635" s="14">
        <f>(1-Inputs!$F$226/100)*Operations!AS633+(1-Inputs!$F$227/100)*(1-Operations!AS633)</f>
        <v/>
      </c>
      <c r="AT635" s="14">
        <f>(1-Inputs!$F$226/100)*Operations!AT633+(1-Inputs!$F$227/100)*(1-Operations!AT633)</f>
        <v/>
      </c>
      <c r="AU635" s="14">
        <f>(1-Inputs!$F$226/100)*Operations!AU633+(1-Inputs!$F$227/100)*(1-Operations!AU633)</f>
        <v/>
      </c>
    </row>
    <row r="636">
      <c r="D636" t="inlineStr">
        <is>
          <t>R5 Mesa share of cash flow</t>
        </is>
      </c>
      <c r="E636" t="inlineStr">
        <is>
          <t>USD m</t>
        </is>
      </c>
      <c r="G636" s="20">
        <f>SUM(J636:AU636)</f>
        <v/>
      </c>
      <c r="J636" s="20">
        <f>Operations!J632*(1-Operations!J634)*Operations!J606</f>
        <v/>
      </c>
      <c r="K636" s="20">
        <f>Operations!K632*(1-Operations!K634)*Operations!K606</f>
        <v/>
      </c>
      <c r="L636" s="20">
        <f>Operations!L632*(1-Operations!L634)*Operations!L606</f>
        <v/>
      </c>
      <c r="M636" s="20">
        <f>Operations!M632*(1-Operations!M634)*Operations!M606</f>
        <v/>
      </c>
      <c r="N636" s="20">
        <f>Operations!N632*(1-Operations!N634)*Operations!N606</f>
        <v/>
      </c>
      <c r="O636" s="20">
        <f>Operations!O632*(1-Operations!O634)*Operations!O606</f>
        <v/>
      </c>
      <c r="P636" s="20">
        <f>Operations!P632*(1-Operations!P634)*Operations!P606</f>
        <v/>
      </c>
      <c r="Q636" s="20">
        <f>Operations!Q632*(1-Operations!Q634)*Operations!Q606</f>
        <v/>
      </c>
      <c r="R636" s="20">
        <f>Operations!R632*(1-Operations!R634)*Operations!R606</f>
        <v/>
      </c>
      <c r="S636" s="20">
        <f>Operations!S632*(1-Operations!S634)*Operations!S606</f>
        <v/>
      </c>
      <c r="T636" s="20">
        <f>Operations!T632*(1-Operations!T634)*Operations!T606</f>
        <v/>
      </c>
      <c r="U636" s="20">
        <f>Operations!U632*(1-Operations!U634)*Operations!U606</f>
        <v/>
      </c>
      <c r="V636" s="20">
        <f>Operations!V632*(1-Operations!V634)*Operations!V606</f>
        <v/>
      </c>
      <c r="W636" s="20">
        <f>Operations!W632*(1-Operations!W634)*Operations!W606</f>
        <v/>
      </c>
      <c r="X636" s="20">
        <f>Operations!X632*(1-Operations!X634)*Operations!X606</f>
        <v/>
      </c>
      <c r="Y636" s="20">
        <f>Operations!Y632*(1-Operations!Y634)*Operations!Y606</f>
        <v/>
      </c>
      <c r="Z636" s="20">
        <f>Operations!Z632*(1-Operations!Z634)*Operations!Z606</f>
        <v/>
      </c>
      <c r="AA636" s="20">
        <f>Operations!AA632*(1-Operations!AA634)*Operations!AA606</f>
        <v/>
      </c>
      <c r="AB636" s="20">
        <f>Operations!AB632*(1-Operations!AB634)*Operations!AB606</f>
        <v/>
      </c>
      <c r="AC636" s="20">
        <f>Operations!AC632*(1-Operations!AC634)*Operations!AC606</f>
        <v/>
      </c>
      <c r="AD636" s="20">
        <f>Operations!AD632*(1-Operations!AD634)*Operations!AD606</f>
        <v/>
      </c>
      <c r="AE636" s="20">
        <f>Operations!AE632*(1-Operations!AE634)*Operations!AE606</f>
        <v/>
      </c>
      <c r="AF636" s="20">
        <f>Operations!AF632*(1-Operations!AF634)*Operations!AF606</f>
        <v/>
      </c>
      <c r="AG636" s="20">
        <f>Operations!AG632*(1-Operations!AG634)*Operations!AG606</f>
        <v/>
      </c>
      <c r="AH636" s="20">
        <f>Operations!AH632*(1-Operations!AH634)*Operations!AH606</f>
        <v/>
      </c>
      <c r="AI636" s="20">
        <f>Operations!AI632*(1-Operations!AI634)*Operations!AI606</f>
        <v/>
      </c>
      <c r="AJ636" s="20">
        <f>Operations!AJ632*(1-Operations!AJ634)*Operations!AJ606</f>
        <v/>
      </c>
      <c r="AK636" s="20">
        <f>Operations!AK632*(1-Operations!AK634)*Operations!AK606</f>
        <v/>
      </c>
      <c r="AL636" s="20">
        <f>Operations!AL632*(1-Operations!AL634)*Operations!AL606</f>
        <v/>
      </c>
      <c r="AM636" s="20">
        <f>Operations!AM632*(1-Operations!AM634)*Operations!AM606</f>
        <v/>
      </c>
      <c r="AN636" s="20">
        <f>Operations!AN632*(1-Operations!AN634)*Operations!AN606</f>
        <v/>
      </c>
      <c r="AO636" s="20">
        <f>Operations!AO632*(1-Operations!AO634)*Operations!AO606</f>
        <v/>
      </c>
      <c r="AP636" s="20">
        <f>Operations!AP632*(1-Operations!AP634)*Operations!AP606</f>
        <v/>
      </c>
      <c r="AQ636" s="20">
        <f>Operations!AQ632*(1-Operations!AQ634)*Operations!AQ606</f>
        <v/>
      </c>
      <c r="AR636" s="20">
        <f>Operations!AR632*(1-Operations!AR634)*Operations!AR606</f>
        <v/>
      </c>
      <c r="AS636" s="20">
        <f>Operations!AS632*(1-Operations!AS634)*Operations!AS606</f>
        <v/>
      </c>
      <c r="AT636" s="20">
        <f>Operations!AT632*(1-Operations!AT634)*Operations!AT606</f>
        <v/>
      </c>
      <c r="AU636" s="20">
        <f>Operations!AU632*(1-Operations!AU634)*Operations!AU606</f>
        <v/>
      </c>
    </row>
    <row r="637">
      <c r="D637" t="inlineStr">
        <is>
          <t>R5 Mesa taxable operating income</t>
        </is>
      </c>
      <c r="E637" t="inlineStr">
        <is>
          <t>USD m</t>
        </is>
      </c>
      <c r="J637" s="20">
        <f>Operations!J632*Operations!J635*Operations!J606</f>
        <v/>
      </c>
      <c r="K637" s="20">
        <f>Operations!K632*Operations!K635*Operations!K606</f>
        <v/>
      </c>
      <c r="L637" s="20">
        <f>Operations!L632*Operations!L635*Operations!L606</f>
        <v/>
      </c>
      <c r="M637" s="20">
        <f>Operations!M632*Operations!M635*Operations!M606</f>
        <v/>
      </c>
      <c r="N637" s="20">
        <f>Operations!N632*Operations!N635*Operations!N606</f>
        <v/>
      </c>
      <c r="O637" s="20">
        <f>Operations!O632*Operations!O635*Operations!O606</f>
        <v/>
      </c>
      <c r="P637" s="20">
        <f>Operations!P632*Operations!P635*Operations!P606</f>
        <v/>
      </c>
      <c r="Q637" s="20">
        <f>Operations!Q632*Operations!Q635*Operations!Q606</f>
        <v/>
      </c>
      <c r="R637" s="20">
        <f>Operations!R632*Operations!R635*Operations!R606</f>
        <v/>
      </c>
      <c r="S637" s="20">
        <f>Operations!S632*Operations!S635*Operations!S606</f>
        <v/>
      </c>
      <c r="T637" s="20">
        <f>Operations!T632*Operations!T635*Operations!T606</f>
        <v/>
      </c>
      <c r="U637" s="20">
        <f>Operations!U632*Operations!U635*Operations!U606</f>
        <v/>
      </c>
      <c r="V637" s="20">
        <f>Operations!V632*Operations!V635*Operations!V606</f>
        <v/>
      </c>
      <c r="W637" s="20">
        <f>Operations!W632*Operations!W635*Operations!W606</f>
        <v/>
      </c>
      <c r="X637" s="20">
        <f>Operations!X632*Operations!X635*Operations!X606</f>
        <v/>
      </c>
      <c r="Y637" s="20">
        <f>Operations!Y632*Operations!Y635*Operations!Y606</f>
        <v/>
      </c>
      <c r="Z637" s="20">
        <f>Operations!Z632*Operations!Z635*Operations!Z606</f>
        <v/>
      </c>
      <c r="AA637" s="20">
        <f>Operations!AA632*Operations!AA635*Operations!AA606</f>
        <v/>
      </c>
      <c r="AB637" s="20">
        <f>Operations!AB632*Operations!AB635*Operations!AB606</f>
        <v/>
      </c>
      <c r="AC637" s="20">
        <f>Operations!AC632*Operations!AC635*Operations!AC606</f>
        <v/>
      </c>
      <c r="AD637" s="20">
        <f>Operations!AD632*Operations!AD635*Operations!AD606</f>
        <v/>
      </c>
      <c r="AE637" s="20">
        <f>Operations!AE632*Operations!AE635*Operations!AE606</f>
        <v/>
      </c>
      <c r="AF637" s="20">
        <f>Operations!AF632*Operations!AF635*Operations!AF606</f>
        <v/>
      </c>
      <c r="AG637" s="20">
        <f>Operations!AG632*Operations!AG635*Operations!AG606</f>
        <v/>
      </c>
      <c r="AH637" s="20">
        <f>Operations!AH632*Operations!AH635*Operations!AH606</f>
        <v/>
      </c>
      <c r="AI637" s="20">
        <f>Operations!AI632*Operations!AI635*Operations!AI606</f>
        <v/>
      </c>
      <c r="AJ637" s="20">
        <f>Operations!AJ632*Operations!AJ635*Operations!AJ606</f>
        <v/>
      </c>
      <c r="AK637" s="20">
        <f>Operations!AK632*Operations!AK635*Operations!AK606</f>
        <v/>
      </c>
      <c r="AL637" s="20">
        <f>Operations!AL632*Operations!AL635*Operations!AL606</f>
        <v/>
      </c>
      <c r="AM637" s="20">
        <f>Operations!AM632*Operations!AM635*Operations!AM606</f>
        <v/>
      </c>
      <c r="AN637" s="20">
        <f>Operations!AN632*Operations!AN635*Operations!AN606</f>
        <v/>
      </c>
      <c r="AO637" s="20">
        <f>Operations!AO632*Operations!AO635*Operations!AO606</f>
        <v/>
      </c>
      <c r="AP637" s="20">
        <f>Operations!AP632*Operations!AP635*Operations!AP606</f>
        <v/>
      </c>
      <c r="AQ637" s="20">
        <f>Operations!AQ632*Operations!AQ635*Operations!AQ606</f>
        <v/>
      </c>
      <c r="AR637" s="20">
        <f>Operations!AR632*Operations!AR635*Operations!AR606</f>
        <v/>
      </c>
      <c r="AS637" s="20">
        <f>Operations!AS632*Operations!AS635*Operations!AS606</f>
        <v/>
      </c>
      <c r="AT637" s="20">
        <f>Operations!AT632*Operations!AT635*Operations!AT606</f>
        <v/>
      </c>
      <c r="AU637" s="20">
        <f>Operations!AU632*Operations!AU635*Operations!AU606</f>
        <v/>
      </c>
    </row>
    <row r="638">
      <c r="D638" t="inlineStr">
        <is>
          <t>R5 Mesa unlevered post-tax cash flow (before price shield)</t>
        </is>
      </c>
      <c r="E638" t="inlineStr">
        <is>
          <t>USD m</t>
        </is>
      </c>
      <c r="J638" s="20">
        <f>Operations!J636-Inputs!$F$241/100*Operations!J637</f>
        <v/>
      </c>
      <c r="K638" s="20">
        <f>Operations!K636-Inputs!$F$241/100*Operations!K637</f>
        <v/>
      </c>
      <c r="L638" s="20">
        <f>Operations!L636-Inputs!$F$241/100*Operations!L637</f>
        <v/>
      </c>
      <c r="M638" s="20">
        <f>Operations!M636-Inputs!$F$241/100*Operations!M637</f>
        <v/>
      </c>
      <c r="N638" s="20">
        <f>Operations!N636-Inputs!$F$241/100*Operations!N637</f>
        <v/>
      </c>
      <c r="O638" s="20">
        <f>Operations!O636-Inputs!$F$241/100*Operations!O637</f>
        <v/>
      </c>
      <c r="P638" s="20">
        <f>Operations!P636-Inputs!$F$241/100*Operations!P637</f>
        <v/>
      </c>
      <c r="Q638" s="20">
        <f>Operations!Q636-Inputs!$F$241/100*Operations!Q637</f>
        <v/>
      </c>
      <c r="R638" s="20">
        <f>Operations!R636-Inputs!$F$241/100*Operations!R637</f>
        <v/>
      </c>
      <c r="S638" s="20">
        <f>Operations!S636-Inputs!$F$241/100*Operations!S637</f>
        <v/>
      </c>
      <c r="T638" s="20">
        <f>Operations!T636-Inputs!$F$241/100*Operations!T637</f>
        <v/>
      </c>
      <c r="U638" s="20">
        <f>Operations!U636-Inputs!$F$241/100*Operations!U637</f>
        <v/>
      </c>
      <c r="V638" s="20">
        <f>Operations!V636-Inputs!$F$241/100*Operations!V637</f>
        <v/>
      </c>
      <c r="W638" s="20">
        <f>Operations!W636-Inputs!$F$241/100*Operations!W637</f>
        <v/>
      </c>
      <c r="X638" s="20">
        <f>Operations!X636-Inputs!$F$241/100*Operations!X637</f>
        <v/>
      </c>
      <c r="Y638" s="20">
        <f>Operations!Y636-Inputs!$F$241/100*Operations!Y637</f>
        <v/>
      </c>
      <c r="Z638" s="20">
        <f>Operations!Z636-Inputs!$F$241/100*Operations!Z637</f>
        <v/>
      </c>
      <c r="AA638" s="20">
        <f>Operations!AA636-Inputs!$F$241/100*Operations!AA637</f>
        <v/>
      </c>
      <c r="AB638" s="20">
        <f>Operations!AB636-Inputs!$F$241/100*Operations!AB637</f>
        <v/>
      </c>
      <c r="AC638" s="20">
        <f>Operations!AC636-Inputs!$F$241/100*Operations!AC637</f>
        <v/>
      </c>
      <c r="AD638" s="20">
        <f>Operations!AD636-Inputs!$F$241/100*Operations!AD637</f>
        <v/>
      </c>
      <c r="AE638" s="20">
        <f>Operations!AE636-Inputs!$F$241/100*Operations!AE637</f>
        <v/>
      </c>
      <c r="AF638" s="20">
        <f>Operations!AF636-Inputs!$F$241/100*Operations!AF637</f>
        <v/>
      </c>
      <c r="AG638" s="20">
        <f>Operations!AG636-Inputs!$F$241/100*Operations!AG637</f>
        <v/>
      </c>
      <c r="AH638" s="20">
        <f>Operations!AH636-Inputs!$F$241/100*Operations!AH637</f>
        <v/>
      </c>
      <c r="AI638" s="20">
        <f>Operations!AI636-Inputs!$F$241/100*Operations!AI637</f>
        <v/>
      </c>
      <c r="AJ638" s="20">
        <f>Operations!AJ636-Inputs!$F$241/100*Operations!AJ637</f>
        <v/>
      </c>
      <c r="AK638" s="20">
        <f>Operations!AK636-Inputs!$F$241/100*Operations!AK637</f>
        <v/>
      </c>
      <c r="AL638" s="20">
        <f>Operations!AL636-Inputs!$F$241/100*Operations!AL637</f>
        <v/>
      </c>
      <c r="AM638" s="20">
        <f>Operations!AM636-Inputs!$F$241/100*Operations!AM637</f>
        <v/>
      </c>
      <c r="AN638" s="20">
        <f>Operations!AN636-Inputs!$F$241/100*Operations!AN637</f>
        <v/>
      </c>
      <c r="AO638" s="20">
        <f>Operations!AO636-Inputs!$F$241/100*Operations!AO637</f>
        <v/>
      </c>
      <c r="AP638" s="20">
        <f>Operations!AP636-Inputs!$F$241/100*Operations!AP637</f>
        <v/>
      </c>
      <c r="AQ638" s="20">
        <f>Operations!AQ636-Inputs!$F$241/100*Operations!AQ637</f>
        <v/>
      </c>
      <c r="AR638" s="20">
        <f>Operations!AR636-Inputs!$F$241/100*Operations!AR637</f>
        <v/>
      </c>
      <c r="AS638" s="20">
        <f>Operations!AS636-Inputs!$F$241/100*Operations!AS637</f>
        <v/>
      </c>
      <c r="AT638" s="20">
        <f>Operations!AT636-Inputs!$F$241/100*Operations!AT637</f>
        <v/>
      </c>
      <c r="AU638" s="20">
        <f>Operations!AU636-Inputs!$F$241/100*Operations!AU637</f>
        <v/>
      </c>
    </row>
    <row r="639">
      <c r="D639" t="inlineStr">
        <is>
          <t>R5 contracted share of revenue</t>
        </is>
      </c>
      <c r="E639" t="inlineStr">
        <is>
          <t>fraction</t>
        </is>
      </c>
      <c r="J639" s="14">
        <f>IF(Operations!J623=0,0,Operations!J620/Operations!J623)</f>
        <v/>
      </c>
      <c r="K639" s="14">
        <f>IF(Operations!K623=0,0,Operations!K620/Operations!K623)</f>
        <v/>
      </c>
      <c r="L639" s="14">
        <f>IF(Operations!L623=0,0,Operations!L620/Operations!L623)</f>
        <v/>
      </c>
      <c r="M639" s="14">
        <f>IF(Operations!M623=0,0,Operations!M620/Operations!M623)</f>
        <v/>
      </c>
      <c r="N639" s="14">
        <f>IF(Operations!N623=0,0,Operations!N620/Operations!N623)</f>
        <v/>
      </c>
      <c r="O639" s="14">
        <f>IF(Operations!O623=0,0,Operations!O620/Operations!O623)</f>
        <v/>
      </c>
      <c r="P639" s="14">
        <f>IF(Operations!P623=0,0,Operations!P620/Operations!P623)</f>
        <v/>
      </c>
      <c r="Q639" s="14">
        <f>IF(Operations!Q623=0,0,Operations!Q620/Operations!Q623)</f>
        <v/>
      </c>
      <c r="R639" s="14">
        <f>IF(Operations!R623=0,0,Operations!R620/Operations!R623)</f>
        <v/>
      </c>
      <c r="S639" s="14">
        <f>IF(Operations!S623=0,0,Operations!S620/Operations!S623)</f>
        <v/>
      </c>
      <c r="T639" s="14">
        <f>IF(Operations!T623=0,0,Operations!T620/Operations!T623)</f>
        <v/>
      </c>
      <c r="U639" s="14">
        <f>IF(Operations!U623=0,0,Operations!U620/Operations!U623)</f>
        <v/>
      </c>
      <c r="V639" s="14">
        <f>IF(Operations!V623=0,0,Operations!V620/Operations!V623)</f>
        <v/>
      </c>
      <c r="W639" s="14">
        <f>IF(Operations!W623=0,0,Operations!W620/Operations!W623)</f>
        <v/>
      </c>
      <c r="X639" s="14">
        <f>IF(Operations!X623=0,0,Operations!X620/Operations!X623)</f>
        <v/>
      </c>
      <c r="Y639" s="14">
        <f>IF(Operations!Y623=0,0,Operations!Y620/Operations!Y623)</f>
        <v/>
      </c>
      <c r="Z639" s="14">
        <f>IF(Operations!Z623=0,0,Operations!Z620/Operations!Z623)</f>
        <v/>
      </c>
      <c r="AA639" s="14">
        <f>IF(Operations!AA623=0,0,Operations!AA620/Operations!AA623)</f>
        <v/>
      </c>
      <c r="AB639" s="14">
        <f>IF(Operations!AB623=0,0,Operations!AB620/Operations!AB623)</f>
        <v/>
      </c>
      <c r="AC639" s="14">
        <f>IF(Operations!AC623=0,0,Operations!AC620/Operations!AC623)</f>
        <v/>
      </c>
      <c r="AD639" s="14">
        <f>IF(Operations!AD623=0,0,Operations!AD620/Operations!AD623)</f>
        <v/>
      </c>
      <c r="AE639" s="14">
        <f>IF(Operations!AE623=0,0,Operations!AE620/Operations!AE623)</f>
        <v/>
      </c>
      <c r="AF639" s="14">
        <f>IF(Operations!AF623=0,0,Operations!AF620/Operations!AF623)</f>
        <v/>
      </c>
      <c r="AG639" s="14">
        <f>IF(Operations!AG623=0,0,Operations!AG620/Operations!AG623)</f>
        <v/>
      </c>
      <c r="AH639" s="14">
        <f>IF(Operations!AH623=0,0,Operations!AH620/Operations!AH623)</f>
        <v/>
      </c>
      <c r="AI639" s="14">
        <f>IF(Operations!AI623=0,0,Operations!AI620/Operations!AI623)</f>
        <v/>
      </c>
      <c r="AJ639" s="14">
        <f>IF(Operations!AJ623=0,0,Operations!AJ620/Operations!AJ623)</f>
        <v/>
      </c>
      <c r="AK639" s="14">
        <f>IF(Operations!AK623=0,0,Operations!AK620/Operations!AK623)</f>
        <v/>
      </c>
      <c r="AL639" s="14">
        <f>IF(Operations!AL623=0,0,Operations!AL620/Operations!AL623)</f>
        <v/>
      </c>
      <c r="AM639" s="14">
        <f>IF(Operations!AM623=0,0,Operations!AM620/Operations!AM623)</f>
        <v/>
      </c>
      <c r="AN639" s="14">
        <f>IF(Operations!AN623=0,0,Operations!AN620/Operations!AN623)</f>
        <v/>
      </c>
      <c r="AO639" s="14">
        <f>IF(Operations!AO623=0,0,Operations!AO620/Operations!AO623)</f>
        <v/>
      </c>
      <c r="AP639" s="14">
        <f>IF(Operations!AP623=0,0,Operations!AP620/Operations!AP623)</f>
        <v/>
      </c>
      <c r="AQ639" s="14">
        <f>IF(Operations!AQ623=0,0,Operations!AQ620/Operations!AQ623)</f>
        <v/>
      </c>
      <c r="AR639" s="14">
        <f>IF(Operations!AR623=0,0,Operations!AR620/Operations!AR623)</f>
        <v/>
      </c>
      <c r="AS639" s="14">
        <f>IF(Operations!AS623=0,0,Operations!AS620/Operations!AS623)</f>
        <v/>
      </c>
      <c r="AT639" s="14">
        <f>IF(Operations!AT623=0,0,Operations!AT620/Operations!AT623)</f>
        <v/>
      </c>
      <c r="AU639" s="14">
        <f>IF(Operations!AU623=0,0,Operations!AU620/Operations!AU623)</f>
        <v/>
      </c>
    </row>
    <row r="640">
      <c r="D640" t="inlineStr">
        <is>
          <t>R5 hedged share of revenue</t>
        </is>
      </c>
      <c r="E640" t="inlineStr">
        <is>
          <t>fraction</t>
        </is>
      </c>
      <c r="J640" s="14">
        <f>IF(Operations!J623=0,0,Operations!J621/Operations!J623)</f>
        <v/>
      </c>
      <c r="K640" s="14">
        <f>IF(Operations!K623=0,0,Operations!K621/Operations!K623)</f>
        <v/>
      </c>
      <c r="L640" s="14">
        <f>IF(Operations!L623=0,0,Operations!L621/Operations!L623)</f>
        <v/>
      </c>
      <c r="M640" s="14">
        <f>IF(Operations!M623=0,0,Operations!M621/Operations!M623)</f>
        <v/>
      </c>
      <c r="N640" s="14">
        <f>IF(Operations!N623=0,0,Operations!N621/Operations!N623)</f>
        <v/>
      </c>
      <c r="O640" s="14">
        <f>IF(Operations!O623=0,0,Operations!O621/Operations!O623)</f>
        <v/>
      </c>
      <c r="P640" s="14">
        <f>IF(Operations!P623=0,0,Operations!P621/Operations!P623)</f>
        <v/>
      </c>
      <c r="Q640" s="14">
        <f>IF(Operations!Q623=0,0,Operations!Q621/Operations!Q623)</f>
        <v/>
      </c>
      <c r="R640" s="14">
        <f>IF(Operations!R623=0,0,Operations!R621/Operations!R623)</f>
        <v/>
      </c>
      <c r="S640" s="14">
        <f>IF(Operations!S623=0,0,Operations!S621/Operations!S623)</f>
        <v/>
      </c>
      <c r="T640" s="14">
        <f>IF(Operations!T623=0,0,Operations!T621/Operations!T623)</f>
        <v/>
      </c>
      <c r="U640" s="14">
        <f>IF(Operations!U623=0,0,Operations!U621/Operations!U623)</f>
        <v/>
      </c>
      <c r="V640" s="14">
        <f>IF(Operations!V623=0,0,Operations!V621/Operations!V623)</f>
        <v/>
      </c>
      <c r="W640" s="14">
        <f>IF(Operations!W623=0,0,Operations!W621/Operations!W623)</f>
        <v/>
      </c>
      <c r="X640" s="14">
        <f>IF(Operations!X623=0,0,Operations!X621/Operations!X623)</f>
        <v/>
      </c>
      <c r="Y640" s="14">
        <f>IF(Operations!Y623=0,0,Operations!Y621/Operations!Y623)</f>
        <v/>
      </c>
      <c r="Z640" s="14">
        <f>IF(Operations!Z623=0,0,Operations!Z621/Operations!Z623)</f>
        <v/>
      </c>
      <c r="AA640" s="14">
        <f>IF(Operations!AA623=0,0,Operations!AA621/Operations!AA623)</f>
        <v/>
      </c>
      <c r="AB640" s="14">
        <f>IF(Operations!AB623=0,0,Operations!AB621/Operations!AB623)</f>
        <v/>
      </c>
      <c r="AC640" s="14">
        <f>IF(Operations!AC623=0,0,Operations!AC621/Operations!AC623)</f>
        <v/>
      </c>
      <c r="AD640" s="14">
        <f>IF(Operations!AD623=0,0,Operations!AD621/Operations!AD623)</f>
        <v/>
      </c>
      <c r="AE640" s="14">
        <f>IF(Operations!AE623=0,0,Operations!AE621/Operations!AE623)</f>
        <v/>
      </c>
      <c r="AF640" s="14">
        <f>IF(Operations!AF623=0,0,Operations!AF621/Operations!AF623)</f>
        <v/>
      </c>
      <c r="AG640" s="14">
        <f>IF(Operations!AG623=0,0,Operations!AG621/Operations!AG623)</f>
        <v/>
      </c>
      <c r="AH640" s="14">
        <f>IF(Operations!AH623=0,0,Operations!AH621/Operations!AH623)</f>
        <v/>
      </c>
      <c r="AI640" s="14">
        <f>IF(Operations!AI623=0,0,Operations!AI621/Operations!AI623)</f>
        <v/>
      </c>
      <c r="AJ640" s="14">
        <f>IF(Operations!AJ623=0,0,Operations!AJ621/Operations!AJ623)</f>
        <v/>
      </c>
      <c r="AK640" s="14">
        <f>IF(Operations!AK623=0,0,Operations!AK621/Operations!AK623)</f>
        <v/>
      </c>
      <c r="AL640" s="14">
        <f>IF(Operations!AL623=0,0,Operations!AL621/Operations!AL623)</f>
        <v/>
      </c>
      <c r="AM640" s="14">
        <f>IF(Operations!AM623=0,0,Operations!AM621/Operations!AM623)</f>
        <v/>
      </c>
      <c r="AN640" s="14">
        <f>IF(Operations!AN623=0,0,Operations!AN621/Operations!AN623)</f>
        <v/>
      </c>
      <c r="AO640" s="14">
        <f>IF(Operations!AO623=0,0,Operations!AO621/Operations!AO623)</f>
        <v/>
      </c>
      <c r="AP640" s="14">
        <f>IF(Operations!AP623=0,0,Operations!AP621/Operations!AP623)</f>
        <v/>
      </c>
      <c r="AQ640" s="14">
        <f>IF(Operations!AQ623=0,0,Operations!AQ621/Operations!AQ623)</f>
        <v/>
      </c>
      <c r="AR640" s="14">
        <f>IF(Operations!AR623=0,0,Operations!AR621/Operations!AR623)</f>
        <v/>
      </c>
      <c r="AS640" s="14">
        <f>IF(Operations!AS623=0,0,Operations!AS621/Operations!AS623)</f>
        <v/>
      </c>
      <c r="AT640" s="14">
        <f>IF(Operations!AT623=0,0,Operations!AT621/Operations!AT623)</f>
        <v/>
      </c>
      <c r="AU640" s="14">
        <f>IF(Operations!AU623=0,0,Operations!AU621/Operations!AU623)</f>
        <v/>
      </c>
    </row>
    <row r="641">
      <c r="D641" t="inlineStr">
        <is>
          <t>R5 merchant share of revenue</t>
        </is>
      </c>
      <c r="E641" t="inlineStr">
        <is>
          <t>fraction</t>
        </is>
      </c>
      <c r="J641" s="14">
        <f>1-Operations!J639-Operations!J640</f>
        <v/>
      </c>
      <c r="K641" s="14">
        <f>1-Operations!K639-Operations!K640</f>
        <v/>
      </c>
      <c r="L641" s="14">
        <f>1-Operations!L639-Operations!L640</f>
        <v/>
      </c>
      <c r="M641" s="14">
        <f>1-Operations!M639-Operations!M640</f>
        <v/>
      </c>
      <c r="N641" s="14">
        <f>1-Operations!N639-Operations!N640</f>
        <v/>
      </c>
      <c r="O641" s="14">
        <f>1-Operations!O639-Operations!O640</f>
        <v/>
      </c>
      <c r="P641" s="14">
        <f>1-Operations!P639-Operations!P640</f>
        <v/>
      </c>
      <c r="Q641" s="14">
        <f>1-Operations!Q639-Operations!Q640</f>
        <v/>
      </c>
      <c r="R641" s="14">
        <f>1-Operations!R639-Operations!R640</f>
        <v/>
      </c>
      <c r="S641" s="14">
        <f>1-Operations!S639-Operations!S640</f>
        <v/>
      </c>
      <c r="T641" s="14">
        <f>1-Operations!T639-Operations!T640</f>
        <v/>
      </c>
      <c r="U641" s="14">
        <f>1-Operations!U639-Operations!U640</f>
        <v/>
      </c>
      <c r="V641" s="14">
        <f>1-Operations!V639-Operations!V640</f>
        <v/>
      </c>
      <c r="W641" s="14">
        <f>1-Operations!W639-Operations!W640</f>
        <v/>
      </c>
      <c r="X641" s="14">
        <f>1-Operations!X639-Operations!X640</f>
        <v/>
      </c>
      <c r="Y641" s="14">
        <f>1-Operations!Y639-Operations!Y640</f>
        <v/>
      </c>
      <c r="Z641" s="14">
        <f>1-Operations!Z639-Operations!Z640</f>
        <v/>
      </c>
      <c r="AA641" s="14">
        <f>1-Operations!AA639-Operations!AA640</f>
        <v/>
      </c>
      <c r="AB641" s="14">
        <f>1-Operations!AB639-Operations!AB640</f>
        <v/>
      </c>
      <c r="AC641" s="14">
        <f>1-Operations!AC639-Operations!AC640</f>
        <v/>
      </c>
      <c r="AD641" s="14">
        <f>1-Operations!AD639-Operations!AD640</f>
        <v/>
      </c>
      <c r="AE641" s="14">
        <f>1-Operations!AE639-Operations!AE640</f>
        <v/>
      </c>
      <c r="AF641" s="14">
        <f>1-Operations!AF639-Operations!AF640</f>
        <v/>
      </c>
      <c r="AG641" s="14">
        <f>1-Operations!AG639-Operations!AG640</f>
        <v/>
      </c>
      <c r="AH641" s="14">
        <f>1-Operations!AH639-Operations!AH640</f>
        <v/>
      </c>
      <c r="AI641" s="14">
        <f>1-Operations!AI639-Operations!AI640</f>
        <v/>
      </c>
      <c r="AJ641" s="14">
        <f>1-Operations!AJ639-Operations!AJ640</f>
        <v/>
      </c>
      <c r="AK641" s="14">
        <f>1-Operations!AK639-Operations!AK640</f>
        <v/>
      </c>
      <c r="AL641" s="14">
        <f>1-Operations!AL639-Operations!AL640</f>
        <v/>
      </c>
      <c r="AM641" s="14">
        <f>1-Operations!AM639-Operations!AM640</f>
        <v/>
      </c>
      <c r="AN641" s="14">
        <f>1-Operations!AN639-Operations!AN640</f>
        <v/>
      </c>
      <c r="AO641" s="14">
        <f>1-Operations!AO639-Operations!AO640</f>
        <v/>
      </c>
      <c r="AP641" s="14">
        <f>1-Operations!AP639-Operations!AP640</f>
        <v/>
      </c>
      <c r="AQ641" s="14">
        <f>1-Operations!AQ639-Operations!AQ640</f>
        <v/>
      </c>
      <c r="AR641" s="14">
        <f>1-Operations!AR639-Operations!AR640</f>
        <v/>
      </c>
      <c r="AS641" s="14">
        <f>1-Operations!AS639-Operations!AS640</f>
        <v/>
      </c>
      <c r="AT641" s="14">
        <f>1-Operations!AT639-Operations!AT640</f>
        <v/>
      </c>
      <c r="AU641" s="14">
        <f>1-Operations!AU639-Operations!AU640</f>
        <v/>
      </c>
    </row>
    <row r="642">
      <c r="D642" t="inlineStr">
        <is>
          <t>R5 Mesa-share contracted revenue</t>
        </is>
      </c>
      <c r="E642" t="inlineStr">
        <is>
          <t>USD m</t>
        </is>
      </c>
      <c r="J642" s="20">
        <f>Operations!J620*Operations!J606*(1-Operations!J634)</f>
        <v/>
      </c>
      <c r="K642" s="20">
        <f>Operations!K620*Operations!K606*(1-Operations!K634)</f>
        <v/>
      </c>
      <c r="L642" s="20">
        <f>Operations!L620*Operations!L606*(1-Operations!L634)</f>
        <v/>
      </c>
      <c r="M642" s="20">
        <f>Operations!M620*Operations!M606*(1-Operations!M634)</f>
        <v/>
      </c>
      <c r="N642" s="20">
        <f>Operations!N620*Operations!N606*(1-Operations!N634)</f>
        <v/>
      </c>
      <c r="O642" s="20">
        <f>Operations!O620*Operations!O606*(1-Operations!O634)</f>
        <v/>
      </c>
      <c r="P642" s="20">
        <f>Operations!P620*Operations!P606*(1-Operations!P634)</f>
        <v/>
      </c>
      <c r="Q642" s="20">
        <f>Operations!Q620*Operations!Q606*(1-Operations!Q634)</f>
        <v/>
      </c>
      <c r="R642" s="20">
        <f>Operations!R620*Operations!R606*(1-Operations!R634)</f>
        <v/>
      </c>
      <c r="S642" s="20">
        <f>Operations!S620*Operations!S606*(1-Operations!S634)</f>
        <v/>
      </c>
      <c r="T642" s="20">
        <f>Operations!T620*Operations!T606*(1-Operations!T634)</f>
        <v/>
      </c>
      <c r="U642" s="20">
        <f>Operations!U620*Operations!U606*(1-Operations!U634)</f>
        <v/>
      </c>
      <c r="V642" s="20">
        <f>Operations!V620*Operations!V606*(1-Operations!V634)</f>
        <v/>
      </c>
      <c r="W642" s="20">
        <f>Operations!W620*Operations!W606*(1-Operations!W634)</f>
        <v/>
      </c>
      <c r="X642" s="20">
        <f>Operations!X620*Operations!X606*(1-Operations!X634)</f>
        <v/>
      </c>
      <c r="Y642" s="20">
        <f>Operations!Y620*Operations!Y606*(1-Operations!Y634)</f>
        <v/>
      </c>
      <c r="Z642" s="20">
        <f>Operations!Z620*Operations!Z606*(1-Operations!Z634)</f>
        <v/>
      </c>
      <c r="AA642" s="20">
        <f>Operations!AA620*Operations!AA606*(1-Operations!AA634)</f>
        <v/>
      </c>
      <c r="AB642" s="20">
        <f>Operations!AB620*Operations!AB606*(1-Operations!AB634)</f>
        <v/>
      </c>
      <c r="AC642" s="20">
        <f>Operations!AC620*Operations!AC606*(1-Operations!AC634)</f>
        <v/>
      </c>
      <c r="AD642" s="20">
        <f>Operations!AD620*Operations!AD606*(1-Operations!AD634)</f>
        <v/>
      </c>
      <c r="AE642" s="20">
        <f>Operations!AE620*Operations!AE606*(1-Operations!AE634)</f>
        <v/>
      </c>
      <c r="AF642" s="20">
        <f>Operations!AF620*Operations!AF606*(1-Operations!AF634)</f>
        <v/>
      </c>
      <c r="AG642" s="20">
        <f>Operations!AG620*Operations!AG606*(1-Operations!AG634)</f>
        <v/>
      </c>
      <c r="AH642" s="20">
        <f>Operations!AH620*Operations!AH606*(1-Operations!AH634)</f>
        <v/>
      </c>
      <c r="AI642" s="20">
        <f>Operations!AI620*Operations!AI606*(1-Operations!AI634)</f>
        <v/>
      </c>
      <c r="AJ642" s="20">
        <f>Operations!AJ620*Operations!AJ606*(1-Operations!AJ634)</f>
        <v/>
      </c>
      <c r="AK642" s="20">
        <f>Operations!AK620*Operations!AK606*(1-Operations!AK634)</f>
        <v/>
      </c>
      <c r="AL642" s="20">
        <f>Operations!AL620*Operations!AL606*(1-Operations!AL634)</f>
        <v/>
      </c>
      <c r="AM642" s="20">
        <f>Operations!AM620*Operations!AM606*(1-Operations!AM634)</f>
        <v/>
      </c>
      <c r="AN642" s="20">
        <f>Operations!AN620*Operations!AN606*(1-Operations!AN634)</f>
        <v/>
      </c>
      <c r="AO642" s="20">
        <f>Operations!AO620*Operations!AO606*(1-Operations!AO634)</f>
        <v/>
      </c>
      <c r="AP642" s="20">
        <f>Operations!AP620*Operations!AP606*(1-Operations!AP634)</f>
        <v/>
      </c>
      <c r="AQ642" s="20">
        <f>Operations!AQ620*Operations!AQ606*(1-Operations!AQ634)</f>
        <v/>
      </c>
      <c r="AR642" s="20">
        <f>Operations!AR620*Operations!AR606*(1-Operations!AR634)</f>
        <v/>
      </c>
      <c r="AS642" s="20">
        <f>Operations!AS620*Operations!AS606*(1-Operations!AS634)</f>
        <v/>
      </c>
      <c r="AT642" s="20">
        <f>Operations!AT620*Operations!AT606*(1-Operations!AT634)</f>
        <v/>
      </c>
      <c r="AU642" s="20">
        <f>Operations!AU620*Operations!AU606*(1-Operations!AU634)</f>
        <v/>
      </c>
    </row>
    <row r="643">
      <c r="D643" t="inlineStr">
        <is>
          <t>R5 Mesa-share hedged revenue</t>
        </is>
      </c>
      <c r="E643" t="inlineStr">
        <is>
          <t>USD m</t>
        </is>
      </c>
      <c r="J643" s="20">
        <f>Operations!J621*Operations!J606*(1-Operations!J634)</f>
        <v/>
      </c>
      <c r="K643" s="20">
        <f>Operations!K621*Operations!K606*(1-Operations!K634)</f>
        <v/>
      </c>
      <c r="L643" s="20">
        <f>Operations!L621*Operations!L606*(1-Operations!L634)</f>
        <v/>
      </c>
      <c r="M643" s="20">
        <f>Operations!M621*Operations!M606*(1-Operations!M634)</f>
        <v/>
      </c>
      <c r="N643" s="20">
        <f>Operations!N621*Operations!N606*(1-Operations!N634)</f>
        <v/>
      </c>
      <c r="O643" s="20">
        <f>Operations!O621*Operations!O606*(1-Operations!O634)</f>
        <v/>
      </c>
      <c r="P643" s="20">
        <f>Operations!P621*Operations!P606*(1-Operations!P634)</f>
        <v/>
      </c>
      <c r="Q643" s="20">
        <f>Operations!Q621*Operations!Q606*(1-Operations!Q634)</f>
        <v/>
      </c>
      <c r="R643" s="20">
        <f>Operations!R621*Operations!R606*(1-Operations!R634)</f>
        <v/>
      </c>
      <c r="S643" s="20">
        <f>Operations!S621*Operations!S606*(1-Operations!S634)</f>
        <v/>
      </c>
      <c r="T643" s="20">
        <f>Operations!T621*Operations!T606*(1-Operations!T634)</f>
        <v/>
      </c>
      <c r="U643" s="20">
        <f>Operations!U621*Operations!U606*(1-Operations!U634)</f>
        <v/>
      </c>
      <c r="V643" s="20">
        <f>Operations!V621*Operations!V606*(1-Operations!V634)</f>
        <v/>
      </c>
      <c r="W643" s="20">
        <f>Operations!W621*Operations!W606*(1-Operations!W634)</f>
        <v/>
      </c>
      <c r="X643" s="20">
        <f>Operations!X621*Operations!X606*(1-Operations!X634)</f>
        <v/>
      </c>
      <c r="Y643" s="20">
        <f>Operations!Y621*Operations!Y606*(1-Operations!Y634)</f>
        <v/>
      </c>
      <c r="Z643" s="20">
        <f>Operations!Z621*Operations!Z606*(1-Operations!Z634)</f>
        <v/>
      </c>
      <c r="AA643" s="20">
        <f>Operations!AA621*Operations!AA606*(1-Operations!AA634)</f>
        <v/>
      </c>
      <c r="AB643" s="20">
        <f>Operations!AB621*Operations!AB606*(1-Operations!AB634)</f>
        <v/>
      </c>
      <c r="AC643" s="20">
        <f>Operations!AC621*Operations!AC606*(1-Operations!AC634)</f>
        <v/>
      </c>
      <c r="AD643" s="20">
        <f>Operations!AD621*Operations!AD606*(1-Operations!AD634)</f>
        <v/>
      </c>
      <c r="AE643" s="20">
        <f>Operations!AE621*Operations!AE606*(1-Operations!AE634)</f>
        <v/>
      </c>
      <c r="AF643" s="20">
        <f>Operations!AF621*Operations!AF606*(1-Operations!AF634)</f>
        <v/>
      </c>
      <c r="AG643" s="20">
        <f>Operations!AG621*Operations!AG606*(1-Operations!AG634)</f>
        <v/>
      </c>
      <c r="AH643" s="20">
        <f>Operations!AH621*Operations!AH606*(1-Operations!AH634)</f>
        <v/>
      </c>
      <c r="AI643" s="20">
        <f>Operations!AI621*Operations!AI606*(1-Operations!AI634)</f>
        <v/>
      </c>
      <c r="AJ643" s="20">
        <f>Operations!AJ621*Operations!AJ606*(1-Operations!AJ634)</f>
        <v/>
      </c>
      <c r="AK643" s="20">
        <f>Operations!AK621*Operations!AK606*(1-Operations!AK634)</f>
        <v/>
      </c>
      <c r="AL643" s="20">
        <f>Operations!AL621*Operations!AL606*(1-Operations!AL634)</f>
        <v/>
      </c>
      <c r="AM643" s="20">
        <f>Operations!AM621*Operations!AM606*(1-Operations!AM634)</f>
        <v/>
      </c>
      <c r="AN643" s="20">
        <f>Operations!AN621*Operations!AN606*(1-Operations!AN634)</f>
        <v/>
      </c>
      <c r="AO643" s="20">
        <f>Operations!AO621*Operations!AO606*(1-Operations!AO634)</f>
        <v/>
      </c>
      <c r="AP643" s="20">
        <f>Operations!AP621*Operations!AP606*(1-Operations!AP634)</f>
        <v/>
      </c>
      <c r="AQ643" s="20">
        <f>Operations!AQ621*Operations!AQ606*(1-Operations!AQ634)</f>
        <v/>
      </c>
      <c r="AR643" s="20">
        <f>Operations!AR621*Operations!AR606*(1-Operations!AR634)</f>
        <v/>
      </c>
      <c r="AS643" s="20">
        <f>Operations!AS621*Operations!AS606*(1-Operations!AS634)</f>
        <v/>
      </c>
      <c r="AT643" s="20">
        <f>Operations!AT621*Operations!AT606*(1-Operations!AT634)</f>
        <v/>
      </c>
      <c r="AU643" s="20">
        <f>Operations!AU621*Operations!AU606*(1-Operations!AU634)</f>
        <v/>
      </c>
    </row>
    <row r="644">
      <c r="D644" t="inlineStr">
        <is>
          <t>R5 Mesa-share merchant revenue</t>
        </is>
      </c>
      <c r="E644" t="inlineStr">
        <is>
          <t>USD m</t>
        </is>
      </c>
      <c r="J644" s="20">
        <f>Operations!J624*Operations!J606*(1-Operations!J634)</f>
        <v/>
      </c>
      <c r="K644" s="20">
        <f>Operations!K624*Operations!K606*(1-Operations!K634)</f>
        <v/>
      </c>
      <c r="L644" s="20">
        <f>Operations!L624*Operations!L606*(1-Operations!L634)</f>
        <v/>
      </c>
      <c r="M644" s="20">
        <f>Operations!M624*Operations!M606*(1-Operations!M634)</f>
        <v/>
      </c>
      <c r="N644" s="20">
        <f>Operations!N624*Operations!N606*(1-Operations!N634)</f>
        <v/>
      </c>
      <c r="O644" s="20">
        <f>Operations!O624*Operations!O606*(1-Operations!O634)</f>
        <v/>
      </c>
      <c r="P644" s="20">
        <f>Operations!P624*Operations!P606*(1-Operations!P634)</f>
        <v/>
      </c>
      <c r="Q644" s="20">
        <f>Operations!Q624*Operations!Q606*(1-Operations!Q634)</f>
        <v/>
      </c>
      <c r="R644" s="20">
        <f>Operations!R624*Operations!R606*(1-Operations!R634)</f>
        <v/>
      </c>
      <c r="S644" s="20">
        <f>Operations!S624*Operations!S606*(1-Operations!S634)</f>
        <v/>
      </c>
      <c r="T644" s="20">
        <f>Operations!T624*Operations!T606*(1-Operations!T634)</f>
        <v/>
      </c>
      <c r="U644" s="20">
        <f>Operations!U624*Operations!U606*(1-Operations!U634)</f>
        <v/>
      </c>
      <c r="V644" s="20">
        <f>Operations!V624*Operations!V606*(1-Operations!V634)</f>
        <v/>
      </c>
      <c r="W644" s="20">
        <f>Operations!W624*Operations!W606*(1-Operations!W634)</f>
        <v/>
      </c>
      <c r="X644" s="20">
        <f>Operations!X624*Operations!X606*(1-Operations!X634)</f>
        <v/>
      </c>
      <c r="Y644" s="20">
        <f>Operations!Y624*Operations!Y606*(1-Operations!Y634)</f>
        <v/>
      </c>
      <c r="Z644" s="20">
        <f>Operations!Z624*Operations!Z606*(1-Operations!Z634)</f>
        <v/>
      </c>
      <c r="AA644" s="20">
        <f>Operations!AA624*Operations!AA606*(1-Operations!AA634)</f>
        <v/>
      </c>
      <c r="AB644" s="20">
        <f>Operations!AB624*Operations!AB606*(1-Operations!AB634)</f>
        <v/>
      </c>
      <c r="AC644" s="20">
        <f>Operations!AC624*Operations!AC606*(1-Operations!AC634)</f>
        <v/>
      </c>
      <c r="AD644" s="20">
        <f>Operations!AD624*Operations!AD606*(1-Operations!AD634)</f>
        <v/>
      </c>
      <c r="AE644" s="20">
        <f>Operations!AE624*Operations!AE606*(1-Operations!AE634)</f>
        <v/>
      </c>
      <c r="AF644" s="20">
        <f>Operations!AF624*Operations!AF606*(1-Operations!AF634)</f>
        <v/>
      </c>
      <c r="AG644" s="20">
        <f>Operations!AG624*Operations!AG606*(1-Operations!AG634)</f>
        <v/>
      </c>
      <c r="AH644" s="20">
        <f>Operations!AH624*Operations!AH606*(1-Operations!AH634)</f>
        <v/>
      </c>
      <c r="AI644" s="20">
        <f>Operations!AI624*Operations!AI606*(1-Operations!AI634)</f>
        <v/>
      </c>
      <c r="AJ644" s="20">
        <f>Operations!AJ624*Operations!AJ606*(1-Operations!AJ634)</f>
        <v/>
      </c>
      <c r="AK644" s="20">
        <f>Operations!AK624*Operations!AK606*(1-Operations!AK634)</f>
        <v/>
      </c>
      <c r="AL644" s="20">
        <f>Operations!AL624*Operations!AL606*(1-Operations!AL634)</f>
        <v/>
      </c>
      <c r="AM644" s="20">
        <f>Operations!AM624*Operations!AM606*(1-Operations!AM634)</f>
        <v/>
      </c>
      <c r="AN644" s="20">
        <f>Operations!AN624*Operations!AN606*(1-Operations!AN634)</f>
        <v/>
      </c>
      <c r="AO644" s="20">
        <f>Operations!AO624*Operations!AO606*(1-Operations!AO634)</f>
        <v/>
      </c>
      <c r="AP644" s="20">
        <f>Operations!AP624*Operations!AP606*(1-Operations!AP634)</f>
        <v/>
      </c>
      <c r="AQ644" s="20">
        <f>Operations!AQ624*Operations!AQ606*(1-Operations!AQ634)</f>
        <v/>
      </c>
      <c r="AR644" s="20">
        <f>Operations!AR624*Operations!AR606*(1-Operations!AR634)</f>
        <v/>
      </c>
      <c r="AS644" s="20">
        <f>Operations!AS624*Operations!AS606*(1-Operations!AS634)</f>
        <v/>
      </c>
      <c r="AT644" s="20">
        <f>Operations!AT624*Operations!AT606*(1-Operations!AT634)</f>
        <v/>
      </c>
      <c r="AU644" s="20">
        <f>Operations!AU624*Operations!AU606*(1-Operations!AU634)</f>
        <v/>
      </c>
    </row>
    <row r="645">
      <c r="D645" t="inlineStr">
        <is>
          <t>R5 Mesa-share revenue</t>
        </is>
      </c>
      <c r="E645" t="inlineStr">
        <is>
          <t>USD m</t>
        </is>
      </c>
      <c r="J645" s="20">
        <f>Operations!J623*Operations!J606*(1-Operations!J634)</f>
        <v/>
      </c>
      <c r="K645" s="20">
        <f>Operations!K623*Operations!K606*(1-Operations!K634)</f>
        <v/>
      </c>
      <c r="L645" s="20">
        <f>Operations!L623*Operations!L606*(1-Operations!L634)</f>
        <v/>
      </c>
      <c r="M645" s="20">
        <f>Operations!M623*Operations!M606*(1-Operations!M634)</f>
        <v/>
      </c>
      <c r="N645" s="20">
        <f>Operations!N623*Operations!N606*(1-Operations!N634)</f>
        <v/>
      </c>
      <c r="O645" s="20">
        <f>Operations!O623*Operations!O606*(1-Operations!O634)</f>
        <v/>
      </c>
      <c r="P645" s="20">
        <f>Operations!P623*Operations!P606*(1-Operations!P634)</f>
        <v/>
      </c>
      <c r="Q645" s="20">
        <f>Operations!Q623*Operations!Q606*(1-Operations!Q634)</f>
        <v/>
      </c>
      <c r="R645" s="20">
        <f>Operations!R623*Operations!R606*(1-Operations!R634)</f>
        <v/>
      </c>
      <c r="S645" s="20">
        <f>Operations!S623*Operations!S606*(1-Operations!S634)</f>
        <v/>
      </c>
      <c r="T645" s="20">
        <f>Operations!T623*Operations!T606*(1-Operations!T634)</f>
        <v/>
      </c>
      <c r="U645" s="20">
        <f>Operations!U623*Operations!U606*(1-Operations!U634)</f>
        <v/>
      </c>
      <c r="V645" s="20">
        <f>Operations!V623*Operations!V606*(1-Operations!V634)</f>
        <v/>
      </c>
      <c r="W645" s="20">
        <f>Operations!W623*Operations!W606*(1-Operations!W634)</f>
        <v/>
      </c>
      <c r="X645" s="20">
        <f>Operations!X623*Operations!X606*(1-Operations!X634)</f>
        <v/>
      </c>
      <c r="Y645" s="20">
        <f>Operations!Y623*Operations!Y606*(1-Operations!Y634)</f>
        <v/>
      </c>
      <c r="Z645" s="20">
        <f>Operations!Z623*Operations!Z606*(1-Operations!Z634)</f>
        <v/>
      </c>
      <c r="AA645" s="20">
        <f>Operations!AA623*Operations!AA606*(1-Operations!AA634)</f>
        <v/>
      </c>
      <c r="AB645" s="20">
        <f>Operations!AB623*Operations!AB606*(1-Operations!AB634)</f>
        <v/>
      </c>
      <c r="AC645" s="20">
        <f>Operations!AC623*Operations!AC606*(1-Operations!AC634)</f>
        <v/>
      </c>
      <c r="AD645" s="20">
        <f>Operations!AD623*Operations!AD606*(1-Operations!AD634)</f>
        <v/>
      </c>
      <c r="AE645" s="20">
        <f>Operations!AE623*Operations!AE606*(1-Operations!AE634)</f>
        <v/>
      </c>
      <c r="AF645" s="20">
        <f>Operations!AF623*Operations!AF606*(1-Operations!AF634)</f>
        <v/>
      </c>
      <c r="AG645" s="20">
        <f>Operations!AG623*Operations!AG606*(1-Operations!AG634)</f>
        <v/>
      </c>
      <c r="AH645" s="20">
        <f>Operations!AH623*Operations!AH606*(1-Operations!AH634)</f>
        <v/>
      </c>
      <c r="AI645" s="20">
        <f>Operations!AI623*Operations!AI606*(1-Operations!AI634)</f>
        <v/>
      </c>
      <c r="AJ645" s="20">
        <f>Operations!AJ623*Operations!AJ606*(1-Operations!AJ634)</f>
        <v/>
      </c>
      <c r="AK645" s="20">
        <f>Operations!AK623*Operations!AK606*(1-Operations!AK634)</f>
        <v/>
      </c>
      <c r="AL645" s="20">
        <f>Operations!AL623*Operations!AL606*(1-Operations!AL634)</f>
        <v/>
      </c>
      <c r="AM645" s="20">
        <f>Operations!AM623*Operations!AM606*(1-Operations!AM634)</f>
        <v/>
      </c>
      <c r="AN645" s="20">
        <f>Operations!AN623*Operations!AN606*(1-Operations!AN634)</f>
        <v/>
      </c>
      <c r="AO645" s="20">
        <f>Operations!AO623*Operations!AO606*(1-Operations!AO634)</f>
        <v/>
      </c>
      <c r="AP645" s="20">
        <f>Operations!AP623*Operations!AP606*(1-Operations!AP634)</f>
        <v/>
      </c>
      <c r="AQ645" s="20">
        <f>Operations!AQ623*Operations!AQ606*(1-Operations!AQ634)</f>
        <v/>
      </c>
      <c r="AR645" s="20">
        <f>Operations!AR623*Operations!AR606*(1-Operations!AR634)</f>
        <v/>
      </c>
      <c r="AS645" s="20">
        <f>Operations!AS623*Operations!AS606*(1-Operations!AS634)</f>
        <v/>
      </c>
      <c r="AT645" s="20">
        <f>Operations!AT623*Operations!AT606*(1-Operations!AT634)</f>
        <v/>
      </c>
      <c r="AU645" s="20">
        <f>Operations!AU623*Operations!AU606*(1-Operations!AU634)</f>
        <v/>
      </c>
    </row>
    <row r="646">
      <c r="D646" s="19" t="inlineStr">
        <is>
          <t>R6 Redfern Storage (lithium-ion BESS (LFP), 2-hour)</t>
        </is>
      </c>
    </row>
    <row r="647">
      <c r="D647" t="inlineStr">
        <is>
          <t>R6 operating fraction</t>
        </is>
      </c>
      <c r="E647" t="inlineStr">
        <is>
          <t>fraction</t>
        </is>
      </c>
      <c r="J647" s="14">
        <f>MAX(0,MIN(Inputs!$F$145,Time!J$6)-MAX(Inputs!$F$144,Time!J$5))/Time!J$7</f>
        <v/>
      </c>
      <c r="K647" s="14">
        <f>MAX(0,MIN(Inputs!$F$145,Time!K$6)-MAX(Inputs!$F$144,Time!K$5))/Time!K$7</f>
        <v/>
      </c>
      <c r="L647" s="14">
        <f>MAX(0,MIN(Inputs!$F$145,Time!L$6)-MAX(Inputs!$F$144,Time!L$5))/Time!L$7</f>
        <v/>
      </c>
      <c r="M647" s="14">
        <f>MAX(0,MIN(Inputs!$F$145,Time!M$6)-MAX(Inputs!$F$144,Time!M$5))/Time!M$7</f>
        <v/>
      </c>
      <c r="N647" s="14">
        <f>MAX(0,MIN(Inputs!$F$145,Time!N$6)-MAX(Inputs!$F$144,Time!N$5))/Time!N$7</f>
        <v/>
      </c>
      <c r="O647" s="14">
        <f>MAX(0,MIN(Inputs!$F$145,Time!O$6)-MAX(Inputs!$F$144,Time!O$5))/Time!O$7</f>
        <v/>
      </c>
      <c r="P647" s="14">
        <f>MAX(0,MIN(Inputs!$F$145,Time!P$6)-MAX(Inputs!$F$144,Time!P$5))/Time!P$7</f>
        <v/>
      </c>
      <c r="Q647" s="14">
        <f>MAX(0,MIN(Inputs!$F$145,Time!Q$6)-MAX(Inputs!$F$144,Time!Q$5))/Time!Q$7</f>
        <v/>
      </c>
      <c r="R647" s="14">
        <f>MAX(0,MIN(Inputs!$F$145,Time!R$6)-MAX(Inputs!$F$144,Time!R$5))/Time!R$7</f>
        <v/>
      </c>
      <c r="S647" s="14">
        <f>MAX(0,MIN(Inputs!$F$145,Time!S$6)-MAX(Inputs!$F$144,Time!S$5))/Time!S$7</f>
        <v/>
      </c>
      <c r="T647" s="14">
        <f>MAX(0,MIN(Inputs!$F$145,Time!T$6)-MAX(Inputs!$F$144,Time!T$5))/Time!T$7</f>
        <v/>
      </c>
      <c r="U647" s="14">
        <f>MAX(0,MIN(Inputs!$F$145,Time!U$6)-MAX(Inputs!$F$144,Time!U$5))/Time!U$7</f>
        <v/>
      </c>
      <c r="V647" s="14">
        <f>MAX(0,MIN(Inputs!$F$145,Time!V$6)-MAX(Inputs!$F$144,Time!V$5))/Time!V$7</f>
        <v/>
      </c>
      <c r="W647" s="14">
        <f>MAX(0,MIN(Inputs!$F$145,Time!W$6)-MAX(Inputs!$F$144,Time!W$5))/Time!W$7</f>
        <v/>
      </c>
      <c r="X647" s="14">
        <f>MAX(0,MIN(Inputs!$F$145,Time!X$6)-MAX(Inputs!$F$144,Time!X$5))/Time!X$7</f>
        <v/>
      </c>
      <c r="Y647" s="14">
        <f>MAX(0,MIN(Inputs!$F$145,Time!Y$6)-MAX(Inputs!$F$144,Time!Y$5))/Time!Y$7</f>
        <v/>
      </c>
      <c r="Z647" s="14">
        <f>MAX(0,MIN(Inputs!$F$145,Time!Z$6)-MAX(Inputs!$F$144,Time!Z$5))/Time!Z$7</f>
        <v/>
      </c>
      <c r="AA647" s="14">
        <f>MAX(0,MIN(Inputs!$F$145,Time!AA$6)-MAX(Inputs!$F$144,Time!AA$5))/Time!AA$7</f>
        <v/>
      </c>
      <c r="AB647" s="14">
        <f>MAX(0,MIN(Inputs!$F$145,Time!AB$6)-MAX(Inputs!$F$144,Time!AB$5))/Time!AB$7</f>
        <v/>
      </c>
      <c r="AC647" s="14">
        <f>MAX(0,MIN(Inputs!$F$145,Time!AC$6)-MAX(Inputs!$F$144,Time!AC$5))/Time!AC$7</f>
        <v/>
      </c>
      <c r="AD647" s="14">
        <f>MAX(0,MIN(Inputs!$F$145,Time!AD$6)-MAX(Inputs!$F$144,Time!AD$5))/Time!AD$7</f>
        <v/>
      </c>
      <c r="AE647" s="14">
        <f>MAX(0,MIN(Inputs!$F$145,Time!AE$6)-MAX(Inputs!$F$144,Time!AE$5))/Time!AE$7</f>
        <v/>
      </c>
      <c r="AF647" s="14">
        <f>MAX(0,MIN(Inputs!$F$145,Time!AF$6)-MAX(Inputs!$F$144,Time!AF$5))/Time!AF$7</f>
        <v/>
      </c>
      <c r="AG647" s="14">
        <f>MAX(0,MIN(Inputs!$F$145,Time!AG$6)-MAX(Inputs!$F$144,Time!AG$5))/Time!AG$7</f>
        <v/>
      </c>
      <c r="AH647" s="14">
        <f>MAX(0,MIN(Inputs!$F$145,Time!AH$6)-MAX(Inputs!$F$144,Time!AH$5))/Time!AH$7</f>
        <v/>
      </c>
      <c r="AI647" s="14">
        <f>MAX(0,MIN(Inputs!$F$145,Time!AI$6)-MAX(Inputs!$F$144,Time!AI$5))/Time!AI$7</f>
        <v/>
      </c>
      <c r="AJ647" s="14">
        <f>MAX(0,MIN(Inputs!$F$145,Time!AJ$6)-MAX(Inputs!$F$144,Time!AJ$5))/Time!AJ$7</f>
        <v/>
      </c>
      <c r="AK647" s="14">
        <f>MAX(0,MIN(Inputs!$F$145,Time!AK$6)-MAX(Inputs!$F$144,Time!AK$5))/Time!AK$7</f>
        <v/>
      </c>
      <c r="AL647" s="14">
        <f>MAX(0,MIN(Inputs!$F$145,Time!AL$6)-MAX(Inputs!$F$144,Time!AL$5))/Time!AL$7</f>
        <v/>
      </c>
      <c r="AM647" s="14">
        <f>MAX(0,MIN(Inputs!$F$145,Time!AM$6)-MAX(Inputs!$F$144,Time!AM$5))/Time!AM$7</f>
        <v/>
      </c>
      <c r="AN647" s="14">
        <f>MAX(0,MIN(Inputs!$F$145,Time!AN$6)-MAX(Inputs!$F$144,Time!AN$5))/Time!AN$7</f>
        <v/>
      </c>
      <c r="AO647" s="14">
        <f>MAX(0,MIN(Inputs!$F$145,Time!AO$6)-MAX(Inputs!$F$144,Time!AO$5))/Time!AO$7</f>
        <v/>
      </c>
      <c r="AP647" s="14">
        <f>MAX(0,MIN(Inputs!$F$145,Time!AP$6)-MAX(Inputs!$F$144,Time!AP$5))/Time!AP$7</f>
        <v/>
      </c>
      <c r="AQ647" s="14">
        <f>MAX(0,MIN(Inputs!$F$145,Time!AQ$6)-MAX(Inputs!$F$144,Time!AQ$5))/Time!AQ$7</f>
        <v/>
      </c>
      <c r="AR647" s="14">
        <f>MAX(0,MIN(Inputs!$F$145,Time!AR$6)-MAX(Inputs!$F$144,Time!AR$5))/Time!AR$7</f>
        <v/>
      </c>
      <c r="AS647" s="14">
        <f>MAX(0,MIN(Inputs!$F$145,Time!AS$6)-MAX(Inputs!$F$144,Time!AS$5))/Time!AS$7</f>
        <v/>
      </c>
      <c r="AT647" s="14">
        <f>MAX(0,MIN(Inputs!$F$145,Time!AT$6)-MAX(Inputs!$F$144,Time!AT$5))/Time!AT$7</f>
        <v/>
      </c>
      <c r="AU647" s="14">
        <f>MAX(0,MIN(Inputs!$F$145,Time!AU$6)-MAX(Inputs!$F$144,Time!AU$5))/Time!AU$7</f>
        <v/>
      </c>
    </row>
    <row r="648">
      <c r="D648" t="inlineStr">
        <is>
          <t>R6 owned fraction</t>
        </is>
      </c>
      <c r="E648" t="inlineStr">
        <is>
          <t>fraction</t>
        </is>
      </c>
      <c r="J648" s="14">
        <f>MAX(0,MIN(Inputs!$F$145,Time!J$6)-MAX(MAX(Inputs!$F$146,Inputs!$F$144),Time!J$5))/Time!J$7</f>
        <v/>
      </c>
      <c r="K648" s="14">
        <f>MAX(0,MIN(Inputs!$F$145,Time!K$6)-MAX(MAX(Inputs!$F$146,Inputs!$F$144),Time!K$5))/Time!K$7</f>
        <v/>
      </c>
      <c r="L648" s="14">
        <f>MAX(0,MIN(Inputs!$F$145,Time!L$6)-MAX(MAX(Inputs!$F$146,Inputs!$F$144),Time!L$5))/Time!L$7</f>
        <v/>
      </c>
      <c r="M648" s="14">
        <f>MAX(0,MIN(Inputs!$F$145,Time!M$6)-MAX(MAX(Inputs!$F$146,Inputs!$F$144),Time!M$5))/Time!M$7</f>
        <v/>
      </c>
      <c r="N648" s="14">
        <f>MAX(0,MIN(Inputs!$F$145,Time!N$6)-MAX(MAX(Inputs!$F$146,Inputs!$F$144),Time!N$5))/Time!N$7</f>
        <v/>
      </c>
      <c r="O648" s="14">
        <f>MAX(0,MIN(Inputs!$F$145,Time!O$6)-MAX(MAX(Inputs!$F$146,Inputs!$F$144),Time!O$5))/Time!O$7</f>
        <v/>
      </c>
      <c r="P648" s="14">
        <f>MAX(0,MIN(Inputs!$F$145,Time!P$6)-MAX(MAX(Inputs!$F$146,Inputs!$F$144),Time!P$5))/Time!P$7</f>
        <v/>
      </c>
      <c r="Q648" s="14">
        <f>MAX(0,MIN(Inputs!$F$145,Time!Q$6)-MAX(MAX(Inputs!$F$146,Inputs!$F$144),Time!Q$5))/Time!Q$7</f>
        <v/>
      </c>
      <c r="R648" s="14">
        <f>MAX(0,MIN(Inputs!$F$145,Time!R$6)-MAX(MAX(Inputs!$F$146,Inputs!$F$144),Time!R$5))/Time!R$7</f>
        <v/>
      </c>
      <c r="S648" s="14">
        <f>MAX(0,MIN(Inputs!$F$145,Time!S$6)-MAX(MAX(Inputs!$F$146,Inputs!$F$144),Time!S$5))/Time!S$7</f>
        <v/>
      </c>
      <c r="T648" s="14">
        <f>MAX(0,MIN(Inputs!$F$145,Time!T$6)-MAX(MAX(Inputs!$F$146,Inputs!$F$144),Time!T$5))/Time!T$7</f>
        <v/>
      </c>
      <c r="U648" s="14">
        <f>MAX(0,MIN(Inputs!$F$145,Time!U$6)-MAX(MAX(Inputs!$F$146,Inputs!$F$144),Time!U$5))/Time!U$7</f>
        <v/>
      </c>
      <c r="V648" s="14">
        <f>MAX(0,MIN(Inputs!$F$145,Time!V$6)-MAX(MAX(Inputs!$F$146,Inputs!$F$144),Time!V$5))/Time!V$7</f>
        <v/>
      </c>
      <c r="W648" s="14">
        <f>MAX(0,MIN(Inputs!$F$145,Time!W$6)-MAX(MAX(Inputs!$F$146,Inputs!$F$144),Time!W$5))/Time!W$7</f>
        <v/>
      </c>
      <c r="X648" s="14">
        <f>MAX(0,MIN(Inputs!$F$145,Time!X$6)-MAX(MAX(Inputs!$F$146,Inputs!$F$144),Time!X$5))/Time!X$7</f>
        <v/>
      </c>
      <c r="Y648" s="14">
        <f>MAX(0,MIN(Inputs!$F$145,Time!Y$6)-MAX(MAX(Inputs!$F$146,Inputs!$F$144),Time!Y$5))/Time!Y$7</f>
        <v/>
      </c>
      <c r="Z648" s="14">
        <f>MAX(0,MIN(Inputs!$F$145,Time!Z$6)-MAX(MAX(Inputs!$F$146,Inputs!$F$144),Time!Z$5))/Time!Z$7</f>
        <v/>
      </c>
      <c r="AA648" s="14">
        <f>MAX(0,MIN(Inputs!$F$145,Time!AA$6)-MAX(MAX(Inputs!$F$146,Inputs!$F$144),Time!AA$5))/Time!AA$7</f>
        <v/>
      </c>
      <c r="AB648" s="14">
        <f>MAX(0,MIN(Inputs!$F$145,Time!AB$6)-MAX(MAX(Inputs!$F$146,Inputs!$F$144),Time!AB$5))/Time!AB$7</f>
        <v/>
      </c>
      <c r="AC648" s="14">
        <f>MAX(0,MIN(Inputs!$F$145,Time!AC$6)-MAX(MAX(Inputs!$F$146,Inputs!$F$144),Time!AC$5))/Time!AC$7</f>
        <v/>
      </c>
      <c r="AD648" s="14">
        <f>MAX(0,MIN(Inputs!$F$145,Time!AD$6)-MAX(MAX(Inputs!$F$146,Inputs!$F$144),Time!AD$5))/Time!AD$7</f>
        <v/>
      </c>
      <c r="AE648" s="14">
        <f>MAX(0,MIN(Inputs!$F$145,Time!AE$6)-MAX(MAX(Inputs!$F$146,Inputs!$F$144),Time!AE$5))/Time!AE$7</f>
        <v/>
      </c>
      <c r="AF648" s="14">
        <f>MAX(0,MIN(Inputs!$F$145,Time!AF$6)-MAX(MAX(Inputs!$F$146,Inputs!$F$144),Time!AF$5))/Time!AF$7</f>
        <v/>
      </c>
      <c r="AG648" s="14">
        <f>MAX(0,MIN(Inputs!$F$145,Time!AG$6)-MAX(MAX(Inputs!$F$146,Inputs!$F$144),Time!AG$5))/Time!AG$7</f>
        <v/>
      </c>
      <c r="AH648" s="14">
        <f>MAX(0,MIN(Inputs!$F$145,Time!AH$6)-MAX(MAX(Inputs!$F$146,Inputs!$F$144),Time!AH$5))/Time!AH$7</f>
        <v/>
      </c>
      <c r="AI648" s="14">
        <f>MAX(0,MIN(Inputs!$F$145,Time!AI$6)-MAX(MAX(Inputs!$F$146,Inputs!$F$144),Time!AI$5))/Time!AI$7</f>
        <v/>
      </c>
      <c r="AJ648" s="14">
        <f>MAX(0,MIN(Inputs!$F$145,Time!AJ$6)-MAX(MAX(Inputs!$F$146,Inputs!$F$144),Time!AJ$5))/Time!AJ$7</f>
        <v/>
      </c>
      <c r="AK648" s="14">
        <f>MAX(0,MIN(Inputs!$F$145,Time!AK$6)-MAX(MAX(Inputs!$F$146,Inputs!$F$144),Time!AK$5))/Time!AK$7</f>
        <v/>
      </c>
      <c r="AL648" s="14">
        <f>MAX(0,MIN(Inputs!$F$145,Time!AL$6)-MAX(MAX(Inputs!$F$146,Inputs!$F$144),Time!AL$5))/Time!AL$7</f>
        <v/>
      </c>
      <c r="AM648" s="14">
        <f>MAX(0,MIN(Inputs!$F$145,Time!AM$6)-MAX(MAX(Inputs!$F$146,Inputs!$F$144),Time!AM$5))/Time!AM$7</f>
        <v/>
      </c>
      <c r="AN648" s="14">
        <f>MAX(0,MIN(Inputs!$F$145,Time!AN$6)-MAX(MAX(Inputs!$F$146,Inputs!$F$144),Time!AN$5))/Time!AN$7</f>
        <v/>
      </c>
      <c r="AO648" s="14">
        <f>MAX(0,MIN(Inputs!$F$145,Time!AO$6)-MAX(MAX(Inputs!$F$146,Inputs!$F$144),Time!AO$5))/Time!AO$7</f>
        <v/>
      </c>
      <c r="AP648" s="14">
        <f>MAX(0,MIN(Inputs!$F$145,Time!AP$6)-MAX(MAX(Inputs!$F$146,Inputs!$F$144),Time!AP$5))/Time!AP$7</f>
        <v/>
      </c>
      <c r="AQ648" s="14">
        <f>MAX(0,MIN(Inputs!$F$145,Time!AQ$6)-MAX(MAX(Inputs!$F$146,Inputs!$F$144),Time!AQ$5))/Time!AQ$7</f>
        <v/>
      </c>
      <c r="AR648" s="14">
        <f>MAX(0,MIN(Inputs!$F$145,Time!AR$6)-MAX(MAX(Inputs!$F$146,Inputs!$F$144),Time!AR$5))/Time!AR$7</f>
        <v/>
      </c>
      <c r="AS648" s="14">
        <f>MAX(0,MIN(Inputs!$F$145,Time!AS$6)-MAX(MAX(Inputs!$F$146,Inputs!$F$144),Time!AS$5))/Time!AS$7</f>
        <v/>
      </c>
      <c r="AT648" s="14">
        <f>MAX(0,MIN(Inputs!$F$145,Time!AT$6)-MAX(MAX(Inputs!$F$146,Inputs!$F$144),Time!AT$5))/Time!AT$7</f>
        <v/>
      </c>
      <c r="AU648" s="14">
        <f>MAX(0,MIN(Inputs!$F$145,Time!AU$6)-MAX(MAX(Inputs!$F$146,Inputs!$F$144),Time!AU$5))/Time!AU$7</f>
        <v/>
      </c>
    </row>
    <row r="649">
      <c r="D649" t="inlineStr">
        <is>
          <t>R6 owned share of operating period</t>
        </is>
      </c>
      <c r="E649" t="inlineStr">
        <is>
          <t>fraction</t>
        </is>
      </c>
      <c r="J649" s="14">
        <f>IF(Operations!J647&gt;0,Operations!J648/Operations!J647,0)</f>
        <v/>
      </c>
      <c r="K649" s="14">
        <f>IF(Operations!K647&gt;0,Operations!K648/Operations!K647,0)</f>
        <v/>
      </c>
      <c r="L649" s="14">
        <f>IF(Operations!L647&gt;0,Operations!L648/Operations!L647,0)</f>
        <v/>
      </c>
      <c r="M649" s="14">
        <f>IF(Operations!M647&gt;0,Operations!M648/Operations!M647,0)</f>
        <v/>
      </c>
      <c r="N649" s="14">
        <f>IF(Operations!N647&gt;0,Operations!N648/Operations!N647,0)</f>
        <v/>
      </c>
      <c r="O649" s="14">
        <f>IF(Operations!O647&gt;0,Operations!O648/Operations!O647,0)</f>
        <v/>
      </c>
      <c r="P649" s="14">
        <f>IF(Operations!P647&gt;0,Operations!P648/Operations!P647,0)</f>
        <v/>
      </c>
      <c r="Q649" s="14">
        <f>IF(Operations!Q647&gt;0,Operations!Q648/Operations!Q647,0)</f>
        <v/>
      </c>
      <c r="R649" s="14">
        <f>IF(Operations!R647&gt;0,Operations!R648/Operations!R647,0)</f>
        <v/>
      </c>
      <c r="S649" s="14">
        <f>IF(Operations!S647&gt;0,Operations!S648/Operations!S647,0)</f>
        <v/>
      </c>
      <c r="T649" s="14">
        <f>IF(Operations!T647&gt;0,Operations!T648/Operations!T647,0)</f>
        <v/>
      </c>
      <c r="U649" s="14">
        <f>IF(Operations!U647&gt;0,Operations!U648/Operations!U647,0)</f>
        <v/>
      </c>
      <c r="V649" s="14">
        <f>IF(Operations!V647&gt;0,Operations!V648/Operations!V647,0)</f>
        <v/>
      </c>
      <c r="W649" s="14">
        <f>IF(Operations!W647&gt;0,Operations!W648/Operations!W647,0)</f>
        <v/>
      </c>
      <c r="X649" s="14">
        <f>IF(Operations!X647&gt;0,Operations!X648/Operations!X647,0)</f>
        <v/>
      </c>
      <c r="Y649" s="14">
        <f>IF(Operations!Y647&gt;0,Operations!Y648/Operations!Y647,0)</f>
        <v/>
      </c>
      <c r="Z649" s="14">
        <f>IF(Operations!Z647&gt;0,Operations!Z648/Operations!Z647,0)</f>
        <v/>
      </c>
      <c r="AA649" s="14">
        <f>IF(Operations!AA647&gt;0,Operations!AA648/Operations!AA647,0)</f>
        <v/>
      </c>
      <c r="AB649" s="14">
        <f>IF(Operations!AB647&gt;0,Operations!AB648/Operations!AB647,0)</f>
        <v/>
      </c>
      <c r="AC649" s="14">
        <f>IF(Operations!AC647&gt;0,Operations!AC648/Operations!AC647,0)</f>
        <v/>
      </c>
      <c r="AD649" s="14">
        <f>IF(Operations!AD647&gt;0,Operations!AD648/Operations!AD647,0)</f>
        <v/>
      </c>
      <c r="AE649" s="14">
        <f>IF(Operations!AE647&gt;0,Operations!AE648/Operations!AE647,0)</f>
        <v/>
      </c>
      <c r="AF649" s="14">
        <f>IF(Operations!AF647&gt;0,Operations!AF648/Operations!AF647,0)</f>
        <v/>
      </c>
      <c r="AG649" s="14">
        <f>IF(Operations!AG647&gt;0,Operations!AG648/Operations!AG647,0)</f>
        <v/>
      </c>
      <c r="AH649" s="14">
        <f>IF(Operations!AH647&gt;0,Operations!AH648/Operations!AH647,0)</f>
        <v/>
      </c>
      <c r="AI649" s="14">
        <f>IF(Operations!AI647&gt;0,Operations!AI648/Operations!AI647,0)</f>
        <v/>
      </c>
      <c r="AJ649" s="14">
        <f>IF(Operations!AJ647&gt;0,Operations!AJ648/Operations!AJ647,0)</f>
        <v/>
      </c>
      <c r="AK649" s="14">
        <f>IF(Operations!AK647&gt;0,Operations!AK648/Operations!AK647,0)</f>
        <v/>
      </c>
      <c r="AL649" s="14">
        <f>IF(Operations!AL647&gt;0,Operations!AL648/Operations!AL647,0)</f>
        <v/>
      </c>
      <c r="AM649" s="14">
        <f>IF(Operations!AM647&gt;0,Operations!AM648/Operations!AM647,0)</f>
        <v/>
      </c>
      <c r="AN649" s="14">
        <f>IF(Operations!AN647&gt;0,Operations!AN648/Operations!AN647,0)</f>
        <v/>
      </c>
      <c r="AO649" s="14">
        <f>IF(Operations!AO647&gt;0,Operations!AO648/Operations!AO647,0)</f>
        <v/>
      </c>
      <c r="AP649" s="14">
        <f>IF(Operations!AP647&gt;0,Operations!AP648/Operations!AP647,0)</f>
        <v/>
      </c>
      <c r="AQ649" s="14">
        <f>IF(Operations!AQ647&gt;0,Operations!AQ648/Operations!AQ647,0)</f>
        <v/>
      </c>
      <c r="AR649" s="14">
        <f>IF(Operations!AR647&gt;0,Operations!AR648/Operations!AR647,0)</f>
        <v/>
      </c>
      <c r="AS649" s="14">
        <f>IF(Operations!AS647&gt;0,Operations!AS648/Operations!AS647,0)</f>
        <v/>
      </c>
      <c r="AT649" s="14">
        <f>IF(Operations!AT647&gt;0,Operations!AT648/Operations!AT647,0)</f>
        <v/>
      </c>
      <c r="AU649" s="14">
        <f>IF(Operations!AU647&gt;0,Operations!AU648/Operations!AU647,0)</f>
        <v/>
      </c>
    </row>
    <row r="650">
      <c r="D650" t="inlineStr">
        <is>
          <t>R6 own hub ATC</t>
        </is>
      </c>
      <c r="E650" t="inlineStr">
        <is>
          <t>USD/MWh</t>
        </is>
      </c>
      <c r="J650" s="18">
        <f>Operations!J423</f>
        <v/>
      </c>
      <c r="K650" s="18">
        <f>Operations!K423</f>
        <v/>
      </c>
      <c r="L650" s="18">
        <f>Operations!L423</f>
        <v/>
      </c>
      <c r="M650" s="18">
        <f>Operations!M423</f>
        <v/>
      </c>
      <c r="N650" s="18">
        <f>Operations!N423</f>
        <v/>
      </c>
      <c r="O650" s="18">
        <f>Operations!O423</f>
        <v/>
      </c>
      <c r="P650" s="18">
        <f>Operations!P423</f>
        <v/>
      </c>
      <c r="Q650" s="18">
        <f>Operations!Q423</f>
        <v/>
      </c>
      <c r="R650" s="18">
        <f>Operations!R423</f>
        <v/>
      </c>
      <c r="S650" s="18">
        <f>Operations!S423</f>
        <v/>
      </c>
      <c r="T650" s="18">
        <f>Operations!T423</f>
        <v/>
      </c>
      <c r="U650" s="18">
        <f>Operations!U423</f>
        <v/>
      </c>
      <c r="V650" s="18">
        <f>Operations!V423</f>
        <v/>
      </c>
      <c r="W650" s="18">
        <f>Operations!W423</f>
        <v/>
      </c>
      <c r="X650" s="18">
        <f>Operations!X423</f>
        <v/>
      </c>
      <c r="Y650" s="18">
        <f>Operations!Y423</f>
        <v/>
      </c>
      <c r="Z650" s="18">
        <f>Operations!Z423</f>
        <v/>
      </c>
      <c r="AA650" s="18">
        <f>Operations!AA423</f>
        <v/>
      </c>
      <c r="AB650" s="18">
        <f>Operations!AB423</f>
        <v/>
      </c>
      <c r="AC650" s="18">
        <f>Operations!AC423</f>
        <v/>
      </c>
      <c r="AD650" s="18">
        <f>Operations!AD423</f>
        <v/>
      </c>
      <c r="AE650" s="18">
        <f>Operations!AE423</f>
        <v/>
      </c>
      <c r="AF650" s="18">
        <f>Operations!AF423</f>
        <v/>
      </c>
      <c r="AG650" s="18">
        <f>Operations!AG423</f>
        <v/>
      </c>
      <c r="AH650" s="18">
        <f>Operations!AH423</f>
        <v/>
      </c>
      <c r="AI650" s="18">
        <f>Operations!AI423</f>
        <v/>
      </c>
      <c r="AJ650" s="18">
        <f>Operations!AJ423</f>
        <v/>
      </c>
      <c r="AK650" s="18">
        <f>Operations!AK423</f>
        <v/>
      </c>
      <c r="AL650" s="18">
        <f>Operations!AL423</f>
        <v/>
      </c>
      <c r="AM650" s="18">
        <f>Operations!AM423</f>
        <v/>
      </c>
      <c r="AN650" s="18">
        <f>Operations!AN423</f>
        <v/>
      </c>
      <c r="AO650" s="18">
        <f>Operations!AO423</f>
        <v/>
      </c>
      <c r="AP650" s="18">
        <f>Operations!AP423</f>
        <v/>
      </c>
      <c r="AQ650" s="18">
        <f>Operations!AQ423</f>
        <v/>
      </c>
      <c r="AR650" s="18">
        <f>Operations!AR423</f>
        <v/>
      </c>
      <c r="AS650" s="18">
        <f>Operations!AS423</f>
        <v/>
      </c>
      <c r="AT650" s="18">
        <f>Operations!AT423</f>
        <v/>
      </c>
      <c r="AU650" s="18">
        <f>Operations!AU423</f>
        <v/>
      </c>
    </row>
    <row r="651">
      <c r="D651" t="inlineStr">
        <is>
          <t>R6 toll term fraction</t>
        </is>
      </c>
      <c r="E651" t="inlineStr">
        <is>
          <t>fraction</t>
        </is>
      </c>
      <c r="J651" s="14">
        <f>MAX(0,MIN(Inputs!$F$209,Time!J$6)-MAX(Inputs!$F$208,Time!J$5))/Time!J$7</f>
        <v/>
      </c>
      <c r="K651" s="14">
        <f>MAX(0,MIN(Inputs!$F$209,Time!K$6)-MAX(Inputs!$F$208,Time!K$5))/Time!K$7</f>
        <v/>
      </c>
      <c r="L651" s="14">
        <f>MAX(0,MIN(Inputs!$F$209,Time!L$6)-MAX(Inputs!$F$208,Time!L$5))/Time!L$7</f>
        <v/>
      </c>
      <c r="M651" s="14">
        <f>MAX(0,MIN(Inputs!$F$209,Time!M$6)-MAX(Inputs!$F$208,Time!M$5))/Time!M$7</f>
        <v/>
      </c>
      <c r="N651" s="14">
        <f>MAX(0,MIN(Inputs!$F$209,Time!N$6)-MAX(Inputs!$F$208,Time!N$5))/Time!N$7</f>
        <v/>
      </c>
      <c r="O651" s="14">
        <f>MAX(0,MIN(Inputs!$F$209,Time!O$6)-MAX(Inputs!$F$208,Time!O$5))/Time!O$7</f>
        <v/>
      </c>
      <c r="P651" s="14">
        <f>MAX(0,MIN(Inputs!$F$209,Time!P$6)-MAX(Inputs!$F$208,Time!P$5))/Time!P$7</f>
        <v/>
      </c>
      <c r="Q651" s="14">
        <f>MAX(0,MIN(Inputs!$F$209,Time!Q$6)-MAX(Inputs!$F$208,Time!Q$5))/Time!Q$7</f>
        <v/>
      </c>
      <c r="R651" s="14">
        <f>MAX(0,MIN(Inputs!$F$209,Time!R$6)-MAX(Inputs!$F$208,Time!R$5))/Time!R$7</f>
        <v/>
      </c>
      <c r="S651" s="14">
        <f>MAX(0,MIN(Inputs!$F$209,Time!S$6)-MAX(Inputs!$F$208,Time!S$5))/Time!S$7</f>
        <v/>
      </c>
      <c r="T651" s="14">
        <f>MAX(0,MIN(Inputs!$F$209,Time!T$6)-MAX(Inputs!$F$208,Time!T$5))/Time!T$7</f>
        <v/>
      </c>
      <c r="U651" s="14">
        <f>MAX(0,MIN(Inputs!$F$209,Time!U$6)-MAX(Inputs!$F$208,Time!U$5))/Time!U$7</f>
        <v/>
      </c>
      <c r="V651" s="14">
        <f>MAX(0,MIN(Inputs!$F$209,Time!V$6)-MAX(Inputs!$F$208,Time!V$5))/Time!V$7</f>
        <v/>
      </c>
      <c r="W651" s="14">
        <f>MAX(0,MIN(Inputs!$F$209,Time!W$6)-MAX(Inputs!$F$208,Time!W$5))/Time!W$7</f>
        <v/>
      </c>
      <c r="X651" s="14">
        <f>MAX(0,MIN(Inputs!$F$209,Time!X$6)-MAX(Inputs!$F$208,Time!X$5))/Time!X$7</f>
        <v/>
      </c>
      <c r="Y651" s="14">
        <f>MAX(0,MIN(Inputs!$F$209,Time!Y$6)-MAX(Inputs!$F$208,Time!Y$5))/Time!Y$7</f>
        <v/>
      </c>
      <c r="Z651" s="14">
        <f>MAX(0,MIN(Inputs!$F$209,Time!Z$6)-MAX(Inputs!$F$208,Time!Z$5))/Time!Z$7</f>
        <v/>
      </c>
      <c r="AA651" s="14">
        <f>MAX(0,MIN(Inputs!$F$209,Time!AA$6)-MAX(Inputs!$F$208,Time!AA$5))/Time!AA$7</f>
        <v/>
      </c>
      <c r="AB651" s="14">
        <f>MAX(0,MIN(Inputs!$F$209,Time!AB$6)-MAX(Inputs!$F$208,Time!AB$5))/Time!AB$7</f>
        <v/>
      </c>
      <c r="AC651" s="14">
        <f>MAX(0,MIN(Inputs!$F$209,Time!AC$6)-MAX(Inputs!$F$208,Time!AC$5))/Time!AC$7</f>
        <v/>
      </c>
      <c r="AD651" s="14">
        <f>MAX(0,MIN(Inputs!$F$209,Time!AD$6)-MAX(Inputs!$F$208,Time!AD$5))/Time!AD$7</f>
        <v/>
      </c>
      <c r="AE651" s="14">
        <f>MAX(0,MIN(Inputs!$F$209,Time!AE$6)-MAX(Inputs!$F$208,Time!AE$5))/Time!AE$7</f>
        <v/>
      </c>
      <c r="AF651" s="14">
        <f>MAX(0,MIN(Inputs!$F$209,Time!AF$6)-MAX(Inputs!$F$208,Time!AF$5))/Time!AF$7</f>
        <v/>
      </c>
      <c r="AG651" s="14">
        <f>MAX(0,MIN(Inputs!$F$209,Time!AG$6)-MAX(Inputs!$F$208,Time!AG$5))/Time!AG$7</f>
        <v/>
      </c>
      <c r="AH651" s="14">
        <f>MAX(0,MIN(Inputs!$F$209,Time!AH$6)-MAX(Inputs!$F$208,Time!AH$5))/Time!AH$7</f>
        <v/>
      </c>
      <c r="AI651" s="14">
        <f>MAX(0,MIN(Inputs!$F$209,Time!AI$6)-MAX(Inputs!$F$208,Time!AI$5))/Time!AI$7</f>
        <v/>
      </c>
      <c r="AJ651" s="14">
        <f>MAX(0,MIN(Inputs!$F$209,Time!AJ$6)-MAX(Inputs!$F$208,Time!AJ$5))/Time!AJ$7</f>
        <v/>
      </c>
      <c r="AK651" s="14">
        <f>MAX(0,MIN(Inputs!$F$209,Time!AK$6)-MAX(Inputs!$F$208,Time!AK$5))/Time!AK$7</f>
        <v/>
      </c>
      <c r="AL651" s="14">
        <f>MAX(0,MIN(Inputs!$F$209,Time!AL$6)-MAX(Inputs!$F$208,Time!AL$5))/Time!AL$7</f>
        <v/>
      </c>
      <c r="AM651" s="14">
        <f>MAX(0,MIN(Inputs!$F$209,Time!AM$6)-MAX(Inputs!$F$208,Time!AM$5))/Time!AM$7</f>
        <v/>
      </c>
      <c r="AN651" s="14">
        <f>MAX(0,MIN(Inputs!$F$209,Time!AN$6)-MAX(Inputs!$F$208,Time!AN$5))/Time!AN$7</f>
        <v/>
      </c>
      <c r="AO651" s="14">
        <f>MAX(0,MIN(Inputs!$F$209,Time!AO$6)-MAX(Inputs!$F$208,Time!AO$5))/Time!AO$7</f>
        <v/>
      </c>
      <c r="AP651" s="14">
        <f>MAX(0,MIN(Inputs!$F$209,Time!AP$6)-MAX(Inputs!$F$208,Time!AP$5))/Time!AP$7</f>
        <v/>
      </c>
      <c r="AQ651" s="14">
        <f>MAX(0,MIN(Inputs!$F$209,Time!AQ$6)-MAX(Inputs!$F$208,Time!AQ$5))/Time!AQ$7</f>
        <v/>
      </c>
      <c r="AR651" s="14">
        <f>MAX(0,MIN(Inputs!$F$209,Time!AR$6)-MAX(Inputs!$F$208,Time!AR$5))/Time!AR$7</f>
        <v/>
      </c>
      <c r="AS651" s="14">
        <f>MAX(0,MIN(Inputs!$F$209,Time!AS$6)-MAX(Inputs!$F$208,Time!AS$5))/Time!AS$7</f>
        <v/>
      </c>
      <c r="AT651" s="14">
        <f>MAX(0,MIN(Inputs!$F$209,Time!AT$6)-MAX(Inputs!$F$208,Time!AT$5))/Time!AT$7</f>
        <v/>
      </c>
      <c r="AU651" s="14">
        <f>MAX(0,MIN(Inputs!$F$209,Time!AU$6)-MAX(Inputs!$F$208,Time!AU$5))/Time!AU$7</f>
        <v/>
      </c>
    </row>
    <row r="652">
      <c r="D652" t="inlineStr">
        <is>
          <t>R6 toll revenue</t>
        </is>
      </c>
      <c r="E652" t="inlineStr">
        <is>
          <t>USD m</t>
        </is>
      </c>
      <c r="G652" s="20">
        <f>SUM(J652:AU652)</f>
        <v/>
      </c>
      <c r="J652" s="20">
        <f>Inputs!$F$206*Inputs!$F$207*Inputs!$F$143/1000*Operations!J651*(1-MAX(0,Inputs!$F$210-Inputs!$F$150)/100)</f>
        <v/>
      </c>
      <c r="K652" s="20">
        <f>Inputs!$F$206*Inputs!$F$207*Inputs!$F$143/1000*Operations!K651*(1-MAX(0,Inputs!$F$210-Inputs!$F$150)/100)</f>
        <v/>
      </c>
      <c r="L652" s="20">
        <f>Inputs!$F$206*Inputs!$F$207*Inputs!$F$143/1000*Operations!L651*(1-MAX(0,Inputs!$F$210-Inputs!$F$150)/100)</f>
        <v/>
      </c>
      <c r="M652" s="20">
        <f>Inputs!$F$206*Inputs!$F$207*Inputs!$F$143/1000*Operations!M651*(1-MAX(0,Inputs!$F$210-Inputs!$F$150)/100)</f>
        <v/>
      </c>
      <c r="N652" s="20">
        <f>Inputs!$F$206*Inputs!$F$207*Inputs!$F$143/1000*Operations!N651*(1-MAX(0,Inputs!$F$210-Inputs!$F$150)/100)</f>
        <v/>
      </c>
      <c r="O652" s="20">
        <f>Inputs!$F$206*Inputs!$F$207*Inputs!$F$143/1000*Operations!O651*(1-MAX(0,Inputs!$F$210-Inputs!$F$150)/100)</f>
        <v/>
      </c>
      <c r="P652" s="20">
        <f>Inputs!$F$206*Inputs!$F$207*Inputs!$F$143/1000*Operations!P651*(1-MAX(0,Inputs!$F$210-Inputs!$F$150)/100)</f>
        <v/>
      </c>
      <c r="Q652" s="20">
        <f>Inputs!$F$206*Inputs!$F$207*Inputs!$F$143/1000*Operations!Q651*(1-MAX(0,Inputs!$F$210-Inputs!$F$150)/100)</f>
        <v/>
      </c>
      <c r="R652" s="20">
        <f>Inputs!$F$206*Inputs!$F$207*Inputs!$F$143/1000*Operations!R651*(1-MAX(0,Inputs!$F$210-Inputs!$F$150)/100)</f>
        <v/>
      </c>
      <c r="S652" s="20">
        <f>Inputs!$F$206*Inputs!$F$207*Inputs!$F$143/1000*Operations!S651*(1-MAX(0,Inputs!$F$210-Inputs!$F$150)/100)</f>
        <v/>
      </c>
      <c r="T652" s="20">
        <f>Inputs!$F$206*Inputs!$F$207*Inputs!$F$143/1000*Operations!T651*(1-MAX(0,Inputs!$F$210-Inputs!$F$150)/100)</f>
        <v/>
      </c>
      <c r="U652" s="20">
        <f>Inputs!$F$206*Inputs!$F$207*Inputs!$F$143/1000*Operations!U651*(1-MAX(0,Inputs!$F$210-Inputs!$F$150)/100)</f>
        <v/>
      </c>
      <c r="V652" s="20">
        <f>Inputs!$F$206*Inputs!$F$207*Inputs!$F$143/1000*Operations!V651*(1-MAX(0,Inputs!$F$210-Inputs!$F$150)/100)</f>
        <v/>
      </c>
      <c r="W652" s="20">
        <f>Inputs!$F$206*Inputs!$F$207*Inputs!$F$143/1000*Operations!W651*(1-MAX(0,Inputs!$F$210-Inputs!$F$150)/100)</f>
        <v/>
      </c>
      <c r="X652" s="20">
        <f>Inputs!$F$206*Inputs!$F$207*Inputs!$F$143/1000*Operations!X651*(1-MAX(0,Inputs!$F$210-Inputs!$F$150)/100)</f>
        <v/>
      </c>
      <c r="Y652" s="20">
        <f>Inputs!$F$206*Inputs!$F$207*Inputs!$F$143/1000*Operations!Y651*(1-MAX(0,Inputs!$F$210-Inputs!$F$150)/100)</f>
        <v/>
      </c>
      <c r="Z652" s="20">
        <f>Inputs!$F$206*Inputs!$F$207*Inputs!$F$143/1000*Operations!Z651*(1-MAX(0,Inputs!$F$210-Inputs!$F$150)/100)</f>
        <v/>
      </c>
      <c r="AA652" s="20">
        <f>Inputs!$F$206*Inputs!$F$207*Inputs!$F$143/1000*Operations!AA651*(1-MAX(0,Inputs!$F$210-Inputs!$F$150)/100)</f>
        <v/>
      </c>
      <c r="AB652" s="20">
        <f>Inputs!$F$206*Inputs!$F$207*Inputs!$F$143/1000*Operations!AB651*(1-MAX(0,Inputs!$F$210-Inputs!$F$150)/100)</f>
        <v/>
      </c>
      <c r="AC652" s="20">
        <f>Inputs!$F$206*Inputs!$F$207*Inputs!$F$143/1000*Operations!AC651*(1-MAX(0,Inputs!$F$210-Inputs!$F$150)/100)</f>
        <v/>
      </c>
      <c r="AD652" s="20">
        <f>Inputs!$F$206*Inputs!$F$207*Inputs!$F$143/1000*Operations!AD651*(1-MAX(0,Inputs!$F$210-Inputs!$F$150)/100)</f>
        <v/>
      </c>
      <c r="AE652" s="20">
        <f>Inputs!$F$206*Inputs!$F$207*Inputs!$F$143/1000*Operations!AE651*(1-MAX(0,Inputs!$F$210-Inputs!$F$150)/100)</f>
        <v/>
      </c>
      <c r="AF652" s="20">
        <f>Inputs!$F$206*Inputs!$F$207*Inputs!$F$143/1000*Operations!AF651*(1-MAX(0,Inputs!$F$210-Inputs!$F$150)/100)</f>
        <v/>
      </c>
      <c r="AG652" s="20">
        <f>Inputs!$F$206*Inputs!$F$207*Inputs!$F$143/1000*Operations!AG651*(1-MAX(0,Inputs!$F$210-Inputs!$F$150)/100)</f>
        <v/>
      </c>
      <c r="AH652" s="20">
        <f>Inputs!$F$206*Inputs!$F$207*Inputs!$F$143/1000*Operations!AH651*(1-MAX(0,Inputs!$F$210-Inputs!$F$150)/100)</f>
        <v/>
      </c>
      <c r="AI652" s="20">
        <f>Inputs!$F$206*Inputs!$F$207*Inputs!$F$143/1000*Operations!AI651*(1-MAX(0,Inputs!$F$210-Inputs!$F$150)/100)</f>
        <v/>
      </c>
      <c r="AJ652" s="20">
        <f>Inputs!$F$206*Inputs!$F$207*Inputs!$F$143/1000*Operations!AJ651*(1-MAX(0,Inputs!$F$210-Inputs!$F$150)/100)</f>
        <v/>
      </c>
      <c r="AK652" s="20">
        <f>Inputs!$F$206*Inputs!$F$207*Inputs!$F$143/1000*Operations!AK651*(1-MAX(0,Inputs!$F$210-Inputs!$F$150)/100)</f>
        <v/>
      </c>
      <c r="AL652" s="20">
        <f>Inputs!$F$206*Inputs!$F$207*Inputs!$F$143/1000*Operations!AL651*(1-MAX(0,Inputs!$F$210-Inputs!$F$150)/100)</f>
        <v/>
      </c>
      <c r="AM652" s="20">
        <f>Inputs!$F$206*Inputs!$F$207*Inputs!$F$143/1000*Operations!AM651*(1-MAX(0,Inputs!$F$210-Inputs!$F$150)/100)</f>
        <v/>
      </c>
      <c r="AN652" s="20">
        <f>Inputs!$F$206*Inputs!$F$207*Inputs!$F$143/1000*Operations!AN651*(1-MAX(0,Inputs!$F$210-Inputs!$F$150)/100)</f>
        <v/>
      </c>
      <c r="AO652" s="20">
        <f>Inputs!$F$206*Inputs!$F$207*Inputs!$F$143/1000*Operations!AO651*(1-MAX(0,Inputs!$F$210-Inputs!$F$150)/100)</f>
        <v/>
      </c>
      <c r="AP652" s="20">
        <f>Inputs!$F$206*Inputs!$F$207*Inputs!$F$143/1000*Operations!AP651*(1-MAX(0,Inputs!$F$210-Inputs!$F$150)/100)</f>
        <v/>
      </c>
      <c r="AQ652" s="20">
        <f>Inputs!$F$206*Inputs!$F$207*Inputs!$F$143/1000*Operations!AQ651*(1-MAX(0,Inputs!$F$210-Inputs!$F$150)/100)</f>
        <v/>
      </c>
      <c r="AR652" s="20">
        <f>Inputs!$F$206*Inputs!$F$207*Inputs!$F$143/1000*Operations!AR651*(1-MAX(0,Inputs!$F$210-Inputs!$F$150)/100)</f>
        <v/>
      </c>
      <c r="AS652" s="20">
        <f>Inputs!$F$206*Inputs!$F$207*Inputs!$F$143/1000*Operations!AS651*(1-MAX(0,Inputs!$F$210-Inputs!$F$150)/100)</f>
        <v/>
      </c>
      <c r="AT652" s="20">
        <f>Inputs!$F$206*Inputs!$F$207*Inputs!$F$143/1000*Operations!AT651*(1-MAX(0,Inputs!$F$210-Inputs!$F$150)/100)</f>
        <v/>
      </c>
      <c r="AU652" s="20">
        <f>Inputs!$F$206*Inputs!$F$207*Inputs!$F$143/1000*Operations!AU651*(1-MAX(0,Inputs!$F$210-Inputs!$F$150)/100)</f>
        <v/>
      </c>
    </row>
    <row r="653">
      <c r="D653" t="inlineStr">
        <is>
          <t>R6 merchant revenue after toll</t>
        </is>
      </c>
      <c r="E653" t="inlineStr">
        <is>
          <t>USD m</t>
        </is>
      </c>
      <c r="G653" s="20">
        <f>SUM(J653:AU653)</f>
        <v/>
      </c>
      <c r="J653" s="20">
        <f>Operations!J427*Inputs!$F$143/1000*Inputs!$F$150/100*(Operations!J647-Operations!J651)</f>
        <v/>
      </c>
      <c r="K653" s="20">
        <f>Operations!K427*Inputs!$F$143/1000*Inputs!$F$150/100*(Operations!K647-Operations!K651)</f>
        <v/>
      </c>
      <c r="L653" s="20">
        <f>Operations!L427*Inputs!$F$143/1000*Inputs!$F$150/100*(Operations!L647-Operations!L651)</f>
        <v/>
      </c>
      <c r="M653" s="20">
        <f>Operations!M427*Inputs!$F$143/1000*Inputs!$F$150/100*(Operations!M647-Operations!M651)</f>
        <v/>
      </c>
      <c r="N653" s="20">
        <f>Operations!N427*Inputs!$F$143/1000*Inputs!$F$150/100*(Operations!N647-Operations!N651)</f>
        <v/>
      </c>
      <c r="O653" s="20">
        <f>Operations!O427*Inputs!$F$143/1000*Inputs!$F$150/100*(Operations!O647-Operations!O651)</f>
        <v/>
      </c>
      <c r="P653" s="20">
        <f>Operations!P427*Inputs!$F$143/1000*Inputs!$F$150/100*(Operations!P647-Operations!P651)</f>
        <v/>
      </c>
      <c r="Q653" s="20">
        <f>Operations!Q427*Inputs!$F$143/1000*Inputs!$F$150/100*(Operations!Q647-Operations!Q651)</f>
        <v/>
      </c>
      <c r="R653" s="20">
        <f>Operations!R427*Inputs!$F$143/1000*Inputs!$F$150/100*(Operations!R647-Operations!R651)</f>
        <v/>
      </c>
      <c r="S653" s="20">
        <f>Operations!S427*Inputs!$F$143/1000*Inputs!$F$150/100*(Operations!S647-Operations!S651)</f>
        <v/>
      </c>
      <c r="T653" s="20">
        <f>Operations!T427*Inputs!$F$143/1000*Inputs!$F$150/100*(Operations!T647-Operations!T651)</f>
        <v/>
      </c>
      <c r="U653" s="20">
        <f>Operations!U427*Inputs!$F$143/1000*Inputs!$F$150/100*(Operations!U647-Operations!U651)</f>
        <v/>
      </c>
      <c r="V653" s="20">
        <f>Operations!V427*Inputs!$F$143/1000*Inputs!$F$150/100*(Operations!V647-Operations!V651)</f>
        <v/>
      </c>
      <c r="W653" s="20">
        <f>Operations!W427*Inputs!$F$143/1000*Inputs!$F$150/100*(Operations!W647-Operations!W651)</f>
        <v/>
      </c>
      <c r="X653" s="20">
        <f>Operations!X427*Inputs!$F$143/1000*Inputs!$F$150/100*(Operations!X647-Operations!X651)</f>
        <v/>
      </c>
      <c r="Y653" s="20">
        <f>Operations!Y427*Inputs!$F$143/1000*Inputs!$F$150/100*(Operations!Y647-Operations!Y651)</f>
        <v/>
      </c>
      <c r="Z653" s="20">
        <f>Operations!Z427*Inputs!$F$143/1000*Inputs!$F$150/100*(Operations!Z647-Operations!Z651)</f>
        <v/>
      </c>
      <c r="AA653" s="20">
        <f>Operations!AA427*Inputs!$F$143/1000*Inputs!$F$150/100*(Operations!AA647-Operations!AA651)</f>
        <v/>
      </c>
      <c r="AB653" s="20">
        <f>Operations!AB427*Inputs!$F$143/1000*Inputs!$F$150/100*(Operations!AB647-Operations!AB651)</f>
        <v/>
      </c>
      <c r="AC653" s="20">
        <f>Operations!AC427*Inputs!$F$143/1000*Inputs!$F$150/100*(Operations!AC647-Operations!AC651)</f>
        <v/>
      </c>
      <c r="AD653" s="20">
        <f>Operations!AD427*Inputs!$F$143/1000*Inputs!$F$150/100*(Operations!AD647-Operations!AD651)</f>
        <v/>
      </c>
      <c r="AE653" s="20">
        <f>Operations!AE427*Inputs!$F$143/1000*Inputs!$F$150/100*(Operations!AE647-Operations!AE651)</f>
        <v/>
      </c>
      <c r="AF653" s="20">
        <f>Operations!AF427*Inputs!$F$143/1000*Inputs!$F$150/100*(Operations!AF647-Operations!AF651)</f>
        <v/>
      </c>
      <c r="AG653" s="20">
        <f>Operations!AG427*Inputs!$F$143/1000*Inputs!$F$150/100*(Operations!AG647-Operations!AG651)</f>
        <v/>
      </c>
      <c r="AH653" s="20">
        <f>Operations!AH427*Inputs!$F$143/1000*Inputs!$F$150/100*(Operations!AH647-Operations!AH651)</f>
        <v/>
      </c>
      <c r="AI653" s="20">
        <f>Operations!AI427*Inputs!$F$143/1000*Inputs!$F$150/100*(Operations!AI647-Operations!AI651)</f>
        <v/>
      </c>
      <c r="AJ653" s="20">
        <f>Operations!AJ427*Inputs!$F$143/1000*Inputs!$F$150/100*(Operations!AJ647-Operations!AJ651)</f>
        <v/>
      </c>
      <c r="AK653" s="20">
        <f>Operations!AK427*Inputs!$F$143/1000*Inputs!$F$150/100*(Operations!AK647-Operations!AK651)</f>
        <v/>
      </c>
      <c r="AL653" s="20">
        <f>Operations!AL427*Inputs!$F$143/1000*Inputs!$F$150/100*(Operations!AL647-Operations!AL651)</f>
        <v/>
      </c>
      <c r="AM653" s="20">
        <f>Operations!AM427*Inputs!$F$143/1000*Inputs!$F$150/100*(Operations!AM647-Operations!AM651)</f>
        <v/>
      </c>
      <c r="AN653" s="20">
        <f>Operations!AN427*Inputs!$F$143/1000*Inputs!$F$150/100*(Operations!AN647-Operations!AN651)</f>
        <v/>
      </c>
      <c r="AO653" s="20">
        <f>Operations!AO427*Inputs!$F$143/1000*Inputs!$F$150/100*(Operations!AO647-Operations!AO651)</f>
        <v/>
      </c>
      <c r="AP653" s="20">
        <f>Operations!AP427*Inputs!$F$143/1000*Inputs!$F$150/100*(Operations!AP647-Operations!AP651)</f>
        <v/>
      </c>
      <c r="AQ653" s="20">
        <f>Operations!AQ427*Inputs!$F$143/1000*Inputs!$F$150/100*(Operations!AQ647-Operations!AQ651)</f>
        <v/>
      </c>
      <c r="AR653" s="20">
        <f>Operations!AR427*Inputs!$F$143/1000*Inputs!$F$150/100*(Operations!AR647-Operations!AR651)</f>
        <v/>
      </c>
      <c r="AS653" s="20">
        <f>Operations!AS427*Inputs!$F$143/1000*Inputs!$F$150/100*(Operations!AS647-Operations!AS651)</f>
        <v/>
      </c>
      <c r="AT653" s="20">
        <f>Operations!AT427*Inputs!$F$143/1000*Inputs!$F$150/100*(Operations!AT647-Operations!AT651)</f>
        <v/>
      </c>
      <c r="AU653" s="20">
        <f>Operations!AU427*Inputs!$F$143/1000*Inputs!$F$150/100*(Operations!AU647-Operations!AU651)</f>
        <v/>
      </c>
    </row>
    <row r="654">
      <c r="D654" t="inlineStr">
        <is>
          <t>R6 contracted revenue (toll)</t>
        </is>
      </c>
      <c r="E654" t="inlineStr">
        <is>
          <t>USD m</t>
        </is>
      </c>
      <c r="J654" s="20">
        <f>Operations!J652</f>
        <v/>
      </c>
      <c r="K654" s="20">
        <f>Operations!K652</f>
        <v/>
      </c>
      <c r="L654" s="20">
        <f>Operations!L652</f>
        <v/>
      </c>
      <c r="M654" s="20">
        <f>Operations!M652</f>
        <v/>
      </c>
      <c r="N654" s="20">
        <f>Operations!N652</f>
        <v/>
      </c>
      <c r="O654" s="20">
        <f>Operations!O652</f>
        <v/>
      </c>
      <c r="P654" s="20">
        <f>Operations!P652</f>
        <v/>
      </c>
      <c r="Q654" s="20">
        <f>Operations!Q652</f>
        <v/>
      </c>
      <c r="R654" s="20">
        <f>Operations!R652</f>
        <v/>
      </c>
      <c r="S654" s="20">
        <f>Operations!S652</f>
        <v/>
      </c>
      <c r="T654" s="20">
        <f>Operations!T652</f>
        <v/>
      </c>
      <c r="U654" s="20">
        <f>Operations!U652</f>
        <v/>
      </c>
      <c r="V654" s="20">
        <f>Operations!V652</f>
        <v/>
      </c>
      <c r="W654" s="20">
        <f>Operations!W652</f>
        <v/>
      </c>
      <c r="X654" s="20">
        <f>Operations!X652</f>
        <v/>
      </c>
      <c r="Y654" s="20">
        <f>Operations!Y652</f>
        <v/>
      </c>
      <c r="Z654" s="20">
        <f>Operations!Z652</f>
        <v/>
      </c>
      <c r="AA654" s="20">
        <f>Operations!AA652</f>
        <v/>
      </c>
      <c r="AB654" s="20">
        <f>Operations!AB652</f>
        <v/>
      </c>
      <c r="AC654" s="20">
        <f>Operations!AC652</f>
        <v/>
      </c>
      <c r="AD654" s="20">
        <f>Operations!AD652</f>
        <v/>
      </c>
      <c r="AE654" s="20">
        <f>Operations!AE652</f>
        <v/>
      </c>
      <c r="AF654" s="20">
        <f>Operations!AF652</f>
        <v/>
      </c>
      <c r="AG654" s="20">
        <f>Operations!AG652</f>
        <v/>
      </c>
      <c r="AH654" s="20">
        <f>Operations!AH652</f>
        <v/>
      </c>
      <c r="AI654" s="20">
        <f>Operations!AI652</f>
        <v/>
      </c>
      <c r="AJ654" s="20">
        <f>Operations!AJ652</f>
        <v/>
      </c>
      <c r="AK654" s="20">
        <f>Operations!AK652</f>
        <v/>
      </c>
      <c r="AL654" s="20">
        <f>Operations!AL652</f>
        <v/>
      </c>
      <c r="AM654" s="20">
        <f>Operations!AM652</f>
        <v/>
      </c>
      <c r="AN654" s="20">
        <f>Operations!AN652</f>
        <v/>
      </c>
      <c r="AO654" s="20">
        <f>Operations!AO652</f>
        <v/>
      </c>
      <c r="AP654" s="20">
        <f>Operations!AP652</f>
        <v/>
      </c>
      <c r="AQ654" s="20">
        <f>Operations!AQ652</f>
        <v/>
      </c>
      <c r="AR654" s="20">
        <f>Operations!AR652</f>
        <v/>
      </c>
      <c r="AS654" s="20">
        <f>Operations!AS652</f>
        <v/>
      </c>
      <c r="AT654" s="20">
        <f>Operations!AT652</f>
        <v/>
      </c>
      <c r="AU654" s="20">
        <f>Operations!AU652</f>
        <v/>
      </c>
    </row>
    <row r="655">
      <c r="D655" t="inlineStr">
        <is>
          <t>R6 hedged revenue</t>
        </is>
      </c>
      <c r="E655" t="inlineStr">
        <is>
          <t>USD m</t>
        </is>
      </c>
      <c r="J655" s="20">
        <f>0</f>
        <v/>
      </c>
      <c r="K655" s="20">
        <f>0</f>
        <v/>
      </c>
      <c r="L655" s="20">
        <f>0</f>
        <v/>
      </c>
      <c r="M655" s="20">
        <f>0</f>
        <v/>
      </c>
      <c r="N655" s="20">
        <f>0</f>
        <v/>
      </c>
      <c r="O655" s="20">
        <f>0</f>
        <v/>
      </c>
      <c r="P655" s="20">
        <f>0</f>
        <v/>
      </c>
      <c r="Q655" s="20">
        <f>0</f>
        <v/>
      </c>
      <c r="R655" s="20">
        <f>0</f>
        <v/>
      </c>
      <c r="S655" s="20">
        <f>0</f>
        <v/>
      </c>
      <c r="T655" s="20">
        <f>0</f>
        <v/>
      </c>
      <c r="U655" s="20">
        <f>0</f>
        <v/>
      </c>
      <c r="V655" s="20">
        <f>0</f>
        <v/>
      </c>
      <c r="W655" s="20">
        <f>0</f>
        <v/>
      </c>
      <c r="X655" s="20">
        <f>0</f>
        <v/>
      </c>
      <c r="Y655" s="20">
        <f>0</f>
        <v/>
      </c>
      <c r="Z655" s="20">
        <f>0</f>
        <v/>
      </c>
      <c r="AA655" s="20">
        <f>0</f>
        <v/>
      </c>
      <c r="AB655" s="20">
        <f>0</f>
        <v/>
      </c>
      <c r="AC655" s="20">
        <f>0</f>
        <v/>
      </c>
      <c r="AD655" s="20">
        <f>0</f>
        <v/>
      </c>
      <c r="AE655" s="20">
        <f>0</f>
        <v/>
      </c>
      <c r="AF655" s="20">
        <f>0</f>
        <v/>
      </c>
      <c r="AG655" s="20">
        <f>0</f>
        <v/>
      </c>
      <c r="AH655" s="20">
        <f>0</f>
        <v/>
      </c>
      <c r="AI655" s="20">
        <f>0</f>
        <v/>
      </c>
      <c r="AJ655" s="20">
        <f>0</f>
        <v/>
      </c>
      <c r="AK655" s="20">
        <f>0</f>
        <v/>
      </c>
      <c r="AL655" s="20">
        <f>0</f>
        <v/>
      </c>
      <c r="AM655" s="20">
        <f>0</f>
        <v/>
      </c>
      <c r="AN655" s="20">
        <f>0</f>
        <v/>
      </c>
      <c r="AO655" s="20">
        <f>0</f>
        <v/>
      </c>
      <c r="AP655" s="20">
        <f>0</f>
        <v/>
      </c>
      <c r="AQ655" s="20">
        <f>0</f>
        <v/>
      </c>
      <c r="AR655" s="20">
        <f>0</f>
        <v/>
      </c>
      <c r="AS655" s="20">
        <f>0</f>
        <v/>
      </c>
      <c r="AT655" s="20">
        <f>0</f>
        <v/>
      </c>
      <c r="AU655" s="20">
        <f>0</f>
        <v/>
      </c>
    </row>
    <row r="656">
      <c r="D656" t="inlineStr">
        <is>
          <t>R6 total revenue</t>
        </is>
      </c>
      <c r="E656" t="inlineStr">
        <is>
          <t>USD m</t>
        </is>
      </c>
      <c r="G656" s="20">
        <f>SUM(J656:AU656)</f>
        <v/>
      </c>
      <c r="J656" s="20">
        <f>Operations!J652+Operations!J653</f>
        <v/>
      </c>
      <c r="K656" s="20">
        <f>Operations!K652+Operations!K653</f>
        <v/>
      </c>
      <c r="L656" s="20">
        <f>Operations!L652+Operations!L653</f>
        <v/>
      </c>
      <c r="M656" s="20">
        <f>Operations!M652+Operations!M653</f>
        <v/>
      </c>
      <c r="N656" s="20">
        <f>Operations!N652+Operations!N653</f>
        <v/>
      </c>
      <c r="O656" s="20">
        <f>Operations!O652+Operations!O653</f>
        <v/>
      </c>
      <c r="P656" s="20">
        <f>Operations!P652+Operations!P653</f>
        <v/>
      </c>
      <c r="Q656" s="20">
        <f>Operations!Q652+Operations!Q653</f>
        <v/>
      </c>
      <c r="R656" s="20">
        <f>Operations!R652+Operations!R653</f>
        <v/>
      </c>
      <c r="S656" s="20">
        <f>Operations!S652+Operations!S653</f>
        <v/>
      </c>
      <c r="T656" s="20">
        <f>Operations!T652+Operations!T653</f>
        <v/>
      </c>
      <c r="U656" s="20">
        <f>Operations!U652+Operations!U653</f>
        <v/>
      </c>
      <c r="V656" s="20">
        <f>Operations!V652+Operations!V653</f>
        <v/>
      </c>
      <c r="W656" s="20">
        <f>Operations!W652+Operations!W653</f>
        <v/>
      </c>
      <c r="X656" s="20">
        <f>Operations!X652+Operations!X653</f>
        <v/>
      </c>
      <c r="Y656" s="20">
        <f>Operations!Y652+Operations!Y653</f>
        <v/>
      </c>
      <c r="Z656" s="20">
        <f>Operations!Z652+Operations!Z653</f>
        <v/>
      </c>
      <c r="AA656" s="20">
        <f>Operations!AA652+Operations!AA653</f>
        <v/>
      </c>
      <c r="AB656" s="20">
        <f>Operations!AB652+Operations!AB653</f>
        <v/>
      </c>
      <c r="AC656" s="20">
        <f>Operations!AC652+Operations!AC653</f>
        <v/>
      </c>
      <c r="AD656" s="20">
        <f>Operations!AD652+Operations!AD653</f>
        <v/>
      </c>
      <c r="AE656" s="20">
        <f>Operations!AE652+Operations!AE653</f>
        <v/>
      </c>
      <c r="AF656" s="20">
        <f>Operations!AF652+Operations!AF653</f>
        <v/>
      </c>
      <c r="AG656" s="20">
        <f>Operations!AG652+Operations!AG653</f>
        <v/>
      </c>
      <c r="AH656" s="20">
        <f>Operations!AH652+Operations!AH653</f>
        <v/>
      </c>
      <c r="AI656" s="20">
        <f>Operations!AI652+Operations!AI653</f>
        <v/>
      </c>
      <c r="AJ656" s="20">
        <f>Operations!AJ652+Operations!AJ653</f>
        <v/>
      </c>
      <c r="AK656" s="20">
        <f>Operations!AK652+Operations!AK653</f>
        <v/>
      </c>
      <c r="AL656" s="20">
        <f>Operations!AL652+Operations!AL653</f>
        <v/>
      </c>
      <c r="AM656" s="20">
        <f>Operations!AM652+Operations!AM653</f>
        <v/>
      </c>
      <c r="AN656" s="20">
        <f>Operations!AN652+Operations!AN653</f>
        <v/>
      </c>
      <c r="AO656" s="20">
        <f>Operations!AO652+Operations!AO653</f>
        <v/>
      </c>
      <c r="AP656" s="20">
        <f>Operations!AP652+Operations!AP653</f>
        <v/>
      </c>
      <c r="AQ656" s="20">
        <f>Operations!AQ652+Operations!AQ653</f>
        <v/>
      </c>
      <c r="AR656" s="20">
        <f>Operations!AR652+Operations!AR653</f>
        <v/>
      </c>
      <c r="AS656" s="20">
        <f>Operations!AS652+Operations!AS653</f>
        <v/>
      </c>
      <c r="AT656" s="20">
        <f>Operations!AT652+Operations!AT653</f>
        <v/>
      </c>
      <c r="AU656" s="20">
        <f>Operations!AU652+Operations!AU653</f>
        <v/>
      </c>
    </row>
    <row r="657">
      <c r="D657" t="inlineStr">
        <is>
          <t>R6 merchant revenue (total less contracted and hedged)</t>
        </is>
      </c>
      <c r="E657" t="inlineStr">
        <is>
          <t>USD m</t>
        </is>
      </c>
      <c r="J657" s="20">
        <f>Operations!J656-Operations!J654-Operations!J655</f>
        <v/>
      </c>
      <c r="K657" s="20">
        <f>Operations!K656-Operations!K654-Operations!K655</f>
        <v/>
      </c>
      <c r="L657" s="20">
        <f>Operations!L656-Operations!L654-Operations!L655</f>
        <v/>
      </c>
      <c r="M657" s="20">
        <f>Operations!M656-Operations!M654-Operations!M655</f>
        <v/>
      </c>
      <c r="N657" s="20">
        <f>Operations!N656-Operations!N654-Operations!N655</f>
        <v/>
      </c>
      <c r="O657" s="20">
        <f>Operations!O656-Operations!O654-Operations!O655</f>
        <v/>
      </c>
      <c r="P657" s="20">
        <f>Operations!P656-Operations!P654-Operations!P655</f>
        <v/>
      </c>
      <c r="Q657" s="20">
        <f>Operations!Q656-Operations!Q654-Operations!Q655</f>
        <v/>
      </c>
      <c r="R657" s="20">
        <f>Operations!R656-Operations!R654-Operations!R655</f>
        <v/>
      </c>
      <c r="S657" s="20">
        <f>Operations!S656-Operations!S654-Operations!S655</f>
        <v/>
      </c>
      <c r="T657" s="20">
        <f>Operations!T656-Operations!T654-Operations!T655</f>
        <v/>
      </c>
      <c r="U657" s="20">
        <f>Operations!U656-Operations!U654-Operations!U655</f>
        <v/>
      </c>
      <c r="V657" s="20">
        <f>Operations!V656-Operations!V654-Operations!V655</f>
        <v/>
      </c>
      <c r="W657" s="20">
        <f>Operations!W656-Operations!W654-Operations!W655</f>
        <v/>
      </c>
      <c r="X657" s="20">
        <f>Operations!X656-Operations!X654-Operations!X655</f>
        <v/>
      </c>
      <c r="Y657" s="20">
        <f>Operations!Y656-Operations!Y654-Operations!Y655</f>
        <v/>
      </c>
      <c r="Z657" s="20">
        <f>Operations!Z656-Operations!Z654-Operations!Z655</f>
        <v/>
      </c>
      <c r="AA657" s="20">
        <f>Operations!AA656-Operations!AA654-Operations!AA655</f>
        <v/>
      </c>
      <c r="AB657" s="20">
        <f>Operations!AB656-Operations!AB654-Operations!AB655</f>
        <v/>
      </c>
      <c r="AC657" s="20">
        <f>Operations!AC656-Operations!AC654-Operations!AC655</f>
        <v/>
      </c>
      <c r="AD657" s="20">
        <f>Operations!AD656-Operations!AD654-Operations!AD655</f>
        <v/>
      </c>
      <c r="AE657" s="20">
        <f>Operations!AE656-Operations!AE654-Operations!AE655</f>
        <v/>
      </c>
      <c r="AF657" s="20">
        <f>Operations!AF656-Operations!AF654-Operations!AF655</f>
        <v/>
      </c>
      <c r="AG657" s="20">
        <f>Operations!AG656-Operations!AG654-Operations!AG655</f>
        <v/>
      </c>
      <c r="AH657" s="20">
        <f>Operations!AH656-Operations!AH654-Operations!AH655</f>
        <v/>
      </c>
      <c r="AI657" s="20">
        <f>Operations!AI656-Operations!AI654-Operations!AI655</f>
        <v/>
      </c>
      <c r="AJ657" s="20">
        <f>Operations!AJ656-Operations!AJ654-Operations!AJ655</f>
        <v/>
      </c>
      <c r="AK657" s="20">
        <f>Operations!AK656-Operations!AK654-Operations!AK655</f>
        <v/>
      </c>
      <c r="AL657" s="20">
        <f>Operations!AL656-Operations!AL654-Operations!AL655</f>
        <v/>
      </c>
      <c r="AM657" s="20">
        <f>Operations!AM656-Operations!AM654-Operations!AM655</f>
        <v/>
      </c>
      <c r="AN657" s="20">
        <f>Operations!AN656-Operations!AN654-Operations!AN655</f>
        <v/>
      </c>
      <c r="AO657" s="20">
        <f>Operations!AO656-Operations!AO654-Operations!AO655</f>
        <v/>
      </c>
      <c r="AP657" s="20">
        <f>Operations!AP656-Operations!AP654-Operations!AP655</f>
        <v/>
      </c>
      <c r="AQ657" s="20">
        <f>Operations!AQ656-Operations!AQ654-Operations!AQ655</f>
        <v/>
      </c>
      <c r="AR657" s="20">
        <f>Operations!AR656-Operations!AR654-Operations!AR655</f>
        <v/>
      </c>
      <c r="AS657" s="20">
        <f>Operations!AS656-Operations!AS654-Operations!AS655</f>
        <v/>
      </c>
      <c r="AT657" s="20">
        <f>Operations!AT656-Operations!AT654-Operations!AT655</f>
        <v/>
      </c>
      <c r="AU657" s="20">
        <f>Operations!AU656-Operations!AU654-Operations!AU655</f>
        <v/>
      </c>
    </row>
    <row r="658">
      <c r="D658" t="inlineStr">
        <is>
          <t>R6 opex (O&amp;M, land, insurance, property tax, site)</t>
        </is>
      </c>
      <c r="E658" t="inlineStr">
        <is>
          <t>USD m</t>
        </is>
      </c>
      <c r="J658" s="20">
        <f>Inputs!$F$147*Inputs!$F$143/1000*Time!J$9*Time!J$10*Operations!J647*Operations!$F$421</f>
        <v/>
      </c>
      <c r="K658" s="20">
        <f>Inputs!$F$147*Inputs!$F$143/1000*Time!K$9*Time!K$10*Operations!K647*Operations!$F$421</f>
        <v/>
      </c>
      <c r="L658" s="20">
        <f>Inputs!$F$147*Inputs!$F$143/1000*Time!L$9*Time!L$10*Operations!L647*Operations!$F$421</f>
        <v/>
      </c>
      <c r="M658" s="20">
        <f>Inputs!$F$147*Inputs!$F$143/1000*Time!M$9*Time!M$10*Operations!M647*Operations!$F$421</f>
        <v/>
      </c>
      <c r="N658" s="20">
        <f>Inputs!$F$147*Inputs!$F$143/1000*Time!N$9*Time!N$10*Operations!N647*Operations!$F$421</f>
        <v/>
      </c>
      <c r="O658" s="20">
        <f>Inputs!$F$147*Inputs!$F$143/1000*Time!O$9*Time!O$10*Operations!O647*Operations!$F$421</f>
        <v/>
      </c>
      <c r="P658" s="20">
        <f>Inputs!$F$147*Inputs!$F$143/1000*Time!P$9*Time!P$10*Operations!P647*Operations!$F$421</f>
        <v/>
      </c>
      <c r="Q658" s="20">
        <f>Inputs!$F$147*Inputs!$F$143/1000*Time!Q$9*Time!Q$10*Operations!Q647*Operations!$F$421</f>
        <v/>
      </c>
      <c r="R658" s="20">
        <f>Inputs!$F$147*Inputs!$F$143/1000*Time!R$9*Time!R$10*Operations!R647*Operations!$F$421</f>
        <v/>
      </c>
      <c r="S658" s="20">
        <f>Inputs!$F$147*Inputs!$F$143/1000*Time!S$9*Time!S$10*Operations!S647*Operations!$F$421</f>
        <v/>
      </c>
      <c r="T658" s="20">
        <f>Inputs!$F$147*Inputs!$F$143/1000*Time!T$9*Time!T$10*Operations!T647*Operations!$F$421</f>
        <v/>
      </c>
      <c r="U658" s="20">
        <f>Inputs!$F$147*Inputs!$F$143/1000*Time!U$9*Time!U$10*Operations!U647*Operations!$F$421</f>
        <v/>
      </c>
      <c r="V658" s="20">
        <f>Inputs!$F$147*Inputs!$F$143/1000*Time!V$9*Time!V$10*Operations!V647*Operations!$F$421</f>
        <v/>
      </c>
      <c r="W658" s="20">
        <f>Inputs!$F$147*Inputs!$F$143/1000*Time!W$9*Time!W$10*Operations!W647*Operations!$F$421</f>
        <v/>
      </c>
      <c r="X658" s="20">
        <f>Inputs!$F$147*Inputs!$F$143/1000*Time!X$9*Time!X$10*Operations!X647*Operations!$F$421</f>
        <v/>
      </c>
      <c r="Y658" s="20">
        <f>Inputs!$F$147*Inputs!$F$143/1000*Time!Y$9*Time!Y$10*Operations!Y647*Operations!$F$421</f>
        <v/>
      </c>
      <c r="Z658" s="20">
        <f>Inputs!$F$147*Inputs!$F$143/1000*Time!Z$9*Time!Z$10*Operations!Z647*Operations!$F$421</f>
        <v/>
      </c>
      <c r="AA658" s="20">
        <f>Inputs!$F$147*Inputs!$F$143/1000*Time!AA$9*Time!AA$10*Operations!AA647*Operations!$F$421</f>
        <v/>
      </c>
      <c r="AB658" s="20">
        <f>Inputs!$F$147*Inputs!$F$143/1000*Time!AB$9*Time!AB$10*Operations!AB647*Operations!$F$421</f>
        <v/>
      </c>
      <c r="AC658" s="20">
        <f>Inputs!$F$147*Inputs!$F$143/1000*Time!AC$9*Time!AC$10*Operations!AC647*Operations!$F$421</f>
        <v/>
      </c>
      <c r="AD658" s="20">
        <f>Inputs!$F$147*Inputs!$F$143/1000*Time!AD$9*Time!AD$10*Operations!AD647*Operations!$F$421</f>
        <v/>
      </c>
      <c r="AE658" s="20">
        <f>Inputs!$F$147*Inputs!$F$143/1000*Time!AE$9*Time!AE$10*Operations!AE647*Operations!$F$421</f>
        <v/>
      </c>
      <c r="AF658" s="20">
        <f>Inputs!$F$147*Inputs!$F$143/1000*Time!AF$9*Time!AF$10*Operations!AF647*Operations!$F$421</f>
        <v/>
      </c>
      <c r="AG658" s="20">
        <f>Inputs!$F$147*Inputs!$F$143/1000*Time!AG$9*Time!AG$10*Operations!AG647*Operations!$F$421</f>
        <v/>
      </c>
      <c r="AH658" s="20">
        <f>Inputs!$F$147*Inputs!$F$143/1000*Time!AH$9*Time!AH$10*Operations!AH647*Operations!$F$421</f>
        <v/>
      </c>
      <c r="AI658" s="20">
        <f>Inputs!$F$147*Inputs!$F$143/1000*Time!AI$9*Time!AI$10*Operations!AI647*Operations!$F$421</f>
        <v/>
      </c>
      <c r="AJ658" s="20">
        <f>Inputs!$F$147*Inputs!$F$143/1000*Time!AJ$9*Time!AJ$10*Operations!AJ647*Operations!$F$421</f>
        <v/>
      </c>
      <c r="AK658" s="20">
        <f>Inputs!$F$147*Inputs!$F$143/1000*Time!AK$9*Time!AK$10*Operations!AK647*Operations!$F$421</f>
        <v/>
      </c>
      <c r="AL658" s="20">
        <f>Inputs!$F$147*Inputs!$F$143/1000*Time!AL$9*Time!AL$10*Operations!AL647*Operations!$F$421</f>
        <v/>
      </c>
      <c r="AM658" s="20">
        <f>Inputs!$F$147*Inputs!$F$143/1000*Time!AM$9*Time!AM$10*Operations!AM647*Operations!$F$421</f>
        <v/>
      </c>
      <c r="AN658" s="20">
        <f>Inputs!$F$147*Inputs!$F$143/1000*Time!AN$9*Time!AN$10*Operations!AN647*Operations!$F$421</f>
        <v/>
      </c>
      <c r="AO658" s="20">
        <f>Inputs!$F$147*Inputs!$F$143/1000*Time!AO$9*Time!AO$10*Operations!AO647*Operations!$F$421</f>
        <v/>
      </c>
      <c r="AP658" s="20">
        <f>Inputs!$F$147*Inputs!$F$143/1000*Time!AP$9*Time!AP$10*Operations!AP647*Operations!$F$421</f>
        <v/>
      </c>
      <c r="AQ658" s="20">
        <f>Inputs!$F$147*Inputs!$F$143/1000*Time!AQ$9*Time!AQ$10*Operations!AQ647*Operations!$F$421</f>
        <v/>
      </c>
      <c r="AR658" s="20">
        <f>Inputs!$F$147*Inputs!$F$143/1000*Time!AR$9*Time!AR$10*Operations!AR647*Operations!$F$421</f>
        <v/>
      </c>
      <c r="AS658" s="20">
        <f>Inputs!$F$147*Inputs!$F$143/1000*Time!AS$9*Time!AS$10*Operations!AS647*Operations!$F$421</f>
        <v/>
      </c>
      <c r="AT658" s="20">
        <f>Inputs!$F$147*Inputs!$F$143/1000*Time!AT$9*Time!AT$10*Operations!AT647*Operations!$F$421</f>
        <v/>
      </c>
      <c r="AU658" s="20">
        <f>Inputs!$F$147*Inputs!$F$143/1000*Time!AU$9*Time!AU$10*Operations!AU647*Operations!$F$421</f>
        <v/>
      </c>
    </row>
    <row r="659">
      <c r="D659" t="inlineStr">
        <is>
          <t>R6 land lease (in opex)</t>
        </is>
      </c>
      <c r="E659" t="inlineStr">
        <is>
          <t>USD m</t>
        </is>
      </c>
      <c r="J659" s="20">
        <f>0</f>
        <v/>
      </c>
      <c r="K659" s="20">
        <f>0</f>
        <v/>
      </c>
      <c r="L659" s="20">
        <f>0</f>
        <v/>
      </c>
      <c r="M659" s="20">
        <f>0</f>
        <v/>
      </c>
      <c r="N659" s="20">
        <f>0</f>
        <v/>
      </c>
      <c r="O659" s="20">
        <f>0</f>
        <v/>
      </c>
      <c r="P659" s="20">
        <f>0</f>
        <v/>
      </c>
      <c r="Q659" s="20">
        <f>0</f>
        <v/>
      </c>
      <c r="R659" s="20">
        <f>0</f>
        <v/>
      </c>
      <c r="S659" s="20">
        <f>0</f>
        <v/>
      </c>
      <c r="T659" s="20">
        <f>0</f>
        <v/>
      </c>
      <c r="U659" s="20">
        <f>0</f>
        <v/>
      </c>
      <c r="V659" s="20">
        <f>0</f>
        <v/>
      </c>
      <c r="W659" s="20">
        <f>0</f>
        <v/>
      </c>
      <c r="X659" s="20">
        <f>0</f>
        <v/>
      </c>
      <c r="Y659" s="20">
        <f>0</f>
        <v/>
      </c>
      <c r="Z659" s="20">
        <f>0</f>
        <v/>
      </c>
      <c r="AA659" s="20">
        <f>0</f>
        <v/>
      </c>
      <c r="AB659" s="20">
        <f>0</f>
        <v/>
      </c>
      <c r="AC659" s="20">
        <f>0</f>
        <v/>
      </c>
      <c r="AD659" s="20">
        <f>0</f>
        <v/>
      </c>
      <c r="AE659" s="20">
        <f>0</f>
        <v/>
      </c>
      <c r="AF659" s="20">
        <f>0</f>
        <v/>
      </c>
      <c r="AG659" s="20">
        <f>0</f>
        <v/>
      </c>
      <c r="AH659" s="20">
        <f>0</f>
        <v/>
      </c>
      <c r="AI659" s="20">
        <f>0</f>
        <v/>
      </c>
      <c r="AJ659" s="20">
        <f>0</f>
        <v/>
      </c>
      <c r="AK659" s="20">
        <f>0</f>
        <v/>
      </c>
      <c r="AL659" s="20">
        <f>0</f>
        <v/>
      </c>
      <c r="AM659" s="20">
        <f>0</f>
        <v/>
      </c>
      <c r="AN659" s="20">
        <f>0</f>
        <v/>
      </c>
      <c r="AO659" s="20">
        <f>0</f>
        <v/>
      </c>
      <c r="AP659" s="20">
        <f>0</f>
        <v/>
      </c>
      <c r="AQ659" s="20">
        <f>0</f>
        <v/>
      </c>
      <c r="AR659" s="20">
        <f>0</f>
        <v/>
      </c>
      <c r="AS659" s="20">
        <f>0</f>
        <v/>
      </c>
      <c r="AT659" s="20">
        <f>0</f>
        <v/>
      </c>
      <c r="AU659" s="20">
        <f>0</f>
        <v/>
      </c>
    </row>
    <row r="660">
      <c r="D660" t="inlineStr">
        <is>
          <t>R6 decommissioning surety cost</t>
        </is>
      </c>
      <c r="E660" t="inlineStr">
        <is>
          <t>USD m</t>
        </is>
      </c>
      <c r="J660" s="20">
        <f>Inputs!$F$236/100*Inputs!$F$148*Inputs!$F$143/1000*Time!J$9*Operations!J647</f>
        <v/>
      </c>
      <c r="K660" s="20">
        <f>Inputs!$F$236/100*Inputs!$F$148*Inputs!$F$143/1000*Time!K$9*Operations!K647</f>
        <v/>
      </c>
      <c r="L660" s="20">
        <f>Inputs!$F$236/100*Inputs!$F$148*Inputs!$F$143/1000*Time!L$9*Operations!L647</f>
        <v/>
      </c>
      <c r="M660" s="20">
        <f>Inputs!$F$236/100*Inputs!$F$148*Inputs!$F$143/1000*Time!M$9*Operations!M647</f>
        <v/>
      </c>
      <c r="N660" s="20">
        <f>Inputs!$F$236/100*Inputs!$F$148*Inputs!$F$143/1000*Time!N$9*Operations!N647</f>
        <v/>
      </c>
      <c r="O660" s="20">
        <f>Inputs!$F$236/100*Inputs!$F$148*Inputs!$F$143/1000*Time!O$9*Operations!O647</f>
        <v/>
      </c>
      <c r="P660" s="20">
        <f>Inputs!$F$236/100*Inputs!$F$148*Inputs!$F$143/1000*Time!P$9*Operations!P647</f>
        <v/>
      </c>
      <c r="Q660" s="20">
        <f>Inputs!$F$236/100*Inputs!$F$148*Inputs!$F$143/1000*Time!Q$9*Operations!Q647</f>
        <v/>
      </c>
      <c r="R660" s="20">
        <f>Inputs!$F$236/100*Inputs!$F$148*Inputs!$F$143/1000*Time!R$9*Operations!R647</f>
        <v/>
      </c>
      <c r="S660" s="20">
        <f>Inputs!$F$236/100*Inputs!$F$148*Inputs!$F$143/1000*Time!S$9*Operations!S647</f>
        <v/>
      </c>
      <c r="T660" s="20">
        <f>Inputs!$F$236/100*Inputs!$F$148*Inputs!$F$143/1000*Time!T$9*Operations!T647</f>
        <v/>
      </c>
      <c r="U660" s="20">
        <f>Inputs!$F$236/100*Inputs!$F$148*Inputs!$F$143/1000*Time!U$9*Operations!U647</f>
        <v/>
      </c>
      <c r="V660" s="20">
        <f>Inputs!$F$236/100*Inputs!$F$148*Inputs!$F$143/1000*Time!V$9*Operations!V647</f>
        <v/>
      </c>
      <c r="W660" s="20">
        <f>Inputs!$F$236/100*Inputs!$F$148*Inputs!$F$143/1000*Time!W$9*Operations!W647</f>
        <v/>
      </c>
      <c r="X660" s="20">
        <f>Inputs!$F$236/100*Inputs!$F$148*Inputs!$F$143/1000*Time!X$9*Operations!X647</f>
        <v/>
      </c>
      <c r="Y660" s="20">
        <f>Inputs!$F$236/100*Inputs!$F$148*Inputs!$F$143/1000*Time!Y$9*Operations!Y647</f>
        <v/>
      </c>
      <c r="Z660" s="20">
        <f>Inputs!$F$236/100*Inputs!$F$148*Inputs!$F$143/1000*Time!Z$9*Operations!Z647</f>
        <v/>
      </c>
      <c r="AA660" s="20">
        <f>Inputs!$F$236/100*Inputs!$F$148*Inputs!$F$143/1000*Time!AA$9*Operations!AA647</f>
        <v/>
      </c>
      <c r="AB660" s="20">
        <f>Inputs!$F$236/100*Inputs!$F$148*Inputs!$F$143/1000*Time!AB$9*Operations!AB647</f>
        <v/>
      </c>
      <c r="AC660" s="20">
        <f>Inputs!$F$236/100*Inputs!$F$148*Inputs!$F$143/1000*Time!AC$9*Operations!AC647</f>
        <v/>
      </c>
      <c r="AD660" s="20">
        <f>Inputs!$F$236/100*Inputs!$F$148*Inputs!$F$143/1000*Time!AD$9*Operations!AD647</f>
        <v/>
      </c>
      <c r="AE660" s="20">
        <f>Inputs!$F$236/100*Inputs!$F$148*Inputs!$F$143/1000*Time!AE$9*Operations!AE647</f>
        <v/>
      </c>
      <c r="AF660" s="20">
        <f>Inputs!$F$236/100*Inputs!$F$148*Inputs!$F$143/1000*Time!AF$9*Operations!AF647</f>
        <v/>
      </c>
      <c r="AG660" s="20">
        <f>Inputs!$F$236/100*Inputs!$F$148*Inputs!$F$143/1000*Time!AG$9*Operations!AG647</f>
        <v/>
      </c>
      <c r="AH660" s="20">
        <f>Inputs!$F$236/100*Inputs!$F$148*Inputs!$F$143/1000*Time!AH$9*Operations!AH647</f>
        <v/>
      </c>
      <c r="AI660" s="20">
        <f>Inputs!$F$236/100*Inputs!$F$148*Inputs!$F$143/1000*Time!AI$9*Operations!AI647</f>
        <v/>
      </c>
      <c r="AJ660" s="20">
        <f>Inputs!$F$236/100*Inputs!$F$148*Inputs!$F$143/1000*Time!AJ$9*Operations!AJ647</f>
        <v/>
      </c>
      <c r="AK660" s="20">
        <f>Inputs!$F$236/100*Inputs!$F$148*Inputs!$F$143/1000*Time!AK$9*Operations!AK647</f>
        <v/>
      </c>
      <c r="AL660" s="20">
        <f>Inputs!$F$236/100*Inputs!$F$148*Inputs!$F$143/1000*Time!AL$9*Operations!AL647</f>
        <v/>
      </c>
      <c r="AM660" s="20">
        <f>Inputs!$F$236/100*Inputs!$F$148*Inputs!$F$143/1000*Time!AM$9*Operations!AM647</f>
        <v/>
      </c>
      <c r="AN660" s="20">
        <f>Inputs!$F$236/100*Inputs!$F$148*Inputs!$F$143/1000*Time!AN$9*Operations!AN647</f>
        <v/>
      </c>
      <c r="AO660" s="20">
        <f>Inputs!$F$236/100*Inputs!$F$148*Inputs!$F$143/1000*Time!AO$9*Operations!AO647</f>
        <v/>
      </c>
      <c r="AP660" s="20">
        <f>Inputs!$F$236/100*Inputs!$F$148*Inputs!$F$143/1000*Time!AP$9*Operations!AP647</f>
        <v/>
      </c>
      <c r="AQ660" s="20">
        <f>Inputs!$F$236/100*Inputs!$F$148*Inputs!$F$143/1000*Time!AQ$9*Operations!AQ647</f>
        <v/>
      </c>
      <c r="AR660" s="20">
        <f>Inputs!$F$236/100*Inputs!$F$148*Inputs!$F$143/1000*Time!AR$9*Operations!AR647</f>
        <v/>
      </c>
      <c r="AS660" s="20">
        <f>Inputs!$F$236/100*Inputs!$F$148*Inputs!$F$143/1000*Time!AS$9*Operations!AS647</f>
        <v/>
      </c>
      <c r="AT660" s="20">
        <f>Inputs!$F$236/100*Inputs!$F$148*Inputs!$F$143/1000*Time!AT$9*Operations!AT647</f>
        <v/>
      </c>
      <c r="AU660" s="20">
        <f>Inputs!$F$236/100*Inputs!$F$148*Inputs!$F$143/1000*Time!AU$9*Operations!AU647</f>
        <v/>
      </c>
    </row>
    <row r="661">
      <c r="D661" t="inlineStr">
        <is>
          <t>R6 Texas margin tax</t>
        </is>
      </c>
      <c r="E661" t="inlineStr">
        <is>
          <t>USD m</t>
        </is>
      </c>
      <c r="J661" s="20">
        <f>Inputs!$F$237/100*Inputs!$F$238/100*Operations!J656</f>
        <v/>
      </c>
      <c r="K661" s="20">
        <f>Inputs!$F$237/100*Inputs!$F$238/100*Operations!K656</f>
        <v/>
      </c>
      <c r="L661" s="20">
        <f>Inputs!$F$237/100*Inputs!$F$238/100*Operations!L656</f>
        <v/>
      </c>
      <c r="M661" s="20">
        <f>Inputs!$F$237/100*Inputs!$F$238/100*Operations!M656</f>
        <v/>
      </c>
      <c r="N661" s="20">
        <f>Inputs!$F$237/100*Inputs!$F$238/100*Operations!N656</f>
        <v/>
      </c>
      <c r="O661" s="20">
        <f>Inputs!$F$237/100*Inputs!$F$238/100*Operations!O656</f>
        <v/>
      </c>
      <c r="P661" s="20">
        <f>Inputs!$F$237/100*Inputs!$F$238/100*Operations!P656</f>
        <v/>
      </c>
      <c r="Q661" s="20">
        <f>Inputs!$F$237/100*Inputs!$F$238/100*Operations!Q656</f>
        <v/>
      </c>
      <c r="R661" s="20">
        <f>Inputs!$F$237/100*Inputs!$F$238/100*Operations!R656</f>
        <v/>
      </c>
      <c r="S661" s="20">
        <f>Inputs!$F$237/100*Inputs!$F$238/100*Operations!S656</f>
        <v/>
      </c>
      <c r="T661" s="20">
        <f>Inputs!$F$237/100*Inputs!$F$238/100*Operations!T656</f>
        <v/>
      </c>
      <c r="U661" s="20">
        <f>Inputs!$F$237/100*Inputs!$F$238/100*Operations!U656</f>
        <v/>
      </c>
      <c r="V661" s="20">
        <f>Inputs!$F$237/100*Inputs!$F$238/100*Operations!V656</f>
        <v/>
      </c>
      <c r="W661" s="20">
        <f>Inputs!$F$237/100*Inputs!$F$238/100*Operations!W656</f>
        <v/>
      </c>
      <c r="X661" s="20">
        <f>Inputs!$F$237/100*Inputs!$F$238/100*Operations!X656</f>
        <v/>
      </c>
      <c r="Y661" s="20">
        <f>Inputs!$F$237/100*Inputs!$F$238/100*Operations!Y656</f>
        <v/>
      </c>
      <c r="Z661" s="20">
        <f>Inputs!$F$237/100*Inputs!$F$238/100*Operations!Z656</f>
        <v/>
      </c>
      <c r="AA661" s="20">
        <f>Inputs!$F$237/100*Inputs!$F$238/100*Operations!AA656</f>
        <v/>
      </c>
      <c r="AB661" s="20">
        <f>Inputs!$F$237/100*Inputs!$F$238/100*Operations!AB656</f>
        <v/>
      </c>
      <c r="AC661" s="20">
        <f>Inputs!$F$237/100*Inputs!$F$238/100*Operations!AC656</f>
        <v/>
      </c>
      <c r="AD661" s="20">
        <f>Inputs!$F$237/100*Inputs!$F$238/100*Operations!AD656</f>
        <v/>
      </c>
      <c r="AE661" s="20">
        <f>Inputs!$F$237/100*Inputs!$F$238/100*Operations!AE656</f>
        <v/>
      </c>
      <c r="AF661" s="20">
        <f>Inputs!$F$237/100*Inputs!$F$238/100*Operations!AF656</f>
        <v/>
      </c>
      <c r="AG661" s="20">
        <f>Inputs!$F$237/100*Inputs!$F$238/100*Operations!AG656</f>
        <v/>
      </c>
      <c r="AH661" s="20">
        <f>Inputs!$F$237/100*Inputs!$F$238/100*Operations!AH656</f>
        <v/>
      </c>
      <c r="AI661" s="20">
        <f>Inputs!$F$237/100*Inputs!$F$238/100*Operations!AI656</f>
        <v/>
      </c>
      <c r="AJ661" s="20">
        <f>Inputs!$F$237/100*Inputs!$F$238/100*Operations!AJ656</f>
        <v/>
      </c>
      <c r="AK661" s="20">
        <f>Inputs!$F$237/100*Inputs!$F$238/100*Operations!AK656</f>
        <v/>
      </c>
      <c r="AL661" s="20">
        <f>Inputs!$F$237/100*Inputs!$F$238/100*Operations!AL656</f>
        <v/>
      </c>
      <c r="AM661" s="20">
        <f>Inputs!$F$237/100*Inputs!$F$238/100*Operations!AM656</f>
        <v/>
      </c>
      <c r="AN661" s="20">
        <f>Inputs!$F$237/100*Inputs!$F$238/100*Operations!AN656</f>
        <v/>
      </c>
      <c r="AO661" s="20">
        <f>Inputs!$F$237/100*Inputs!$F$238/100*Operations!AO656</f>
        <v/>
      </c>
      <c r="AP661" s="20">
        <f>Inputs!$F$237/100*Inputs!$F$238/100*Operations!AP656</f>
        <v/>
      </c>
      <c r="AQ661" s="20">
        <f>Inputs!$F$237/100*Inputs!$F$238/100*Operations!AQ656</f>
        <v/>
      </c>
      <c r="AR661" s="20">
        <f>Inputs!$F$237/100*Inputs!$F$238/100*Operations!AR656</f>
        <v/>
      </c>
      <c r="AS661" s="20">
        <f>Inputs!$F$237/100*Inputs!$F$238/100*Operations!AS656</f>
        <v/>
      </c>
      <c r="AT661" s="20">
        <f>Inputs!$F$237/100*Inputs!$F$238/100*Operations!AT656</f>
        <v/>
      </c>
      <c r="AU661" s="20">
        <f>Inputs!$F$237/100*Inputs!$F$238/100*Operations!AU656</f>
        <v/>
      </c>
    </row>
    <row r="662">
      <c r="D662" t="inlineStr">
        <is>
          <t>R6 EBITDA</t>
        </is>
      </c>
      <c r="E662" t="inlineStr">
        <is>
          <t>USD m</t>
        </is>
      </c>
      <c r="G662" s="20">
        <f>SUM(J662:AU662)</f>
        <v/>
      </c>
      <c r="J662" s="20">
        <f>Operations!J656-Operations!J658-Operations!J659-Operations!J660-Operations!J661</f>
        <v/>
      </c>
      <c r="K662" s="20">
        <f>Operations!K656-Operations!K658-Operations!K659-Operations!K660-Operations!K661</f>
        <v/>
      </c>
      <c r="L662" s="20">
        <f>Operations!L656-Operations!L658-Operations!L659-Operations!L660-Operations!L661</f>
        <v/>
      </c>
      <c r="M662" s="20">
        <f>Operations!M656-Operations!M658-Operations!M659-Operations!M660-Operations!M661</f>
        <v/>
      </c>
      <c r="N662" s="20">
        <f>Operations!N656-Operations!N658-Operations!N659-Operations!N660-Operations!N661</f>
        <v/>
      </c>
      <c r="O662" s="20">
        <f>Operations!O656-Operations!O658-Operations!O659-Operations!O660-Operations!O661</f>
        <v/>
      </c>
      <c r="P662" s="20">
        <f>Operations!P656-Operations!P658-Operations!P659-Operations!P660-Operations!P661</f>
        <v/>
      </c>
      <c r="Q662" s="20">
        <f>Operations!Q656-Operations!Q658-Operations!Q659-Operations!Q660-Operations!Q661</f>
        <v/>
      </c>
      <c r="R662" s="20">
        <f>Operations!R656-Operations!R658-Operations!R659-Operations!R660-Operations!R661</f>
        <v/>
      </c>
      <c r="S662" s="20">
        <f>Operations!S656-Operations!S658-Operations!S659-Operations!S660-Operations!S661</f>
        <v/>
      </c>
      <c r="T662" s="20">
        <f>Operations!T656-Operations!T658-Operations!T659-Operations!T660-Operations!T661</f>
        <v/>
      </c>
      <c r="U662" s="20">
        <f>Operations!U656-Operations!U658-Operations!U659-Operations!U660-Operations!U661</f>
        <v/>
      </c>
      <c r="V662" s="20">
        <f>Operations!V656-Operations!V658-Operations!V659-Operations!V660-Operations!V661</f>
        <v/>
      </c>
      <c r="W662" s="20">
        <f>Operations!W656-Operations!W658-Operations!W659-Operations!W660-Operations!W661</f>
        <v/>
      </c>
      <c r="X662" s="20">
        <f>Operations!X656-Operations!X658-Operations!X659-Operations!X660-Operations!X661</f>
        <v/>
      </c>
      <c r="Y662" s="20">
        <f>Operations!Y656-Operations!Y658-Operations!Y659-Operations!Y660-Operations!Y661</f>
        <v/>
      </c>
      <c r="Z662" s="20">
        <f>Operations!Z656-Operations!Z658-Operations!Z659-Operations!Z660-Operations!Z661</f>
        <v/>
      </c>
      <c r="AA662" s="20">
        <f>Operations!AA656-Operations!AA658-Operations!AA659-Operations!AA660-Operations!AA661</f>
        <v/>
      </c>
      <c r="AB662" s="20">
        <f>Operations!AB656-Operations!AB658-Operations!AB659-Operations!AB660-Operations!AB661</f>
        <v/>
      </c>
      <c r="AC662" s="20">
        <f>Operations!AC656-Operations!AC658-Operations!AC659-Operations!AC660-Operations!AC661</f>
        <v/>
      </c>
      <c r="AD662" s="20">
        <f>Operations!AD656-Operations!AD658-Operations!AD659-Operations!AD660-Operations!AD661</f>
        <v/>
      </c>
      <c r="AE662" s="20">
        <f>Operations!AE656-Operations!AE658-Operations!AE659-Operations!AE660-Operations!AE661</f>
        <v/>
      </c>
      <c r="AF662" s="20">
        <f>Operations!AF656-Operations!AF658-Operations!AF659-Operations!AF660-Operations!AF661</f>
        <v/>
      </c>
      <c r="AG662" s="20">
        <f>Operations!AG656-Operations!AG658-Operations!AG659-Operations!AG660-Operations!AG661</f>
        <v/>
      </c>
      <c r="AH662" s="20">
        <f>Operations!AH656-Operations!AH658-Operations!AH659-Operations!AH660-Operations!AH661</f>
        <v/>
      </c>
      <c r="AI662" s="20">
        <f>Operations!AI656-Operations!AI658-Operations!AI659-Operations!AI660-Operations!AI661</f>
        <v/>
      </c>
      <c r="AJ662" s="20">
        <f>Operations!AJ656-Operations!AJ658-Operations!AJ659-Operations!AJ660-Operations!AJ661</f>
        <v/>
      </c>
      <c r="AK662" s="20">
        <f>Operations!AK656-Operations!AK658-Operations!AK659-Operations!AK660-Operations!AK661</f>
        <v/>
      </c>
      <c r="AL662" s="20">
        <f>Operations!AL656-Operations!AL658-Operations!AL659-Operations!AL660-Operations!AL661</f>
        <v/>
      </c>
      <c r="AM662" s="20">
        <f>Operations!AM656-Operations!AM658-Operations!AM659-Operations!AM660-Operations!AM661</f>
        <v/>
      </c>
      <c r="AN662" s="20">
        <f>Operations!AN656-Operations!AN658-Operations!AN659-Operations!AN660-Operations!AN661</f>
        <v/>
      </c>
      <c r="AO662" s="20">
        <f>Operations!AO656-Operations!AO658-Operations!AO659-Operations!AO660-Operations!AO661</f>
        <v/>
      </c>
      <c r="AP662" s="20">
        <f>Operations!AP656-Operations!AP658-Operations!AP659-Operations!AP660-Operations!AP661</f>
        <v/>
      </c>
      <c r="AQ662" s="20">
        <f>Operations!AQ656-Operations!AQ658-Operations!AQ659-Operations!AQ660-Operations!AQ661</f>
        <v/>
      </c>
      <c r="AR662" s="20">
        <f>Operations!AR656-Operations!AR658-Operations!AR659-Operations!AR660-Operations!AR661</f>
        <v/>
      </c>
      <c r="AS662" s="20">
        <f>Operations!AS656-Operations!AS658-Operations!AS659-Operations!AS660-Operations!AS661</f>
        <v/>
      </c>
      <c r="AT662" s="20">
        <f>Operations!AT656-Operations!AT658-Operations!AT659-Operations!AT660-Operations!AT661</f>
        <v/>
      </c>
      <c r="AU662" s="20">
        <f>Operations!AU656-Operations!AU658-Operations!AU659-Operations!AU660-Operations!AU661</f>
        <v/>
      </c>
    </row>
    <row r="663">
      <c r="D663" t="inlineStr">
        <is>
          <t>R6 augmentation capex</t>
        </is>
      </c>
      <c r="E663" t="inlineStr">
        <is>
          <t>USD m</t>
        </is>
      </c>
      <c r="J663" s="20">
        <f>IF(OR(Time!J$4=YEAR(Inputs!$F$144)+Inputs!$F$151,Time!J$4=YEAR(Inputs!$F$144)+Inputs!$F$152),Inputs!$F$153/100*Inputs!$F$149*Inputs!$F$154/1000*(1+Inputs!$F$187/100)^(Time!J$4-Inputs!$F$186),0)</f>
        <v/>
      </c>
      <c r="K663" s="20">
        <f>IF(OR(Time!K$4=YEAR(Inputs!$F$144)+Inputs!$F$151,Time!K$4=YEAR(Inputs!$F$144)+Inputs!$F$152),Inputs!$F$153/100*Inputs!$F$149*Inputs!$F$154/1000*(1+Inputs!$F$187/100)^(Time!K$4-Inputs!$F$186),0)</f>
        <v/>
      </c>
      <c r="L663" s="20">
        <f>IF(OR(Time!L$4=YEAR(Inputs!$F$144)+Inputs!$F$151,Time!L$4=YEAR(Inputs!$F$144)+Inputs!$F$152),Inputs!$F$153/100*Inputs!$F$149*Inputs!$F$154/1000*(1+Inputs!$F$187/100)^(Time!L$4-Inputs!$F$186),0)</f>
        <v/>
      </c>
      <c r="M663" s="20">
        <f>IF(OR(Time!M$4=YEAR(Inputs!$F$144)+Inputs!$F$151,Time!M$4=YEAR(Inputs!$F$144)+Inputs!$F$152),Inputs!$F$153/100*Inputs!$F$149*Inputs!$F$154/1000*(1+Inputs!$F$187/100)^(Time!M$4-Inputs!$F$186),0)</f>
        <v/>
      </c>
      <c r="N663" s="20">
        <f>IF(OR(Time!N$4=YEAR(Inputs!$F$144)+Inputs!$F$151,Time!N$4=YEAR(Inputs!$F$144)+Inputs!$F$152),Inputs!$F$153/100*Inputs!$F$149*Inputs!$F$154/1000*(1+Inputs!$F$187/100)^(Time!N$4-Inputs!$F$186),0)</f>
        <v/>
      </c>
      <c r="O663" s="20">
        <f>IF(OR(Time!O$4=YEAR(Inputs!$F$144)+Inputs!$F$151,Time!O$4=YEAR(Inputs!$F$144)+Inputs!$F$152),Inputs!$F$153/100*Inputs!$F$149*Inputs!$F$154/1000*(1+Inputs!$F$187/100)^(Time!O$4-Inputs!$F$186),0)</f>
        <v/>
      </c>
      <c r="P663" s="20">
        <f>IF(OR(Time!P$4=YEAR(Inputs!$F$144)+Inputs!$F$151,Time!P$4=YEAR(Inputs!$F$144)+Inputs!$F$152),Inputs!$F$153/100*Inputs!$F$149*Inputs!$F$154/1000*(1+Inputs!$F$187/100)^(Time!P$4-Inputs!$F$186),0)</f>
        <v/>
      </c>
      <c r="Q663" s="20">
        <f>IF(OR(Time!Q$4=YEAR(Inputs!$F$144)+Inputs!$F$151,Time!Q$4=YEAR(Inputs!$F$144)+Inputs!$F$152),Inputs!$F$153/100*Inputs!$F$149*Inputs!$F$154/1000*(1+Inputs!$F$187/100)^(Time!Q$4-Inputs!$F$186),0)</f>
        <v/>
      </c>
      <c r="R663" s="20">
        <f>IF(OR(Time!R$4=YEAR(Inputs!$F$144)+Inputs!$F$151,Time!R$4=YEAR(Inputs!$F$144)+Inputs!$F$152),Inputs!$F$153/100*Inputs!$F$149*Inputs!$F$154/1000*(1+Inputs!$F$187/100)^(Time!R$4-Inputs!$F$186),0)</f>
        <v/>
      </c>
      <c r="S663" s="20">
        <f>IF(OR(Time!S$4=YEAR(Inputs!$F$144)+Inputs!$F$151,Time!S$4=YEAR(Inputs!$F$144)+Inputs!$F$152),Inputs!$F$153/100*Inputs!$F$149*Inputs!$F$154/1000*(1+Inputs!$F$187/100)^(Time!S$4-Inputs!$F$186),0)</f>
        <v/>
      </c>
      <c r="T663" s="20">
        <f>IF(OR(Time!T$4=YEAR(Inputs!$F$144)+Inputs!$F$151,Time!T$4=YEAR(Inputs!$F$144)+Inputs!$F$152),Inputs!$F$153/100*Inputs!$F$149*Inputs!$F$154/1000*(1+Inputs!$F$187/100)^(Time!T$4-Inputs!$F$186),0)</f>
        <v/>
      </c>
      <c r="U663" s="20">
        <f>IF(OR(Time!U$4=YEAR(Inputs!$F$144)+Inputs!$F$151,Time!U$4=YEAR(Inputs!$F$144)+Inputs!$F$152),Inputs!$F$153/100*Inputs!$F$149*Inputs!$F$154/1000*(1+Inputs!$F$187/100)^(Time!U$4-Inputs!$F$186),0)</f>
        <v/>
      </c>
      <c r="V663" s="20">
        <f>IF(OR(Time!V$4=YEAR(Inputs!$F$144)+Inputs!$F$151,Time!V$4=YEAR(Inputs!$F$144)+Inputs!$F$152),Inputs!$F$153/100*Inputs!$F$149*Inputs!$F$154/1000*(1+Inputs!$F$187/100)^(Time!V$4-Inputs!$F$186),0)</f>
        <v/>
      </c>
      <c r="W663" s="20">
        <f>IF(OR(Time!W$4=YEAR(Inputs!$F$144)+Inputs!$F$151,Time!W$4=YEAR(Inputs!$F$144)+Inputs!$F$152),Inputs!$F$153/100*Inputs!$F$149*Inputs!$F$154/1000*(1+Inputs!$F$187/100)^(Time!W$4-Inputs!$F$186),0)</f>
        <v/>
      </c>
      <c r="X663" s="20">
        <f>IF(OR(Time!X$4=YEAR(Inputs!$F$144)+Inputs!$F$151,Time!X$4=YEAR(Inputs!$F$144)+Inputs!$F$152),Inputs!$F$153/100*Inputs!$F$149*Inputs!$F$154/1000*(1+Inputs!$F$187/100)^(Time!X$4-Inputs!$F$186),0)</f>
        <v/>
      </c>
      <c r="Y663" s="20">
        <f>IF(OR(Time!Y$4=YEAR(Inputs!$F$144)+Inputs!$F$151,Time!Y$4=YEAR(Inputs!$F$144)+Inputs!$F$152),Inputs!$F$153/100*Inputs!$F$149*Inputs!$F$154/1000*(1+Inputs!$F$187/100)^(Time!Y$4-Inputs!$F$186),0)</f>
        <v/>
      </c>
      <c r="Z663" s="20">
        <f>IF(OR(Time!Z$4=YEAR(Inputs!$F$144)+Inputs!$F$151,Time!Z$4=YEAR(Inputs!$F$144)+Inputs!$F$152),Inputs!$F$153/100*Inputs!$F$149*Inputs!$F$154/1000*(1+Inputs!$F$187/100)^(Time!Z$4-Inputs!$F$186),0)</f>
        <v/>
      </c>
      <c r="AA663" s="20">
        <f>IF(OR(Time!AA$4=YEAR(Inputs!$F$144)+Inputs!$F$151,Time!AA$4=YEAR(Inputs!$F$144)+Inputs!$F$152),Inputs!$F$153/100*Inputs!$F$149*Inputs!$F$154/1000*(1+Inputs!$F$187/100)^(Time!AA$4-Inputs!$F$186),0)</f>
        <v/>
      </c>
      <c r="AB663" s="20">
        <f>IF(OR(Time!AB$4=YEAR(Inputs!$F$144)+Inputs!$F$151,Time!AB$4=YEAR(Inputs!$F$144)+Inputs!$F$152),Inputs!$F$153/100*Inputs!$F$149*Inputs!$F$154/1000*(1+Inputs!$F$187/100)^(Time!AB$4-Inputs!$F$186),0)</f>
        <v/>
      </c>
      <c r="AC663" s="20">
        <f>IF(OR(Time!AC$4=YEAR(Inputs!$F$144)+Inputs!$F$151,Time!AC$4=YEAR(Inputs!$F$144)+Inputs!$F$152),Inputs!$F$153/100*Inputs!$F$149*Inputs!$F$154/1000*(1+Inputs!$F$187/100)^(Time!AC$4-Inputs!$F$186),0)</f>
        <v/>
      </c>
      <c r="AD663" s="20">
        <f>IF(OR(Time!AD$4=YEAR(Inputs!$F$144)+Inputs!$F$151,Time!AD$4=YEAR(Inputs!$F$144)+Inputs!$F$152),Inputs!$F$153/100*Inputs!$F$149*Inputs!$F$154/1000*(1+Inputs!$F$187/100)^(Time!AD$4-Inputs!$F$186),0)</f>
        <v/>
      </c>
      <c r="AE663" s="20">
        <f>IF(OR(Time!AE$4=YEAR(Inputs!$F$144)+Inputs!$F$151,Time!AE$4=YEAR(Inputs!$F$144)+Inputs!$F$152),Inputs!$F$153/100*Inputs!$F$149*Inputs!$F$154/1000*(1+Inputs!$F$187/100)^(Time!AE$4-Inputs!$F$186),0)</f>
        <v/>
      </c>
      <c r="AF663" s="20">
        <f>IF(OR(Time!AF$4=YEAR(Inputs!$F$144)+Inputs!$F$151,Time!AF$4=YEAR(Inputs!$F$144)+Inputs!$F$152),Inputs!$F$153/100*Inputs!$F$149*Inputs!$F$154/1000*(1+Inputs!$F$187/100)^(Time!AF$4-Inputs!$F$186),0)</f>
        <v/>
      </c>
      <c r="AG663" s="20">
        <f>IF(OR(Time!AG$4=YEAR(Inputs!$F$144)+Inputs!$F$151,Time!AG$4=YEAR(Inputs!$F$144)+Inputs!$F$152),Inputs!$F$153/100*Inputs!$F$149*Inputs!$F$154/1000*(1+Inputs!$F$187/100)^(Time!AG$4-Inputs!$F$186),0)</f>
        <v/>
      </c>
      <c r="AH663" s="20">
        <f>IF(OR(Time!AH$4=YEAR(Inputs!$F$144)+Inputs!$F$151,Time!AH$4=YEAR(Inputs!$F$144)+Inputs!$F$152),Inputs!$F$153/100*Inputs!$F$149*Inputs!$F$154/1000*(1+Inputs!$F$187/100)^(Time!AH$4-Inputs!$F$186),0)</f>
        <v/>
      </c>
      <c r="AI663" s="20">
        <f>IF(OR(Time!AI$4=YEAR(Inputs!$F$144)+Inputs!$F$151,Time!AI$4=YEAR(Inputs!$F$144)+Inputs!$F$152),Inputs!$F$153/100*Inputs!$F$149*Inputs!$F$154/1000*(1+Inputs!$F$187/100)^(Time!AI$4-Inputs!$F$186),0)</f>
        <v/>
      </c>
      <c r="AJ663" s="20">
        <f>IF(OR(Time!AJ$4=YEAR(Inputs!$F$144)+Inputs!$F$151,Time!AJ$4=YEAR(Inputs!$F$144)+Inputs!$F$152),Inputs!$F$153/100*Inputs!$F$149*Inputs!$F$154/1000*(1+Inputs!$F$187/100)^(Time!AJ$4-Inputs!$F$186),0)</f>
        <v/>
      </c>
      <c r="AK663" s="20">
        <f>IF(OR(Time!AK$4=YEAR(Inputs!$F$144)+Inputs!$F$151,Time!AK$4=YEAR(Inputs!$F$144)+Inputs!$F$152),Inputs!$F$153/100*Inputs!$F$149*Inputs!$F$154/1000*(1+Inputs!$F$187/100)^(Time!AK$4-Inputs!$F$186),0)</f>
        <v/>
      </c>
      <c r="AL663" s="20">
        <f>IF(OR(Time!AL$4=YEAR(Inputs!$F$144)+Inputs!$F$151,Time!AL$4=YEAR(Inputs!$F$144)+Inputs!$F$152),Inputs!$F$153/100*Inputs!$F$149*Inputs!$F$154/1000*(1+Inputs!$F$187/100)^(Time!AL$4-Inputs!$F$186),0)</f>
        <v/>
      </c>
      <c r="AM663" s="20">
        <f>IF(OR(Time!AM$4=YEAR(Inputs!$F$144)+Inputs!$F$151,Time!AM$4=YEAR(Inputs!$F$144)+Inputs!$F$152),Inputs!$F$153/100*Inputs!$F$149*Inputs!$F$154/1000*(1+Inputs!$F$187/100)^(Time!AM$4-Inputs!$F$186),0)</f>
        <v/>
      </c>
      <c r="AN663" s="20">
        <f>IF(OR(Time!AN$4=YEAR(Inputs!$F$144)+Inputs!$F$151,Time!AN$4=YEAR(Inputs!$F$144)+Inputs!$F$152),Inputs!$F$153/100*Inputs!$F$149*Inputs!$F$154/1000*(1+Inputs!$F$187/100)^(Time!AN$4-Inputs!$F$186),0)</f>
        <v/>
      </c>
      <c r="AO663" s="20">
        <f>IF(OR(Time!AO$4=YEAR(Inputs!$F$144)+Inputs!$F$151,Time!AO$4=YEAR(Inputs!$F$144)+Inputs!$F$152),Inputs!$F$153/100*Inputs!$F$149*Inputs!$F$154/1000*(1+Inputs!$F$187/100)^(Time!AO$4-Inputs!$F$186),0)</f>
        <v/>
      </c>
      <c r="AP663" s="20">
        <f>IF(OR(Time!AP$4=YEAR(Inputs!$F$144)+Inputs!$F$151,Time!AP$4=YEAR(Inputs!$F$144)+Inputs!$F$152),Inputs!$F$153/100*Inputs!$F$149*Inputs!$F$154/1000*(1+Inputs!$F$187/100)^(Time!AP$4-Inputs!$F$186),0)</f>
        <v/>
      </c>
      <c r="AQ663" s="20">
        <f>IF(OR(Time!AQ$4=YEAR(Inputs!$F$144)+Inputs!$F$151,Time!AQ$4=YEAR(Inputs!$F$144)+Inputs!$F$152),Inputs!$F$153/100*Inputs!$F$149*Inputs!$F$154/1000*(1+Inputs!$F$187/100)^(Time!AQ$4-Inputs!$F$186),0)</f>
        <v/>
      </c>
      <c r="AR663" s="20">
        <f>IF(OR(Time!AR$4=YEAR(Inputs!$F$144)+Inputs!$F$151,Time!AR$4=YEAR(Inputs!$F$144)+Inputs!$F$152),Inputs!$F$153/100*Inputs!$F$149*Inputs!$F$154/1000*(1+Inputs!$F$187/100)^(Time!AR$4-Inputs!$F$186),0)</f>
        <v/>
      </c>
      <c r="AS663" s="20">
        <f>IF(OR(Time!AS$4=YEAR(Inputs!$F$144)+Inputs!$F$151,Time!AS$4=YEAR(Inputs!$F$144)+Inputs!$F$152),Inputs!$F$153/100*Inputs!$F$149*Inputs!$F$154/1000*(1+Inputs!$F$187/100)^(Time!AS$4-Inputs!$F$186),0)</f>
        <v/>
      </c>
      <c r="AT663" s="20">
        <f>IF(OR(Time!AT$4=YEAR(Inputs!$F$144)+Inputs!$F$151,Time!AT$4=YEAR(Inputs!$F$144)+Inputs!$F$152),Inputs!$F$153/100*Inputs!$F$149*Inputs!$F$154/1000*(1+Inputs!$F$187/100)^(Time!AT$4-Inputs!$F$186),0)</f>
        <v/>
      </c>
      <c r="AU663" s="20">
        <f>IF(OR(Time!AU$4=YEAR(Inputs!$F$144)+Inputs!$F$151,Time!AU$4=YEAR(Inputs!$F$144)+Inputs!$F$152),Inputs!$F$153/100*Inputs!$F$149*Inputs!$F$154/1000*(1+Inputs!$F$187/100)^(Time!AU$4-Inputs!$F$186),0)</f>
        <v/>
      </c>
    </row>
    <row r="664">
      <c r="D664" t="inlineStr">
        <is>
          <t>R6 decommissioning at end of life</t>
        </is>
      </c>
      <c r="E664" t="inlineStr">
        <is>
          <t>USD m</t>
        </is>
      </c>
      <c r="J664" s="20">
        <f>IF(Time!J$4=YEAR(Inputs!$F$145),Inputs!$F$148*Inputs!$F$143/1000*Time!J$9,0)</f>
        <v/>
      </c>
      <c r="K664" s="20">
        <f>IF(Time!K$4=YEAR(Inputs!$F$145),Inputs!$F$148*Inputs!$F$143/1000*Time!K$9,0)</f>
        <v/>
      </c>
      <c r="L664" s="20">
        <f>IF(Time!L$4=YEAR(Inputs!$F$145),Inputs!$F$148*Inputs!$F$143/1000*Time!L$9,0)</f>
        <v/>
      </c>
      <c r="M664" s="20">
        <f>IF(Time!M$4=YEAR(Inputs!$F$145),Inputs!$F$148*Inputs!$F$143/1000*Time!M$9,0)</f>
        <v/>
      </c>
      <c r="N664" s="20">
        <f>IF(Time!N$4=YEAR(Inputs!$F$145),Inputs!$F$148*Inputs!$F$143/1000*Time!N$9,0)</f>
        <v/>
      </c>
      <c r="O664" s="20">
        <f>IF(Time!O$4=YEAR(Inputs!$F$145),Inputs!$F$148*Inputs!$F$143/1000*Time!O$9,0)</f>
        <v/>
      </c>
      <c r="P664" s="20">
        <f>IF(Time!P$4=YEAR(Inputs!$F$145),Inputs!$F$148*Inputs!$F$143/1000*Time!P$9,0)</f>
        <v/>
      </c>
      <c r="Q664" s="20">
        <f>IF(Time!Q$4=YEAR(Inputs!$F$145),Inputs!$F$148*Inputs!$F$143/1000*Time!Q$9,0)</f>
        <v/>
      </c>
      <c r="R664" s="20">
        <f>IF(Time!R$4=YEAR(Inputs!$F$145),Inputs!$F$148*Inputs!$F$143/1000*Time!R$9,0)</f>
        <v/>
      </c>
      <c r="S664" s="20">
        <f>IF(Time!S$4=YEAR(Inputs!$F$145),Inputs!$F$148*Inputs!$F$143/1000*Time!S$9,0)</f>
        <v/>
      </c>
      <c r="T664" s="20">
        <f>IF(Time!T$4=YEAR(Inputs!$F$145),Inputs!$F$148*Inputs!$F$143/1000*Time!T$9,0)</f>
        <v/>
      </c>
      <c r="U664" s="20">
        <f>IF(Time!U$4=YEAR(Inputs!$F$145),Inputs!$F$148*Inputs!$F$143/1000*Time!U$9,0)</f>
        <v/>
      </c>
      <c r="V664" s="20">
        <f>IF(Time!V$4=YEAR(Inputs!$F$145),Inputs!$F$148*Inputs!$F$143/1000*Time!V$9,0)</f>
        <v/>
      </c>
      <c r="W664" s="20">
        <f>IF(Time!W$4=YEAR(Inputs!$F$145),Inputs!$F$148*Inputs!$F$143/1000*Time!W$9,0)</f>
        <v/>
      </c>
      <c r="X664" s="20">
        <f>IF(Time!X$4=YEAR(Inputs!$F$145),Inputs!$F$148*Inputs!$F$143/1000*Time!X$9,0)</f>
        <v/>
      </c>
      <c r="Y664" s="20">
        <f>IF(Time!Y$4=YEAR(Inputs!$F$145),Inputs!$F$148*Inputs!$F$143/1000*Time!Y$9,0)</f>
        <v/>
      </c>
      <c r="Z664" s="20">
        <f>IF(Time!Z$4=YEAR(Inputs!$F$145),Inputs!$F$148*Inputs!$F$143/1000*Time!Z$9,0)</f>
        <v/>
      </c>
      <c r="AA664" s="20">
        <f>IF(Time!AA$4=YEAR(Inputs!$F$145),Inputs!$F$148*Inputs!$F$143/1000*Time!AA$9,0)</f>
        <v/>
      </c>
      <c r="AB664" s="20">
        <f>IF(Time!AB$4=YEAR(Inputs!$F$145),Inputs!$F$148*Inputs!$F$143/1000*Time!AB$9,0)</f>
        <v/>
      </c>
      <c r="AC664" s="20">
        <f>IF(Time!AC$4=YEAR(Inputs!$F$145),Inputs!$F$148*Inputs!$F$143/1000*Time!AC$9,0)</f>
        <v/>
      </c>
      <c r="AD664" s="20">
        <f>IF(Time!AD$4=YEAR(Inputs!$F$145),Inputs!$F$148*Inputs!$F$143/1000*Time!AD$9,0)</f>
        <v/>
      </c>
      <c r="AE664" s="20">
        <f>IF(Time!AE$4=YEAR(Inputs!$F$145),Inputs!$F$148*Inputs!$F$143/1000*Time!AE$9,0)</f>
        <v/>
      </c>
      <c r="AF664" s="20">
        <f>IF(Time!AF$4=YEAR(Inputs!$F$145),Inputs!$F$148*Inputs!$F$143/1000*Time!AF$9,0)</f>
        <v/>
      </c>
      <c r="AG664" s="20">
        <f>IF(Time!AG$4=YEAR(Inputs!$F$145),Inputs!$F$148*Inputs!$F$143/1000*Time!AG$9,0)</f>
        <v/>
      </c>
      <c r="AH664" s="20">
        <f>IF(Time!AH$4=YEAR(Inputs!$F$145),Inputs!$F$148*Inputs!$F$143/1000*Time!AH$9,0)</f>
        <v/>
      </c>
      <c r="AI664" s="20">
        <f>IF(Time!AI$4=YEAR(Inputs!$F$145),Inputs!$F$148*Inputs!$F$143/1000*Time!AI$9,0)</f>
        <v/>
      </c>
      <c r="AJ664" s="20">
        <f>IF(Time!AJ$4=YEAR(Inputs!$F$145),Inputs!$F$148*Inputs!$F$143/1000*Time!AJ$9,0)</f>
        <v/>
      </c>
      <c r="AK664" s="20">
        <f>IF(Time!AK$4=YEAR(Inputs!$F$145),Inputs!$F$148*Inputs!$F$143/1000*Time!AK$9,0)</f>
        <v/>
      </c>
      <c r="AL664" s="20">
        <f>IF(Time!AL$4=YEAR(Inputs!$F$145),Inputs!$F$148*Inputs!$F$143/1000*Time!AL$9,0)</f>
        <v/>
      </c>
      <c r="AM664" s="20">
        <f>IF(Time!AM$4=YEAR(Inputs!$F$145),Inputs!$F$148*Inputs!$F$143/1000*Time!AM$9,0)</f>
        <v/>
      </c>
      <c r="AN664" s="20">
        <f>IF(Time!AN$4=YEAR(Inputs!$F$145),Inputs!$F$148*Inputs!$F$143/1000*Time!AN$9,0)</f>
        <v/>
      </c>
      <c r="AO664" s="20">
        <f>IF(Time!AO$4=YEAR(Inputs!$F$145),Inputs!$F$148*Inputs!$F$143/1000*Time!AO$9,0)</f>
        <v/>
      </c>
      <c r="AP664" s="20">
        <f>IF(Time!AP$4=YEAR(Inputs!$F$145),Inputs!$F$148*Inputs!$F$143/1000*Time!AP$9,0)</f>
        <v/>
      </c>
      <c r="AQ664" s="20">
        <f>IF(Time!AQ$4=YEAR(Inputs!$F$145),Inputs!$F$148*Inputs!$F$143/1000*Time!AQ$9,0)</f>
        <v/>
      </c>
      <c r="AR664" s="20">
        <f>IF(Time!AR$4=YEAR(Inputs!$F$145),Inputs!$F$148*Inputs!$F$143/1000*Time!AR$9,0)</f>
        <v/>
      </c>
      <c r="AS664" s="20">
        <f>IF(Time!AS$4=YEAR(Inputs!$F$145),Inputs!$F$148*Inputs!$F$143/1000*Time!AS$9,0)</f>
        <v/>
      </c>
      <c r="AT664" s="20">
        <f>IF(Time!AT$4=YEAR(Inputs!$F$145),Inputs!$F$148*Inputs!$F$143/1000*Time!AT$9,0)</f>
        <v/>
      </c>
      <c r="AU664" s="20">
        <f>IF(Time!AU$4=YEAR(Inputs!$F$145),Inputs!$F$148*Inputs!$F$143/1000*Time!AU$9,0)</f>
        <v/>
      </c>
    </row>
    <row r="665">
      <c r="D665" t="inlineStr">
        <is>
          <t>R6 pre-tax cash flow, 100% of asset</t>
        </is>
      </c>
      <c r="E665" t="inlineStr">
        <is>
          <t>USD m</t>
        </is>
      </c>
      <c r="G665" s="20">
        <f>SUM(J665:AU665)</f>
        <v/>
      </c>
      <c r="J665" s="20">
        <f>Operations!J662-Operations!J663-Operations!J664</f>
        <v/>
      </c>
      <c r="K665" s="20">
        <f>Operations!K662-Operations!K663-Operations!K664</f>
        <v/>
      </c>
      <c r="L665" s="20">
        <f>Operations!L662-Operations!L663-Operations!L664</f>
        <v/>
      </c>
      <c r="M665" s="20">
        <f>Operations!M662-Operations!M663-Operations!M664</f>
        <v/>
      </c>
      <c r="N665" s="20">
        <f>Operations!N662-Operations!N663-Operations!N664</f>
        <v/>
      </c>
      <c r="O665" s="20">
        <f>Operations!O662-Operations!O663-Operations!O664</f>
        <v/>
      </c>
      <c r="P665" s="20">
        <f>Operations!P662-Operations!P663-Operations!P664</f>
        <v/>
      </c>
      <c r="Q665" s="20">
        <f>Operations!Q662-Operations!Q663-Operations!Q664</f>
        <v/>
      </c>
      <c r="R665" s="20">
        <f>Operations!R662-Operations!R663-Operations!R664</f>
        <v/>
      </c>
      <c r="S665" s="20">
        <f>Operations!S662-Operations!S663-Operations!S664</f>
        <v/>
      </c>
      <c r="T665" s="20">
        <f>Operations!T662-Operations!T663-Operations!T664</f>
        <v/>
      </c>
      <c r="U665" s="20">
        <f>Operations!U662-Operations!U663-Operations!U664</f>
        <v/>
      </c>
      <c r="V665" s="20">
        <f>Operations!V662-Operations!V663-Operations!V664</f>
        <v/>
      </c>
      <c r="W665" s="20">
        <f>Operations!W662-Operations!W663-Operations!W664</f>
        <v/>
      </c>
      <c r="X665" s="20">
        <f>Operations!X662-Operations!X663-Operations!X664</f>
        <v/>
      </c>
      <c r="Y665" s="20">
        <f>Operations!Y662-Operations!Y663-Operations!Y664</f>
        <v/>
      </c>
      <c r="Z665" s="20">
        <f>Operations!Z662-Operations!Z663-Operations!Z664</f>
        <v/>
      </c>
      <c r="AA665" s="20">
        <f>Operations!AA662-Operations!AA663-Operations!AA664</f>
        <v/>
      </c>
      <c r="AB665" s="20">
        <f>Operations!AB662-Operations!AB663-Operations!AB664</f>
        <v/>
      </c>
      <c r="AC665" s="20">
        <f>Operations!AC662-Operations!AC663-Operations!AC664</f>
        <v/>
      </c>
      <c r="AD665" s="20">
        <f>Operations!AD662-Operations!AD663-Operations!AD664</f>
        <v/>
      </c>
      <c r="AE665" s="20">
        <f>Operations!AE662-Operations!AE663-Operations!AE664</f>
        <v/>
      </c>
      <c r="AF665" s="20">
        <f>Operations!AF662-Operations!AF663-Operations!AF664</f>
        <v/>
      </c>
      <c r="AG665" s="20">
        <f>Operations!AG662-Operations!AG663-Operations!AG664</f>
        <v/>
      </c>
      <c r="AH665" s="20">
        <f>Operations!AH662-Operations!AH663-Operations!AH664</f>
        <v/>
      </c>
      <c r="AI665" s="20">
        <f>Operations!AI662-Operations!AI663-Operations!AI664</f>
        <v/>
      </c>
      <c r="AJ665" s="20">
        <f>Operations!AJ662-Operations!AJ663-Operations!AJ664</f>
        <v/>
      </c>
      <c r="AK665" s="20">
        <f>Operations!AK662-Operations!AK663-Operations!AK664</f>
        <v/>
      </c>
      <c r="AL665" s="20">
        <f>Operations!AL662-Operations!AL663-Operations!AL664</f>
        <v/>
      </c>
      <c r="AM665" s="20">
        <f>Operations!AM662-Operations!AM663-Operations!AM664</f>
        <v/>
      </c>
      <c r="AN665" s="20">
        <f>Operations!AN662-Operations!AN663-Operations!AN664</f>
        <v/>
      </c>
      <c r="AO665" s="20">
        <f>Operations!AO662-Operations!AO663-Operations!AO664</f>
        <v/>
      </c>
      <c r="AP665" s="20">
        <f>Operations!AP662-Operations!AP663-Operations!AP664</f>
        <v/>
      </c>
      <c r="AQ665" s="20">
        <f>Operations!AQ662-Operations!AQ663-Operations!AQ664</f>
        <v/>
      </c>
      <c r="AR665" s="20">
        <f>Operations!AR662-Operations!AR663-Operations!AR664</f>
        <v/>
      </c>
      <c r="AS665" s="20">
        <f>Operations!AS662-Operations!AS663-Operations!AS664</f>
        <v/>
      </c>
      <c r="AT665" s="20">
        <f>Operations!AT662-Operations!AT663-Operations!AT664</f>
        <v/>
      </c>
      <c r="AU665" s="20">
        <f>Operations!AU662-Operations!AU663-Operations!AU664</f>
        <v/>
      </c>
    </row>
    <row r="666">
      <c r="D666" t="inlineStr">
        <is>
          <t>R6 tax equity cash share</t>
        </is>
      </c>
      <c r="E666" t="inlineStr">
        <is>
          <t>fraction</t>
        </is>
      </c>
      <c r="J666" s="14">
        <f>0</f>
        <v/>
      </c>
      <c r="K666" s="14">
        <f>0</f>
        <v/>
      </c>
      <c r="L666" s="14">
        <f>0</f>
        <v/>
      </c>
      <c r="M666" s="14">
        <f>0</f>
        <v/>
      </c>
      <c r="N666" s="14">
        <f>0</f>
        <v/>
      </c>
      <c r="O666" s="14">
        <f>0</f>
        <v/>
      </c>
      <c r="P666" s="14">
        <f>0</f>
        <v/>
      </c>
      <c r="Q666" s="14">
        <f>0</f>
        <v/>
      </c>
      <c r="R666" s="14">
        <f>0</f>
        <v/>
      </c>
      <c r="S666" s="14">
        <f>0</f>
        <v/>
      </c>
      <c r="T666" s="14">
        <f>0</f>
        <v/>
      </c>
      <c r="U666" s="14">
        <f>0</f>
        <v/>
      </c>
      <c r="V666" s="14">
        <f>0</f>
        <v/>
      </c>
      <c r="W666" s="14">
        <f>0</f>
        <v/>
      </c>
      <c r="X666" s="14">
        <f>0</f>
        <v/>
      </c>
      <c r="Y666" s="14">
        <f>0</f>
        <v/>
      </c>
      <c r="Z666" s="14">
        <f>0</f>
        <v/>
      </c>
      <c r="AA666" s="14">
        <f>0</f>
        <v/>
      </c>
      <c r="AB666" s="14">
        <f>0</f>
        <v/>
      </c>
      <c r="AC666" s="14">
        <f>0</f>
        <v/>
      </c>
      <c r="AD666" s="14">
        <f>0</f>
        <v/>
      </c>
      <c r="AE666" s="14">
        <f>0</f>
        <v/>
      </c>
      <c r="AF666" s="14">
        <f>0</f>
        <v/>
      </c>
      <c r="AG666" s="14">
        <f>0</f>
        <v/>
      </c>
      <c r="AH666" s="14">
        <f>0</f>
        <v/>
      </c>
      <c r="AI666" s="14">
        <f>0</f>
        <v/>
      </c>
      <c r="AJ666" s="14">
        <f>0</f>
        <v/>
      </c>
      <c r="AK666" s="14">
        <f>0</f>
        <v/>
      </c>
      <c r="AL666" s="14">
        <f>0</f>
        <v/>
      </c>
      <c r="AM666" s="14">
        <f>0</f>
        <v/>
      </c>
      <c r="AN666" s="14">
        <f>0</f>
        <v/>
      </c>
      <c r="AO666" s="14">
        <f>0</f>
        <v/>
      </c>
      <c r="AP666" s="14">
        <f>0</f>
        <v/>
      </c>
      <c r="AQ666" s="14">
        <f>0</f>
        <v/>
      </c>
      <c r="AR666" s="14">
        <f>0</f>
        <v/>
      </c>
      <c r="AS666" s="14">
        <f>0</f>
        <v/>
      </c>
      <c r="AT666" s="14">
        <f>0</f>
        <v/>
      </c>
      <c r="AU666" s="14">
        <f>0</f>
        <v/>
      </c>
    </row>
    <row r="667">
      <c r="D667" t="inlineStr">
        <is>
          <t>R6 Mesa share of taxable income</t>
        </is>
      </c>
      <c r="E667" t="inlineStr">
        <is>
          <t>fraction</t>
        </is>
      </c>
      <c r="J667" s="14">
        <f>1</f>
        <v/>
      </c>
      <c r="K667" s="14">
        <f>1</f>
        <v/>
      </c>
      <c r="L667" s="14">
        <f>1</f>
        <v/>
      </c>
      <c r="M667" s="14">
        <f>1</f>
        <v/>
      </c>
      <c r="N667" s="14">
        <f>1</f>
        <v/>
      </c>
      <c r="O667" s="14">
        <f>1</f>
        <v/>
      </c>
      <c r="P667" s="14">
        <f>1</f>
        <v/>
      </c>
      <c r="Q667" s="14">
        <f>1</f>
        <v/>
      </c>
      <c r="R667" s="14">
        <f>1</f>
        <v/>
      </c>
      <c r="S667" s="14">
        <f>1</f>
        <v/>
      </c>
      <c r="T667" s="14">
        <f>1</f>
        <v/>
      </c>
      <c r="U667" s="14">
        <f>1</f>
        <v/>
      </c>
      <c r="V667" s="14">
        <f>1</f>
        <v/>
      </c>
      <c r="W667" s="14">
        <f>1</f>
        <v/>
      </c>
      <c r="X667" s="14">
        <f>1</f>
        <v/>
      </c>
      <c r="Y667" s="14">
        <f>1</f>
        <v/>
      </c>
      <c r="Z667" s="14">
        <f>1</f>
        <v/>
      </c>
      <c r="AA667" s="14">
        <f>1</f>
        <v/>
      </c>
      <c r="AB667" s="14">
        <f>1</f>
        <v/>
      </c>
      <c r="AC667" s="14">
        <f>1</f>
        <v/>
      </c>
      <c r="AD667" s="14">
        <f>1</f>
        <v/>
      </c>
      <c r="AE667" s="14">
        <f>1</f>
        <v/>
      </c>
      <c r="AF667" s="14">
        <f>1</f>
        <v/>
      </c>
      <c r="AG667" s="14">
        <f>1</f>
        <v/>
      </c>
      <c r="AH667" s="14">
        <f>1</f>
        <v/>
      </c>
      <c r="AI667" s="14">
        <f>1</f>
        <v/>
      </c>
      <c r="AJ667" s="14">
        <f>1</f>
        <v/>
      </c>
      <c r="AK667" s="14">
        <f>1</f>
        <v/>
      </c>
      <c r="AL667" s="14">
        <f>1</f>
        <v/>
      </c>
      <c r="AM667" s="14">
        <f>1</f>
        <v/>
      </c>
      <c r="AN667" s="14">
        <f>1</f>
        <v/>
      </c>
      <c r="AO667" s="14">
        <f>1</f>
        <v/>
      </c>
      <c r="AP667" s="14">
        <f>1</f>
        <v/>
      </c>
      <c r="AQ667" s="14">
        <f>1</f>
        <v/>
      </c>
      <c r="AR667" s="14">
        <f>1</f>
        <v/>
      </c>
      <c r="AS667" s="14">
        <f>1</f>
        <v/>
      </c>
      <c r="AT667" s="14">
        <f>1</f>
        <v/>
      </c>
      <c r="AU667" s="14">
        <f>1</f>
        <v/>
      </c>
    </row>
    <row r="668">
      <c r="D668" t="inlineStr">
        <is>
          <t>R6 Mesa share of cash flow</t>
        </is>
      </c>
      <c r="E668" t="inlineStr">
        <is>
          <t>USD m</t>
        </is>
      </c>
      <c r="G668" s="20">
        <f>SUM(J668:AU668)</f>
        <v/>
      </c>
      <c r="J668" s="20">
        <f>Operations!J665*(1-Operations!J666)*Operations!J649</f>
        <v/>
      </c>
      <c r="K668" s="20">
        <f>Operations!K665*(1-Operations!K666)*Operations!K649</f>
        <v/>
      </c>
      <c r="L668" s="20">
        <f>Operations!L665*(1-Operations!L666)*Operations!L649</f>
        <v/>
      </c>
      <c r="M668" s="20">
        <f>Operations!M665*(1-Operations!M666)*Operations!M649</f>
        <v/>
      </c>
      <c r="N668" s="20">
        <f>Operations!N665*(1-Operations!N666)*Operations!N649</f>
        <v/>
      </c>
      <c r="O668" s="20">
        <f>Operations!O665*(1-Operations!O666)*Operations!O649</f>
        <v/>
      </c>
      <c r="P668" s="20">
        <f>Operations!P665*(1-Operations!P666)*Operations!P649</f>
        <v/>
      </c>
      <c r="Q668" s="20">
        <f>Operations!Q665*(1-Operations!Q666)*Operations!Q649</f>
        <v/>
      </c>
      <c r="R668" s="20">
        <f>Operations!R665*(1-Operations!R666)*Operations!R649</f>
        <v/>
      </c>
      <c r="S668" s="20">
        <f>Operations!S665*(1-Operations!S666)*Operations!S649</f>
        <v/>
      </c>
      <c r="T668" s="20">
        <f>Operations!T665*(1-Operations!T666)*Operations!T649</f>
        <v/>
      </c>
      <c r="U668" s="20">
        <f>Operations!U665*(1-Operations!U666)*Operations!U649</f>
        <v/>
      </c>
      <c r="V668" s="20">
        <f>Operations!V665*(1-Operations!V666)*Operations!V649</f>
        <v/>
      </c>
      <c r="W668" s="20">
        <f>Operations!W665*(1-Operations!W666)*Operations!W649</f>
        <v/>
      </c>
      <c r="X668" s="20">
        <f>Operations!X665*(1-Operations!X666)*Operations!X649</f>
        <v/>
      </c>
      <c r="Y668" s="20">
        <f>Operations!Y665*(1-Operations!Y666)*Operations!Y649</f>
        <v/>
      </c>
      <c r="Z668" s="20">
        <f>Operations!Z665*(1-Operations!Z666)*Operations!Z649</f>
        <v/>
      </c>
      <c r="AA668" s="20">
        <f>Operations!AA665*(1-Operations!AA666)*Operations!AA649</f>
        <v/>
      </c>
      <c r="AB668" s="20">
        <f>Operations!AB665*(1-Operations!AB666)*Operations!AB649</f>
        <v/>
      </c>
      <c r="AC668" s="20">
        <f>Operations!AC665*(1-Operations!AC666)*Operations!AC649</f>
        <v/>
      </c>
      <c r="AD668" s="20">
        <f>Operations!AD665*(1-Operations!AD666)*Operations!AD649</f>
        <v/>
      </c>
      <c r="AE668" s="20">
        <f>Operations!AE665*(1-Operations!AE666)*Operations!AE649</f>
        <v/>
      </c>
      <c r="AF668" s="20">
        <f>Operations!AF665*(1-Operations!AF666)*Operations!AF649</f>
        <v/>
      </c>
      <c r="AG668" s="20">
        <f>Operations!AG665*(1-Operations!AG666)*Operations!AG649</f>
        <v/>
      </c>
      <c r="AH668" s="20">
        <f>Operations!AH665*(1-Operations!AH666)*Operations!AH649</f>
        <v/>
      </c>
      <c r="AI668" s="20">
        <f>Operations!AI665*(1-Operations!AI666)*Operations!AI649</f>
        <v/>
      </c>
      <c r="AJ668" s="20">
        <f>Operations!AJ665*(1-Operations!AJ666)*Operations!AJ649</f>
        <v/>
      </c>
      <c r="AK668" s="20">
        <f>Operations!AK665*(1-Operations!AK666)*Operations!AK649</f>
        <v/>
      </c>
      <c r="AL668" s="20">
        <f>Operations!AL665*(1-Operations!AL666)*Operations!AL649</f>
        <v/>
      </c>
      <c r="AM668" s="20">
        <f>Operations!AM665*(1-Operations!AM666)*Operations!AM649</f>
        <v/>
      </c>
      <c r="AN668" s="20">
        <f>Operations!AN665*(1-Operations!AN666)*Operations!AN649</f>
        <v/>
      </c>
      <c r="AO668" s="20">
        <f>Operations!AO665*(1-Operations!AO666)*Operations!AO649</f>
        <v/>
      </c>
      <c r="AP668" s="20">
        <f>Operations!AP665*(1-Operations!AP666)*Operations!AP649</f>
        <v/>
      </c>
      <c r="AQ668" s="20">
        <f>Operations!AQ665*(1-Operations!AQ666)*Operations!AQ649</f>
        <v/>
      </c>
      <c r="AR668" s="20">
        <f>Operations!AR665*(1-Operations!AR666)*Operations!AR649</f>
        <v/>
      </c>
      <c r="AS668" s="20">
        <f>Operations!AS665*(1-Operations!AS666)*Operations!AS649</f>
        <v/>
      </c>
      <c r="AT668" s="20">
        <f>Operations!AT665*(1-Operations!AT666)*Operations!AT649</f>
        <v/>
      </c>
      <c r="AU668" s="20">
        <f>Operations!AU665*(1-Operations!AU666)*Operations!AU649</f>
        <v/>
      </c>
    </row>
    <row r="669">
      <c r="D669" t="inlineStr">
        <is>
          <t>R6 Mesa taxable operating income</t>
        </is>
      </c>
      <c r="E669" t="inlineStr">
        <is>
          <t>USD m</t>
        </is>
      </c>
      <c r="J669" s="20">
        <f>Operations!J665*Operations!J667*Operations!J649</f>
        <v/>
      </c>
      <c r="K669" s="20">
        <f>Operations!K665*Operations!K667*Operations!K649</f>
        <v/>
      </c>
      <c r="L669" s="20">
        <f>Operations!L665*Operations!L667*Operations!L649</f>
        <v/>
      </c>
      <c r="M669" s="20">
        <f>Operations!M665*Operations!M667*Operations!M649</f>
        <v/>
      </c>
      <c r="N669" s="20">
        <f>Operations!N665*Operations!N667*Operations!N649</f>
        <v/>
      </c>
      <c r="O669" s="20">
        <f>Operations!O665*Operations!O667*Operations!O649</f>
        <v/>
      </c>
      <c r="P669" s="20">
        <f>Operations!P665*Operations!P667*Operations!P649</f>
        <v/>
      </c>
      <c r="Q669" s="20">
        <f>Operations!Q665*Operations!Q667*Operations!Q649</f>
        <v/>
      </c>
      <c r="R669" s="20">
        <f>Operations!R665*Operations!R667*Operations!R649</f>
        <v/>
      </c>
      <c r="S669" s="20">
        <f>Operations!S665*Operations!S667*Operations!S649</f>
        <v/>
      </c>
      <c r="T669" s="20">
        <f>Operations!T665*Operations!T667*Operations!T649</f>
        <v/>
      </c>
      <c r="U669" s="20">
        <f>Operations!U665*Operations!U667*Operations!U649</f>
        <v/>
      </c>
      <c r="V669" s="20">
        <f>Operations!V665*Operations!V667*Operations!V649</f>
        <v/>
      </c>
      <c r="W669" s="20">
        <f>Operations!W665*Operations!W667*Operations!W649</f>
        <v/>
      </c>
      <c r="X669" s="20">
        <f>Operations!X665*Operations!X667*Operations!X649</f>
        <v/>
      </c>
      <c r="Y669" s="20">
        <f>Operations!Y665*Operations!Y667*Operations!Y649</f>
        <v/>
      </c>
      <c r="Z669" s="20">
        <f>Operations!Z665*Operations!Z667*Operations!Z649</f>
        <v/>
      </c>
      <c r="AA669" s="20">
        <f>Operations!AA665*Operations!AA667*Operations!AA649</f>
        <v/>
      </c>
      <c r="AB669" s="20">
        <f>Operations!AB665*Operations!AB667*Operations!AB649</f>
        <v/>
      </c>
      <c r="AC669" s="20">
        <f>Operations!AC665*Operations!AC667*Operations!AC649</f>
        <v/>
      </c>
      <c r="AD669" s="20">
        <f>Operations!AD665*Operations!AD667*Operations!AD649</f>
        <v/>
      </c>
      <c r="AE669" s="20">
        <f>Operations!AE665*Operations!AE667*Operations!AE649</f>
        <v/>
      </c>
      <c r="AF669" s="20">
        <f>Operations!AF665*Operations!AF667*Operations!AF649</f>
        <v/>
      </c>
      <c r="AG669" s="20">
        <f>Operations!AG665*Operations!AG667*Operations!AG649</f>
        <v/>
      </c>
      <c r="AH669" s="20">
        <f>Operations!AH665*Operations!AH667*Operations!AH649</f>
        <v/>
      </c>
      <c r="AI669" s="20">
        <f>Operations!AI665*Operations!AI667*Operations!AI649</f>
        <v/>
      </c>
      <c r="AJ669" s="20">
        <f>Operations!AJ665*Operations!AJ667*Operations!AJ649</f>
        <v/>
      </c>
      <c r="AK669" s="20">
        <f>Operations!AK665*Operations!AK667*Operations!AK649</f>
        <v/>
      </c>
      <c r="AL669" s="20">
        <f>Operations!AL665*Operations!AL667*Operations!AL649</f>
        <v/>
      </c>
      <c r="AM669" s="20">
        <f>Operations!AM665*Operations!AM667*Operations!AM649</f>
        <v/>
      </c>
      <c r="AN669" s="20">
        <f>Operations!AN665*Operations!AN667*Operations!AN649</f>
        <v/>
      </c>
      <c r="AO669" s="20">
        <f>Operations!AO665*Operations!AO667*Operations!AO649</f>
        <v/>
      </c>
      <c r="AP669" s="20">
        <f>Operations!AP665*Operations!AP667*Operations!AP649</f>
        <v/>
      </c>
      <c r="AQ669" s="20">
        <f>Operations!AQ665*Operations!AQ667*Operations!AQ649</f>
        <v/>
      </c>
      <c r="AR669" s="20">
        <f>Operations!AR665*Operations!AR667*Operations!AR649</f>
        <v/>
      </c>
      <c r="AS669" s="20">
        <f>Operations!AS665*Operations!AS667*Operations!AS649</f>
        <v/>
      </c>
      <c r="AT669" s="20">
        <f>Operations!AT665*Operations!AT667*Operations!AT649</f>
        <v/>
      </c>
      <c r="AU669" s="20">
        <f>Operations!AU665*Operations!AU667*Operations!AU649</f>
        <v/>
      </c>
    </row>
    <row r="670">
      <c r="D670" t="inlineStr">
        <is>
          <t>R6 Mesa unlevered post-tax cash flow (before price shield)</t>
        </is>
      </c>
      <c r="E670" t="inlineStr">
        <is>
          <t>USD m</t>
        </is>
      </c>
      <c r="J670" s="20">
        <f>Operations!J668-Inputs!$F$241/100*Operations!J669</f>
        <v/>
      </c>
      <c r="K670" s="20">
        <f>Operations!K668-Inputs!$F$241/100*Operations!K669</f>
        <v/>
      </c>
      <c r="L670" s="20">
        <f>Operations!L668-Inputs!$F$241/100*Operations!L669</f>
        <v/>
      </c>
      <c r="M670" s="20">
        <f>Operations!M668-Inputs!$F$241/100*Operations!M669</f>
        <v/>
      </c>
      <c r="N670" s="20">
        <f>Operations!N668-Inputs!$F$241/100*Operations!N669</f>
        <v/>
      </c>
      <c r="O670" s="20">
        <f>Operations!O668-Inputs!$F$241/100*Operations!O669</f>
        <v/>
      </c>
      <c r="P670" s="20">
        <f>Operations!P668-Inputs!$F$241/100*Operations!P669</f>
        <v/>
      </c>
      <c r="Q670" s="20">
        <f>Operations!Q668-Inputs!$F$241/100*Operations!Q669</f>
        <v/>
      </c>
      <c r="R670" s="20">
        <f>Operations!R668-Inputs!$F$241/100*Operations!R669</f>
        <v/>
      </c>
      <c r="S670" s="20">
        <f>Operations!S668-Inputs!$F$241/100*Operations!S669</f>
        <v/>
      </c>
      <c r="T670" s="20">
        <f>Operations!T668-Inputs!$F$241/100*Operations!T669</f>
        <v/>
      </c>
      <c r="U670" s="20">
        <f>Operations!U668-Inputs!$F$241/100*Operations!U669</f>
        <v/>
      </c>
      <c r="V670" s="20">
        <f>Operations!V668-Inputs!$F$241/100*Operations!V669</f>
        <v/>
      </c>
      <c r="W670" s="20">
        <f>Operations!W668-Inputs!$F$241/100*Operations!W669</f>
        <v/>
      </c>
      <c r="X670" s="20">
        <f>Operations!X668-Inputs!$F$241/100*Operations!X669</f>
        <v/>
      </c>
      <c r="Y670" s="20">
        <f>Operations!Y668-Inputs!$F$241/100*Operations!Y669</f>
        <v/>
      </c>
      <c r="Z670" s="20">
        <f>Operations!Z668-Inputs!$F$241/100*Operations!Z669</f>
        <v/>
      </c>
      <c r="AA670" s="20">
        <f>Operations!AA668-Inputs!$F$241/100*Operations!AA669</f>
        <v/>
      </c>
      <c r="AB670" s="20">
        <f>Operations!AB668-Inputs!$F$241/100*Operations!AB669</f>
        <v/>
      </c>
      <c r="AC670" s="20">
        <f>Operations!AC668-Inputs!$F$241/100*Operations!AC669</f>
        <v/>
      </c>
      <c r="AD670" s="20">
        <f>Operations!AD668-Inputs!$F$241/100*Operations!AD669</f>
        <v/>
      </c>
      <c r="AE670" s="20">
        <f>Operations!AE668-Inputs!$F$241/100*Operations!AE669</f>
        <v/>
      </c>
      <c r="AF670" s="20">
        <f>Operations!AF668-Inputs!$F$241/100*Operations!AF669</f>
        <v/>
      </c>
      <c r="AG670" s="20">
        <f>Operations!AG668-Inputs!$F$241/100*Operations!AG669</f>
        <v/>
      </c>
      <c r="AH670" s="20">
        <f>Operations!AH668-Inputs!$F$241/100*Operations!AH669</f>
        <v/>
      </c>
      <c r="AI670" s="20">
        <f>Operations!AI668-Inputs!$F$241/100*Operations!AI669</f>
        <v/>
      </c>
      <c r="AJ670" s="20">
        <f>Operations!AJ668-Inputs!$F$241/100*Operations!AJ669</f>
        <v/>
      </c>
      <c r="AK670" s="20">
        <f>Operations!AK668-Inputs!$F$241/100*Operations!AK669</f>
        <v/>
      </c>
      <c r="AL670" s="20">
        <f>Operations!AL668-Inputs!$F$241/100*Operations!AL669</f>
        <v/>
      </c>
      <c r="AM670" s="20">
        <f>Operations!AM668-Inputs!$F$241/100*Operations!AM669</f>
        <v/>
      </c>
      <c r="AN670" s="20">
        <f>Operations!AN668-Inputs!$F$241/100*Operations!AN669</f>
        <v/>
      </c>
      <c r="AO670" s="20">
        <f>Operations!AO668-Inputs!$F$241/100*Operations!AO669</f>
        <v/>
      </c>
      <c r="AP670" s="20">
        <f>Operations!AP668-Inputs!$F$241/100*Operations!AP669</f>
        <v/>
      </c>
      <c r="AQ670" s="20">
        <f>Operations!AQ668-Inputs!$F$241/100*Operations!AQ669</f>
        <v/>
      </c>
      <c r="AR670" s="20">
        <f>Operations!AR668-Inputs!$F$241/100*Operations!AR669</f>
        <v/>
      </c>
      <c r="AS670" s="20">
        <f>Operations!AS668-Inputs!$F$241/100*Operations!AS669</f>
        <v/>
      </c>
      <c r="AT670" s="20">
        <f>Operations!AT668-Inputs!$F$241/100*Operations!AT669</f>
        <v/>
      </c>
      <c r="AU670" s="20">
        <f>Operations!AU668-Inputs!$F$241/100*Operations!AU669</f>
        <v/>
      </c>
    </row>
    <row r="671">
      <c r="D671" t="inlineStr">
        <is>
          <t>R6 contracted share of revenue</t>
        </is>
      </c>
      <c r="E671" t="inlineStr">
        <is>
          <t>fraction</t>
        </is>
      </c>
      <c r="J671" s="14">
        <f>IF(Operations!J656=0,0,Operations!J654/Operations!J656)</f>
        <v/>
      </c>
      <c r="K671" s="14">
        <f>IF(Operations!K656=0,0,Operations!K654/Operations!K656)</f>
        <v/>
      </c>
      <c r="L671" s="14">
        <f>IF(Operations!L656=0,0,Operations!L654/Operations!L656)</f>
        <v/>
      </c>
      <c r="M671" s="14">
        <f>IF(Operations!M656=0,0,Operations!M654/Operations!M656)</f>
        <v/>
      </c>
      <c r="N671" s="14">
        <f>IF(Operations!N656=0,0,Operations!N654/Operations!N656)</f>
        <v/>
      </c>
      <c r="O671" s="14">
        <f>IF(Operations!O656=0,0,Operations!O654/Operations!O656)</f>
        <v/>
      </c>
      <c r="P671" s="14">
        <f>IF(Operations!P656=0,0,Operations!P654/Operations!P656)</f>
        <v/>
      </c>
      <c r="Q671" s="14">
        <f>IF(Operations!Q656=0,0,Operations!Q654/Operations!Q656)</f>
        <v/>
      </c>
      <c r="R671" s="14">
        <f>IF(Operations!R656=0,0,Operations!R654/Operations!R656)</f>
        <v/>
      </c>
      <c r="S671" s="14">
        <f>IF(Operations!S656=0,0,Operations!S654/Operations!S656)</f>
        <v/>
      </c>
      <c r="T671" s="14">
        <f>IF(Operations!T656=0,0,Operations!T654/Operations!T656)</f>
        <v/>
      </c>
      <c r="U671" s="14">
        <f>IF(Operations!U656=0,0,Operations!U654/Operations!U656)</f>
        <v/>
      </c>
      <c r="V671" s="14">
        <f>IF(Operations!V656=0,0,Operations!V654/Operations!V656)</f>
        <v/>
      </c>
      <c r="W671" s="14">
        <f>IF(Operations!W656=0,0,Operations!W654/Operations!W656)</f>
        <v/>
      </c>
      <c r="X671" s="14">
        <f>IF(Operations!X656=0,0,Operations!X654/Operations!X656)</f>
        <v/>
      </c>
      <c r="Y671" s="14">
        <f>IF(Operations!Y656=0,0,Operations!Y654/Operations!Y656)</f>
        <v/>
      </c>
      <c r="Z671" s="14">
        <f>IF(Operations!Z656=0,0,Operations!Z654/Operations!Z656)</f>
        <v/>
      </c>
      <c r="AA671" s="14">
        <f>IF(Operations!AA656=0,0,Operations!AA654/Operations!AA656)</f>
        <v/>
      </c>
      <c r="AB671" s="14">
        <f>IF(Operations!AB656=0,0,Operations!AB654/Operations!AB656)</f>
        <v/>
      </c>
      <c r="AC671" s="14">
        <f>IF(Operations!AC656=0,0,Operations!AC654/Operations!AC656)</f>
        <v/>
      </c>
      <c r="AD671" s="14">
        <f>IF(Operations!AD656=0,0,Operations!AD654/Operations!AD656)</f>
        <v/>
      </c>
      <c r="AE671" s="14">
        <f>IF(Operations!AE656=0,0,Operations!AE654/Operations!AE656)</f>
        <v/>
      </c>
      <c r="AF671" s="14">
        <f>IF(Operations!AF656=0,0,Operations!AF654/Operations!AF656)</f>
        <v/>
      </c>
      <c r="AG671" s="14">
        <f>IF(Operations!AG656=0,0,Operations!AG654/Operations!AG656)</f>
        <v/>
      </c>
      <c r="AH671" s="14">
        <f>IF(Operations!AH656=0,0,Operations!AH654/Operations!AH656)</f>
        <v/>
      </c>
      <c r="AI671" s="14">
        <f>IF(Operations!AI656=0,0,Operations!AI654/Operations!AI656)</f>
        <v/>
      </c>
      <c r="AJ671" s="14">
        <f>IF(Operations!AJ656=0,0,Operations!AJ654/Operations!AJ656)</f>
        <v/>
      </c>
      <c r="AK671" s="14">
        <f>IF(Operations!AK656=0,0,Operations!AK654/Operations!AK656)</f>
        <v/>
      </c>
      <c r="AL671" s="14">
        <f>IF(Operations!AL656=0,0,Operations!AL654/Operations!AL656)</f>
        <v/>
      </c>
      <c r="AM671" s="14">
        <f>IF(Operations!AM656=0,0,Operations!AM654/Operations!AM656)</f>
        <v/>
      </c>
      <c r="AN671" s="14">
        <f>IF(Operations!AN656=0,0,Operations!AN654/Operations!AN656)</f>
        <v/>
      </c>
      <c r="AO671" s="14">
        <f>IF(Operations!AO656=0,0,Operations!AO654/Operations!AO656)</f>
        <v/>
      </c>
      <c r="AP671" s="14">
        <f>IF(Operations!AP656=0,0,Operations!AP654/Operations!AP656)</f>
        <v/>
      </c>
      <c r="AQ671" s="14">
        <f>IF(Operations!AQ656=0,0,Operations!AQ654/Operations!AQ656)</f>
        <v/>
      </c>
      <c r="AR671" s="14">
        <f>IF(Operations!AR656=0,0,Operations!AR654/Operations!AR656)</f>
        <v/>
      </c>
      <c r="AS671" s="14">
        <f>IF(Operations!AS656=0,0,Operations!AS654/Operations!AS656)</f>
        <v/>
      </c>
      <c r="AT671" s="14">
        <f>IF(Operations!AT656=0,0,Operations!AT654/Operations!AT656)</f>
        <v/>
      </c>
      <c r="AU671" s="14">
        <f>IF(Operations!AU656=0,0,Operations!AU654/Operations!AU656)</f>
        <v/>
      </c>
    </row>
    <row r="672">
      <c r="D672" t="inlineStr">
        <is>
          <t>R6 hedged share of revenue</t>
        </is>
      </c>
      <c r="E672" t="inlineStr">
        <is>
          <t>fraction</t>
        </is>
      </c>
      <c r="J672" s="14">
        <f>IF(Operations!J656=0,0,Operations!J655/Operations!J656)</f>
        <v/>
      </c>
      <c r="K672" s="14">
        <f>IF(Operations!K656=0,0,Operations!K655/Operations!K656)</f>
        <v/>
      </c>
      <c r="L672" s="14">
        <f>IF(Operations!L656=0,0,Operations!L655/Operations!L656)</f>
        <v/>
      </c>
      <c r="M672" s="14">
        <f>IF(Operations!M656=0,0,Operations!M655/Operations!M656)</f>
        <v/>
      </c>
      <c r="N672" s="14">
        <f>IF(Operations!N656=0,0,Operations!N655/Operations!N656)</f>
        <v/>
      </c>
      <c r="O672" s="14">
        <f>IF(Operations!O656=0,0,Operations!O655/Operations!O656)</f>
        <v/>
      </c>
      <c r="P672" s="14">
        <f>IF(Operations!P656=0,0,Operations!P655/Operations!P656)</f>
        <v/>
      </c>
      <c r="Q672" s="14">
        <f>IF(Operations!Q656=0,0,Operations!Q655/Operations!Q656)</f>
        <v/>
      </c>
      <c r="R672" s="14">
        <f>IF(Operations!R656=0,0,Operations!R655/Operations!R656)</f>
        <v/>
      </c>
      <c r="S672" s="14">
        <f>IF(Operations!S656=0,0,Operations!S655/Operations!S656)</f>
        <v/>
      </c>
      <c r="T672" s="14">
        <f>IF(Operations!T656=0,0,Operations!T655/Operations!T656)</f>
        <v/>
      </c>
      <c r="U672" s="14">
        <f>IF(Operations!U656=0,0,Operations!U655/Operations!U656)</f>
        <v/>
      </c>
      <c r="V672" s="14">
        <f>IF(Operations!V656=0,0,Operations!V655/Operations!V656)</f>
        <v/>
      </c>
      <c r="W672" s="14">
        <f>IF(Operations!W656=0,0,Operations!W655/Operations!W656)</f>
        <v/>
      </c>
      <c r="X672" s="14">
        <f>IF(Operations!X656=0,0,Operations!X655/Operations!X656)</f>
        <v/>
      </c>
      <c r="Y672" s="14">
        <f>IF(Operations!Y656=0,0,Operations!Y655/Operations!Y656)</f>
        <v/>
      </c>
      <c r="Z672" s="14">
        <f>IF(Operations!Z656=0,0,Operations!Z655/Operations!Z656)</f>
        <v/>
      </c>
      <c r="AA672" s="14">
        <f>IF(Operations!AA656=0,0,Operations!AA655/Operations!AA656)</f>
        <v/>
      </c>
      <c r="AB672" s="14">
        <f>IF(Operations!AB656=0,0,Operations!AB655/Operations!AB656)</f>
        <v/>
      </c>
      <c r="AC672" s="14">
        <f>IF(Operations!AC656=0,0,Operations!AC655/Operations!AC656)</f>
        <v/>
      </c>
      <c r="AD672" s="14">
        <f>IF(Operations!AD656=0,0,Operations!AD655/Operations!AD656)</f>
        <v/>
      </c>
      <c r="AE672" s="14">
        <f>IF(Operations!AE656=0,0,Operations!AE655/Operations!AE656)</f>
        <v/>
      </c>
      <c r="AF672" s="14">
        <f>IF(Operations!AF656=0,0,Operations!AF655/Operations!AF656)</f>
        <v/>
      </c>
      <c r="AG672" s="14">
        <f>IF(Operations!AG656=0,0,Operations!AG655/Operations!AG656)</f>
        <v/>
      </c>
      <c r="AH672" s="14">
        <f>IF(Operations!AH656=0,0,Operations!AH655/Operations!AH656)</f>
        <v/>
      </c>
      <c r="AI672" s="14">
        <f>IF(Operations!AI656=0,0,Operations!AI655/Operations!AI656)</f>
        <v/>
      </c>
      <c r="AJ672" s="14">
        <f>IF(Operations!AJ656=0,0,Operations!AJ655/Operations!AJ656)</f>
        <v/>
      </c>
      <c r="AK672" s="14">
        <f>IF(Operations!AK656=0,0,Operations!AK655/Operations!AK656)</f>
        <v/>
      </c>
      <c r="AL672" s="14">
        <f>IF(Operations!AL656=0,0,Operations!AL655/Operations!AL656)</f>
        <v/>
      </c>
      <c r="AM672" s="14">
        <f>IF(Operations!AM656=0,0,Operations!AM655/Operations!AM656)</f>
        <v/>
      </c>
      <c r="AN672" s="14">
        <f>IF(Operations!AN656=0,0,Operations!AN655/Operations!AN656)</f>
        <v/>
      </c>
      <c r="AO672" s="14">
        <f>IF(Operations!AO656=0,0,Operations!AO655/Operations!AO656)</f>
        <v/>
      </c>
      <c r="AP672" s="14">
        <f>IF(Operations!AP656=0,0,Operations!AP655/Operations!AP656)</f>
        <v/>
      </c>
      <c r="AQ672" s="14">
        <f>IF(Operations!AQ656=0,0,Operations!AQ655/Operations!AQ656)</f>
        <v/>
      </c>
      <c r="AR672" s="14">
        <f>IF(Operations!AR656=0,0,Operations!AR655/Operations!AR656)</f>
        <v/>
      </c>
      <c r="AS672" s="14">
        <f>IF(Operations!AS656=0,0,Operations!AS655/Operations!AS656)</f>
        <v/>
      </c>
      <c r="AT672" s="14">
        <f>IF(Operations!AT656=0,0,Operations!AT655/Operations!AT656)</f>
        <v/>
      </c>
      <c r="AU672" s="14">
        <f>IF(Operations!AU656=0,0,Operations!AU655/Operations!AU656)</f>
        <v/>
      </c>
    </row>
    <row r="673">
      <c r="D673" t="inlineStr">
        <is>
          <t>R6 merchant share of revenue</t>
        </is>
      </c>
      <c r="E673" t="inlineStr">
        <is>
          <t>fraction</t>
        </is>
      </c>
      <c r="J673" s="14">
        <f>1-Operations!J671-Operations!J672</f>
        <v/>
      </c>
      <c r="K673" s="14">
        <f>1-Operations!K671-Operations!K672</f>
        <v/>
      </c>
      <c r="L673" s="14">
        <f>1-Operations!L671-Operations!L672</f>
        <v/>
      </c>
      <c r="M673" s="14">
        <f>1-Operations!M671-Operations!M672</f>
        <v/>
      </c>
      <c r="N673" s="14">
        <f>1-Operations!N671-Operations!N672</f>
        <v/>
      </c>
      <c r="O673" s="14">
        <f>1-Operations!O671-Operations!O672</f>
        <v/>
      </c>
      <c r="P673" s="14">
        <f>1-Operations!P671-Operations!P672</f>
        <v/>
      </c>
      <c r="Q673" s="14">
        <f>1-Operations!Q671-Operations!Q672</f>
        <v/>
      </c>
      <c r="R673" s="14">
        <f>1-Operations!R671-Operations!R672</f>
        <v/>
      </c>
      <c r="S673" s="14">
        <f>1-Operations!S671-Operations!S672</f>
        <v/>
      </c>
      <c r="T673" s="14">
        <f>1-Operations!T671-Operations!T672</f>
        <v/>
      </c>
      <c r="U673" s="14">
        <f>1-Operations!U671-Operations!U672</f>
        <v/>
      </c>
      <c r="V673" s="14">
        <f>1-Operations!V671-Operations!V672</f>
        <v/>
      </c>
      <c r="W673" s="14">
        <f>1-Operations!W671-Operations!W672</f>
        <v/>
      </c>
      <c r="X673" s="14">
        <f>1-Operations!X671-Operations!X672</f>
        <v/>
      </c>
      <c r="Y673" s="14">
        <f>1-Operations!Y671-Operations!Y672</f>
        <v/>
      </c>
      <c r="Z673" s="14">
        <f>1-Operations!Z671-Operations!Z672</f>
        <v/>
      </c>
      <c r="AA673" s="14">
        <f>1-Operations!AA671-Operations!AA672</f>
        <v/>
      </c>
      <c r="AB673" s="14">
        <f>1-Operations!AB671-Operations!AB672</f>
        <v/>
      </c>
      <c r="AC673" s="14">
        <f>1-Operations!AC671-Operations!AC672</f>
        <v/>
      </c>
      <c r="AD673" s="14">
        <f>1-Operations!AD671-Operations!AD672</f>
        <v/>
      </c>
      <c r="AE673" s="14">
        <f>1-Operations!AE671-Operations!AE672</f>
        <v/>
      </c>
      <c r="AF673" s="14">
        <f>1-Operations!AF671-Operations!AF672</f>
        <v/>
      </c>
      <c r="AG673" s="14">
        <f>1-Operations!AG671-Operations!AG672</f>
        <v/>
      </c>
      <c r="AH673" s="14">
        <f>1-Operations!AH671-Operations!AH672</f>
        <v/>
      </c>
      <c r="AI673" s="14">
        <f>1-Operations!AI671-Operations!AI672</f>
        <v/>
      </c>
      <c r="AJ673" s="14">
        <f>1-Operations!AJ671-Operations!AJ672</f>
        <v/>
      </c>
      <c r="AK673" s="14">
        <f>1-Operations!AK671-Operations!AK672</f>
        <v/>
      </c>
      <c r="AL673" s="14">
        <f>1-Operations!AL671-Operations!AL672</f>
        <v/>
      </c>
      <c r="AM673" s="14">
        <f>1-Operations!AM671-Operations!AM672</f>
        <v/>
      </c>
      <c r="AN673" s="14">
        <f>1-Operations!AN671-Operations!AN672</f>
        <v/>
      </c>
      <c r="AO673" s="14">
        <f>1-Operations!AO671-Operations!AO672</f>
        <v/>
      </c>
      <c r="AP673" s="14">
        <f>1-Operations!AP671-Operations!AP672</f>
        <v/>
      </c>
      <c r="AQ673" s="14">
        <f>1-Operations!AQ671-Operations!AQ672</f>
        <v/>
      </c>
      <c r="AR673" s="14">
        <f>1-Operations!AR671-Operations!AR672</f>
        <v/>
      </c>
      <c r="AS673" s="14">
        <f>1-Operations!AS671-Operations!AS672</f>
        <v/>
      </c>
      <c r="AT673" s="14">
        <f>1-Operations!AT671-Operations!AT672</f>
        <v/>
      </c>
      <c r="AU673" s="14">
        <f>1-Operations!AU671-Operations!AU672</f>
        <v/>
      </c>
    </row>
    <row r="674">
      <c r="D674" t="inlineStr">
        <is>
          <t>R6 Mesa-share contracted revenue</t>
        </is>
      </c>
      <c r="E674" t="inlineStr">
        <is>
          <t>USD m</t>
        </is>
      </c>
      <c r="J674" s="20">
        <f>Operations!J654*Operations!J649*(1-Operations!J666)</f>
        <v/>
      </c>
      <c r="K674" s="20">
        <f>Operations!K654*Operations!K649*(1-Operations!K666)</f>
        <v/>
      </c>
      <c r="L674" s="20">
        <f>Operations!L654*Operations!L649*(1-Operations!L666)</f>
        <v/>
      </c>
      <c r="M674" s="20">
        <f>Operations!M654*Operations!M649*(1-Operations!M666)</f>
        <v/>
      </c>
      <c r="N674" s="20">
        <f>Operations!N654*Operations!N649*(1-Operations!N666)</f>
        <v/>
      </c>
      <c r="O674" s="20">
        <f>Operations!O654*Operations!O649*(1-Operations!O666)</f>
        <v/>
      </c>
      <c r="P674" s="20">
        <f>Operations!P654*Operations!P649*(1-Operations!P666)</f>
        <v/>
      </c>
      <c r="Q674" s="20">
        <f>Operations!Q654*Operations!Q649*(1-Operations!Q666)</f>
        <v/>
      </c>
      <c r="R674" s="20">
        <f>Operations!R654*Operations!R649*(1-Operations!R666)</f>
        <v/>
      </c>
      <c r="S674" s="20">
        <f>Operations!S654*Operations!S649*(1-Operations!S666)</f>
        <v/>
      </c>
      <c r="T674" s="20">
        <f>Operations!T654*Operations!T649*(1-Operations!T666)</f>
        <v/>
      </c>
      <c r="U674" s="20">
        <f>Operations!U654*Operations!U649*(1-Operations!U666)</f>
        <v/>
      </c>
      <c r="V674" s="20">
        <f>Operations!V654*Operations!V649*(1-Operations!V666)</f>
        <v/>
      </c>
      <c r="W674" s="20">
        <f>Operations!W654*Operations!W649*(1-Operations!W666)</f>
        <v/>
      </c>
      <c r="X674" s="20">
        <f>Operations!X654*Operations!X649*(1-Operations!X666)</f>
        <v/>
      </c>
      <c r="Y674" s="20">
        <f>Operations!Y654*Operations!Y649*(1-Operations!Y666)</f>
        <v/>
      </c>
      <c r="Z674" s="20">
        <f>Operations!Z654*Operations!Z649*(1-Operations!Z666)</f>
        <v/>
      </c>
      <c r="AA674" s="20">
        <f>Operations!AA654*Operations!AA649*(1-Operations!AA666)</f>
        <v/>
      </c>
      <c r="AB674" s="20">
        <f>Operations!AB654*Operations!AB649*(1-Operations!AB666)</f>
        <v/>
      </c>
      <c r="AC674" s="20">
        <f>Operations!AC654*Operations!AC649*(1-Operations!AC666)</f>
        <v/>
      </c>
      <c r="AD674" s="20">
        <f>Operations!AD654*Operations!AD649*(1-Operations!AD666)</f>
        <v/>
      </c>
      <c r="AE674" s="20">
        <f>Operations!AE654*Operations!AE649*(1-Operations!AE666)</f>
        <v/>
      </c>
      <c r="AF674" s="20">
        <f>Operations!AF654*Operations!AF649*(1-Operations!AF666)</f>
        <v/>
      </c>
      <c r="AG674" s="20">
        <f>Operations!AG654*Operations!AG649*(1-Operations!AG666)</f>
        <v/>
      </c>
      <c r="AH674" s="20">
        <f>Operations!AH654*Operations!AH649*(1-Operations!AH666)</f>
        <v/>
      </c>
      <c r="AI674" s="20">
        <f>Operations!AI654*Operations!AI649*(1-Operations!AI666)</f>
        <v/>
      </c>
      <c r="AJ674" s="20">
        <f>Operations!AJ654*Operations!AJ649*(1-Operations!AJ666)</f>
        <v/>
      </c>
      <c r="AK674" s="20">
        <f>Operations!AK654*Operations!AK649*(1-Operations!AK666)</f>
        <v/>
      </c>
      <c r="AL674" s="20">
        <f>Operations!AL654*Operations!AL649*(1-Operations!AL666)</f>
        <v/>
      </c>
      <c r="AM674" s="20">
        <f>Operations!AM654*Operations!AM649*(1-Operations!AM666)</f>
        <v/>
      </c>
      <c r="AN674" s="20">
        <f>Operations!AN654*Operations!AN649*(1-Operations!AN666)</f>
        <v/>
      </c>
      <c r="AO674" s="20">
        <f>Operations!AO654*Operations!AO649*(1-Operations!AO666)</f>
        <v/>
      </c>
      <c r="AP674" s="20">
        <f>Operations!AP654*Operations!AP649*(1-Operations!AP666)</f>
        <v/>
      </c>
      <c r="AQ674" s="20">
        <f>Operations!AQ654*Operations!AQ649*(1-Operations!AQ666)</f>
        <v/>
      </c>
      <c r="AR674" s="20">
        <f>Operations!AR654*Operations!AR649*(1-Operations!AR666)</f>
        <v/>
      </c>
      <c r="AS674" s="20">
        <f>Operations!AS654*Operations!AS649*(1-Operations!AS666)</f>
        <v/>
      </c>
      <c r="AT674" s="20">
        <f>Operations!AT654*Operations!AT649*(1-Operations!AT666)</f>
        <v/>
      </c>
      <c r="AU674" s="20">
        <f>Operations!AU654*Operations!AU649*(1-Operations!AU666)</f>
        <v/>
      </c>
    </row>
    <row r="675">
      <c r="D675" t="inlineStr">
        <is>
          <t>R6 Mesa-share hedged revenue</t>
        </is>
      </c>
      <c r="E675" t="inlineStr">
        <is>
          <t>USD m</t>
        </is>
      </c>
      <c r="J675" s="20">
        <f>Operations!J655*Operations!J649*(1-Operations!J666)</f>
        <v/>
      </c>
      <c r="K675" s="20">
        <f>Operations!K655*Operations!K649*(1-Operations!K666)</f>
        <v/>
      </c>
      <c r="L675" s="20">
        <f>Operations!L655*Operations!L649*(1-Operations!L666)</f>
        <v/>
      </c>
      <c r="M675" s="20">
        <f>Operations!M655*Operations!M649*(1-Operations!M666)</f>
        <v/>
      </c>
      <c r="N675" s="20">
        <f>Operations!N655*Operations!N649*(1-Operations!N666)</f>
        <v/>
      </c>
      <c r="O675" s="20">
        <f>Operations!O655*Operations!O649*(1-Operations!O666)</f>
        <v/>
      </c>
      <c r="P675" s="20">
        <f>Operations!P655*Operations!P649*(1-Operations!P666)</f>
        <v/>
      </c>
      <c r="Q675" s="20">
        <f>Operations!Q655*Operations!Q649*(1-Operations!Q666)</f>
        <v/>
      </c>
      <c r="R675" s="20">
        <f>Operations!R655*Operations!R649*(1-Operations!R666)</f>
        <v/>
      </c>
      <c r="S675" s="20">
        <f>Operations!S655*Operations!S649*(1-Operations!S666)</f>
        <v/>
      </c>
      <c r="T675" s="20">
        <f>Operations!T655*Operations!T649*(1-Operations!T666)</f>
        <v/>
      </c>
      <c r="U675" s="20">
        <f>Operations!U655*Operations!U649*(1-Operations!U666)</f>
        <v/>
      </c>
      <c r="V675" s="20">
        <f>Operations!V655*Operations!V649*(1-Operations!V666)</f>
        <v/>
      </c>
      <c r="W675" s="20">
        <f>Operations!W655*Operations!W649*(1-Operations!W666)</f>
        <v/>
      </c>
      <c r="X675" s="20">
        <f>Operations!X655*Operations!X649*(1-Operations!X666)</f>
        <v/>
      </c>
      <c r="Y675" s="20">
        <f>Operations!Y655*Operations!Y649*(1-Operations!Y666)</f>
        <v/>
      </c>
      <c r="Z675" s="20">
        <f>Operations!Z655*Operations!Z649*(1-Operations!Z666)</f>
        <v/>
      </c>
      <c r="AA675" s="20">
        <f>Operations!AA655*Operations!AA649*(1-Operations!AA666)</f>
        <v/>
      </c>
      <c r="AB675" s="20">
        <f>Operations!AB655*Operations!AB649*(1-Operations!AB666)</f>
        <v/>
      </c>
      <c r="AC675" s="20">
        <f>Operations!AC655*Operations!AC649*(1-Operations!AC666)</f>
        <v/>
      </c>
      <c r="AD675" s="20">
        <f>Operations!AD655*Operations!AD649*(1-Operations!AD666)</f>
        <v/>
      </c>
      <c r="AE675" s="20">
        <f>Operations!AE655*Operations!AE649*(1-Operations!AE666)</f>
        <v/>
      </c>
      <c r="AF675" s="20">
        <f>Operations!AF655*Operations!AF649*(1-Operations!AF666)</f>
        <v/>
      </c>
      <c r="AG675" s="20">
        <f>Operations!AG655*Operations!AG649*(1-Operations!AG666)</f>
        <v/>
      </c>
      <c r="AH675" s="20">
        <f>Operations!AH655*Operations!AH649*(1-Operations!AH666)</f>
        <v/>
      </c>
      <c r="AI675" s="20">
        <f>Operations!AI655*Operations!AI649*(1-Operations!AI666)</f>
        <v/>
      </c>
      <c r="AJ675" s="20">
        <f>Operations!AJ655*Operations!AJ649*(1-Operations!AJ666)</f>
        <v/>
      </c>
      <c r="AK675" s="20">
        <f>Operations!AK655*Operations!AK649*(1-Operations!AK666)</f>
        <v/>
      </c>
      <c r="AL675" s="20">
        <f>Operations!AL655*Operations!AL649*(1-Operations!AL666)</f>
        <v/>
      </c>
      <c r="AM675" s="20">
        <f>Operations!AM655*Operations!AM649*(1-Operations!AM666)</f>
        <v/>
      </c>
      <c r="AN675" s="20">
        <f>Operations!AN655*Operations!AN649*(1-Operations!AN666)</f>
        <v/>
      </c>
      <c r="AO675" s="20">
        <f>Operations!AO655*Operations!AO649*(1-Operations!AO666)</f>
        <v/>
      </c>
      <c r="AP675" s="20">
        <f>Operations!AP655*Operations!AP649*(1-Operations!AP666)</f>
        <v/>
      </c>
      <c r="AQ675" s="20">
        <f>Operations!AQ655*Operations!AQ649*(1-Operations!AQ666)</f>
        <v/>
      </c>
      <c r="AR675" s="20">
        <f>Operations!AR655*Operations!AR649*(1-Operations!AR666)</f>
        <v/>
      </c>
      <c r="AS675" s="20">
        <f>Operations!AS655*Operations!AS649*(1-Operations!AS666)</f>
        <v/>
      </c>
      <c r="AT675" s="20">
        <f>Operations!AT655*Operations!AT649*(1-Operations!AT666)</f>
        <v/>
      </c>
      <c r="AU675" s="20">
        <f>Operations!AU655*Operations!AU649*(1-Operations!AU666)</f>
        <v/>
      </c>
    </row>
    <row r="676">
      <c r="D676" t="inlineStr">
        <is>
          <t>R6 Mesa-share merchant revenue</t>
        </is>
      </c>
      <c r="E676" t="inlineStr">
        <is>
          <t>USD m</t>
        </is>
      </c>
      <c r="J676" s="20">
        <f>Operations!J657*Operations!J649*(1-Operations!J666)</f>
        <v/>
      </c>
      <c r="K676" s="20">
        <f>Operations!K657*Operations!K649*(1-Operations!K666)</f>
        <v/>
      </c>
      <c r="L676" s="20">
        <f>Operations!L657*Operations!L649*(1-Operations!L666)</f>
        <v/>
      </c>
      <c r="M676" s="20">
        <f>Operations!M657*Operations!M649*(1-Operations!M666)</f>
        <v/>
      </c>
      <c r="N676" s="20">
        <f>Operations!N657*Operations!N649*(1-Operations!N666)</f>
        <v/>
      </c>
      <c r="O676" s="20">
        <f>Operations!O657*Operations!O649*(1-Operations!O666)</f>
        <v/>
      </c>
      <c r="P676" s="20">
        <f>Operations!P657*Operations!P649*(1-Operations!P666)</f>
        <v/>
      </c>
      <c r="Q676" s="20">
        <f>Operations!Q657*Operations!Q649*(1-Operations!Q666)</f>
        <v/>
      </c>
      <c r="R676" s="20">
        <f>Operations!R657*Operations!R649*(1-Operations!R666)</f>
        <v/>
      </c>
      <c r="S676" s="20">
        <f>Operations!S657*Operations!S649*(1-Operations!S666)</f>
        <v/>
      </c>
      <c r="T676" s="20">
        <f>Operations!T657*Operations!T649*(1-Operations!T666)</f>
        <v/>
      </c>
      <c r="U676" s="20">
        <f>Operations!U657*Operations!U649*(1-Operations!U666)</f>
        <v/>
      </c>
      <c r="V676" s="20">
        <f>Operations!V657*Operations!V649*(1-Operations!V666)</f>
        <v/>
      </c>
      <c r="W676" s="20">
        <f>Operations!W657*Operations!W649*(1-Operations!W666)</f>
        <v/>
      </c>
      <c r="X676" s="20">
        <f>Operations!X657*Operations!X649*(1-Operations!X666)</f>
        <v/>
      </c>
      <c r="Y676" s="20">
        <f>Operations!Y657*Operations!Y649*(1-Operations!Y666)</f>
        <v/>
      </c>
      <c r="Z676" s="20">
        <f>Operations!Z657*Operations!Z649*(1-Operations!Z666)</f>
        <v/>
      </c>
      <c r="AA676" s="20">
        <f>Operations!AA657*Operations!AA649*(1-Operations!AA666)</f>
        <v/>
      </c>
      <c r="AB676" s="20">
        <f>Operations!AB657*Operations!AB649*(1-Operations!AB666)</f>
        <v/>
      </c>
      <c r="AC676" s="20">
        <f>Operations!AC657*Operations!AC649*(1-Operations!AC666)</f>
        <v/>
      </c>
      <c r="AD676" s="20">
        <f>Operations!AD657*Operations!AD649*(1-Operations!AD666)</f>
        <v/>
      </c>
      <c r="AE676" s="20">
        <f>Operations!AE657*Operations!AE649*(1-Operations!AE666)</f>
        <v/>
      </c>
      <c r="AF676" s="20">
        <f>Operations!AF657*Operations!AF649*(1-Operations!AF666)</f>
        <v/>
      </c>
      <c r="AG676" s="20">
        <f>Operations!AG657*Operations!AG649*(1-Operations!AG666)</f>
        <v/>
      </c>
      <c r="AH676" s="20">
        <f>Operations!AH657*Operations!AH649*(1-Operations!AH666)</f>
        <v/>
      </c>
      <c r="AI676" s="20">
        <f>Operations!AI657*Operations!AI649*(1-Operations!AI666)</f>
        <v/>
      </c>
      <c r="AJ676" s="20">
        <f>Operations!AJ657*Operations!AJ649*(1-Operations!AJ666)</f>
        <v/>
      </c>
      <c r="AK676" s="20">
        <f>Operations!AK657*Operations!AK649*(1-Operations!AK666)</f>
        <v/>
      </c>
      <c r="AL676" s="20">
        <f>Operations!AL657*Operations!AL649*(1-Operations!AL666)</f>
        <v/>
      </c>
      <c r="AM676" s="20">
        <f>Operations!AM657*Operations!AM649*(1-Operations!AM666)</f>
        <v/>
      </c>
      <c r="AN676" s="20">
        <f>Operations!AN657*Operations!AN649*(1-Operations!AN666)</f>
        <v/>
      </c>
      <c r="AO676" s="20">
        <f>Operations!AO657*Operations!AO649*(1-Operations!AO666)</f>
        <v/>
      </c>
      <c r="AP676" s="20">
        <f>Operations!AP657*Operations!AP649*(1-Operations!AP666)</f>
        <v/>
      </c>
      <c r="AQ676" s="20">
        <f>Operations!AQ657*Operations!AQ649*(1-Operations!AQ666)</f>
        <v/>
      </c>
      <c r="AR676" s="20">
        <f>Operations!AR657*Operations!AR649*(1-Operations!AR666)</f>
        <v/>
      </c>
      <c r="AS676" s="20">
        <f>Operations!AS657*Operations!AS649*(1-Operations!AS666)</f>
        <v/>
      </c>
      <c r="AT676" s="20">
        <f>Operations!AT657*Operations!AT649*(1-Operations!AT666)</f>
        <v/>
      </c>
      <c r="AU676" s="20">
        <f>Operations!AU657*Operations!AU649*(1-Operations!AU666)</f>
        <v/>
      </c>
    </row>
    <row r="677">
      <c r="D677" t="inlineStr">
        <is>
          <t>R6 Mesa-share revenue</t>
        </is>
      </c>
      <c r="E677" t="inlineStr">
        <is>
          <t>USD m</t>
        </is>
      </c>
      <c r="J677" s="20">
        <f>Operations!J656*Operations!J649*(1-Operations!J666)</f>
        <v/>
      </c>
      <c r="K677" s="20">
        <f>Operations!K656*Operations!K649*(1-Operations!K666)</f>
        <v/>
      </c>
      <c r="L677" s="20">
        <f>Operations!L656*Operations!L649*(1-Operations!L666)</f>
        <v/>
      </c>
      <c r="M677" s="20">
        <f>Operations!M656*Operations!M649*(1-Operations!M666)</f>
        <v/>
      </c>
      <c r="N677" s="20">
        <f>Operations!N656*Operations!N649*(1-Operations!N666)</f>
        <v/>
      </c>
      <c r="O677" s="20">
        <f>Operations!O656*Operations!O649*(1-Operations!O666)</f>
        <v/>
      </c>
      <c r="P677" s="20">
        <f>Operations!P656*Operations!P649*(1-Operations!P666)</f>
        <v/>
      </c>
      <c r="Q677" s="20">
        <f>Operations!Q656*Operations!Q649*(1-Operations!Q666)</f>
        <v/>
      </c>
      <c r="R677" s="20">
        <f>Operations!R656*Operations!R649*(1-Operations!R666)</f>
        <v/>
      </c>
      <c r="S677" s="20">
        <f>Operations!S656*Operations!S649*(1-Operations!S666)</f>
        <v/>
      </c>
      <c r="T677" s="20">
        <f>Operations!T656*Operations!T649*(1-Operations!T666)</f>
        <v/>
      </c>
      <c r="U677" s="20">
        <f>Operations!U656*Operations!U649*(1-Operations!U666)</f>
        <v/>
      </c>
      <c r="V677" s="20">
        <f>Operations!V656*Operations!V649*(1-Operations!V666)</f>
        <v/>
      </c>
      <c r="W677" s="20">
        <f>Operations!W656*Operations!W649*(1-Operations!W666)</f>
        <v/>
      </c>
      <c r="X677" s="20">
        <f>Operations!X656*Operations!X649*(1-Operations!X666)</f>
        <v/>
      </c>
      <c r="Y677" s="20">
        <f>Operations!Y656*Operations!Y649*(1-Operations!Y666)</f>
        <v/>
      </c>
      <c r="Z677" s="20">
        <f>Operations!Z656*Operations!Z649*(1-Operations!Z666)</f>
        <v/>
      </c>
      <c r="AA677" s="20">
        <f>Operations!AA656*Operations!AA649*(1-Operations!AA666)</f>
        <v/>
      </c>
      <c r="AB677" s="20">
        <f>Operations!AB656*Operations!AB649*(1-Operations!AB666)</f>
        <v/>
      </c>
      <c r="AC677" s="20">
        <f>Operations!AC656*Operations!AC649*(1-Operations!AC666)</f>
        <v/>
      </c>
      <c r="AD677" s="20">
        <f>Operations!AD656*Operations!AD649*(1-Operations!AD666)</f>
        <v/>
      </c>
      <c r="AE677" s="20">
        <f>Operations!AE656*Operations!AE649*(1-Operations!AE666)</f>
        <v/>
      </c>
      <c r="AF677" s="20">
        <f>Operations!AF656*Operations!AF649*(1-Operations!AF666)</f>
        <v/>
      </c>
      <c r="AG677" s="20">
        <f>Operations!AG656*Operations!AG649*(1-Operations!AG666)</f>
        <v/>
      </c>
      <c r="AH677" s="20">
        <f>Operations!AH656*Operations!AH649*(1-Operations!AH666)</f>
        <v/>
      </c>
      <c r="AI677" s="20">
        <f>Operations!AI656*Operations!AI649*(1-Operations!AI666)</f>
        <v/>
      </c>
      <c r="AJ677" s="20">
        <f>Operations!AJ656*Operations!AJ649*(1-Operations!AJ666)</f>
        <v/>
      </c>
      <c r="AK677" s="20">
        <f>Operations!AK656*Operations!AK649*(1-Operations!AK666)</f>
        <v/>
      </c>
      <c r="AL677" s="20">
        <f>Operations!AL656*Operations!AL649*(1-Operations!AL666)</f>
        <v/>
      </c>
      <c r="AM677" s="20">
        <f>Operations!AM656*Operations!AM649*(1-Operations!AM666)</f>
        <v/>
      </c>
      <c r="AN677" s="20">
        <f>Operations!AN656*Operations!AN649*(1-Operations!AN666)</f>
        <v/>
      </c>
      <c r="AO677" s="20">
        <f>Operations!AO656*Operations!AO649*(1-Operations!AO666)</f>
        <v/>
      </c>
      <c r="AP677" s="20">
        <f>Operations!AP656*Operations!AP649*(1-Operations!AP666)</f>
        <v/>
      </c>
      <c r="AQ677" s="20">
        <f>Operations!AQ656*Operations!AQ649*(1-Operations!AQ666)</f>
        <v/>
      </c>
      <c r="AR677" s="20">
        <f>Operations!AR656*Operations!AR649*(1-Operations!AR666)</f>
        <v/>
      </c>
      <c r="AS677" s="20">
        <f>Operations!AS656*Operations!AS649*(1-Operations!AS666)</f>
        <v/>
      </c>
      <c r="AT677" s="20">
        <f>Operations!AT656*Operations!AT649*(1-Operations!AT666)</f>
        <v/>
      </c>
      <c r="AU677" s="20">
        <f>Operations!AU656*Operations!AU649*(1-Operations!AU666)</f>
        <v/>
      </c>
    </row>
    <row r="678">
      <c r="D678" s="19" t="inlineStr">
        <is>
          <t>R7 Kerrigan Storage (lithium-ion BESS (LFP), 2-hour)</t>
        </is>
      </c>
    </row>
    <row r="679">
      <c r="D679" t="inlineStr">
        <is>
          <t>R7 operating fraction</t>
        </is>
      </c>
      <c r="E679" t="inlineStr">
        <is>
          <t>fraction</t>
        </is>
      </c>
      <c r="J679" s="14">
        <f>MAX(0,MIN(Inputs!$F$157,Time!J$6)-MAX(Inputs!$F$156,Time!J$5))/Time!J$7</f>
        <v/>
      </c>
      <c r="K679" s="14">
        <f>MAX(0,MIN(Inputs!$F$157,Time!K$6)-MAX(Inputs!$F$156,Time!K$5))/Time!K$7</f>
        <v/>
      </c>
      <c r="L679" s="14">
        <f>MAX(0,MIN(Inputs!$F$157,Time!L$6)-MAX(Inputs!$F$156,Time!L$5))/Time!L$7</f>
        <v/>
      </c>
      <c r="M679" s="14">
        <f>MAX(0,MIN(Inputs!$F$157,Time!M$6)-MAX(Inputs!$F$156,Time!M$5))/Time!M$7</f>
        <v/>
      </c>
      <c r="N679" s="14">
        <f>MAX(0,MIN(Inputs!$F$157,Time!N$6)-MAX(Inputs!$F$156,Time!N$5))/Time!N$7</f>
        <v/>
      </c>
      <c r="O679" s="14">
        <f>MAX(0,MIN(Inputs!$F$157,Time!O$6)-MAX(Inputs!$F$156,Time!O$5))/Time!O$7</f>
        <v/>
      </c>
      <c r="P679" s="14">
        <f>MAX(0,MIN(Inputs!$F$157,Time!P$6)-MAX(Inputs!$F$156,Time!P$5))/Time!P$7</f>
        <v/>
      </c>
      <c r="Q679" s="14">
        <f>MAX(0,MIN(Inputs!$F$157,Time!Q$6)-MAX(Inputs!$F$156,Time!Q$5))/Time!Q$7</f>
        <v/>
      </c>
      <c r="R679" s="14">
        <f>MAX(0,MIN(Inputs!$F$157,Time!R$6)-MAX(Inputs!$F$156,Time!R$5))/Time!R$7</f>
        <v/>
      </c>
      <c r="S679" s="14">
        <f>MAX(0,MIN(Inputs!$F$157,Time!S$6)-MAX(Inputs!$F$156,Time!S$5))/Time!S$7</f>
        <v/>
      </c>
      <c r="T679" s="14">
        <f>MAX(0,MIN(Inputs!$F$157,Time!T$6)-MAX(Inputs!$F$156,Time!T$5))/Time!T$7</f>
        <v/>
      </c>
      <c r="U679" s="14">
        <f>MAX(0,MIN(Inputs!$F$157,Time!U$6)-MAX(Inputs!$F$156,Time!U$5))/Time!U$7</f>
        <v/>
      </c>
      <c r="V679" s="14">
        <f>MAX(0,MIN(Inputs!$F$157,Time!V$6)-MAX(Inputs!$F$156,Time!V$5))/Time!V$7</f>
        <v/>
      </c>
      <c r="W679" s="14">
        <f>MAX(0,MIN(Inputs!$F$157,Time!W$6)-MAX(Inputs!$F$156,Time!W$5))/Time!W$7</f>
        <v/>
      </c>
      <c r="X679" s="14">
        <f>MAX(0,MIN(Inputs!$F$157,Time!X$6)-MAX(Inputs!$F$156,Time!X$5))/Time!X$7</f>
        <v/>
      </c>
      <c r="Y679" s="14">
        <f>MAX(0,MIN(Inputs!$F$157,Time!Y$6)-MAX(Inputs!$F$156,Time!Y$5))/Time!Y$7</f>
        <v/>
      </c>
      <c r="Z679" s="14">
        <f>MAX(0,MIN(Inputs!$F$157,Time!Z$6)-MAX(Inputs!$F$156,Time!Z$5))/Time!Z$7</f>
        <v/>
      </c>
      <c r="AA679" s="14">
        <f>MAX(0,MIN(Inputs!$F$157,Time!AA$6)-MAX(Inputs!$F$156,Time!AA$5))/Time!AA$7</f>
        <v/>
      </c>
      <c r="AB679" s="14">
        <f>MAX(0,MIN(Inputs!$F$157,Time!AB$6)-MAX(Inputs!$F$156,Time!AB$5))/Time!AB$7</f>
        <v/>
      </c>
      <c r="AC679" s="14">
        <f>MAX(0,MIN(Inputs!$F$157,Time!AC$6)-MAX(Inputs!$F$156,Time!AC$5))/Time!AC$7</f>
        <v/>
      </c>
      <c r="AD679" s="14">
        <f>MAX(0,MIN(Inputs!$F$157,Time!AD$6)-MAX(Inputs!$F$156,Time!AD$5))/Time!AD$7</f>
        <v/>
      </c>
      <c r="AE679" s="14">
        <f>MAX(0,MIN(Inputs!$F$157,Time!AE$6)-MAX(Inputs!$F$156,Time!AE$5))/Time!AE$7</f>
        <v/>
      </c>
      <c r="AF679" s="14">
        <f>MAX(0,MIN(Inputs!$F$157,Time!AF$6)-MAX(Inputs!$F$156,Time!AF$5))/Time!AF$7</f>
        <v/>
      </c>
      <c r="AG679" s="14">
        <f>MAX(0,MIN(Inputs!$F$157,Time!AG$6)-MAX(Inputs!$F$156,Time!AG$5))/Time!AG$7</f>
        <v/>
      </c>
      <c r="AH679" s="14">
        <f>MAX(0,MIN(Inputs!$F$157,Time!AH$6)-MAX(Inputs!$F$156,Time!AH$5))/Time!AH$7</f>
        <v/>
      </c>
      <c r="AI679" s="14">
        <f>MAX(0,MIN(Inputs!$F$157,Time!AI$6)-MAX(Inputs!$F$156,Time!AI$5))/Time!AI$7</f>
        <v/>
      </c>
      <c r="AJ679" s="14">
        <f>MAX(0,MIN(Inputs!$F$157,Time!AJ$6)-MAX(Inputs!$F$156,Time!AJ$5))/Time!AJ$7</f>
        <v/>
      </c>
      <c r="AK679" s="14">
        <f>MAX(0,MIN(Inputs!$F$157,Time!AK$6)-MAX(Inputs!$F$156,Time!AK$5))/Time!AK$7</f>
        <v/>
      </c>
      <c r="AL679" s="14">
        <f>MAX(0,MIN(Inputs!$F$157,Time!AL$6)-MAX(Inputs!$F$156,Time!AL$5))/Time!AL$7</f>
        <v/>
      </c>
      <c r="AM679" s="14">
        <f>MAX(0,MIN(Inputs!$F$157,Time!AM$6)-MAX(Inputs!$F$156,Time!AM$5))/Time!AM$7</f>
        <v/>
      </c>
      <c r="AN679" s="14">
        <f>MAX(0,MIN(Inputs!$F$157,Time!AN$6)-MAX(Inputs!$F$156,Time!AN$5))/Time!AN$7</f>
        <v/>
      </c>
      <c r="AO679" s="14">
        <f>MAX(0,MIN(Inputs!$F$157,Time!AO$6)-MAX(Inputs!$F$156,Time!AO$5))/Time!AO$7</f>
        <v/>
      </c>
      <c r="AP679" s="14">
        <f>MAX(0,MIN(Inputs!$F$157,Time!AP$6)-MAX(Inputs!$F$156,Time!AP$5))/Time!AP$7</f>
        <v/>
      </c>
      <c r="AQ679" s="14">
        <f>MAX(0,MIN(Inputs!$F$157,Time!AQ$6)-MAX(Inputs!$F$156,Time!AQ$5))/Time!AQ$7</f>
        <v/>
      </c>
      <c r="AR679" s="14">
        <f>MAX(0,MIN(Inputs!$F$157,Time!AR$6)-MAX(Inputs!$F$156,Time!AR$5))/Time!AR$7</f>
        <v/>
      </c>
      <c r="AS679" s="14">
        <f>MAX(0,MIN(Inputs!$F$157,Time!AS$6)-MAX(Inputs!$F$156,Time!AS$5))/Time!AS$7</f>
        <v/>
      </c>
      <c r="AT679" s="14">
        <f>MAX(0,MIN(Inputs!$F$157,Time!AT$6)-MAX(Inputs!$F$156,Time!AT$5))/Time!AT$7</f>
        <v/>
      </c>
      <c r="AU679" s="14">
        <f>MAX(0,MIN(Inputs!$F$157,Time!AU$6)-MAX(Inputs!$F$156,Time!AU$5))/Time!AU$7</f>
        <v/>
      </c>
    </row>
    <row r="680">
      <c r="D680" t="inlineStr">
        <is>
          <t>R7 owned fraction</t>
        </is>
      </c>
      <c r="E680" t="inlineStr">
        <is>
          <t>fraction</t>
        </is>
      </c>
      <c r="J680" s="14">
        <f>MAX(0,MIN(Inputs!$F$157,Time!J$6)-MAX(MAX(Inputs!$F$158,Inputs!$F$156),Time!J$5))/Time!J$7</f>
        <v/>
      </c>
      <c r="K680" s="14">
        <f>MAX(0,MIN(Inputs!$F$157,Time!K$6)-MAX(MAX(Inputs!$F$158,Inputs!$F$156),Time!K$5))/Time!K$7</f>
        <v/>
      </c>
      <c r="L680" s="14">
        <f>MAX(0,MIN(Inputs!$F$157,Time!L$6)-MAX(MAX(Inputs!$F$158,Inputs!$F$156),Time!L$5))/Time!L$7</f>
        <v/>
      </c>
      <c r="M680" s="14">
        <f>MAX(0,MIN(Inputs!$F$157,Time!M$6)-MAX(MAX(Inputs!$F$158,Inputs!$F$156),Time!M$5))/Time!M$7</f>
        <v/>
      </c>
      <c r="N680" s="14">
        <f>MAX(0,MIN(Inputs!$F$157,Time!N$6)-MAX(MAX(Inputs!$F$158,Inputs!$F$156),Time!N$5))/Time!N$7</f>
        <v/>
      </c>
      <c r="O680" s="14">
        <f>MAX(0,MIN(Inputs!$F$157,Time!O$6)-MAX(MAX(Inputs!$F$158,Inputs!$F$156),Time!O$5))/Time!O$7</f>
        <v/>
      </c>
      <c r="P680" s="14">
        <f>MAX(0,MIN(Inputs!$F$157,Time!P$6)-MAX(MAX(Inputs!$F$158,Inputs!$F$156),Time!P$5))/Time!P$7</f>
        <v/>
      </c>
      <c r="Q680" s="14">
        <f>MAX(0,MIN(Inputs!$F$157,Time!Q$6)-MAX(MAX(Inputs!$F$158,Inputs!$F$156),Time!Q$5))/Time!Q$7</f>
        <v/>
      </c>
      <c r="R680" s="14">
        <f>MAX(0,MIN(Inputs!$F$157,Time!R$6)-MAX(MAX(Inputs!$F$158,Inputs!$F$156),Time!R$5))/Time!R$7</f>
        <v/>
      </c>
      <c r="S680" s="14">
        <f>MAX(0,MIN(Inputs!$F$157,Time!S$6)-MAX(MAX(Inputs!$F$158,Inputs!$F$156),Time!S$5))/Time!S$7</f>
        <v/>
      </c>
      <c r="T680" s="14">
        <f>MAX(0,MIN(Inputs!$F$157,Time!T$6)-MAX(MAX(Inputs!$F$158,Inputs!$F$156),Time!T$5))/Time!T$7</f>
        <v/>
      </c>
      <c r="U680" s="14">
        <f>MAX(0,MIN(Inputs!$F$157,Time!U$6)-MAX(MAX(Inputs!$F$158,Inputs!$F$156),Time!U$5))/Time!U$7</f>
        <v/>
      </c>
      <c r="V680" s="14">
        <f>MAX(0,MIN(Inputs!$F$157,Time!V$6)-MAX(MAX(Inputs!$F$158,Inputs!$F$156),Time!V$5))/Time!V$7</f>
        <v/>
      </c>
      <c r="W680" s="14">
        <f>MAX(0,MIN(Inputs!$F$157,Time!W$6)-MAX(MAX(Inputs!$F$158,Inputs!$F$156),Time!W$5))/Time!W$7</f>
        <v/>
      </c>
      <c r="X680" s="14">
        <f>MAX(0,MIN(Inputs!$F$157,Time!X$6)-MAX(MAX(Inputs!$F$158,Inputs!$F$156),Time!X$5))/Time!X$7</f>
        <v/>
      </c>
      <c r="Y680" s="14">
        <f>MAX(0,MIN(Inputs!$F$157,Time!Y$6)-MAX(MAX(Inputs!$F$158,Inputs!$F$156),Time!Y$5))/Time!Y$7</f>
        <v/>
      </c>
      <c r="Z680" s="14">
        <f>MAX(0,MIN(Inputs!$F$157,Time!Z$6)-MAX(MAX(Inputs!$F$158,Inputs!$F$156),Time!Z$5))/Time!Z$7</f>
        <v/>
      </c>
      <c r="AA680" s="14">
        <f>MAX(0,MIN(Inputs!$F$157,Time!AA$6)-MAX(MAX(Inputs!$F$158,Inputs!$F$156),Time!AA$5))/Time!AA$7</f>
        <v/>
      </c>
      <c r="AB680" s="14">
        <f>MAX(0,MIN(Inputs!$F$157,Time!AB$6)-MAX(MAX(Inputs!$F$158,Inputs!$F$156),Time!AB$5))/Time!AB$7</f>
        <v/>
      </c>
      <c r="AC680" s="14">
        <f>MAX(0,MIN(Inputs!$F$157,Time!AC$6)-MAX(MAX(Inputs!$F$158,Inputs!$F$156),Time!AC$5))/Time!AC$7</f>
        <v/>
      </c>
      <c r="AD680" s="14">
        <f>MAX(0,MIN(Inputs!$F$157,Time!AD$6)-MAX(MAX(Inputs!$F$158,Inputs!$F$156),Time!AD$5))/Time!AD$7</f>
        <v/>
      </c>
      <c r="AE680" s="14">
        <f>MAX(0,MIN(Inputs!$F$157,Time!AE$6)-MAX(MAX(Inputs!$F$158,Inputs!$F$156),Time!AE$5))/Time!AE$7</f>
        <v/>
      </c>
      <c r="AF680" s="14">
        <f>MAX(0,MIN(Inputs!$F$157,Time!AF$6)-MAX(MAX(Inputs!$F$158,Inputs!$F$156),Time!AF$5))/Time!AF$7</f>
        <v/>
      </c>
      <c r="AG680" s="14">
        <f>MAX(0,MIN(Inputs!$F$157,Time!AG$6)-MAX(MAX(Inputs!$F$158,Inputs!$F$156),Time!AG$5))/Time!AG$7</f>
        <v/>
      </c>
      <c r="AH680" s="14">
        <f>MAX(0,MIN(Inputs!$F$157,Time!AH$6)-MAX(MAX(Inputs!$F$158,Inputs!$F$156),Time!AH$5))/Time!AH$7</f>
        <v/>
      </c>
      <c r="AI680" s="14">
        <f>MAX(0,MIN(Inputs!$F$157,Time!AI$6)-MAX(MAX(Inputs!$F$158,Inputs!$F$156),Time!AI$5))/Time!AI$7</f>
        <v/>
      </c>
      <c r="AJ680" s="14">
        <f>MAX(0,MIN(Inputs!$F$157,Time!AJ$6)-MAX(MAX(Inputs!$F$158,Inputs!$F$156),Time!AJ$5))/Time!AJ$7</f>
        <v/>
      </c>
      <c r="AK680" s="14">
        <f>MAX(0,MIN(Inputs!$F$157,Time!AK$6)-MAX(MAX(Inputs!$F$158,Inputs!$F$156),Time!AK$5))/Time!AK$7</f>
        <v/>
      </c>
      <c r="AL680" s="14">
        <f>MAX(0,MIN(Inputs!$F$157,Time!AL$6)-MAX(MAX(Inputs!$F$158,Inputs!$F$156),Time!AL$5))/Time!AL$7</f>
        <v/>
      </c>
      <c r="AM680" s="14">
        <f>MAX(0,MIN(Inputs!$F$157,Time!AM$6)-MAX(MAX(Inputs!$F$158,Inputs!$F$156),Time!AM$5))/Time!AM$7</f>
        <v/>
      </c>
      <c r="AN680" s="14">
        <f>MAX(0,MIN(Inputs!$F$157,Time!AN$6)-MAX(MAX(Inputs!$F$158,Inputs!$F$156),Time!AN$5))/Time!AN$7</f>
        <v/>
      </c>
      <c r="AO680" s="14">
        <f>MAX(0,MIN(Inputs!$F$157,Time!AO$6)-MAX(MAX(Inputs!$F$158,Inputs!$F$156),Time!AO$5))/Time!AO$7</f>
        <v/>
      </c>
      <c r="AP680" s="14">
        <f>MAX(0,MIN(Inputs!$F$157,Time!AP$6)-MAX(MAX(Inputs!$F$158,Inputs!$F$156),Time!AP$5))/Time!AP$7</f>
        <v/>
      </c>
      <c r="AQ680" s="14">
        <f>MAX(0,MIN(Inputs!$F$157,Time!AQ$6)-MAX(MAX(Inputs!$F$158,Inputs!$F$156),Time!AQ$5))/Time!AQ$7</f>
        <v/>
      </c>
      <c r="AR680" s="14">
        <f>MAX(0,MIN(Inputs!$F$157,Time!AR$6)-MAX(MAX(Inputs!$F$158,Inputs!$F$156),Time!AR$5))/Time!AR$7</f>
        <v/>
      </c>
      <c r="AS680" s="14">
        <f>MAX(0,MIN(Inputs!$F$157,Time!AS$6)-MAX(MAX(Inputs!$F$158,Inputs!$F$156),Time!AS$5))/Time!AS$7</f>
        <v/>
      </c>
      <c r="AT680" s="14">
        <f>MAX(0,MIN(Inputs!$F$157,Time!AT$6)-MAX(MAX(Inputs!$F$158,Inputs!$F$156),Time!AT$5))/Time!AT$7</f>
        <v/>
      </c>
      <c r="AU680" s="14">
        <f>MAX(0,MIN(Inputs!$F$157,Time!AU$6)-MAX(MAX(Inputs!$F$158,Inputs!$F$156),Time!AU$5))/Time!AU$7</f>
        <v/>
      </c>
    </row>
    <row r="681">
      <c r="D681" t="inlineStr">
        <is>
          <t>R7 owned share of operating period</t>
        </is>
      </c>
      <c r="E681" t="inlineStr">
        <is>
          <t>fraction</t>
        </is>
      </c>
      <c r="J681" s="14">
        <f>IF(Operations!J679&gt;0,Operations!J680/Operations!J679,0)</f>
        <v/>
      </c>
      <c r="K681" s="14">
        <f>IF(Operations!K679&gt;0,Operations!K680/Operations!K679,0)</f>
        <v/>
      </c>
      <c r="L681" s="14">
        <f>IF(Operations!L679&gt;0,Operations!L680/Operations!L679,0)</f>
        <v/>
      </c>
      <c r="M681" s="14">
        <f>IF(Operations!M679&gt;0,Operations!M680/Operations!M679,0)</f>
        <v/>
      </c>
      <c r="N681" s="14">
        <f>IF(Operations!N679&gt;0,Operations!N680/Operations!N679,0)</f>
        <v/>
      </c>
      <c r="O681" s="14">
        <f>IF(Operations!O679&gt;0,Operations!O680/Operations!O679,0)</f>
        <v/>
      </c>
      <c r="P681" s="14">
        <f>IF(Operations!P679&gt;0,Operations!P680/Operations!P679,0)</f>
        <v/>
      </c>
      <c r="Q681" s="14">
        <f>IF(Operations!Q679&gt;0,Operations!Q680/Operations!Q679,0)</f>
        <v/>
      </c>
      <c r="R681" s="14">
        <f>IF(Operations!R679&gt;0,Operations!R680/Operations!R679,0)</f>
        <v/>
      </c>
      <c r="S681" s="14">
        <f>IF(Operations!S679&gt;0,Operations!S680/Operations!S679,0)</f>
        <v/>
      </c>
      <c r="T681" s="14">
        <f>IF(Operations!T679&gt;0,Operations!T680/Operations!T679,0)</f>
        <v/>
      </c>
      <c r="U681" s="14">
        <f>IF(Operations!U679&gt;0,Operations!U680/Operations!U679,0)</f>
        <v/>
      </c>
      <c r="V681" s="14">
        <f>IF(Operations!V679&gt;0,Operations!V680/Operations!V679,0)</f>
        <v/>
      </c>
      <c r="W681" s="14">
        <f>IF(Operations!W679&gt;0,Operations!W680/Operations!W679,0)</f>
        <v/>
      </c>
      <c r="X681" s="14">
        <f>IF(Operations!X679&gt;0,Operations!X680/Operations!X679,0)</f>
        <v/>
      </c>
      <c r="Y681" s="14">
        <f>IF(Operations!Y679&gt;0,Operations!Y680/Operations!Y679,0)</f>
        <v/>
      </c>
      <c r="Z681" s="14">
        <f>IF(Operations!Z679&gt;0,Operations!Z680/Operations!Z679,0)</f>
        <v/>
      </c>
      <c r="AA681" s="14">
        <f>IF(Operations!AA679&gt;0,Operations!AA680/Operations!AA679,0)</f>
        <v/>
      </c>
      <c r="AB681" s="14">
        <f>IF(Operations!AB679&gt;0,Operations!AB680/Operations!AB679,0)</f>
        <v/>
      </c>
      <c r="AC681" s="14">
        <f>IF(Operations!AC679&gt;0,Operations!AC680/Operations!AC679,0)</f>
        <v/>
      </c>
      <c r="AD681" s="14">
        <f>IF(Operations!AD679&gt;0,Operations!AD680/Operations!AD679,0)</f>
        <v/>
      </c>
      <c r="AE681" s="14">
        <f>IF(Operations!AE679&gt;0,Operations!AE680/Operations!AE679,0)</f>
        <v/>
      </c>
      <c r="AF681" s="14">
        <f>IF(Operations!AF679&gt;0,Operations!AF680/Operations!AF679,0)</f>
        <v/>
      </c>
      <c r="AG681" s="14">
        <f>IF(Operations!AG679&gt;0,Operations!AG680/Operations!AG679,0)</f>
        <v/>
      </c>
      <c r="AH681" s="14">
        <f>IF(Operations!AH679&gt;0,Operations!AH680/Operations!AH679,0)</f>
        <v/>
      </c>
      <c r="AI681" s="14">
        <f>IF(Operations!AI679&gt;0,Operations!AI680/Operations!AI679,0)</f>
        <v/>
      </c>
      <c r="AJ681" s="14">
        <f>IF(Operations!AJ679&gt;0,Operations!AJ680/Operations!AJ679,0)</f>
        <v/>
      </c>
      <c r="AK681" s="14">
        <f>IF(Operations!AK679&gt;0,Operations!AK680/Operations!AK679,0)</f>
        <v/>
      </c>
      <c r="AL681" s="14">
        <f>IF(Operations!AL679&gt;0,Operations!AL680/Operations!AL679,0)</f>
        <v/>
      </c>
      <c r="AM681" s="14">
        <f>IF(Operations!AM679&gt;0,Operations!AM680/Operations!AM679,0)</f>
        <v/>
      </c>
      <c r="AN681" s="14">
        <f>IF(Operations!AN679&gt;0,Operations!AN680/Operations!AN679,0)</f>
        <v/>
      </c>
      <c r="AO681" s="14">
        <f>IF(Operations!AO679&gt;0,Operations!AO680/Operations!AO679,0)</f>
        <v/>
      </c>
      <c r="AP681" s="14">
        <f>IF(Operations!AP679&gt;0,Operations!AP680/Operations!AP679,0)</f>
        <v/>
      </c>
      <c r="AQ681" s="14">
        <f>IF(Operations!AQ679&gt;0,Operations!AQ680/Operations!AQ679,0)</f>
        <v/>
      </c>
      <c r="AR681" s="14">
        <f>IF(Operations!AR679&gt;0,Operations!AR680/Operations!AR679,0)</f>
        <v/>
      </c>
      <c r="AS681" s="14">
        <f>IF(Operations!AS679&gt;0,Operations!AS680/Operations!AS679,0)</f>
        <v/>
      </c>
      <c r="AT681" s="14">
        <f>IF(Operations!AT679&gt;0,Operations!AT680/Operations!AT679,0)</f>
        <v/>
      </c>
      <c r="AU681" s="14">
        <f>IF(Operations!AU679&gt;0,Operations!AU680/Operations!AU679,0)</f>
        <v/>
      </c>
    </row>
    <row r="682">
      <c r="D682" t="inlineStr">
        <is>
          <t>R7 own hub ATC</t>
        </is>
      </c>
      <c r="E682" t="inlineStr">
        <is>
          <t>USD/MWh</t>
        </is>
      </c>
      <c r="J682" s="18">
        <f>Operations!J426</f>
        <v/>
      </c>
      <c r="K682" s="18">
        <f>Operations!K426</f>
        <v/>
      </c>
      <c r="L682" s="18">
        <f>Operations!L426</f>
        <v/>
      </c>
      <c r="M682" s="18">
        <f>Operations!M426</f>
        <v/>
      </c>
      <c r="N682" s="18">
        <f>Operations!N426</f>
        <v/>
      </c>
      <c r="O682" s="18">
        <f>Operations!O426</f>
        <v/>
      </c>
      <c r="P682" s="18">
        <f>Operations!P426</f>
        <v/>
      </c>
      <c r="Q682" s="18">
        <f>Operations!Q426</f>
        <v/>
      </c>
      <c r="R682" s="18">
        <f>Operations!R426</f>
        <v/>
      </c>
      <c r="S682" s="18">
        <f>Operations!S426</f>
        <v/>
      </c>
      <c r="T682" s="18">
        <f>Operations!T426</f>
        <v/>
      </c>
      <c r="U682" s="18">
        <f>Operations!U426</f>
        <v/>
      </c>
      <c r="V682" s="18">
        <f>Operations!V426</f>
        <v/>
      </c>
      <c r="W682" s="18">
        <f>Operations!W426</f>
        <v/>
      </c>
      <c r="X682" s="18">
        <f>Operations!X426</f>
        <v/>
      </c>
      <c r="Y682" s="18">
        <f>Operations!Y426</f>
        <v/>
      </c>
      <c r="Z682" s="18">
        <f>Operations!Z426</f>
        <v/>
      </c>
      <c r="AA682" s="18">
        <f>Operations!AA426</f>
        <v/>
      </c>
      <c r="AB682" s="18">
        <f>Operations!AB426</f>
        <v/>
      </c>
      <c r="AC682" s="18">
        <f>Operations!AC426</f>
        <v/>
      </c>
      <c r="AD682" s="18">
        <f>Operations!AD426</f>
        <v/>
      </c>
      <c r="AE682" s="18">
        <f>Operations!AE426</f>
        <v/>
      </c>
      <c r="AF682" s="18">
        <f>Operations!AF426</f>
        <v/>
      </c>
      <c r="AG682" s="18">
        <f>Operations!AG426</f>
        <v/>
      </c>
      <c r="AH682" s="18">
        <f>Operations!AH426</f>
        <v/>
      </c>
      <c r="AI682" s="18">
        <f>Operations!AI426</f>
        <v/>
      </c>
      <c r="AJ682" s="18">
        <f>Operations!AJ426</f>
        <v/>
      </c>
      <c r="AK682" s="18">
        <f>Operations!AK426</f>
        <v/>
      </c>
      <c r="AL682" s="18">
        <f>Operations!AL426</f>
        <v/>
      </c>
      <c r="AM682" s="18">
        <f>Operations!AM426</f>
        <v/>
      </c>
      <c r="AN682" s="18">
        <f>Operations!AN426</f>
        <v/>
      </c>
      <c r="AO682" s="18">
        <f>Operations!AO426</f>
        <v/>
      </c>
      <c r="AP682" s="18">
        <f>Operations!AP426</f>
        <v/>
      </c>
      <c r="AQ682" s="18">
        <f>Operations!AQ426</f>
        <v/>
      </c>
      <c r="AR682" s="18">
        <f>Operations!AR426</f>
        <v/>
      </c>
      <c r="AS682" s="18">
        <f>Operations!AS426</f>
        <v/>
      </c>
      <c r="AT682" s="18">
        <f>Operations!AT426</f>
        <v/>
      </c>
      <c r="AU682" s="18">
        <f>Operations!AU426</f>
        <v/>
      </c>
    </row>
    <row r="683">
      <c r="D683" t="inlineStr">
        <is>
          <t>R7 floor term fraction</t>
        </is>
      </c>
      <c r="E683" t="inlineStr">
        <is>
          <t>fraction</t>
        </is>
      </c>
      <c r="J683" s="14">
        <f>MAX(0,MIN(Inputs!$F$216,Time!J$6)-MAX(Inputs!$F$215,Time!J$5))/Time!J$7</f>
        <v/>
      </c>
      <c r="K683" s="14">
        <f>MAX(0,MIN(Inputs!$F$216,Time!K$6)-MAX(Inputs!$F$215,Time!K$5))/Time!K$7</f>
        <v/>
      </c>
      <c r="L683" s="14">
        <f>MAX(0,MIN(Inputs!$F$216,Time!L$6)-MAX(Inputs!$F$215,Time!L$5))/Time!L$7</f>
        <v/>
      </c>
      <c r="M683" s="14">
        <f>MAX(0,MIN(Inputs!$F$216,Time!M$6)-MAX(Inputs!$F$215,Time!M$5))/Time!M$7</f>
        <v/>
      </c>
      <c r="N683" s="14">
        <f>MAX(0,MIN(Inputs!$F$216,Time!N$6)-MAX(Inputs!$F$215,Time!N$5))/Time!N$7</f>
        <v/>
      </c>
      <c r="O683" s="14">
        <f>MAX(0,MIN(Inputs!$F$216,Time!O$6)-MAX(Inputs!$F$215,Time!O$5))/Time!O$7</f>
        <v/>
      </c>
      <c r="P683" s="14">
        <f>MAX(0,MIN(Inputs!$F$216,Time!P$6)-MAX(Inputs!$F$215,Time!P$5))/Time!P$7</f>
        <v/>
      </c>
      <c r="Q683" s="14">
        <f>MAX(0,MIN(Inputs!$F$216,Time!Q$6)-MAX(Inputs!$F$215,Time!Q$5))/Time!Q$7</f>
        <v/>
      </c>
      <c r="R683" s="14">
        <f>MAX(0,MIN(Inputs!$F$216,Time!R$6)-MAX(Inputs!$F$215,Time!R$5))/Time!R$7</f>
        <v/>
      </c>
      <c r="S683" s="14">
        <f>MAX(0,MIN(Inputs!$F$216,Time!S$6)-MAX(Inputs!$F$215,Time!S$5))/Time!S$7</f>
        <v/>
      </c>
      <c r="T683" s="14">
        <f>MAX(0,MIN(Inputs!$F$216,Time!T$6)-MAX(Inputs!$F$215,Time!T$5))/Time!T$7</f>
        <v/>
      </c>
      <c r="U683" s="14">
        <f>MAX(0,MIN(Inputs!$F$216,Time!U$6)-MAX(Inputs!$F$215,Time!U$5))/Time!U$7</f>
        <v/>
      </c>
      <c r="V683" s="14">
        <f>MAX(0,MIN(Inputs!$F$216,Time!V$6)-MAX(Inputs!$F$215,Time!V$5))/Time!V$7</f>
        <v/>
      </c>
      <c r="W683" s="14">
        <f>MAX(0,MIN(Inputs!$F$216,Time!W$6)-MAX(Inputs!$F$215,Time!W$5))/Time!W$7</f>
        <v/>
      </c>
      <c r="X683" s="14">
        <f>MAX(0,MIN(Inputs!$F$216,Time!X$6)-MAX(Inputs!$F$215,Time!X$5))/Time!X$7</f>
        <v/>
      </c>
      <c r="Y683" s="14">
        <f>MAX(0,MIN(Inputs!$F$216,Time!Y$6)-MAX(Inputs!$F$215,Time!Y$5))/Time!Y$7</f>
        <v/>
      </c>
      <c r="Z683" s="14">
        <f>MAX(0,MIN(Inputs!$F$216,Time!Z$6)-MAX(Inputs!$F$215,Time!Z$5))/Time!Z$7</f>
        <v/>
      </c>
      <c r="AA683" s="14">
        <f>MAX(0,MIN(Inputs!$F$216,Time!AA$6)-MAX(Inputs!$F$215,Time!AA$5))/Time!AA$7</f>
        <v/>
      </c>
      <c r="AB683" s="14">
        <f>MAX(0,MIN(Inputs!$F$216,Time!AB$6)-MAX(Inputs!$F$215,Time!AB$5))/Time!AB$7</f>
        <v/>
      </c>
      <c r="AC683" s="14">
        <f>MAX(0,MIN(Inputs!$F$216,Time!AC$6)-MAX(Inputs!$F$215,Time!AC$5))/Time!AC$7</f>
        <v/>
      </c>
      <c r="AD683" s="14">
        <f>MAX(0,MIN(Inputs!$F$216,Time!AD$6)-MAX(Inputs!$F$215,Time!AD$5))/Time!AD$7</f>
        <v/>
      </c>
      <c r="AE683" s="14">
        <f>MAX(0,MIN(Inputs!$F$216,Time!AE$6)-MAX(Inputs!$F$215,Time!AE$5))/Time!AE$7</f>
        <v/>
      </c>
      <c r="AF683" s="14">
        <f>MAX(0,MIN(Inputs!$F$216,Time!AF$6)-MAX(Inputs!$F$215,Time!AF$5))/Time!AF$7</f>
        <v/>
      </c>
      <c r="AG683" s="14">
        <f>MAX(0,MIN(Inputs!$F$216,Time!AG$6)-MAX(Inputs!$F$215,Time!AG$5))/Time!AG$7</f>
        <v/>
      </c>
      <c r="AH683" s="14">
        <f>MAX(0,MIN(Inputs!$F$216,Time!AH$6)-MAX(Inputs!$F$215,Time!AH$5))/Time!AH$7</f>
        <v/>
      </c>
      <c r="AI683" s="14">
        <f>MAX(0,MIN(Inputs!$F$216,Time!AI$6)-MAX(Inputs!$F$215,Time!AI$5))/Time!AI$7</f>
        <v/>
      </c>
      <c r="AJ683" s="14">
        <f>MAX(0,MIN(Inputs!$F$216,Time!AJ$6)-MAX(Inputs!$F$215,Time!AJ$5))/Time!AJ$7</f>
        <v/>
      </c>
      <c r="AK683" s="14">
        <f>MAX(0,MIN(Inputs!$F$216,Time!AK$6)-MAX(Inputs!$F$215,Time!AK$5))/Time!AK$7</f>
        <v/>
      </c>
      <c r="AL683" s="14">
        <f>MAX(0,MIN(Inputs!$F$216,Time!AL$6)-MAX(Inputs!$F$215,Time!AL$5))/Time!AL$7</f>
        <v/>
      </c>
      <c r="AM683" s="14">
        <f>MAX(0,MIN(Inputs!$F$216,Time!AM$6)-MAX(Inputs!$F$215,Time!AM$5))/Time!AM$7</f>
        <v/>
      </c>
      <c r="AN683" s="14">
        <f>MAX(0,MIN(Inputs!$F$216,Time!AN$6)-MAX(Inputs!$F$215,Time!AN$5))/Time!AN$7</f>
        <v/>
      </c>
      <c r="AO683" s="14">
        <f>MAX(0,MIN(Inputs!$F$216,Time!AO$6)-MAX(Inputs!$F$215,Time!AO$5))/Time!AO$7</f>
        <v/>
      </c>
      <c r="AP683" s="14">
        <f>MAX(0,MIN(Inputs!$F$216,Time!AP$6)-MAX(Inputs!$F$215,Time!AP$5))/Time!AP$7</f>
        <v/>
      </c>
      <c r="AQ683" s="14">
        <f>MAX(0,MIN(Inputs!$F$216,Time!AQ$6)-MAX(Inputs!$F$215,Time!AQ$5))/Time!AQ$7</f>
        <v/>
      </c>
      <c r="AR683" s="14">
        <f>MAX(0,MIN(Inputs!$F$216,Time!AR$6)-MAX(Inputs!$F$215,Time!AR$5))/Time!AR$7</f>
        <v/>
      </c>
      <c r="AS683" s="14">
        <f>MAX(0,MIN(Inputs!$F$216,Time!AS$6)-MAX(Inputs!$F$215,Time!AS$5))/Time!AS$7</f>
        <v/>
      </c>
      <c r="AT683" s="14">
        <f>MAX(0,MIN(Inputs!$F$216,Time!AT$6)-MAX(Inputs!$F$215,Time!AT$5))/Time!AT$7</f>
        <v/>
      </c>
      <c r="AU683" s="14">
        <f>MAX(0,MIN(Inputs!$F$216,Time!AU$6)-MAX(Inputs!$F$215,Time!AU$5))/Time!AU$7</f>
        <v/>
      </c>
    </row>
    <row r="684">
      <c r="D684" t="inlineStr">
        <is>
          <t>R7 merchant revenue, availability-adjusted</t>
        </is>
      </c>
      <c r="E684" t="inlineStr">
        <is>
          <t>USD/kW-yr</t>
        </is>
      </c>
      <c r="J684" s="18">
        <f>Operations!J427*Inputs!$F$162/100</f>
        <v/>
      </c>
      <c r="K684" s="18">
        <f>Operations!K427*Inputs!$F$162/100</f>
        <v/>
      </c>
      <c r="L684" s="18">
        <f>Operations!L427*Inputs!$F$162/100</f>
        <v/>
      </c>
      <c r="M684" s="18">
        <f>Operations!M427*Inputs!$F$162/100</f>
        <v/>
      </c>
      <c r="N684" s="18">
        <f>Operations!N427*Inputs!$F$162/100</f>
        <v/>
      </c>
      <c r="O684" s="18">
        <f>Operations!O427*Inputs!$F$162/100</f>
        <v/>
      </c>
      <c r="P684" s="18">
        <f>Operations!P427*Inputs!$F$162/100</f>
        <v/>
      </c>
      <c r="Q684" s="18">
        <f>Operations!Q427*Inputs!$F$162/100</f>
        <v/>
      </c>
      <c r="R684" s="18">
        <f>Operations!R427*Inputs!$F$162/100</f>
        <v/>
      </c>
      <c r="S684" s="18">
        <f>Operations!S427*Inputs!$F$162/100</f>
        <v/>
      </c>
      <c r="T684" s="18">
        <f>Operations!T427*Inputs!$F$162/100</f>
        <v/>
      </c>
      <c r="U684" s="18">
        <f>Operations!U427*Inputs!$F$162/100</f>
        <v/>
      </c>
      <c r="V684" s="18">
        <f>Operations!V427*Inputs!$F$162/100</f>
        <v/>
      </c>
      <c r="W684" s="18">
        <f>Operations!W427*Inputs!$F$162/100</f>
        <v/>
      </c>
      <c r="X684" s="18">
        <f>Operations!X427*Inputs!$F$162/100</f>
        <v/>
      </c>
      <c r="Y684" s="18">
        <f>Operations!Y427*Inputs!$F$162/100</f>
        <v/>
      </c>
      <c r="Z684" s="18">
        <f>Operations!Z427*Inputs!$F$162/100</f>
        <v/>
      </c>
      <c r="AA684" s="18">
        <f>Operations!AA427*Inputs!$F$162/100</f>
        <v/>
      </c>
      <c r="AB684" s="18">
        <f>Operations!AB427*Inputs!$F$162/100</f>
        <v/>
      </c>
      <c r="AC684" s="18">
        <f>Operations!AC427*Inputs!$F$162/100</f>
        <v/>
      </c>
      <c r="AD684" s="18">
        <f>Operations!AD427*Inputs!$F$162/100</f>
        <v/>
      </c>
      <c r="AE684" s="18">
        <f>Operations!AE427*Inputs!$F$162/100</f>
        <v/>
      </c>
      <c r="AF684" s="18">
        <f>Operations!AF427*Inputs!$F$162/100</f>
        <v/>
      </c>
      <c r="AG684" s="18">
        <f>Operations!AG427*Inputs!$F$162/100</f>
        <v/>
      </c>
      <c r="AH684" s="18">
        <f>Operations!AH427*Inputs!$F$162/100</f>
        <v/>
      </c>
      <c r="AI684" s="18">
        <f>Operations!AI427*Inputs!$F$162/100</f>
        <v/>
      </c>
      <c r="AJ684" s="18">
        <f>Operations!AJ427*Inputs!$F$162/100</f>
        <v/>
      </c>
      <c r="AK684" s="18">
        <f>Operations!AK427*Inputs!$F$162/100</f>
        <v/>
      </c>
      <c r="AL684" s="18">
        <f>Operations!AL427*Inputs!$F$162/100</f>
        <v/>
      </c>
      <c r="AM684" s="18">
        <f>Operations!AM427*Inputs!$F$162/100</f>
        <v/>
      </c>
      <c r="AN684" s="18">
        <f>Operations!AN427*Inputs!$F$162/100</f>
        <v/>
      </c>
      <c r="AO684" s="18">
        <f>Operations!AO427*Inputs!$F$162/100</f>
        <v/>
      </c>
      <c r="AP684" s="18">
        <f>Operations!AP427*Inputs!$F$162/100</f>
        <v/>
      </c>
      <c r="AQ684" s="18">
        <f>Operations!AQ427*Inputs!$F$162/100</f>
        <v/>
      </c>
      <c r="AR684" s="18">
        <f>Operations!AR427*Inputs!$F$162/100</f>
        <v/>
      </c>
      <c r="AS684" s="18">
        <f>Operations!AS427*Inputs!$F$162/100</f>
        <v/>
      </c>
      <c r="AT684" s="18">
        <f>Operations!AT427*Inputs!$F$162/100</f>
        <v/>
      </c>
      <c r="AU684" s="18">
        <f>Operations!AU427*Inputs!$F$162/100</f>
        <v/>
      </c>
    </row>
    <row r="685">
      <c r="D685" t="inlineStr">
        <is>
          <t>R7 revenue under floor contract (max of floor, less premium and upside share)</t>
        </is>
      </c>
      <c r="E685" t="inlineStr">
        <is>
          <t>USD m</t>
        </is>
      </c>
      <c r="G685" s="20">
        <f>SUM(J685:AU685)</f>
        <v/>
      </c>
      <c r="J685" s="20">
        <f>(MAX(Operations!J684,Inputs!$F$211)-Inputs!$F$212-Inputs!$F$213/100*MAX(0,Operations!J684-Inputs!$F$214))*Inputs!$F$155/1000*Operations!J683</f>
        <v/>
      </c>
      <c r="K685" s="20">
        <f>(MAX(Operations!K684,Inputs!$F$211)-Inputs!$F$212-Inputs!$F$213/100*MAX(0,Operations!K684-Inputs!$F$214))*Inputs!$F$155/1000*Operations!K683</f>
        <v/>
      </c>
      <c r="L685" s="20">
        <f>(MAX(Operations!L684,Inputs!$F$211)-Inputs!$F$212-Inputs!$F$213/100*MAX(0,Operations!L684-Inputs!$F$214))*Inputs!$F$155/1000*Operations!L683</f>
        <v/>
      </c>
      <c r="M685" s="20">
        <f>(MAX(Operations!M684,Inputs!$F$211)-Inputs!$F$212-Inputs!$F$213/100*MAX(0,Operations!M684-Inputs!$F$214))*Inputs!$F$155/1000*Operations!M683</f>
        <v/>
      </c>
      <c r="N685" s="20">
        <f>(MAX(Operations!N684,Inputs!$F$211)-Inputs!$F$212-Inputs!$F$213/100*MAX(0,Operations!N684-Inputs!$F$214))*Inputs!$F$155/1000*Operations!N683</f>
        <v/>
      </c>
      <c r="O685" s="20">
        <f>(MAX(Operations!O684,Inputs!$F$211)-Inputs!$F$212-Inputs!$F$213/100*MAX(0,Operations!O684-Inputs!$F$214))*Inputs!$F$155/1000*Operations!O683</f>
        <v/>
      </c>
      <c r="P685" s="20">
        <f>(MAX(Operations!P684,Inputs!$F$211)-Inputs!$F$212-Inputs!$F$213/100*MAX(0,Operations!P684-Inputs!$F$214))*Inputs!$F$155/1000*Operations!P683</f>
        <v/>
      </c>
      <c r="Q685" s="20">
        <f>(MAX(Operations!Q684,Inputs!$F$211)-Inputs!$F$212-Inputs!$F$213/100*MAX(0,Operations!Q684-Inputs!$F$214))*Inputs!$F$155/1000*Operations!Q683</f>
        <v/>
      </c>
      <c r="R685" s="20">
        <f>(MAX(Operations!R684,Inputs!$F$211)-Inputs!$F$212-Inputs!$F$213/100*MAX(0,Operations!R684-Inputs!$F$214))*Inputs!$F$155/1000*Operations!R683</f>
        <v/>
      </c>
      <c r="S685" s="20">
        <f>(MAX(Operations!S684,Inputs!$F$211)-Inputs!$F$212-Inputs!$F$213/100*MAX(0,Operations!S684-Inputs!$F$214))*Inputs!$F$155/1000*Operations!S683</f>
        <v/>
      </c>
      <c r="T685" s="20">
        <f>(MAX(Operations!T684,Inputs!$F$211)-Inputs!$F$212-Inputs!$F$213/100*MAX(0,Operations!T684-Inputs!$F$214))*Inputs!$F$155/1000*Operations!T683</f>
        <v/>
      </c>
      <c r="U685" s="20">
        <f>(MAX(Operations!U684,Inputs!$F$211)-Inputs!$F$212-Inputs!$F$213/100*MAX(0,Operations!U684-Inputs!$F$214))*Inputs!$F$155/1000*Operations!U683</f>
        <v/>
      </c>
      <c r="V685" s="20">
        <f>(MAX(Operations!V684,Inputs!$F$211)-Inputs!$F$212-Inputs!$F$213/100*MAX(0,Operations!V684-Inputs!$F$214))*Inputs!$F$155/1000*Operations!V683</f>
        <v/>
      </c>
      <c r="W685" s="20">
        <f>(MAX(Operations!W684,Inputs!$F$211)-Inputs!$F$212-Inputs!$F$213/100*MAX(0,Operations!W684-Inputs!$F$214))*Inputs!$F$155/1000*Operations!W683</f>
        <v/>
      </c>
      <c r="X685" s="20">
        <f>(MAX(Operations!X684,Inputs!$F$211)-Inputs!$F$212-Inputs!$F$213/100*MAX(0,Operations!X684-Inputs!$F$214))*Inputs!$F$155/1000*Operations!X683</f>
        <v/>
      </c>
      <c r="Y685" s="20">
        <f>(MAX(Operations!Y684,Inputs!$F$211)-Inputs!$F$212-Inputs!$F$213/100*MAX(0,Operations!Y684-Inputs!$F$214))*Inputs!$F$155/1000*Operations!Y683</f>
        <v/>
      </c>
      <c r="Z685" s="20">
        <f>(MAX(Operations!Z684,Inputs!$F$211)-Inputs!$F$212-Inputs!$F$213/100*MAX(0,Operations!Z684-Inputs!$F$214))*Inputs!$F$155/1000*Operations!Z683</f>
        <v/>
      </c>
      <c r="AA685" s="20">
        <f>(MAX(Operations!AA684,Inputs!$F$211)-Inputs!$F$212-Inputs!$F$213/100*MAX(0,Operations!AA684-Inputs!$F$214))*Inputs!$F$155/1000*Operations!AA683</f>
        <v/>
      </c>
      <c r="AB685" s="20">
        <f>(MAX(Operations!AB684,Inputs!$F$211)-Inputs!$F$212-Inputs!$F$213/100*MAX(0,Operations!AB684-Inputs!$F$214))*Inputs!$F$155/1000*Operations!AB683</f>
        <v/>
      </c>
      <c r="AC685" s="20">
        <f>(MAX(Operations!AC684,Inputs!$F$211)-Inputs!$F$212-Inputs!$F$213/100*MAX(0,Operations!AC684-Inputs!$F$214))*Inputs!$F$155/1000*Operations!AC683</f>
        <v/>
      </c>
      <c r="AD685" s="20">
        <f>(MAX(Operations!AD684,Inputs!$F$211)-Inputs!$F$212-Inputs!$F$213/100*MAX(0,Operations!AD684-Inputs!$F$214))*Inputs!$F$155/1000*Operations!AD683</f>
        <v/>
      </c>
      <c r="AE685" s="20">
        <f>(MAX(Operations!AE684,Inputs!$F$211)-Inputs!$F$212-Inputs!$F$213/100*MAX(0,Operations!AE684-Inputs!$F$214))*Inputs!$F$155/1000*Operations!AE683</f>
        <v/>
      </c>
      <c r="AF685" s="20">
        <f>(MAX(Operations!AF684,Inputs!$F$211)-Inputs!$F$212-Inputs!$F$213/100*MAX(0,Operations!AF684-Inputs!$F$214))*Inputs!$F$155/1000*Operations!AF683</f>
        <v/>
      </c>
      <c r="AG685" s="20">
        <f>(MAX(Operations!AG684,Inputs!$F$211)-Inputs!$F$212-Inputs!$F$213/100*MAX(0,Operations!AG684-Inputs!$F$214))*Inputs!$F$155/1000*Operations!AG683</f>
        <v/>
      </c>
      <c r="AH685" s="20">
        <f>(MAX(Operations!AH684,Inputs!$F$211)-Inputs!$F$212-Inputs!$F$213/100*MAX(0,Operations!AH684-Inputs!$F$214))*Inputs!$F$155/1000*Operations!AH683</f>
        <v/>
      </c>
      <c r="AI685" s="20">
        <f>(MAX(Operations!AI684,Inputs!$F$211)-Inputs!$F$212-Inputs!$F$213/100*MAX(0,Operations!AI684-Inputs!$F$214))*Inputs!$F$155/1000*Operations!AI683</f>
        <v/>
      </c>
      <c r="AJ685" s="20">
        <f>(MAX(Operations!AJ684,Inputs!$F$211)-Inputs!$F$212-Inputs!$F$213/100*MAX(0,Operations!AJ684-Inputs!$F$214))*Inputs!$F$155/1000*Operations!AJ683</f>
        <v/>
      </c>
      <c r="AK685" s="20">
        <f>(MAX(Operations!AK684,Inputs!$F$211)-Inputs!$F$212-Inputs!$F$213/100*MAX(0,Operations!AK684-Inputs!$F$214))*Inputs!$F$155/1000*Operations!AK683</f>
        <v/>
      </c>
      <c r="AL685" s="20">
        <f>(MAX(Operations!AL684,Inputs!$F$211)-Inputs!$F$212-Inputs!$F$213/100*MAX(0,Operations!AL684-Inputs!$F$214))*Inputs!$F$155/1000*Operations!AL683</f>
        <v/>
      </c>
      <c r="AM685" s="20">
        <f>(MAX(Operations!AM684,Inputs!$F$211)-Inputs!$F$212-Inputs!$F$213/100*MAX(0,Operations!AM684-Inputs!$F$214))*Inputs!$F$155/1000*Operations!AM683</f>
        <v/>
      </c>
      <c r="AN685" s="20">
        <f>(MAX(Operations!AN684,Inputs!$F$211)-Inputs!$F$212-Inputs!$F$213/100*MAX(0,Operations!AN684-Inputs!$F$214))*Inputs!$F$155/1000*Operations!AN683</f>
        <v/>
      </c>
      <c r="AO685" s="20">
        <f>(MAX(Operations!AO684,Inputs!$F$211)-Inputs!$F$212-Inputs!$F$213/100*MAX(0,Operations!AO684-Inputs!$F$214))*Inputs!$F$155/1000*Operations!AO683</f>
        <v/>
      </c>
      <c r="AP685" s="20">
        <f>(MAX(Operations!AP684,Inputs!$F$211)-Inputs!$F$212-Inputs!$F$213/100*MAX(0,Operations!AP684-Inputs!$F$214))*Inputs!$F$155/1000*Operations!AP683</f>
        <v/>
      </c>
      <c r="AQ685" s="20">
        <f>(MAX(Operations!AQ684,Inputs!$F$211)-Inputs!$F$212-Inputs!$F$213/100*MAX(0,Operations!AQ684-Inputs!$F$214))*Inputs!$F$155/1000*Operations!AQ683</f>
        <v/>
      </c>
      <c r="AR685" s="20">
        <f>(MAX(Operations!AR684,Inputs!$F$211)-Inputs!$F$212-Inputs!$F$213/100*MAX(0,Operations!AR684-Inputs!$F$214))*Inputs!$F$155/1000*Operations!AR683</f>
        <v/>
      </c>
      <c r="AS685" s="20">
        <f>(MAX(Operations!AS684,Inputs!$F$211)-Inputs!$F$212-Inputs!$F$213/100*MAX(0,Operations!AS684-Inputs!$F$214))*Inputs!$F$155/1000*Operations!AS683</f>
        <v/>
      </c>
      <c r="AT685" s="20">
        <f>(MAX(Operations!AT684,Inputs!$F$211)-Inputs!$F$212-Inputs!$F$213/100*MAX(0,Operations!AT684-Inputs!$F$214))*Inputs!$F$155/1000*Operations!AT683</f>
        <v/>
      </c>
      <c r="AU685" s="20">
        <f>(MAX(Operations!AU684,Inputs!$F$211)-Inputs!$F$212-Inputs!$F$213/100*MAX(0,Operations!AU684-Inputs!$F$214))*Inputs!$F$155/1000*Operations!AU683</f>
        <v/>
      </c>
    </row>
    <row r="686">
      <c r="D686" t="inlineStr">
        <is>
          <t>R7 merchant revenue outside floor term</t>
        </is>
      </c>
      <c r="E686" t="inlineStr">
        <is>
          <t>USD m</t>
        </is>
      </c>
      <c r="G686" s="20">
        <f>SUM(J686:AU686)</f>
        <v/>
      </c>
      <c r="J686" s="20">
        <f>Operations!J684*Inputs!$F$155/1000*(Operations!J679-Operations!J683)</f>
        <v/>
      </c>
      <c r="K686" s="20">
        <f>Operations!K684*Inputs!$F$155/1000*(Operations!K679-Operations!K683)</f>
        <v/>
      </c>
      <c r="L686" s="20">
        <f>Operations!L684*Inputs!$F$155/1000*(Operations!L679-Operations!L683)</f>
        <v/>
      </c>
      <c r="M686" s="20">
        <f>Operations!M684*Inputs!$F$155/1000*(Operations!M679-Operations!M683)</f>
        <v/>
      </c>
      <c r="N686" s="20">
        <f>Operations!N684*Inputs!$F$155/1000*(Operations!N679-Operations!N683)</f>
        <v/>
      </c>
      <c r="O686" s="20">
        <f>Operations!O684*Inputs!$F$155/1000*(Operations!O679-Operations!O683)</f>
        <v/>
      </c>
      <c r="P686" s="20">
        <f>Operations!P684*Inputs!$F$155/1000*(Operations!P679-Operations!P683)</f>
        <v/>
      </c>
      <c r="Q686" s="20">
        <f>Operations!Q684*Inputs!$F$155/1000*(Operations!Q679-Operations!Q683)</f>
        <v/>
      </c>
      <c r="R686" s="20">
        <f>Operations!R684*Inputs!$F$155/1000*(Operations!R679-Operations!R683)</f>
        <v/>
      </c>
      <c r="S686" s="20">
        <f>Operations!S684*Inputs!$F$155/1000*(Operations!S679-Operations!S683)</f>
        <v/>
      </c>
      <c r="T686" s="20">
        <f>Operations!T684*Inputs!$F$155/1000*(Operations!T679-Operations!T683)</f>
        <v/>
      </c>
      <c r="U686" s="20">
        <f>Operations!U684*Inputs!$F$155/1000*(Operations!U679-Operations!U683)</f>
        <v/>
      </c>
      <c r="V686" s="20">
        <f>Operations!V684*Inputs!$F$155/1000*(Operations!V679-Operations!V683)</f>
        <v/>
      </c>
      <c r="W686" s="20">
        <f>Operations!W684*Inputs!$F$155/1000*(Operations!W679-Operations!W683)</f>
        <v/>
      </c>
      <c r="X686" s="20">
        <f>Operations!X684*Inputs!$F$155/1000*(Operations!X679-Operations!X683)</f>
        <v/>
      </c>
      <c r="Y686" s="20">
        <f>Operations!Y684*Inputs!$F$155/1000*(Operations!Y679-Operations!Y683)</f>
        <v/>
      </c>
      <c r="Z686" s="20">
        <f>Operations!Z684*Inputs!$F$155/1000*(Operations!Z679-Operations!Z683)</f>
        <v/>
      </c>
      <c r="AA686" s="20">
        <f>Operations!AA684*Inputs!$F$155/1000*(Operations!AA679-Operations!AA683)</f>
        <v/>
      </c>
      <c r="AB686" s="20">
        <f>Operations!AB684*Inputs!$F$155/1000*(Operations!AB679-Operations!AB683)</f>
        <v/>
      </c>
      <c r="AC686" s="20">
        <f>Operations!AC684*Inputs!$F$155/1000*(Operations!AC679-Operations!AC683)</f>
        <v/>
      </c>
      <c r="AD686" s="20">
        <f>Operations!AD684*Inputs!$F$155/1000*(Operations!AD679-Operations!AD683)</f>
        <v/>
      </c>
      <c r="AE686" s="20">
        <f>Operations!AE684*Inputs!$F$155/1000*(Operations!AE679-Operations!AE683)</f>
        <v/>
      </c>
      <c r="AF686" s="20">
        <f>Operations!AF684*Inputs!$F$155/1000*(Operations!AF679-Operations!AF683)</f>
        <v/>
      </c>
      <c r="AG686" s="20">
        <f>Operations!AG684*Inputs!$F$155/1000*(Operations!AG679-Operations!AG683)</f>
        <v/>
      </c>
      <c r="AH686" s="20">
        <f>Operations!AH684*Inputs!$F$155/1000*(Operations!AH679-Operations!AH683)</f>
        <v/>
      </c>
      <c r="AI686" s="20">
        <f>Operations!AI684*Inputs!$F$155/1000*(Operations!AI679-Operations!AI683)</f>
        <v/>
      </c>
      <c r="AJ686" s="20">
        <f>Operations!AJ684*Inputs!$F$155/1000*(Operations!AJ679-Operations!AJ683)</f>
        <v/>
      </c>
      <c r="AK686" s="20">
        <f>Operations!AK684*Inputs!$F$155/1000*(Operations!AK679-Operations!AK683)</f>
        <v/>
      </c>
      <c r="AL686" s="20">
        <f>Operations!AL684*Inputs!$F$155/1000*(Operations!AL679-Operations!AL683)</f>
        <v/>
      </c>
      <c r="AM686" s="20">
        <f>Operations!AM684*Inputs!$F$155/1000*(Operations!AM679-Operations!AM683)</f>
        <v/>
      </c>
      <c r="AN686" s="20">
        <f>Operations!AN684*Inputs!$F$155/1000*(Operations!AN679-Operations!AN683)</f>
        <v/>
      </c>
      <c r="AO686" s="20">
        <f>Operations!AO684*Inputs!$F$155/1000*(Operations!AO679-Operations!AO683)</f>
        <v/>
      </c>
      <c r="AP686" s="20">
        <f>Operations!AP684*Inputs!$F$155/1000*(Operations!AP679-Operations!AP683)</f>
        <v/>
      </c>
      <c r="AQ686" s="20">
        <f>Operations!AQ684*Inputs!$F$155/1000*(Operations!AQ679-Operations!AQ683)</f>
        <v/>
      </c>
      <c r="AR686" s="20">
        <f>Operations!AR684*Inputs!$F$155/1000*(Operations!AR679-Operations!AR683)</f>
        <v/>
      </c>
      <c r="AS686" s="20">
        <f>Operations!AS684*Inputs!$F$155/1000*(Operations!AS679-Operations!AS683)</f>
        <v/>
      </c>
      <c r="AT686" s="20">
        <f>Operations!AT684*Inputs!$F$155/1000*(Operations!AT679-Operations!AT683)</f>
        <v/>
      </c>
      <c r="AU686" s="20">
        <f>Operations!AU684*Inputs!$F$155/1000*(Operations!AU679-Operations!AU683)</f>
        <v/>
      </c>
    </row>
    <row r="687">
      <c r="D687" t="inlineStr">
        <is>
          <t>R7 contracted revenue (floor less premium)</t>
        </is>
      </c>
      <c r="E687" t="inlineStr">
        <is>
          <t>USD m</t>
        </is>
      </c>
      <c r="J687" s="20">
        <f>(Inputs!$F$211-Inputs!$F$212)*Inputs!$F$155/1000*Operations!J683</f>
        <v/>
      </c>
      <c r="K687" s="20">
        <f>(Inputs!$F$211-Inputs!$F$212)*Inputs!$F$155/1000*Operations!K683</f>
        <v/>
      </c>
      <c r="L687" s="20">
        <f>(Inputs!$F$211-Inputs!$F$212)*Inputs!$F$155/1000*Operations!L683</f>
        <v/>
      </c>
      <c r="M687" s="20">
        <f>(Inputs!$F$211-Inputs!$F$212)*Inputs!$F$155/1000*Operations!M683</f>
        <v/>
      </c>
      <c r="N687" s="20">
        <f>(Inputs!$F$211-Inputs!$F$212)*Inputs!$F$155/1000*Operations!N683</f>
        <v/>
      </c>
      <c r="O687" s="20">
        <f>(Inputs!$F$211-Inputs!$F$212)*Inputs!$F$155/1000*Operations!O683</f>
        <v/>
      </c>
      <c r="P687" s="20">
        <f>(Inputs!$F$211-Inputs!$F$212)*Inputs!$F$155/1000*Operations!P683</f>
        <v/>
      </c>
      <c r="Q687" s="20">
        <f>(Inputs!$F$211-Inputs!$F$212)*Inputs!$F$155/1000*Operations!Q683</f>
        <v/>
      </c>
      <c r="R687" s="20">
        <f>(Inputs!$F$211-Inputs!$F$212)*Inputs!$F$155/1000*Operations!R683</f>
        <v/>
      </c>
      <c r="S687" s="20">
        <f>(Inputs!$F$211-Inputs!$F$212)*Inputs!$F$155/1000*Operations!S683</f>
        <v/>
      </c>
      <c r="T687" s="20">
        <f>(Inputs!$F$211-Inputs!$F$212)*Inputs!$F$155/1000*Operations!T683</f>
        <v/>
      </c>
      <c r="U687" s="20">
        <f>(Inputs!$F$211-Inputs!$F$212)*Inputs!$F$155/1000*Operations!U683</f>
        <v/>
      </c>
      <c r="V687" s="20">
        <f>(Inputs!$F$211-Inputs!$F$212)*Inputs!$F$155/1000*Operations!V683</f>
        <v/>
      </c>
      <c r="W687" s="20">
        <f>(Inputs!$F$211-Inputs!$F$212)*Inputs!$F$155/1000*Operations!W683</f>
        <v/>
      </c>
      <c r="X687" s="20">
        <f>(Inputs!$F$211-Inputs!$F$212)*Inputs!$F$155/1000*Operations!X683</f>
        <v/>
      </c>
      <c r="Y687" s="20">
        <f>(Inputs!$F$211-Inputs!$F$212)*Inputs!$F$155/1000*Operations!Y683</f>
        <v/>
      </c>
      <c r="Z687" s="20">
        <f>(Inputs!$F$211-Inputs!$F$212)*Inputs!$F$155/1000*Operations!Z683</f>
        <v/>
      </c>
      <c r="AA687" s="20">
        <f>(Inputs!$F$211-Inputs!$F$212)*Inputs!$F$155/1000*Operations!AA683</f>
        <v/>
      </c>
      <c r="AB687" s="20">
        <f>(Inputs!$F$211-Inputs!$F$212)*Inputs!$F$155/1000*Operations!AB683</f>
        <v/>
      </c>
      <c r="AC687" s="20">
        <f>(Inputs!$F$211-Inputs!$F$212)*Inputs!$F$155/1000*Operations!AC683</f>
        <v/>
      </c>
      <c r="AD687" s="20">
        <f>(Inputs!$F$211-Inputs!$F$212)*Inputs!$F$155/1000*Operations!AD683</f>
        <v/>
      </c>
      <c r="AE687" s="20">
        <f>(Inputs!$F$211-Inputs!$F$212)*Inputs!$F$155/1000*Operations!AE683</f>
        <v/>
      </c>
      <c r="AF687" s="20">
        <f>(Inputs!$F$211-Inputs!$F$212)*Inputs!$F$155/1000*Operations!AF683</f>
        <v/>
      </c>
      <c r="AG687" s="20">
        <f>(Inputs!$F$211-Inputs!$F$212)*Inputs!$F$155/1000*Operations!AG683</f>
        <v/>
      </c>
      <c r="AH687" s="20">
        <f>(Inputs!$F$211-Inputs!$F$212)*Inputs!$F$155/1000*Operations!AH683</f>
        <v/>
      </c>
      <c r="AI687" s="20">
        <f>(Inputs!$F$211-Inputs!$F$212)*Inputs!$F$155/1000*Operations!AI683</f>
        <v/>
      </c>
      <c r="AJ687" s="20">
        <f>(Inputs!$F$211-Inputs!$F$212)*Inputs!$F$155/1000*Operations!AJ683</f>
        <v/>
      </c>
      <c r="AK687" s="20">
        <f>(Inputs!$F$211-Inputs!$F$212)*Inputs!$F$155/1000*Operations!AK683</f>
        <v/>
      </c>
      <c r="AL687" s="20">
        <f>(Inputs!$F$211-Inputs!$F$212)*Inputs!$F$155/1000*Operations!AL683</f>
        <v/>
      </c>
      <c r="AM687" s="20">
        <f>(Inputs!$F$211-Inputs!$F$212)*Inputs!$F$155/1000*Operations!AM683</f>
        <v/>
      </c>
      <c r="AN687" s="20">
        <f>(Inputs!$F$211-Inputs!$F$212)*Inputs!$F$155/1000*Operations!AN683</f>
        <v/>
      </c>
      <c r="AO687" s="20">
        <f>(Inputs!$F$211-Inputs!$F$212)*Inputs!$F$155/1000*Operations!AO683</f>
        <v/>
      </c>
      <c r="AP687" s="20">
        <f>(Inputs!$F$211-Inputs!$F$212)*Inputs!$F$155/1000*Operations!AP683</f>
        <v/>
      </c>
      <c r="AQ687" s="20">
        <f>(Inputs!$F$211-Inputs!$F$212)*Inputs!$F$155/1000*Operations!AQ683</f>
        <v/>
      </c>
      <c r="AR687" s="20">
        <f>(Inputs!$F$211-Inputs!$F$212)*Inputs!$F$155/1000*Operations!AR683</f>
        <v/>
      </c>
      <c r="AS687" s="20">
        <f>(Inputs!$F$211-Inputs!$F$212)*Inputs!$F$155/1000*Operations!AS683</f>
        <v/>
      </c>
      <c r="AT687" s="20">
        <f>(Inputs!$F$211-Inputs!$F$212)*Inputs!$F$155/1000*Operations!AT683</f>
        <v/>
      </c>
      <c r="AU687" s="20">
        <f>(Inputs!$F$211-Inputs!$F$212)*Inputs!$F$155/1000*Operations!AU683</f>
        <v/>
      </c>
    </row>
    <row r="688">
      <c r="D688" t="inlineStr">
        <is>
          <t>R7 hedged revenue</t>
        </is>
      </c>
      <c r="E688" t="inlineStr">
        <is>
          <t>USD m</t>
        </is>
      </c>
      <c r="J688" s="20">
        <f>0</f>
        <v/>
      </c>
      <c r="K688" s="20">
        <f>0</f>
        <v/>
      </c>
      <c r="L688" s="20">
        <f>0</f>
        <v/>
      </c>
      <c r="M688" s="20">
        <f>0</f>
        <v/>
      </c>
      <c r="N688" s="20">
        <f>0</f>
        <v/>
      </c>
      <c r="O688" s="20">
        <f>0</f>
        <v/>
      </c>
      <c r="P688" s="20">
        <f>0</f>
        <v/>
      </c>
      <c r="Q688" s="20">
        <f>0</f>
        <v/>
      </c>
      <c r="R688" s="20">
        <f>0</f>
        <v/>
      </c>
      <c r="S688" s="20">
        <f>0</f>
        <v/>
      </c>
      <c r="T688" s="20">
        <f>0</f>
        <v/>
      </c>
      <c r="U688" s="20">
        <f>0</f>
        <v/>
      </c>
      <c r="V688" s="20">
        <f>0</f>
        <v/>
      </c>
      <c r="W688" s="20">
        <f>0</f>
        <v/>
      </c>
      <c r="X688" s="20">
        <f>0</f>
        <v/>
      </c>
      <c r="Y688" s="20">
        <f>0</f>
        <v/>
      </c>
      <c r="Z688" s="20">
        <f>0</f>
        <v/>
      </c>
      <c r="AA688" s="20">
        <f>0</f>
        <v/>
      </c>
      <c r="AB688" s="20">
        <f>0</f>
        <v/>
      </c>
      <c r="AC688" s="20">
        <f>0</f>
        <v/>
      </c>
      <c r="AD688" s="20">
        <f>0</f>
        <v/>
      </c>
      <c r="AE688" s="20">
        <f>0</f>
        <v/>
      </c>
      <c r="AF688" s="20">
        <f>0</f>
        <v/>
      </c>
      <c r="AG688" s="20">
        <f>0</f>
        <v/>
      </c>
      <c r="AH688" s="20">
        <f>0</f>
        <v/>
      </c>
      <c r="AI688" s="20">
        <f>0</f>
        <v/>
      </c>
      <c r="AJ688" s="20">
        <f>0</f>
        <v/>
      </c>
      <c r="AK688" s="20">
        <f>0</f>
        <v/>
      </c>
      <c r="AL688" s="20">
        <f>0</f>
        <v/>
      </c>
      <c r="AM688" s="20">
        <f>0</f>
        <v/>
      </c>
      <c r="AN688" s="20">
        <f>0</f>
        <v/>
      </c>
      <c r="AO688" s="20">
        <f>0</f>
        <v/>
      </c>
      <c r="AP688" s="20">
        <f>0</f>
        <v/>
      </c>
      <c r="AQ688" s="20">
        <f>0</f>
        <v/>
      </c>
      <c r="AR688" s="20">
        <f>0</f>
        <v/>
      </c>
      <c r="AS688" s="20">
        <f>0</f>
        <v/>
      </c>
      <c r="AT688" s="20">
        <f>0</f>
        <v/>
      </c>
      <c r="AU688" s="20">
        <f>0</f>
        <v/>
      </c>
    </row>
    <row r="689">
      <c r="D689" t="inlineStr">
        <is>
          <t>R7 total revenue</t>
        </is>
      </c>
      <c r="E689" t="inlineStr">
        <is>
          <t>USD m</t>
        </is>
      </c>
      <c r="G689" s="20">
        <f>SUM(J689:AU689)</f>
        <v/>
      </c>
      <c r="J689" s="20">
        <f>Operations!J685+Operations!J686</f>
        <v/>
      </c>
      <c r="K689" s="20">
        <f>Operations!K685+Operations!K686</f>
        <v/>
      </c>
      <c r="L689" s="20">
        <f>Operations!L685+Operations!L686</f>
        <v/>
      </c>
      <c r="M689" s="20">
        <f>Operations!M685+Operations!M686</f>
        <v/>
      </c>
      <c r="N689" s="20">
        <f>Operations!N685+Operations!N686</f>
        <v/>
      </c>
      <c r="O689" s="20">
        <f>Operations!O685+Operations!O686</f>
        <v/>
      </c>
      <c r="P689" s="20">
        <f>Operations!P685+Operations!P686</f>
        <v/>
      </c>
      <c r="Q689" s="20">
        <f>Operations!Q685+Operations!Q686</f>
        <v/>
      </c>
      <c r="R689" s="20">
        <f>Operations!R685+Operations!R686</f>
        <v/>
      </c>
      <c r="S689" s="20">
        <f>Operations!S685+Operations!S686</f>
        <v/>
      </c>
      <c r="T689" s="20">
        <f>Operations!T685+Operations!T686</f>
        <v/>
      </c>
      <c r="U689" s="20">
        <f>Operations!U685+Operations!U686</f>
        <v/>
      </c>
      <c r="V689" s="20">
        <f>Operations!V685+Operations!V686</f>
        <v/>
      </c>
      <c r="W689" s="20">
        <f>Operations!W685+Operations!W686</f>
        <v/>
      </c>
      <c r="X689" s="20">
        <f>Operations!X685+Operations!X686</f>
        <v/>
      </c>
      <c r="Y689" s="20">
        <f>Operations!Y685+Operations!Y686</f>
        <v/>
      </c>
      <c r="Z689" s="20">
        <f>Operations!Z685+Operations!Z686</f>
        <v/>
      </c>
      <c r="AA689" s="20">
        <f>Operations!AA685+Operations!AA686</f>
        <v/>
      </c>
      <c r="AB689" s="20">
        <f>Operations!AB685+Operations!AB686</f>
        <v/>
      </c>
      <c r="AC689" s="20">
        <f>Operations!AC685+Operations!AC686</f>
        <v/>
      </c>
      <c r="AD689" s="20">
        <f>Operations!AD685+Operations!AD686</f>
        <v/>
      </c>
      <c r="AE689" s="20">
        <f>Operations!AE685+Operations!AE686</f>
        <v/>
      </c>
      <c r="AF689" s="20">
        <f>Operations!AF685+Operations!AF686</f>
        <v/>
      </c>
      <c r="AG689" s="20">
        <f>Operations!AG685+Operations!AG686</f>
        <v/>
      </c>
      <c r="AH689" s="20">
        <f>Operations!AH685+Operations!AH686</f>
        <v/>
      </c>
      <c r="AI689" s="20">
        <f>Operations!AI685+Operations!AI686</f>
        <v/>
      </c>
      <c r="AJ689" s="20">
        <f>Operations!AJ685+Operations!AJ686</f>
        <v/>
      </c>
      <c r="AK689" s="20">
        <f>Operations!AK685+Operations!AK686</f>
        <v/>
      </c>
      <c r="AL689" s="20">
        <f>Operations!AL685+Operations!AL686</f>
        <v/>
      </c>
      <c r="AM689" s="20">
        <f>Operations!AM685+Operations!AM686</f>
        <v/>
      </c>
      <c r="AN689" s="20">
        <f>Operations!AN685+Operations!AN686</f>
        <v/>
      </c>
      <c r="AO689" s="20">
        <f>Operations!AO685+Operations!AO686</f>
        <v/>
      </c>
      <c r="AP689" s="20">
        <f>Operations!AP685+Operations!AP686</f>
        <v/>
      </c>
      <c r="AQ689" s="20">
        <f>Operations!AQ685+Operations!AQ686</f>
        <v/>
      </c>
      <c r="AR689" s="20">
        <f>Operations!AR685+Operations!AR686</f>
        <v/>
      </c>
      <c r="AS689" s="20">
        <f>Operations!AS685+Operations!AS686</f>
        <v/>
      </c>
      <c r="AT689" s="20">
        <f>Operations!AT685+Operations!AT686</f>
        <v/>
      </c>
      <c r="AU689" s="20">
        <f>Operations!AU685+Operations!AU686</f>
        <v/>
      </c>
    </row>
    <row r="690">
      <c r="D690" t="inlineStr">
        <is>
          <t>R7 merchant revenue (total less contracted and hedged)</t>
        </is>
      </c>
      <c r="E690" t="inlineStr">
        <is>
          <t>USD m</t>
        </is>
      </c>
      <c r="J690" s="20">
        <f>Operations!J689-Operations!J687-Operations!J688</f>
        <v/>
      </c>
      <c r="K690" s="20">
        <f>Operations!K689-Operations!K687-Operations!K688</f>
        <v/>
      </c>
      <c r="L690" s="20">
        <f>Operations!L689-Operations!L687-Operations!L688</f>
        <v/>
      </c>
      <c r="M690" s="20">
        <f>Operations!M689-Operations!M687-Operations!M688</f>
        <v/>
      </c>
      <c r="N690" s="20">
        <f>Operations!N689-Operations!N687-Operations!N688</f>
        <v/>
      </c>
      <c r="O690" s="20">
        <f>Operations!O689-Operations!O687-Operations!O688</f>
        <v/>
      </c>
      <c r="P690" s="20">
        <f>Operations!P689-Operations!P687-Operations!P688</f>
        <v/>
      </c>
      <c r="Q690" s="20">
        <f>Operations!Q689-Operations!Q687-Operations!Q688</f>
        <v/>
      </c>
      <c r="R690" s="20">
        <f>Operations!R689-Operations!R687-Operations!R688</f>
        <v/>
      </c>
      <c r="S690" s="20">
        <f>Operations!S689-Operations!S687-Operations!S688</f>
        <v/>
      </c>
      <c r="T690" s="20">
        <f>Operations!T689-Operations!T687-Operations!T688</f>
        <v/>
      </c>
      <c r="U690" s="20">
        <f>Operations!U689-Operations!U687-Operations!U688</f>
        <v/>
      </c>
      <c r="V690" s="20">
        <f>Operations!V689-Operations!V687-Operations!V688</f>
        <v/>
      </c>
      <c r="W690" s="20">
        <f>Operations!W689-Operations!W687-Operations!W688</f>
        <v/>
      </c>
      <c r="X690" s="20">
        <f>Operations!X689-Operations!X687-Operations!X688</f>
        <v/>
      </c>
      <c r="Y690" s="20">
        <f>Operations!Y689-Operations!Y687-Operations!Y688</f>
        <v/>
      </c>
      <c r="Z690" s="20">
        <f>Operations!Z689-Operations!Z687-Operations!Z688</f>
        <v/>
      </c>
      <c r="AA690" s="20">
        <f>Operations!AA689-Operations!AA687-Operations!AA688</f>
        <v/>
      </c>
      <c r="AB690" s="20">
        <f>Operations!AB689-Operations!AB687-Operations!AB688</f>
        <v/>
      </c>
      <c r="AC690" s="20">
        <f>Operations!AC689-Operations!AC687-Operations!AC688</f>
        <v/>
      </c>
      <c r="AD690" s="20">
        <f>Operations!AD689-Operations!AD687-Operations!AD688</f>
        <v/>
      </c>
      <c r="AE690" s="20">
        <f>Operations!AE689-Operations!AE687-Operations!AE688</f>
        <v/>
      </c>
      <c r="AF690" s="20">
        <f>Operations!AF689-Operations!AF687-Operations!AF688</f>
        <v/>
      </c>
      <c r="AG690" s="20">
        <f>Operations!AG689-Operations!AG687-Operations!AG688</f>
        <v/>
      </c>
      <c r="AH690" s="20">
        <f>Operations!AH689-Operations!AH687-Operations!AH688</f>
        <v/>
      </c>
      <c r="AI690" s="20">
        <f>Operations!AI689-Operations!AI687-Operations!AI688</f>
        <v/>
      </c>
      <c r="AJ690" s="20">
        <f>Operations!AJ689-Operations!AJ687-Operations!AJ688</f>
        <v/>
      </c>
      <c r="AK690" s="20">
        <f>Operations!AK689-Operations!AK687-Operations!AK688</f>
        <v/>
      </c>
      <c r="AL690" s="20">
        <f>Operations!AL689-Operations!AL687-Operations!AL688</f>
        <v/>
      </c>
      <c r="AM690" s="20">
        <f>Operations!AM689-Operations!AM687-Operations!AM688</f>
        <v/>
      </c>
      <c r="AN690" s="20">
        <f>Operations!AN689-Operations!AN687-Operations!AN688</f>
        <v/>
      </c>
      <c r="AO690" s="20">
        <f>Operations!AO689-Operations!AO687-Operations!AO688</f>
        <v/>
      </c>
      <c r="AP690" s="20">
        <f>Operations!AP689-Operations!AP687-Operations!AP688</f>
        <v/>
      </c>
      <c r="AQ690" s="20">
        <f>Operations!AQ689-Operations!AQ687-Operations!AQ688</f>
        <v/>
      </c>
      <c r="AR690" s="20">
        <f>Operations!AR689-Operations!AR687-Operations!AR688</f>
        <v/>
      </c>
      <c r="AS690" s="20">
        <f>Operations!AS689-Operations!AS687-Operations!AS688</f>
        <v/>
      </c>
      <c r="AT690" s="20">
        <f>Operations!AT689-Operations!AT687-Operations!AT688</f>
        <v/>
      </c>
      <c r="AU690" s="20">
        <f>Operations!AU689-Operations!AU687-Operations!AU688</f>
        <v/>
      </c>
    </row>
    <row r="691">
      <c r="D691" t="inlineStr">
        <is>
          <t>R7 opex (O&amp;M, land, insurance, property tax, site)</t>
        </is>
      </c>
      <c r="E691" t="inlineStr">
        <is>
          <t>USD m</t>
        </is>
      </c>
      <c r="J691" s="20">
        <f>Inputs!$F$159*Inputs!$F$155/1000*Time!J$9*Time!J$10*Operations!J679*Operations!$F$421</f>
        <v/>
      </c>
      <c r="K691" s="20">
        <f>Inputs!$F$159*Inputs!$F$155/1000*Time!K$9*Time!K$10*Operations!K679*Operations!$F$421</f>
        <v/>
      </c>
      <c r="L691" s="20">
        <f>Inputs!$F$159*Inputs!$F$155/1000*Time!L$9*Time!L$10*Operations!L679*Operations!$F$421</f>
        <v/>
      </c>
      <c r="M691" s="20">
        <f>Inputs!$F$159*Inputs!$F$155/1000*Time!M$9*Time!M$10*Operations!M679*Operations!$F$421</f>
        <v/>
      </c>
      <c r="N691" s="20">
        <f>Inputs!$F$159*Inputs!$F$155/1000*Time!N$9*Time!N$10*Operations!N679*Operations!$F$421</f>
        <v/>
      </c>
      <c r="O691" s="20">
        <f>Inputs!$F$159*Inputs!$F$155/1000*Time!O$9*Time!O$10*Operations!O679*Operations!$F$421</f>
        <v/>
      </c>
      <c r="P691" s="20">
        <f>Inputs!$F$159*Inputs!$F$155/1000*Time!P$9*Time!P$10*Operations!P679*Operations!$F$421</f>
        <v/>
      </c>
      <c r="Q691" s="20">
        <f>Inputs!$F$159*Inputs!$F$155/1000*Time!Q$9*Time!Q$10*Operations!Q679*Operations!$F$421</f>
        <v/>
      </c>
      <c r="R691" s="20">
        <f>Inputs!$F$159*Inputs!$F$155/1000*Time!R$9*Time!R$10*Operations!R679*Operations!$F$421</f>
        <v/>
      </c>
      <c r="S691" s="20">
        <f>Inputs!$F$159*Inputs!$F$155/1000*Time!S$9*Time!S$10*Operations!S679*Operations!$F$421</f>
        <v/>
      </c>
      <c r="T691" s="20">
        <f>Inputs!$F$159*Inputs!$F$155/1000*Time!T$9*Time!T$10*Operations!T679*Operations!$F$421</f>
        <v/>
      </c>
      <c r="U691" s="20">
        <f>Inputs!$F$159*Inputs!$F$155/1000*Time!U$9*Time!U$10*Operations!U679*Operations!$F$421</f>
        <v/>
      </c>
      <c r="V691" s="20">
        <f>Inputs!$F$159*Inputs!$F$155/1000*Time!V$9*Time!V$10*Operations!V679*Operations!$F$421</f>
        <v/>
      </c>
      <c r="W691" s="20">
        <f>Inputs!$F$159*Inputs!$F$155/1000*Time!W$9*Time!W$10*Operations!W679*Operations!$F$421</f>
        <v/>
      </c>
      <c r="X691" s="20">
        <f>Inputs!$F$159*Inputs!$F$155/1000*Time!X$9*Time!X$10*Operations!X679*Operations!$F$421</f>
        <v/>
      </c>
      <c r="Y691" s="20">
        <f>Inputs!$F$159*Inputs!$F$155/1000*Time!Y$9*Time!Y$10*Operations!Y679*Operations!$F$421</f>
        <v/>
      </c>
      <c r="Z691" s="20">
        <f>Inputs!$F$159*Inputs!$F$155/1000*Time!Z$9*Time!Z$10*Operations!Z679*Operations!$F$421</f>
        <v/>
      </c>
      <c r="AA691" s="20">
        <f>Inputs!$F$159*Inputs!$F$155/1000*Time!AA$9*Time!AA$10*Operations!AA679*Operations!$F$421</f>
        <v/>
      </c>
      <c r="AB691" s="20">
        <f>Inputs!$F$159*Inputs!$F$155/1000*Time!AB$9*Time!AB$10*Operations!AB679*Operations!$F$421</f>
        <v/>
      </c>
      <c r="AC691" s="20">
        <f>Inputs!$F$159*Inputs!$F$155/1000*Time!AC$9*Time!AC$10*Operations!AC679*Operations!$F$421</f>
        <v/>
      </c>
      <c r="AD691" s="20">
        <f>Inputs!$F$159*Inputs!$F$155/1000*Time!AD$9*Time!AD$10*Operations!AD679*Operations!$F$421</f>
        <v/>
      </c>
      <c r="AE691" s="20">
        <f>Inputs!$F$159*Inputs!$F$155/1000*Time!AE$9*Time!AE$10*Operations!AE679*Operations!$F$421</f>
        <v/>
      </c>
      <c r="AF691" s="20">
        <f>Inputs!$F$159*Inputs!$F$155/1000*Time!AF$9*Time!AF$10*Operations!AF679*Operations!$F$421</f>
        <v/>
      </c>
      <c r="AG691" s="20">
        <f>Inputs!$F$159*Inputs!$F$155/1000*Time!AG$9*Time!AG$10*Operations!AG679*Operations!$F$421</f>
        <v/>
      </c>
      <c r="AH691" s="20">
        <f>Inputs!$F$159*Inputs!$F$155/1000*Time!AH$9*Time!AH$10*Operations!AH679*Operations!$F$421</f>
        <v/>
      </c>
      <c r="AI691" s="20">
        <f>Inputs!$F$159*Inputs!$F$155/1000*Time!AI$9*Time!AI$10*Operations!AI679*Operations!$F$421</f>
        <v/>
      </c>
      <c r="AJ691" s="20">
        <f>Inputs!$F$159*Inputs!$F$155/1000*Time!AJ$9*Time!AJ$10*Operations!AJ679*Operations!$F$421</f>
        <v/>
      </c>
      <c r="AK691" s="20">
        <f>Inputs!$F$159*Inputs!$F$155/1000*Time!AK$9*Time!AK$10*Operations!AK679*Operations!$F$421</f>
        <v/>
      </c>
      <c r="AL691" s="20">
        <f>Inputs!$F$159*Inputs!$F$155/1000*Time!AL$9*Time!AL$10*Operations!AL679*Operations!$F$421</f>
        <v/>
      </c>
      <c r="AM691" s="20">
        <f>Inputs!$F$159*Inputs!$F$155/1000*Time!AM$9*Time!AM$10*Operations!AM679*Operations!$F$421</f>
        <v/>
      </c>
      <c r="AN691" s="20">
        <f>Inputs!$F$159*Inputs!$F$155/1000*Time!AN$9*Time!AN$10*Operations!AN679*Operations!$F$421</f>
        <v/>
      </c>
      <c r="AO691" s="20">
        <f>Inputs!$F$159*Inputs!$F$155/1000*Time!AO$9*Time!AO$10*Operations!AO679*Operations!$F$421</f>
        <v/>
      </c>
      <c r="AP691" s="20">
        <f>Inputs!$F$159*Inputs!$F$155/1000*Time!AP$9*Time!AP$10*Operations!AP679*Operations!$F$421</f>
        <v/>
      </c>
      <c r="AQ691" s="20">
        <f>Inputs!$F$159*Inputs!$F$155/1000*Time!AQ$9*Time!AQ$10*Operations!AQ679*Operations!$F$421</f>
        <v/>
      </c>
      <c r="AR691" s="20">
        <f>Inputs!$F$159*Inputs!$F$155/1000*Time!AR$9*Time!AR$10*Operations!AR679*Operations!$F$421</f>
        <v/>
      </c>
      <c r="AS691" s="20">
        <f>Inputs!$F$159*Inputs!$F$155/1000*Time!AS$9*Time!AS$10*Operations!AS679*Operations!$F$421</f>
        <v/>
      </c>
      <c r="AT691" s="20">
        <f>Inputs!$F$159*Inputs!$F$155/1000*Time!AT$9*Time!AT$10*Operations!AT679*Operations!$F$421</f>
        <v/>
      </c>
      <c r="AU691" s="20">
        <f>Inputs!$F$159*Inputs!$F$155/1000*Time!AU$9*Time!AU$10*Operations!AU679*Operations!$F$421</f>
        <v/>
      </c>
    </row>
    <row r="692">
      <c r="D692" t="inlineStr">
        <is>
          <t>R7 land lease (in opex)</t>
        </is>
      </c>
      <c r="E692" t="inlineStr">
        <is>
          <t>USD m</t>
        </is>
      </c>
      <c r="J692" s="20">
        <f>0</f>
        <v/>
      </c>
      <c r="K692" s="20">
        <f>0</f>
        <v/>
      </c>
      <c r="L692" s="20">
        <f>0</f>
        <v/>
      </c>
      <c r="M692" s="20">
        <f>0</f>
        <v/>
      </c>
      <c r="N692" s="20">
        <f>0</f>
        <v/>
      </c>
      <c r="O692" s="20">
        <f>0</f>
        <v/>
      </c>
      <c r="P692" s="20">
        <f>0</f>
        <v/>
      </c>
      <c r="Q692" s="20">
        <f>0</f>
        <v/>
      </c>
      <c r="R692" s="20">
        <f>0</f>
        <v/>
      </c>
      <c r="S692" s="20">
        <f>0</f>
        <v/>
      </c>
      <c r="T692" s="20">
        <f>0</f>
        <v/>
      </c>
      <c r="U692" s="20">
        <f>0</f>
        <v/>
      </c>
      <c r="V692" s="20">
        <f>0</f>
        <v/>
      </c>
      <c r="W692" s="20">
        <f>0</f>
        <v/>
      </c>
      <c r="X692" s="20">
        <f>0</f>
        <v/>
      </c>
      <c r="Y692" s="20">
        <f>0</f>
        <v/>
      </c>
      <c r="Z692" s="20">
        <f>0</f>
        <v/>
      </c>
      <c r="AA692" s="20">
        <f>0</f>
        <v/>
      </c>
      <c r="AB692" s="20">
        <f>0</f>
        <v/>
      </c>
      <c r="AC692" s="20">
        <f>0</f>
        <v/>
      </c>
      <c r="AD692" s="20">
        <f>0</f>
        <v/>
      </c>
      <c r="AE692" s="20">
        <f>0</f>
        <v/>
      </c>
      <c r="AF692" s="20">
        <f>0</f>
        <v/>
      </c>
      <c r="AG692" s="20">
        <f>0</f>
        <v/>
      </c>
      <c r="AH692" s="20">
        <f>0</f>
        <v/>
      </c>
      <c r="AI692" s="20">
        <f>0</f>
        <v/>
      </c>
      <c r="AJ692" s="20">
        <f>0</f>
        <v/>
      </c>
      <c r="AK692" s="20">
        <f>0</f>
        <v/>
      </c>
      <c r="AL692" s="20">
        <f>0</f>
        <v/>
      </c>
      <c r="AM692" s="20">
        <f>0</f>
        <v/>
      </c>
      <c r="AN692" s="20">
        <f>0</f>
        <v/>
      </c>
      <c r="AO692" s="20">
        <f>0</f>
        <v/>
      </c>
      <c r="AP692" s="20">
        <f>0</f>
        <v/>
      </c>
      <c r="AQ692" s="20">
        <f>0</f>
        <v/>
      </c>
      <c r="AR692" s="20">
        <f>0</f>
        <v/>
      </c>
      <c r="AS692" s="20">
        <f>0</f>
        <v/>
      </c>
      <c r="AT692" s="20">
        <f>0</f>
        <v/>
      </c>
      <c r="AU692" s="20">
        <f>0</f>
        <v/>
      </c>
    </row>
    <row r="693">
      <c r="D693" t="inlineStr">
        <is>
          <t>R7 decommissioning surety cost</t>
        </is>
      </c>
      <c r="E693" t="inlineStr">
        <is>
          <t>USD m</t>
        </is>
      </c>
      <c r="J693" s="20">
        <f>Inputs!$F$236/100*Inputs!$F$160*Inputs!$F$155/1000*Time!J$9*Operations!J679</f>
        <v/>
      </c>
      <c r="K693" s="20">
        <f>Inputs!$F$236/100*Inputs!$F$160*Inputs!$F$155/1000*Time!K$9*Operations!K679</f>
        <v/>
      </c>
      <c r="L693" s="20">
        <f>Inputs!$F$236/100*Inputs!$F$160*Inputs!$F$155/1000*Time!L$9*Operations!L679</f>
        <v/>
      </c>
      <c r="M693" s="20">
        <f>Inputs!$F$236/100*Inputs!$F$160*Inputs!$F$155/1000*Time!M$9*Operations!M679</f>
        <v/>
      </c>
      <c r="N693" s="20">
        <f>Inputs!$F$236/100*Inputs!$F$160*Inputs!$F$155/1000*Time!N$9*Operations!N679</f>
        <v/>
      </c>
      <c r="O693" s="20">
        <f>Inputs!$F$236/100*Inputs!$F$160*Inputs!$F$155/1000*Time!O$9*Operations!O679</f>
        <v/>
      </c>
      <c r="P693" s="20">
        <f>Inputs!$F$236/100*Inputs!$F$160*Inputs!$F$155/1000*Time!P$9*Operations!P679</f>
        <v/>
      </c>
      <c r="Q693" s="20">
        <f>Inputs!$F$236/100*Inputs!$F$160*Inputs!$F$155/1000*Time!Q$9*Operations!Q679</f>
        <v/>
      </c>
      <c r="R693" s="20">
        <f>Inputs!$F$236/100*Inputs!$F$160*Inputs!$F$155/1000*Time!R$9*Operations!R679</f>
        <v/>
      </c>
      <c r="S693" s="20">
        <f>Inputs!$F$236/100*Inputs!$F$160*Inputs!$F$155/1000*Time!S$9*Operations!S679</f>
        <v/>
      </c>
      <c r="T693" s="20">
        <f>Inputs!$F$236/100*Inputs!$F$160*Inputs!$F$155/1000*Time!T$9*Operations!T679</f>
        <v/>
      </c>
      <c r="U693" s="20">
        <f>Inputs!$F$236/100*Inputs!$F$160*Inputs!$F$155/1000*Time!U$9*Operations!U679</f>
        <v/>
      </c>
      <c r="V693" s="20">
        <f>Inputs!$F$236/100*Inputs!$F$160*Inputs!$F$155/1000*Time!V$9*Operations!V679</f>
        <v/>
      </c>
      <c r="W693" s="20">
        <f>Inputs!$F$236/100*Inputs!$F$160*Inputs!$F$155/1000*Time!W$9*Operations!W679</f>
        <v/>
      </c>
      <c r="X693" s="20">
        <f>Inputs!$F$236/100*Inputs!$F$160*Inputs!$F$155/1000*Time!X$9*Operations!X679</f>
        <v/>
      </c>
      <c r="Y693" s="20">
        <f>Inputs!$F$236/100*Inputs!$F$160*Inputs!$F$155/1000*Time!Y$9*Operations!Y679</f>
        <v/>
      </c>
      <c r="Z693" s="20">
        <f>Inputs!$F$236/100*Inputs!$F$160*Inputs!$F$155/1000*Time!Z$9*Operations!Z679</f>
        <v/>
      </c>
      <c r="AA693" s="20">
        <f>Inputs!$F$236/100*Inputs!$F$160*Inputs!$F$155/1000*Time!AA$9*Operations!AA679</f>
        <v/>
      </c>
      <c r="AB693" s="20">
        <f>Inputs!$F$236/100*Inputs!$F$160*Inputs!$F$155/1000*Time!AB$9*Operations!AB679</f>
        <v/>
      </c>
      <c r="AC693" s="20">
        <f>Inputs!$F$236/100*Inputs!$F$160*Inputs!$F$155/1000*Time!AC$9*Operations!AC679</f>
        <v/>
      </c>
      <c r="AD693" s="20">
        <f>Inputs!$F$236/100*Inputs!$F$160*Inputs!$F$155/1000*Time!AD$9*Operations!AD679</f>
        <v/>
      </c>
      <c r="AE693" s="20">
        <f>Inputs!$F$236/100*Inputs!$F$160*Inputs!$F$155/1000*Time!AE$9*Operations!AE679</f>
        <v/>
      </c>
      <c r="AF693" s="20">
        <f>Inputs!$F$236/100*Inputs!$F$160*Inputs!$F$155/1000*Time!AF$9*Operations!AF679</f>
        <v/>
      </c>
      <c r="AG693" s="20">
        <f>Inputs!$F$236/100*Inputs!$F$160*Inputs!$F$155/1000*Time!AG$9*Operations!AG679</f>
        <v/>
      </c>
      <c r="AH693" s="20">
        <f>Inputs!$F$236/100*Inputs!$F$160*Inputs!$F$155/1000*Time!AH$9*Operations!AH679</f>
        <v/>
      </c>
      <c r="AI693" s="20">
        <f>Inputs!$F$236/100*Inputs!$F$160*Inputs!$F$155/1000*Time!AI$9*Operations!AI679</f>
        <v/>
      </c>
      <c r="AJ693" s="20">
        <f>Inputs!$F$236/100*Inputs!$F$160*Inputs!$F$155/1000*Time!AJ$9*Operations!AJ679</f>
        <v/>
      </c>
      <c r="AK693" s="20">
        <f>Inputs!$F$236/100*Inputs!$F$160*Inputs!$F$155/1000*Time!AK$9*Operations!AK679</f>
        <v/>
      </c>
      <c r="AL693" s="20">
        <f>Inputs!$F$236/100*Inputs!$F$160*Inputs!$F$155/1000*Time!AL$9*Operations!AL679</f>
        <v/>
      </c>
      <c r="AM693" s="20">
        <f>Inputs!$F$236/100*Inputs!$F$160*Inputs!$F$155/1000*Time!AM$9*Operations!AM679</f>
        <v/>
      </c>
      <c r="AN693" s="20">
        <f>Inputs!$F$236/100*Inputs!$F$160*Inputs!$F$155/1000*Time!AN$9*Operations!AN679</f>
        <v/>
      </c>
      <c r="AO693" s="20">
        <f>Inputs!$F$236/100*Inputs!$F$160*Inputs!$F$155/1000*Time!AO$9*Operations!AO679</f>
        <v/>
      </c>
      <c r="AP693" s="20">
        <f>Inputs!$F$236/100*Inputs!$F$160*Inputs!$F$155/1000*Time!AP$9*Operations!AP679</f>
        <v/>
      </c>
      <c r="AQ693" s="20">
        <f>Inputs!$F$236/100*Inputs!$F$160*Inputs!$F$155/1000*Time!AQ$9*Operations!AQ679</f>
        <v/>
      </c>
      <c r="AR693" s="20">
        <f>Inputs!$F$236/100*Inputs!$F$160*Inputs!$F$155/1000*Time!AR$9*Operations!AR679</f>
        <v/>
      </c>
      <c r="AS693" s="20">
        <f>Inputs!$F$236/100*Inputs!$F$160*Inputs!$F$155/1000*Time!AS$9*Operations!AS679</f>
        <v/>
      </c>
      <c r="AT693" s="20">
        <f>Inputs!$F$236/100*Inputs!$F$160*Inputs!$F$155/1000*Time!AT$9*Operations!AT679</f>
        <v/>
      </c>
      <c r="AU693" s="20">
        <f>Inputs!$F$236/100*Inputs!$F$160*Inputs!$F$155/1000*Time!AU$9*Operations!AU679</f>
        <v/>
      </c>
    </row>
    <row r="694">
      <c r="D694" t="inlineStr">
        <is>
          <t>R7 Texas margin tax</t>
        </is>
      </c>
      <c r="E694" t="inlineStr">
        <is>
          <t>USD m</t>
        </is>
      </c>
      <c r="J694" s="20">
        <f>Inputs!$F$237/100*Inputs!$F$238/100*Operations!J689</f>
        <v/>
      </c>
      <c r="K694" s="20">
        <f>Inputs!$F$237/100*Inputs!$F$238/100*Operations!K689</f>
        <v/>
      </c>
      <c r="L694" s="20">
        <f>Inputs!$F$237/100*Inputs!$F$238/100*Operations!L689</f>
        <v/>
      </c>
      <c r="M694" s="20">
        <f>Inputs!$F$237/100*Inputs!$F$238/100*Operations!M689</f>
        <v/>
      </c>
      <c r="N694" s="20">
        <f>Inputs!$F$237/100*Inputs!$F$238/100*Operations!N689</f>
        <v/>
      </c>
      <c r="O694" s="20">
        <f>Inputs!$F$237/100*Inputs!$F$238/100*Operations!O689</f>
        <v/>
      </c>
      <c r="P694" s="20">
        <f>Inputs!$F$237/100*Inputs!$F$238/100*Operations!P689</f>
        <v/>
      </c>
      <c r="Q694" s="20">
        <f>Inputs!$F$237/100*Inputs!$F$238/100*Operations!Q689</f>
        <v/>
      </c>
      <c r="R694" s="20">
        <f>Inputs!$F$237/100*Inputs!$F$238/100*Operations!R689</f>
        <v/>
      </c>
      <c r="S694" s="20">
        <f>Inputs!$F$237/100*Inputs!$F$238/100*Operations!S689</f>
        <v/>
      </c>
      <c r="T694" s="20">
        <f>Inputs!$F$237/100*Inputs!$F$238/100*Operations!T689</f>
        <v/>
      </c>
      <c r="U694" s="20">
        <f>Inputs!$F$237/100*Inputs!$F$238/100*Operations!U689</f>
        <v/>
      </c>
      <c r="V694" s="20">
        <f>Inputs!$F$237/100*Inputs!$F$238/100*Operations!V689</f>
        <v/>
      </c>
      <c r="W694" s="20">
        <f>Inputs!$F$237/100*Inputs!$F$238/100*Operations!W689</f>
        <v/>
      </c>
      <c r="X694" s="20">
        <f>Inputs!$F$237/100*Inputs!$F$238/100*Operations!X689</f>
        <v/>
      </c>
      <c r="Y694" s="20">
        <f>Inputs!$F$237/100*Inputs!$F$238/100*Operations!Y689</f>
        <v/>
      </c>
      <c r="Z694" s="20">
        <f>Inputs!$F$237/100*Inputs!$F$238/100*Operations!Z689</f>
        <v/>
      </c>
      <c r="AA694" s="20">
        <f>Inputs!$F$237/100*Inputs!$F$238/100*Operations!AA689</f>
        <v/>
      </c>
      <c r="AB694" s="20">
        <f>Inputs!$F$237/100*Inputs!$F$238/100*Operations!AB689</f>
        <v/>
      </c>
      <c r="AC694" s="20">
        <f>Inputs!$F$237/100*Inputs!$F$238/100*Operations!AC689</f>
        <v/>
      </c>
      <c r="AD694" s="20">
        <f>Inputs!$F$237/100*Inputs!$F$238/100*Operations!AD689</f>
        <v/>
      </c>
      <c r="AE694" s="20">
        <f>Inputs!$F$237/100*Inputs!$F$238/100*Operations!AE689</f>
        <v/>
      </c>
      <c r="AF694" s="20">
        <f>Inputs!$F$237/100*Inputs!$F$238/100*Operations!AF689</f>
        <v/>
      </c>
      <c r="AG694" s="20">
        <f>Inputs!$F$237/100*Inputs!$F$238/100*Operations!AG689</f>
        <v/>
      </c>
      <c r="AH694" s="20">
        <f>Inputs!$F$237/100*Inputs!$F$238/100*Operations!AH689</f>
        <v/>
      </c>
      <c r="AI694" s="20">
        <f>Inputs!$F$237/100*Inputs!$F$238/100*Operations!AI689</f>
        <v/>
      </c>
      <c r="AJ694" s="20">
        <f>Inputs!$F$237/100*Inputs!$F$238/100*Operations!AJ689</f>
        <v/>
      </c>
      <c r="AK694" s="20">
        <f>Inputs!$F$237/100*Inputs!$F$238/100*Operations!AK689</f>
        <v/>
      </c>
      <c r="AL694" s="20">
        <f>Inputs!$F$237/100*Inputs!$F$238/100*Operations!AL689</f>
        <v/>
      </c>
      <c r="AM694" s="20">
        <f>Inputs!$F$237/100*Inputs!$F$238/100*Operations!AM689</f>
        <v/>
      </c>
      <c r="AN694" s="20">
        <f>Inputs!$F$237/100*Inputs!$F$238/100*Operations!AN689</f>
        <v/>
      </c>
      <c r="AO694" s="20">
        <f>Inputs!$F$237/100*Inputs!$F$238/100*Operations!AO689</f>
        <v/>
      </c>
      <c r="AP694" s="20">
        <f>Inputs!$F$237/100*Inputs!$F$238/100*Operations!AP689</f>
        <v/>
      </c>
      <c r="AQ694" s="20">
        <f>Inputs!$F$237/100*Inputs!$F$238/100*Operations!AQ689</f>
        <v/>
      </c>
      <c r="AR694" s="20">
        <f>Inputs!$F$237/100*Inputs!$F$238/100*Operations!AR689</f>
        <v/>
      </c>
      <c r="AS694" s="20">
        <f>Inputs!$F$237/100*Inputs!$F$238/100*Operations!AS689</f>
        <v/>
      </c>
      <c r="AT694" s="20">
        <f>Inputs!$F$237/100*Inputs!$F$238/100*Operations!AT689</f>
        <v/>
      </c>
      <c r="AU694" s="20">
        <f>Inputs!$F$237/100*Inputs!$F$238/100*Operations!AU689</f>
        <v/>
      </c>
    </row>
    <row r="695">
      <c r="D695" t="inlineStr">
        <is>
          <t>R7 EBITDA</t>
        </is>
      </c>
      <c r="E695" t="inlineStr">
        <is>
          <t>USD m</t>
        </is>
      </c>
      <c r="G695" s="20">
        <f>SUM(J695:AU695)</f>
        <v/>
      </c>
      <c r="J695" s="20">
        <f>Operations!J689-Operations!J691-Operations!J692-Operations!J693-Operations!J694</f>
        <v/>
      </c>
      <c r="K695" s="20">
        <f>Operations!K689-Operations!K691-Operations!K692-Operations!K693-Operations!K694</f>
        <v/>
      </c>
      <c r="L695" s="20">
        <f>Operations!L689-Operations!L691-Operations!L692-Operations!L693-Operations!L694</f>
        <v/>
      </c>
      <c r="M695" s="20">
        <f>Operations!M689-Operations!M691-Operations!M692-Operations!M693-Operations!M694</f>
        <v/>
      </c>
      <c r="N695" s="20">
        <f>Operations!N689-Operations!N691-Operations!N692-Operations!N693-Operations!N694</f>
        <v/>
      </c>
      <c r="O695" s="20">
        <f>Operations!O689-Operations!O691-Operations!O692-Operations!O693-Operations!O694</f>
        <v/>
      </c>
      <c r="P695" s="20">
        <f>Operations!P689-Operations!P691-Operations!P692-Operations!P693-Operations!P694</f>
        <v/>
      </c>
      <c r="Q695" s="20">
        <f>Operations!Q689-Operations!Q691-Operations!Q692-Operations!Q693-Operations!Q694</f>
        <v/>
      </c>
      <c r="R695" s="20">
        <f>Operations!R689-Operations!R691-Operations!R692-Operations!R693-Operations!R694</f>
        <v/>
      </c>
      <c r="S695" s="20">
        <f>Operations!S689-Operations!S691-Operations!S692-Operations!S693-Operations!S694</f>
        <v/>
      </c>
      <c r="T695" s="20">
        <f>Operations!T689-Operations!T691-Operations!T692-Operations!T693-Operations!T694</f>
        <v/>
      </c>
      <c r="U695" s="20">
        <f>Operations!U689-Operations!U691-Operations!U692-Operations!U693-Operations!U694</f>
        <v/>
      </c>
      <c r="V695" s="20">
        <f>Operations!V689-Operations!V691-Operations!V692-Operations!V693-Operations!V694</f>
        <v/>
      </c>
      <c r="W695" s="20">
        <f>Operations!W689-Operations!W691-Operations!W692-Operations!W693-Operations!W694</f>
        <v/>
      </c>
      <c r="X695" s="20">
        <f>Operations!X689-Operations!X691-Operations!X692-Operations!X693-Operations!X694</f>
        <v/>
      </c>
      <c r="Y695" s="20">
        <f>Operations!Y689-Operations!Y691-Operations!Y692-Operations!Y693-Operations!Y694</f>
        <v/>
      </c>
      <c r="Z695" s="20">
        <f>Operations!Z689-Operations!Z691-Operations!Z692-Operations!Z693-Operations!Z694</f>
        <v/>
      </c>
      <c r="AA695" s="20">
        <f>Operations!AA689-Operations!AA691-Operations!AA692-Operations!AA693-Operations!AA694</f>
        <v/>
      </c>
      <c r="AB695" s="20">
        <f>Operations!AB689-Operations!AB691-Operations!AB692-Operations!AB693-Operations!AB694</f>
        <v/>
      </c>
      <c r="AC695" s="20">
        <f>Operations!AC689-Operations!AC691-Operations!AC692-Operations!AC693-Operations!AC694</f>
        <v/>
      </c>
      <c r="AD695" s="20">
        <f>Operations!AD689-Operations!AD691-Operations!AD692-Operations!AD693-Operations!AD694</f>
        <v/>
      </c>
      <c r="AE695" s="20">
        <f>Operations!AE689-Operations!AE691-Operations!AE692-Operations!AE693-Operations!AE694</f>
        <v/>
      </c>
      <c r="AF695" s="20">
        <f>Operations!AF689-Operations!AF691-Operations!AF692-Operations!AF693-Operations!AF694</f>
        <v/>
      </c>
      <c r="AG695" s="20">
        <f>Operations!AG689-Operations!AG691-Operations!AG692-Operations!AG693-Operations!AG694</f>
        <v/>
      </c>
      <c r="AH695" s="20">
        <f>Operations!AH689-Operations!AH691-Operations!AH692-Operations!AH693-Operations!AH694</f>
        <v/>
      </c>
      <c r="AI695" s="20">
        <f>Operations!AI689-Operations!AI691-Operations!AI692-Operations!AI693-Operations!AI694</f>
        <v/>
      </c>
      <c r="AJ695" s="20">
        <f>Operations!AJ689-Operations!AJ691-Operations!AJ692-Operations!AJ693-Operations!AJ694</f>
        <v/>
      </c>
      <c r="AK695" s="20">
        <f>Operations!AK689-Operations!AK691-Operations!AK692-Operations!AK693-Operations!AK694</f>
        <v/>
      </c>
      <c r="AL695" s="20">
        <f>Operations!AL689-Operations!AL691-Operations!AL692-Operations!AL693-Operations!AL694</f>
        <v/>
      </c>
      <c r="AM695" s="20">
        <f>Operations!AM689-Operations!AM691-Operations!AM692-Operations!AM693-Operations!AM694</f>
        <v/>
      </c>
      <c r="AN695" s="20">
        <f>Operations!AN689-Operations!AN691-Operations!AN692-Operations!AN693-Operations!AN694</f>
        <v/>
      </c>
      <c r="AO695" s="20">
        <f>Operations!AO689-Operations!AO691-Operations!AO692-Operations!AO693-Operations!AO694</f>
        <v/>
      </c>
      <c r="AP695" s="20">
        <f>Operations!AP689-Operations!AP691-Operations!AP692-Operations!AP693-Operations!AP694</f>
        <v/>
      </c>
      <c r="AQ695" s="20">
        <f>Operations!AQ689-Operations!AQ691-Operations!AQ692-Operations!AQ693-Operations!AQ694</f>
        <v/>
      </c>
      <c r="AR695" s="20">
        <f>Operations!AR689-Operations!AR691-Operations!AR692-Operations!AR693-Operations!AR694</f>
        <v/>
      </c>
      <c r="AS695" s="20">
        <f>Operations!AS689-Operations!AS691-Operations!AS692-Operations!AS693-Operations!AS694</f>
        <v/>
      </c>
      <c r="AT695" s="20">
        <f>Operations!AT689-Operations!AT691-Operations!AT692-Operations!AT693-Operations!AT694</f>
        <v/>
      </c>
      <c r="AU695" s="20">
        <f>Operations!AU689-Operations!AU691-Operations!AU692-Operations!AU693-Operations!AU694</f>
        <v/>
      </c>
    </row>
    <row r="696">
      <c r="D696" t="inlineStr">
        <is>
          <t>R7 augmentation capex</t>
        </is>
      </c>
      <c r="E696" t="inlineStr">
        <is>
          <t>USD m</t>
        </is>
      </c>
      <c r="J696" s="20">
        <f>IF(OR(Time!J$4=YEAR(Inputs!$F$156)+Inputs!$F$163,Time!J$4=YEAR(Inputs!$F$156)+Inputs!$F$164),Inputs!$F$165/100*Inputs!$F$161*Inputs!$F$166/1000*(1+Inputs!$F$187/100)^(Time!J$4-Inputs!$F$186),0)</f>
        <v/>
      </c>
      <c r="K696" s="20">
        <f>IF(OR(Time!K$4=YEAR(Inputs!$F$156)+Inputs!$F$163,Time!K$4=YEAR(Inputs!$F$156)+Inputs!$F$164),Inputs!$F$165/100*Inputs!$F$161*Inputs!$F$166/1000*(1+Inputs!$F$187/100)^(Time!K$4-Inputs!$F$186),0)</f>
        <v/>
      </c>
      <c r="L696" s="20">
        <f>IF(OR(Time!L$4=YEAR(Inputs!$F$156)+Inputs!$F$163,Time!L$4=YEAR(Inputs!$F$156)+Inputs!$F$164),Inputs!$F$165/100*Inputs!$F$161*Inputs!$F$166/1000*(1+Inputs!$F$187/100)^(Time!L$4-Inputs!$F$186),0)</f>
        <v/>
      </c>
      <c r="M696" s="20">
        <f>IF(OR(Time!M$4=YEAR(Inputs!$F$156)+Inputs!$F$163,Time!M$4=YEAR(Inputs!$F$156)+Inputs!$F$164),Inputs!$F$165/100*Inputs!$F$161*Inputs!$F$166/1000*(1+Inputs!$F$187/100)^(Time!M$4-Inputs!$F$186),0)</f>
        <v/>
      </c>
      <c r="N696" s="20">
        <f>IF(OR(Time!N$4=YEAR(Inputs!$F$156)+Inputs!$F$163,Time!N$4=YEAR(Inputs!$F$156)+Inputs!$F$164),Inputs!$F$165/100*Inputs!$F$161*Inputs!$F$166/1000*(1+Inputs!$F$187/100)^(Time!N$4-Inputs!$F$186),0)</f>
        <v/>
      </c>
      <c r="O696" s="20">
        <f>IF(OR(Time!O$4=YEAR(Inputs!$F$156)+Inputs!$F$163,Time!O$4=YEAR(Inputs!$F$156)+Inputs!$F$164),Inputs!$F$165/100*Inputs!$F$161*Inputs!$F$166/1000*(1+Inputs!$F$187/100)^(Time!O$4-Inputs!$F$186),0)</f>
        <v/>
      </c>
      <c r="P696" s="20">
        <f>IF(OR(Time!P$4=YEAR(Inputs!$F$156)+Inputs!$F$163,Time!P$4=YEAR(Inputs!$F$156)+Inputs!$F$164),Inputs!$F$165/100*Inputs!$F$161*Inputs!$F$166/1000*(1+Inputs!$F$187/100)^(Time!P$4-Inputs!$F$186),0)</f>
        <v/>
      </c>
      <c r="Q696" s="20">
        <f>IF(OR(Time!Q$4=YEAR(Inputs!$F$156)+Inputs!$F$163,Time!Q$4=YEAR(Inputs!$F$156)+Inputs!$F$164),Inputs!$F$165/100*Inputs!$F$161*Inputs!$F$166/1000*(1+Inputs!$F$187/100)^(Time!Q$4-Inputs!$F$186),0)</f>
        <v/>
      </c>
      <c r="R696" s="20">
        <f>IF(OR(Time!R$4=YEAR(Inputs!$F$156)+Inputs!$F$163,Time!R$4=YEAR(Inputs!$F$156)+Inputs!$F$164),Inputs!$F$165/100*Inputs!$F$161*Inputs!$F$166/1000*(1+Inputs!$F$187/100)^(Time!R$4-Inputs!$F$186),0)</f>
        <v/>
      </c>
      <c r="S696" s="20">
        <f>IF(OR(Time!S$4=YEAR(Inputs!$F$156)+Inputs!$F$163,Time!S$4=YEAR(Inputs!$F$156)+Inputs!$F$164),Inputs!$F$165/100*Inputs!$F$161*Inputs!$F$166/1000*(1+Inputs!$F$187/100)^(Time!S$4-Inputs!$F$186),0)</f>
        <v/>
      </c>
      <c r="T696" s="20">
        <f>IF(OR(Time!T$4=YEAR(Inputs!$F$156)+Inputs!$F$163,Time!T$4=YEAR(Inputs!$F$156)+Inputs!$F$164),Inputs!$F$165/100*Inputs!$F$161*Inputs!$F$166/1000*(1+Inputs!$F$187/100)^(Time!T$4-Inputs!$F$186),0)</f>
        <v/>
      </c>
      <c r="U696" s="20">
        <f>IF(OR(Time!U$4=YEAR(Inputs!$F$156)+Inputs!$F$163,Time!U$4=YEAR(Inputs!$F$156)+Inputs!$F$164),Inputs!$F$165/100*Inputs!$F$161*Inputs!$F$166/1000*(1+Inputs!$F$187/100)^(Time!U$4-Inputs!$F$186),0)</f>
        <v/>
      </c>
      <c r="V696" s="20">
        <f>IF(OR(Time!V$4=YEAR(Inputs!$F$156)+Inputs!$F$163,Time!V$4=YEAR(Inputs!$F$156)+Inputs!$F$164),Inputs!$F$165/100*Inputs!$F$161*Inputs!$F$166/1000*(1+Inputs!$F$187/100)^(Time!V$4-Inputs!$F$186),0)</f>
        <v/>
      </c>
      <c r="W696" s="20">
        <f>IF(OR(Time!W$4=YEAR(Inputs!$F$156)+Inputs!$F$163,Time!W$4=YEAR(Inputs!$F$156)+Inputs!$F$164),Inputs!$F$165/100*Inputs!$F$161*Inputs!$F$166/1000*(1+Inputs!$F$187/100)^(Time!W$4-Inputs!$F$186),0)</f>
        <v/>
      </c>
      <c r="X696" s="20">
        <f>IF(OR(Time!X$4=YEAR(Inputs!$F$156)+Inputs!$F$163,Time!X$4=YEAR(Inputs!$F$156)+Inputs!$F$164),Inputs!$F$165/100*Inputs!$F$161*Inputs!$F$166/1000*(1+Inputs!$F$187/100)^(Time!X$4-Inputs!$F$186),0)</f>
        <v/>
      </c>
      <c r="Y696" s="20">
        <f>IF(OR(Time!Y$4=YEAR(Inputs!$F$156)+Inputs!$F$163,Time!Y$4=YEAR(Inputs!$F$156)+Inputs!$F$164),Inputs!$F$165/100*Inputs!$F$161*Inputs!$F$166/1000*(1+Inputs!$F$187/100)^(Time!Y$4-Inputs!$F$186),0)</f>
        <v/>
      </c>
      <c r="Z696" s="20">
        <f>IF(OR(Time!Z$4=YEAR(Inputs!$F$156)+Inputs!$F$163,Time!Z$4=YEAR(Inputs!$F$156)+Inputs!$F$164),Inputs!$F$165/100*Inputs!$F$161*Inputs!$F$166/1000*(1+Inputs!$F$187/100)^(Time!Z$4-Inputs!$F$186),0)</f>
        <v/>
      </c>
      <c r="AA696" s="20">
        <f>IF(OR(Time!AA$4=YEAR(Inputs!$F$156)+Inputs!$F$163,Time!AA$4=YEAR(Inputs!$F$156)+Inputs!$F$164),Inputs!$F$165/100*Inputs!$F$161*Inputs!$F$166/1000*(1+Inputs!$F$187/100)^(Time!AA$4-Inputs!$F$186),0)</f>
        <v/>
      </c>
      <c r="AB696" s="20">
        <f>IF(OR(Time!AB$4=YEAR(Inputs!$F$156)+Inputs!$F$163,Time!AB$4=YEAR(Inputs!$F$156)+Inputs!$F$164),Inputs!$F$165/100*Inputs!$F$161*Inputs!$F$166/1000*(1+Inputs!$F$187/100)^(Time!AB$4-Inputs!$F$186),0)</f>
        <v/>
      </c>
      <c r="AC696" s="20">
        <f>IF(OR(Time!AC$4=YEAR(Inputs!$F$156)+Inputs!$F$163,Time!AC$4=YEAR(Inputs!$F$156)+Inputs!$F$164),Inputs!$F$165/100*Inputs!$F$161*Inputs!$F$166/1000*(1+Inputs!$F$187/100)^(Time!AC$4-Inputs!$F$186),0)</f>
        <v/>
      </c>
      <c r="AD696" s="20">
        <f>IF(OR(Time!AD$4=YEAR(Inputs!$F$156)+Inputs!$F$163,Time!AD$4=YEAR(Inputs!$F$156)+Inputs!$F$164),Inputs!$F$165/100*Inputs!$F$161*Inputs!$F$166/1000*(1+Inputs!$F$187/100)^(Time!AD$4-Inputs!$F$186),0)</f>
        <v/>
      </c>
      <c r="AE696" s="20">
        <f>IF(OR(Time!AE$4=YEAR(Inputs!$F$156)+Inputs!$F$163,Time!AE$4=YEAR(Inputs!$F$156)+Inputs!$F$164),Inputs!$F$165/100*Inputs!$F$161*Inputs!$F$166/1000*(1+Inputs!$F$187/100)^(Time!AE$4-Inputs!$F$186),0)</f>
        <v/>
      </c>
      <c r="AF696" s="20">
        <f>IF(OR(Time!AF$4=YEAR(Inputs!$F$156)+Inputs!$F$163,Time!AF$4=YEAR(Inputs!$F$156)+Inputs!$F$164),Inputs!$F$165/100*Inputs!$F$161*Inputs!$F$166/1000*(1+Inputs!$F$187/100)^(Time!AF$4-Inputs!$F$186),0)</f>
        <v/>
      </c>
      <c r="AG696" s="20">
        <f>IF(OR(Time!AG$4=YEAR(Inputs!$F$156)+Inputs!$F$163,Time!AG$4=YEAR(Inputs!$F$156)+Inputs!$F$164),Inputs!$F$165/100*Inputs!$F$161*Inputs!$F$166/1000*(1+Inputs!$F$187/100)^(Time!AG$4-Inputs!$F$186),0)</f>
        <v/>
      </c>
      <c r="AH696" s="20">
        <f>IF(OR(Time!AH$4=YEAR(Inputs!$F$156)+Inputs!$F$163,Time!AH$4=YEAR(Inputs!$F$156)+Inputs!$F$164),Inputs!$F$165/100*Inputs!$F$161*Inputs!$F$166/1000*(1+Inputs!$F$187/100)^(Time!AH$4-Inputs!$F$186),0)</f>
        <v/>
      </c>
      <c r="AI696" s="20">
        <f>IF(OR(Time!AI$4=YEAR(Inputs!$F$156)+Inputs!$F$163,Time!AI$4=YEAR(Inputs!$F$156)+Inputs!$F$164),Inputs!$F$165/100*Inputs!$F$161*Inputs!$F$166/1000*(1+Inputs!$F$187/100)^(Time!AI$4-Inputs!$F$186),0)</f>
        <v/>
      </c>
      <c r="AJ696" s="20">
        <f>IF(OR(Time!AJ$4=YEAR(Inputs!$F$156)+Inputs!$F$163,Time!AJ$4=YEAR(Inputs!$F$156)+Inputs!$F$164),Inputs!$F$165/100*Inputs!$F$161*Inputs!$F$166/1000*(1+Inputs!$F$187/100)^(Time!AJ$4-Inputs!$F$186),0)</f>
        <v/>
      </c>
      <c r="AK696" s="20">
        <f>IF(OR(Time!AK$4=YEAR(Inputs!$F$156)+Inputs!$F$163,Time!AK$4=YEAR(Inputs!$F$156)+Inputs!$F$164),Inputs!$F$165/100*Inputs!$F$161*Inputs!$F$166/1000*(1+Inputs!$F$187/100)^(Time!AK$4-Inputs!$F$186),0)</f>
        <v/>
      </c>
      <c r="AL696" s="20">
        <f>IF(OR(Time!AL$4=YEAR(Inputs!$F$156)+Inputs!$F$163,Time!AL$4=YEAR(Inputs!$F$156)+Inputs!$F$164),Inputs!$F$165/100*Inputs!$F$161*Inputs!$F$166/1000*(1+Inputs!$F$187/100)^(Time!AL$4-Inputs!$F$186),0)</f>
        <v/>
      </c>
      <c r="AM696" s="20">
        <f>IF(OR(Time!AM$4=YEAR(Inputs!$F$156)+Inputs!$F$163,Time!AM$4=YEAR(Inputs!$F$156)+Inputs!$F$164),Inputs!$F$165/100*Inputs!$F$161*Inputs!$F$166/1000*(1+Inputs!$F$187/100)^(Time!AM$4-Inputs!$F$186),0)</f>
        <v/>
      </c>
      <c r="AN696" s="20">
        <f>IF(OR(Time!AN$4=YEAR(Inputs!$F$156)+Inputs!$F$163,Time!AN$4=YEAR(Inputs!$F$156)+Inputs!$F$164),Inputs!$F$165/100*Inputs!$F$161*Inputs!$F$166/1000*(1+Inputs!$F$187/100)^(Time!AN$4-Inputs!$F$186),0)</f>
        <v/>
      </c>
      <c r="AO696" s="20">
        <f>IF(OR(Time!AO$4=YEAR(Inputs!$F$156)+Inputs!$F$163,Time!AO$4=YEAR(Inputs!$F$156)+Inputs!$F$164),Inputs!$F$165/100*Inputs!$F$161*Inputs!$F$166/1000*(1+Inputs!$F$187/100)^(Time!AO$4-Inputs!$F$186),0)</f>
        <v/>
      </c>
      <c r="AP696" s="20">
        <f>IF(OR(Time!AP$4=YEAR(Inputs!$F$156)+Inputs!$F$163,Time!AP$4=YEAR(Inputs!$F$156)+Inputs!$F$164),Inputs!$F$165/100*Inputs!$F$161*Inputs!$F$166/1000*(1+Inputs!$F$187/100)^(Time!AP$4-Inputs!$F$186),0)</f>
        <v/>
      </c>
      <c r="AQ696" s="20">
        <f>IF(OR(Time!AQ$4=YEAR(Inputs!$F$156)+Inputs!$F$163,Time!AQ$4=YEAR(Inputs!$F$156)+Inputs!$F$164),Inputs!$F$165/100*Inputs!$F$161*Inputs!$F$166/1000*(1+Inputs!$F$187/100)^(Time!AQ$4-Inputs!$F$186),0)</f>
        <v/>
      </c>
      <c r="AR696" s="20">
        <f>IF(OR(Time!AR$4=YEAR(Inputs!$F$156)+Inputs!$F$163,Time!AR$4=YEAR(Inputs!$F$156)+Inputs!$F$164),Inputs!$F$165/100*Inputs!$F$161*Inputs!$F$166/1000*(1+Inputs!$F$187/100)^(Time!AR$4-Inputs!$F$186),0)</f>
        <v/>
      </c>
      <c r="AS696" s="20">
        <f>IF(OR(Time!AS$4=YEAR(Inputs!$F$156)+Inputs!$F$163,Time!AS$4=YEAR(Inputs!$F$156)+Inputs!$F$164),Inputs!$F$165/100*Inputs!$F$161*Inputs!$F$166/1000*(1+Inputs!$F$187/100)^(Time!AS$4-Inputs!$F$186),0)</f>
        <v/>
      </c>
      <c r="AT696" s="20">
        <f>IF(OR(Time!AT$4=YEAR(Inputs!$F$156)+Inputs!$F$163,Time!AT$4=YEAR(Inputs!$F$156)+Inputs!$F$164),Inputs!$F$165/100*Inputs!$F$161*Inputs!$F$166/1000*(1+Inputs!$F$187/100)^(Time!AT$4-Inputs!$F$186),0)</f>
        <v/>
      </c>
      <c r="AU696" s="20">
        <f>IF(OR(Time!AU$4=YEAR(Inputs!$F$156)+Inputs!$F$163,Time!AU$4=YEAR(Inputs!$F$156)+Inputs!$F$164),Inputs!$F$165/100*Inputs!$F$161*Inputs!$F$166/1000*(1+Inputs!$F$187/100)^(Time!AU$4-Inputs!$F$186),0)</f>
        <v/>
      </c>
    </row>
    <row r="697">
      <c r="D697" t="inlineStr">
        <is>
          <t>R7 decommissioning at end of life</t>
        </is>
      </c>
      <c r="E697" t="inlineStr">
        <is>
          <t>USD m</t>
        </is>
      </c>
      <c r="J697" s="20">
        <f>IF(Time!J$4=YEAR(Inputs!$F$157),Inputs!$F$160*Inputs!$F$155/1000*Time!J$9,0)</f>
        <v/>
      </c>
      <c r="K697" s="20">
        <f>IF(Time!K$4=YEAR(Inputs!$F$157),Inputs!$F$160*Inputs!$F$155/1000*Time!K$9,0)</f>
        <v/>
      </c>
      <c r="L697" s="20">
        <f>IF(Time!L$4=YEAR(Inputs!$F$157),Inputs!$F$160*Inputs!$F$155/1000*Time!L$9,0)</f>
        <v/>
      </c>
      <c r="M697" s="20">
        <f>IF(Time!M$4=YEAR(Inputs!$F$157),Inputs!$F$160*Inputs!$F$155/1000*Time!M$9,0)</f>
        <v/>
      </c>
      <c r="N697" s="20">
        <f>IF(Time!N$4=YEAR(Inputs!$F$157),Inputs!$F$160*Inputs!$F$155/1000*Time!N$9,0)</f>
        <v/>
      </c>
      <c r="O697" s="20">
        <f>IF(Time!O$4=YEAR(Inputs!$F$157),Inputs!$F$160*Inputs!$F$155/1000*Time!O$9,0)</f>
        <v/>
      </c>
      <c r="P697" s="20">
        <f>IF(Time!P$4=YEAR(Inputs!$F$157),Inputs!$F$160*Inputs!$F$155/1000*Time!P$9,0)</f>
        <v/>
      </c>
      <c r="Q697" s="20">
        <f>IF(Time!Q$4=YEAR(Inputs!$F$157),Inputs!$F$160*Inputs!$F$155/1000*Time!Q$9,0)</f>
        <v/>
      </c>
      <c r="R697" s="20">
        <f>IF(Time!R$4=YEAR(Inputs!$F$157),Inputs!$F$160*Inputs!$F$155/1000*Time!R$9,0)</f>
        <v/>
      </c>
      <c r="S697" s="20">
        <f>IF(Time!S$4=YEAR(Inputs!$F$157),Inputs!$F$160*Inputs!$F$155/1000*Time!S$9,0)</f>
        <v/>
      </c>
      <c r="T697" s="20">
        <f>IF(Time!T$4=YEAR(Inputs!$F$157),Inputs!$F$160*Inputs!$F$155/1000*Time!T$9,0)</f>
        <v/>
      </c>
      <c r="U697" s="20">
        <f>IF(Time!U$4=YEAR(Inputs!$F$157),Inputs!$F$160*Inputs!$F$155/1000*Time!U$9,0)</f>
        <v/>
      </c>
      <c r="V697" s="20">
        <f>IF(Time!V$4=YEAR(Inputs!$F$157),Inputs!$F$160*Inputs!$F$155/1000*Time!V$9,0)</f>
        <v/>
      </c>
      <c r="W697" s="20">
        <f>IF(Time!W$4=YEAR(Inputs!$F$157),Inputs!$F$160*Inputs!$F$155/1000*Time!W$9,0)</f>
        <v/>
      </c>
      <c r="X697" s="20">
        <f>IF(Time!X$4=YEAR(Inputs!$F$157),Inputs!$F$160*Inputs!$F$155/1000*Time!X$9,0)</f>
        <v/>
      </c>
      <c r="Y697" s="20">
        <f>IF(Time!Y$4=YEAR(Inputs!$F$157),Inputs!$F$160*Inputs!$F$155/1000*Time!Y$9,0)</f>
        <v/>
      </c>
      <c r="Z697" s="20">
        <f>IF(Time!Z$4=YEAR(Inputs!$F$157),Inputs!$F$160*Inputs!$F$155/1000*Time!Z$9,0)</f>
        <v/>
      </c>
      <c r="AA697" s="20">
        <f>IF(Time!AA$4=YEAR(Inputs!$F$157),Inputs!$F$160*Inputs!$F$155/1000*Time!AA$9,0)</f>
        <v/>
      </c>
      <c r="AB697" s="20">
        <f>IF(Time!AB$4=YEAR(Inputs!$F$157),Inputs!$F$160*Inputs!$F$155/1000*Time!AB$9,0)</f>
        <v/>
      </c>
      <c r="AC697" s="20">
        <f>IF(Time!AC$4=YEAR(Inputs!$F$157),Inputs!$F$160*Inputs!$F$155/1000*Time!AC$9,0)</f>
        <v/>
      </c>
      <c r="AD697" s="20">
        <f>IF(Time!AD$4=YEAR(Inputs!$F$157),Inputs!$F$160*Inputs!$F$155/1000*Time!AD$9,0)</f>
        <v/>
      </c>
      <c r="AE697" s="20">
        <f>IF(Time!AE$4=YEAR(Inputs!$F$157),Inputs!$F$160*Inputs!$F$155/1000*Time!AE$9,0)</f>
        <v/>
      </c>
      <c r="AF697" s="20">
        <f>IF(Time!AF$4=YEAR(Inputs!$F$157),Inputs!$F$160*Inputs!$F$155/1000*Time!AF$9,0)</f>
        <v/>
      </c>
      <c r="AG697" s="20">
        <f>IF(Time!AG$4=YEAR(Inputs!$F$157),Inputs!$F$160*Inputs!$F$155/1000*Time!AG$9,0)</f>
        <v/>
      </c>
      <c r="AH697" s="20">
        <f>IF(Time!AH$4=YEAR(Inputs!$F$157),Inputs!$F$160*Inputs!$F$155/1000*Time!AH$9,0)</f>
        <v/>
      </c>
      <c r="AI697" s="20">
        <f>IF(Time!AI$4=YEAR(Inputs!$F$157),Inputs!$F$160*Inputs!$F$155/1000*Time!AI$9,0)</f>
        <v/>
      </c>
      <c r="AJ697" s="20">
        <f>IF(Time!AJ$4=YEAR(Inputs!$F$157),Inputs!$F$160*Inputs!$F$155/1000*Time!AJ$9,0)</f>
        <v/>
      </c>
      <c r="AK697" s="20">
        <f>IF(Time!AK$4=YEAR(Inputs!$F$157),Inputs!$F$160*Inputs!$F$155/1000*Time!AK$9,0)</f>
        <v/>
      </c>
      <c r="AL697" s="20">
        <f>IF(Time!AL$4=YEAR(Inputs!$F$157),Inputs!$F$160*Inputs!$F$155/1000*Time!AL$9,0)</f>
        <v/>
      </c>
      <c r="AM697" s="20">
        <f>IF(Time!AM$4=YEAR(Inputs!$F$157),Inputs!$F$160*Inputs!$F$155/1000*Time!AM$9,0)</f>
        <v/>
      </c>
      <c r="AN697" s="20">
        <f>IF(Time!AN$4=YEAR(Inputs!$F$157),Inputs!$F$160*Inputs!$F$155/1000*Time!AN$9,0)</f>
        <v/>
      </c>
      <c r="AO697" s="20">
        <f>IF(Time!AO$4=YEAR(Inputs!$F$157),Inputs!$F$160*Inputs!$F$155/1000*Time!AO$9,0)</f>
        <v/>
      </c>
      <c r="AP697" s="20">
        <f>IF(Time!AP$4=YEAR(Inputs!$F$157),Inputs!$F$160*Inputs!$F$155/1000*Time!AP$9,0)</f>
        <v/>
      </c>
      <c r="AQ697" s="20">
        <f>IF(Time!AQ$4=YEAR(Inputs!$F$157),Inputs!$F$160*Inputs!$F$155/1000*Time!AQ$9,0)</f>
        <v/>
      </c>
      <c r="AR697" s="20">
        <f>IF(Time!AR$4=YEAR(Inputs!$F$157),Inputs!$F$160*Inputs!$F$155/1000*Time!AR$9,0)</f>
        <v/>
      </c>
      <c r="AS697" s="20">
        <f>IF(Time!AS$4=YEAR(Inputs!$F$157),Inputs!$F$160*Inputs!$F$155/1000*Time!AS$9,0)</f>
        <v/>
      </c>
      <c r="AT697" s="20">
        <f>IF(Time!AT$4=YEAR(Inputs!$F$157),Inputs!$F$160*Inputs!$F$155/1000*Time!AT$9,0)</f>
        <v/>
      </c>
      <c r="AU697" s="20">
        <f>IF(Time!AU$4=YEAR(Inputs!$F$157),Inputs!$F$160*Inputs!$F$155/1000*Time!AU$9,0)</f>
        <v/>
      </c>
    </row>
    <row r="698">
      <c r="D698" t="inlineStr">
        <is>
          <t>R7 pre-tax cash flow, 100% of asset</t>
        </is>
      </c>
      <c r="E698" t="inlineStr">
        <is>
          <t>USD m</t>
        </is>
      </c>
      <c r="G698" s="20">
        <f>SUM(J698:AU698)</f>
        <v/>
      </c>
      <c r="J698" s="20">
        <f>Operations!J695-Operations!J696-Operations!J697</f>
        <v/>
      </c>
      <c r="K698" s="20">
        <f>Operations!K695-Operations!K696-Operations!K697</f>
        <v/>
      </c>
      <c r="L698" s="20">
        <f>Operations!L695-Operations!L696-Operations!L697</f>
        <v/>
      </c>
      <c r="M698" s="20">
        <f>Operations!M695-Operations!M696-Operations!M697</f>
        <v/>
      </c>
      <c r="N698" s="20">
        <f>Operations!N695-Operations!N696-Operations!N697</f>
        <v/>
      </c>
      <c r="O698" s="20">
        <f>Operations!O695-Operations!O696-Operations!O697</f>
        <v/>
      </c>
      <c r="P698" s="20">
        <f>Operations!P695-Operations!P696-Operations!P697</f>
        <v/>
      </c>
      <c r="Q698" s="20">
        <f>Operations!Q695-Operations!Q696-Operations!Q697</f>
        <v/>
      </c>
      <c r="R698" s="20">
        <f>Operations!R695-Operations!R696-Operations!R697</f>
        <v/>
      </c>
      <c r="S698" s="20">
        <f>Operations!S695-Operations!S696-Operations!S697</f>
        <v/>
      </c>
      <c r="T698" s="20">
        <f>Operations!T695-Operations!T696-Operations!T697</f>
        <v/>
      </c>
      <c r="U698" s="20">
        <f>Operations!U695-Operations!U696-Operations!U697</f>
        <v/>
      </c>
      <c r="V698" s="20">
        <f>Operations!V695-Operations!V696-Operations!V697</f>
        <v/>
      </c>
      <c r="W698" s="20">
        <f>Operations!W695-Operations!W696-Operations!W697</f>
        <v/>
      </c>
      <c r="X698" s="20">
        <f>Operations!X695-Operations!X696-Operations!X697</f>
        <v/>
      </c>
      <c r="Y698" s="20">
        <f>Operations!Y695-Operations!Y696-Operations!Y697</f>
        <v/>
      </c>
      <c r="Z698" s="20">
        <f>Operations!Z695-Operations!Z696-Operations!Z697</f>
        <v/>
      </c>
      <c r="AA698" s="20">
        <f>Operations!AA695-Operations!AA696-Operations!AA697</f>
        <v/>
      </c>
      <c r="AB698" s="20">
        <f>Operations!AB695-Operations!AB696-Operations!AB697</f>
        <v/>
      </c>
      <c r="AC698" s="20">
        <f>Operations!AC695-Operations!AC696-Operations!AC697</f>
        <v/>
      </c>
      <c r="AD698" s="20">
        <f>Operations!AD695-Operations!AD696-Operations!AD697</f>
        <v/>
      </c>
      <c r="AE698" s="20">
        <f>Operations!AE695-Operations!AE696-Operations!AE697</f>
        <v/>
      </c>
      <c r="AF698" s="20">
        <f>Operations!AF695-Operations!AF696-Operations!AF697</f>
        <v/>
      </c>
      <c r="AG698" s="20">
        <f>Operations!AG695-Operations!AG696-Operations!AG697</f>
        <v/>
      </c>
      <c r="AH698" s="20">
        <f>Operations!AH695-Operations!AH696-Operations!AH697</f>
        <v/>
      </c>
      <c r="AI698" s="20">
        <f>Operations!AI695-Operations!AI696-Operations!AI697</f>
        <v/>
      </c>
      <c r="AJ698" s="20">
        <f>Operations!AJ695-Operations!AJ696-Operations!AJ697</f>
        <v/>
      </c>
      <c r="AK698" s="20">
        <f>Operations!AK695-Operations!AK696-Operations!AK697</f>
        <v/>
      </c>
      <c r="AL698" s="20">
        <f>Operations!AL695-Operations!AL696-Operations!AL697</f>
        <v/>
      </c>
      <c r="AM698" s="20">
        <f>Operations!AM695-Operations!AM696-Operations!AM697</f>
        <v/>
      </c>
      <c r="AN698" s="20">
        <f>Operations!AN695-Operations!AN696-Operations!AN697</f>
        <v/>
      </c>
      <c r="AO698" s="20">
        <f>Operations!AO695-Operations!AO696-Operations!AO697</f>
        <v/>
      </c>
      <c r="AP698" s="20">
        <f>Operations!AP695-Operations!AP696-Operations!AP697</f>
        <v/>
      </c>
      <c r="AQ698" s="20">
        <f>Operations!AQ695-Operations!AQ696-Operations!AQ697</f>
        <v/>
      </c>
      <c r="AR698" s="20">
        <f>Operations!AR695-Operations!AR696-Operations!AR697</f>
        <v/>
      </c>
      <c r="AS698" s="20">
        <f>Operations!AS695-Operations!AS696-Operations!AS697</f>
        <v/>
      </c>
      <c r="AT698" s="20">
        <f>Operations!AT695-Operations!AT696-Operations!AT697</f>
        <v/>
      </c>
      <c r="AU698" s="20">
        <f>Operations!AU695-Operations!AU696-Operations!AU697</f>
        <v/>
      </c>
    </row>
    <row r="699">
      <c r="D699" t="inlineStr">
        <is>
          <t>R7 tax equity cash share</t>
        </is>
      </c>
      <c r="E699" t="inlineStr">
        <is>
          <t>fraction</t>
        </is>
      </c>
      <c r="J699" s="14">
        <f>0</f>
        <v/>
      </c>
      <c r="K699" s="14">
        <f>0</f>
        <v/>
      </c>
      <c r="L699" s="14">
        <f>0</f>
        <v/>
      </c>
      <c r="M699" s="14">
        <f>0</f>
        <v/>
      </c>
      <c r="N699" s="14">
        <f>0</f>
        <v/>
      </c>
      <c r="O699" s="14">
        <f>0</f>
        <v/>
      </c>
      <c r="P699" s="14">
        <f>0</f>
        <v/>
      </c>
      <c r="Q699" s="14">
        <f>0</f>
        <v/>
      </c>
      <c r="R699" s="14">
        <f>0</f>
        <v/>
      </c>
      <c r="S699" s="14">
        <f>0</f>
        <v/>
      </c>
      <c r="T699" s="14">
        <f>0</f>
        <v/>
      </c>
      <c r="U699" s="14">
        <f>0</f>
        <v/>
      </c>
      <c r="V699" s="14">
        <f>0</f>
        <v/>
      </c>
      <c r="W699" s="14">
        <f>0</f>
        <v/>
      </c>
      <c r="X699" s="14">
        <f>0</f>
        <v/>
      </c>
      <c r="Y699" s="14">
        <f>0</f>
        <v/>
      </c>
      <c r="Z699" s="14">
        <f>0</f>
        <v/>
      </c>
      <c r="AA699" s="14">
        <f>0</f>
        <v/>
      </c>
      <c r="AB699" s="14">
        <f>0</f>
        <v/>
      </c>
      <c r="AC699" s="14">
        <f>0</f>
        <v/>
      </c>
      <c r="AD699" s="14">
        <f>0</f>
        <v/>
      </c>
      <c r="AE699" s="14">
        <f>0</f>
        <v/>
      </c>
      <c r="AF699" s="14">
        <f>0</f>
        <v/>
      </c>
      <c r="AG699" s="14">
        <f>0</f>
        <v/>
      </c>
      <c r="AH699" s="14">
        <f>0</f>
        <v/>
      </c>
      <c r="AI699" s="14">
        <f>0</f>
        <v/>
      </c>
      <c r="AJ699" s="14">
        <f>0</f>
        <v/>
      </c>
      <c r="AK699" s="14">
        <f>0</f>
        <v/>
      </c>
      <c r="AL699" s="14">
        <f>0</f>
        <v/>
      </c>
      <c r="AM699" s="14">
        <f>0</f>
        <v/>
      </c>
      <c r="AN699" s="14">
        <f>0</f>
        <v/>
      </c>
      <c r="AO699" s="14">
        <f>0</f>
        <v/>
      </c>
      <c r="AP699" s="14">
        <f>0</f>
        <v/>
      </c>
      <c r="AQ699" s="14">
        <f>0</f>
        <v/>
      </c>
      <c r="AR699" s="14">
        <f>0</f>
        <v/>
      </c>
      <c r="AS699" s="14">
        <f>0</f>
        <v/>
      </c>
      <c r="AT699" s="14">
        <f>0</f>
        <v/>
      </c>
      <c r="AU699" s="14">
        <f>0</f>
        <v/>
      </c>
    </row>
    <row r="700">
      <c r="D700" t="inlineStr">
        <is>
          <t>R7 Mesa share of taxable income</t>
        </is>
      </c>
      <c r="E700" t="inlineStr">
        <is>
          <t>fraction</t>
        </is>
      </c>
      <c r="J700" s="14">
        <f>1</f>
        <v/>
      </c>
      <c r="K700" s="14">
        <f>1</f>
        <v/>
      </c>
      <c r="L700" s="14">
        <f>1</f>
        <v/>
      </c>
      <c r="M700" s="14">
        <f>1</f>
        <v/>
      </c>
      <c r="N700" s="14">
        <f>1</f>
        <v/>
      </c>
      <c r="O700" s="14">
        <f>1</f>
        <v/>
      </c>
      <c r="P700" s="14">
        <f>1</f>
        <v/>
      </c>
      <c r="Q700" s="14">
        <f>1</f>
        <v/>
      </c>
      <c r="R700" s="14">
        <f>1</f>
        <v/>
      </c>
      <c r="S700" s="14">
        <f>1</f>
        <v/>
      </c>
      <c r="T700" s="14">
        <f>1</f>
        <v/>
      </c>
      <c r="U700" s="14">
        <f>1</f>
        <v/>
      </c>
      <c r="V700" s="14">
        <f>1</f>
        <v/>
      </c>
      <c r="W700" s="14">
        <f>1</f>
        <v/>
      </c>
      <c r="X700" s="14">
        <f>1</f>
        <v/>
      </c>
      <c r="Y700" s="14">
        <f>1</f>
        <v/>
      </c>
      <c r="Z700" s="14">
        <f>1</f>
        <v/>
      </c>
      <c r="AA700" s="14">
        <f>1</f>
        <v/>
      </c>
      <c r="AB700" s="14">
        <f>1</f>
        <v/>
      </c>
      <c r="AC700" s="14">
        <f>1</f>
        <v/>
      </c>
      <c r="AD700" s="14">
        <f>1</f>
        <v/>
      </c>
      <c r="AE700" s="14">
        <f>1</f>
        <v/>
      </c>
      <c r="AF700" s="14">
        <f>1</f>
        <v/>
      </c>
      <c r="AG700" s="14">
        <f>1</f>
        <v/>
      </c>
      <c r="AH700" s="14">
        <f>1</f>
        <v/>
      </c>
      <c r="AI700" s="14">
        <f>1</f>
        <v/>
      </c>
      <c r="AJ700" s="14">
        <f>1</f>
        <v/>
      </c>
      <c r="AK700" s="14">
        <f>1</f>
        <v/>
      </c>
      <c r="AL700" s="14">
        <f>1</f>
        <v/>
      </c>
      <c r="AM700" s="14">
        <f>1</f>
        <v/>
      </c>
      <c r="AN700" s="14">
        <f>1</f>
        <v/>
      </c>
      <c r="AO700" s="14">
        <f>1</f>
        <v/>
      </c>
      <c r="AP700" s="14">
        <f>1</f>
        <v/>
      </c>
      <c r="AQ700" s="14">
        <f>1</f>
        <v/>
      </c>
      <c r="AR700" s="14">
        <f>1</f>
        <v/>
      </c>
      <c r="AS700" s="14">
        <f>1</f>
        <v/>
      </c>
      <c r="AT700" s="14">
        <f>1</f>
        <v/>
      </c>
      <c r="AU700" s="14">
        <f>1</f>
        <v/>
      </c>
    </row>
    <row r="701">
      <c r="D701" t="inlineStr">
        <is>
          <t>R7 Mesa share of cash flow</t>
        </is>
      </c>
      <c r="E701" t="inlineStr">
        <is>
          <t>USD m</t>
        </is>
      </c>
      <c r="G701" s="20">
        <f>SUM(J701:AU701)</f>
        <v/>
      </c>
      <c r="J701" s="20">
        <f>Operations!J698*(1-Operations!J699)*Operations!J681</f>
        <v/>
      </c>
      <c r="K701" s="20">
        <f>Operations!K698*(1-Operations!K699)*Operations!K681</f>
        <v/>
      </c>
      <c r="L701" s="20">
        <f>Operations!L698*(1-Operations!L699)*Operations!L681</f>
        <v/>
      </c>
      <c r="M701" s="20">
        <f>Operations!M698*(1-Operations!M699)*Operations!M681</f>
        <v/>
      </c>
      <c r="N701" s="20">
        <f>Operations!N698*(1-Operations!N699)*Operations!N681</f>
        <v/>
      </c>
      <c r="O701" s="20">
        <f>Operations!O698*(1-Operations!O699)*Operations!O681</f>
        <v/>
      </c>
      <c r="P701" s="20">
        <f>Operations!P698*(1-Operations!P699)*Operations!P681</f>
        <v/>
      </c>
      <c r="Q701" s="20">
        <f>Operations!Q698*(1-Operations!Q699)*Operations!Q681</f>
        <v/>
      </c>
      <c r="R701" s="20">
        <f>Operations!R698*(1-Operations!R699)*Operations!R681</f>
        <v/>
      </c>
      <c r="S701" s="20">
        <f>Operations!S698*(1-Operations!S699)*Operations!S681</f>
        <v/>
      </c>
      <c r="T701" s="20">
        <f>Operations!T698*(1-Operations!T699)*Operations!T681</f>
        <v/>
      </c>
      <c r="U701" s="20">
        <f>Operations!U698*(1-Operations!U699)*Operations!U681</f>
        <v/>
      </c>
      <c r="V701" s="20">
        <f>Operations!V698*(1-Operations!V699)*Operations!V681</f>
        <v/>
      </c>
      <c r="W701" s="20">
        <f>Operations!W698*(1-Operations!W699)*Operations!W681</f>
        <v/>
      </c>
      <c r="X701" s="20">
        <f>Operations!X698*(1-Operations!X699)*Operations!X681</f>
        <v/>
      </c>
      <c r="Y701" s="20">
        <f>Operations!Y698*(1-Operations!Y699)*Operations!Y681</f>
        <v/>
      </c>
      <c r="Z701" s="20">
        <f>Operations!Z698*(1-Operations!Z699)*Operations!Z681</f>
        <v/>
      </c>
      <c r="AA701" s="20">
        <f>Operations!AA698*(1-Operations!AA699)*Operations!AA681</f>
        <v/>
      </c>
      <c r="AB701" s="20">
        <f>Operations!AB698*(1-Operations!AB699)*Operations!AB681</f>
        <v/>
      </c>
      <c r="AC701" s="20">
        <f>Operations!AC698*(1-Operations!AC699)*Operations!AC681</f>
        <v/>
      </c>
      <c r="AD701" s="20">
        <f>Operations!AD698*(1-Operations!AD699)*Operations!AD681</f>
        <v/>
      </c>
      <c r="AE701" s="20">
        <f>Operations!AE698*(1-Operations!AE699)*Operations!AE681</f>
        <v/>
      </c>
      <c r="AF701" s="20">
        <f>Operations!AF698*(1-Operations!AF699)*Operations!AF681</f>
        <v/>
      </c>
      <c r="AG701" s="20">
        <f>Operations!AG698*(1-Operations!AG699)*Operations!AG681</f>
        <v/>
      </c>
      <c r="AH701" s="20">
        <f>Operations!AH698*(1-Operations!AH699)*Operations!AH681</f>
        <v/>
      </c>
      <c r="AI701" s="20">
        <f>Operations!AI698*(1-Operations!AI699)*Operations!AI681</f>
        <v/>
      </c>
      <c r="AJ701" s="20">
        <f>Operations!AJ698*(1-Operations!AJ699)*Operations!AJ681</f>
        <v/>
      </c>
      <c r="AK701" s="20">
        <f>Operations!AK698*(1-Operations!AK699)*Operations!AK681</f>
        <v/>
      </c>
      <c r="AL701" s="20">
        <f>Operations!AL698*(1-Operations!AL699)*Operations!AL681</f>
        <v/>
      </c>
      <c r="AM701" s="20">
        <f>Operations!AM698*(1-Operations!AM699)*Operations!AM681</f>
        <v/>
      </c>
      <c r="AN701" s="20">
        <f>Operations!AN698*(1-Operations!AN699)*Operations!AN681</f>
        <v/>
      </c>
      <c r="AO701" s="20">
        <f>Operations!AO698*(1-Operations!AO699)*Operations!AO681</f>
        <v/>
      </c>
      <c r="AP701" s="20">
        <f>Operations!AP698*(1-Operations!AP699)*Operations!AP681</f>
        <v/>
      </c>
      <c r="AQ701" s="20">
        <f>Operations!AQ698*(1-Operations!AQ699)*Operations!AQ681</f>
        <v/>
      </c>
      <c r="AR701" s="20">
        <f>Operations!AR698*(1-Operations!AR699)*Operations!AR681</f>
        <v/>
      </c>
      <c r="AS701" s="20">
        <f>Operations!AS698*(1-Operations!AS699)*Operations!AS681</f>
        <v/>
      </c>
      <c r="AT701" s="20">
        <f>Operations!AT698*(1-Operations!AT699)*Operations!AT681</f>
        <v/>
      </c>
      <c r="AU701" s="20">
        <f>Operations!AU698*(1-Operations!AU699)*Operations!AU681</f>
        <v/>
      </c>
    </row>
    <row r="702">
      <c r="D702" t="inlineStr">
        <is>
          <t>R7 Mesa taxable operating income</t>
        </is>
      </c>
      <c r="E702" t="inlineStr">
        <is>
          <t>USD m</t>
        </is>
      </c>
      <c r="J702" s="20">
        <f>Operations!J698*Operations!J700*Operations!J681</f>
        <v/>
      </c>
      <c r="K702" s="20">
        <f>Operations!K698*Operations!K700*Operations!K681</f>
        <v/>
      </c>
      <c r="L702" s="20">
        <f>Operations!L698*Operations!L700*Operations!L681</f>
        <v/>
      </c>
      <c r="M702" s="20">
        <f>Operations!M698*Operations!M700*Operations!M681</f>
        <v/>
      </c>
      <c r="N702" s="20">
        <f>Operations!N698*Operations!N700*Operations!N681</f>
        <v/>
      </c>
      <c r="O702" s="20">
        <f>Operations!O698*Operations!O700*Operations!O681</f>
        <v/>
      </c>
      <c r="P702" s="20">
        <f>Operations!P698*Operations!P700*Operations!P681</f>
        <v/>
      </c>
      <c r="Q702" s="20">
        <f>Operations!Q698*Operations!Q700*Operations!Q681</f>
        <v/>
      </c>
      <c r="R702" s="20">
        <f>Operations!R698*Operations!R700*Operations!R681</f>
        <v/>
      </c>
      <c r="S702" s="20">
        <f>Operations!S698*Operations!S700*Operations!S681</f>
        <v/>
      </c>
      <c r="T702" s="20">
        <f>Operations!T698*Operations!T700*Operations!T681</f>
        <v/>
      </c>
      <c r="U702" s="20">
        <f>Operations!U698*Operations!U700*Operations!U681</f>
        <v/>
      </c>
      <c r="V702" s="20">
        <f>Operations!V698*Operations!V700*Operations!V681</f>
        <v/>
      </c>
      <c r="W702" s="20">
        <f>Operations!W698*Operations!W700*Operations!W681</f>
        <v/>
      </c>
      <c r="X702" s="20">
        <f>Operations!X698*Operations!X700*Operations!X681</f>
        <v/>
      </c>
      <c r="Y702" s="20">
        <f>Operations!Y698*Operations!Y700*Operations!Y681</f>
        <v/>
      </c>
      <c r="Z702" s="20">
        <f>Operations!Z698*Operations!Z700*Operations!Z681</f>
        <v/>
      </c>
      <c r="AA702" s="20">
        <f>Operations!AA698*Operations!AA700*Operations!AA681</f>
        <v/>
      </c>
      <c r="AB702" s="20">
        <f>Operations!AB698*Operations!AB700*Operations!AB681</f>
        <v/>
      </c>
      <c r="AC702" s="20">
        <f>Operations!AC698*Operations!AC700*Operations!AC681</f>
        <v/>
      </c>
      <c r="AD702" s="20">
        <f>Operations!AD698*Operations!AD700*Operations!AD681</f>
        <v/>
      </c>
      <c r="AE702" s="20">
        <f>Operations!AE698*Operations!AE700*Operations!AE681</f>
        <v/>
      </c>
      <c r="AF702" s="20">
        <f>Operations!AF698*Operations!AF700*Operations!AF681</f>
        <v/>
      </c>
      <c r="AG702" s="20">
        <f>Operations!AG698*Operations!AG700*Operations!AG681</f>
        <v/>
      </c>
      <c r="AH702" s="20">
        <f>Operations!AH698*Operations!AH700*Operations!AH681</f>
        <v/>
      </c>
      <c r="AI702" s="20">
        <f>Operations!AI698*Operations!AI700*Operations!AI681</f>
        <v/>
      </c>
      <c r="AJ702" s="20">
        <f>Operations!AJ698*Operations!AJ700*Operations!AJ681</f>
        <v/>
      </c>
      <c r="AK702" s="20">
        <f>Operations!AK698*Operations!AK700*Operations!AK681</f>
        <v/>
      </c>
      <c r="AL702" s="20">
        <f>Operations!AL698*Operations!AL700*Operations!AL681</f>
        <v/>
      </c>
      <c r="AM702" s="20">
        <f>Operations!AM698*Operations!AM700*Operations!AM681</f>
        <v/>
      </c>
      <c r="AN702" s="20">
        <f>Operations!AN698*Operations!AN700*Operations!AN681</f>
        <v/>
      </c>
      <c r="AO702" s="20">
        <f>Operations!AO698*Operations!AO700*Operations!AO681</f>
        <v/>
      </c>
      <c r="AP702" s="20">
        <f>Operations!AP698*Operations!AP700*Operations!AP681</f>
        <v/>
      </c>
      <c r="AQ702" s="20">
        <f>Operations!AQ698*Operations!AQ700*Operations!AQ681</f>
        <v/>
      </c>
      <c r="AR702" s="20">
        <f>Operations!AR698*Operations!AR700*Operations!AR681</f>
        <v/>
      </c>
      <c r="AS702" s="20">
        <f>Operations!AS698*Operations!AS700*Operations!AS681</f>
        <v/>
      </c>
      <c r="AT702" s="20">
        <f>Operations!AT698*Operations!AT700*Operations!AT681</f>
        <v/>
      </c>
      <c r="AU702" s="20">
        <f>Operations!AU698*Operations!AU700*Operations!AU681</f>
        <v/>
      </c>
    </row>
    <row r="703">
      <c r="D703" t="inlineStr">
        <is>
          <t>R7 Mesa unlevered post-tax cash flow (before price shield)</t>
        </is>
      </c>
      <c r="E703" t="inlineStr">
        <is>
          <t>USD m</t>
        </is>
      </c>
      <c r="J703" s="20">
        <f>Operations!J701-Inputs!$F$241/100*Operations!J702</f>
        <v/>
      </c>
      <c r="K703" s="20">
        <f>Operations!K701-Inputs!$F$241/100*Operations!K702</f>
        <v/>
      </c>
      <c r="L703" s="20">
        <f>Operations!L701-Inputs!$F$241/100*Operations!L702</f>
        <v/>
      </c>
      <c r="M703" s="20">
        <f>Operations!M701-Inputs!$F$241/100*Operations!M702</f>
        <v/>
      </c>
      <c r="N703" s="20">
        <f>Operations!N701-Inputs!$F$241/100*Operations!N702</f>
        <v/>
      </c>
      <c r="O703" s="20">
        <f>Operations!O701-Inputs!$F$241/100*Operations!O702</f>
        <v/>
      </c>
      <c r="P703" s="20">
        <f>Operations!P701-Inputs!$F$241/100*Operations!P702</f>
        <v/>
      </c>
      <c r="Q703" s="20">
        <f>Operations!Q701-Inputs!$F$241/100*Operations!Q702</f>
        <v/>
      </c>
      <c r="R703" s="20">
        <f>Operations!R701-Inputs!$F$241/100*Operations!R702</f>
        <v/>
      </c>
      <c r="S703" s="20">
        <f>Operations!S701-Inputs!$F$241/100*Operations!S702</f>
        <v/>
      </c>
      <c r="T703" s="20">
        <f>Operations!T701-Inputs!$F$241/100*Operations!T702</f>
        <v/>
      </c>
      <c r="U703" s="20">
        <f>Operations!U701-Inputs!$F$241/100*Operations!U702</f>
        <v/>
      </c>
      <c r="V703" s="20">
        <f>Operations!V701-Inputs!$F$241/100*Operations!V702</f>
        <v/>
      </c>
      <c r="W703" s="20">
        <f>Operations!W701-Inputs!$F$241/100*Operations!W702</f>
        <v/>
      </c>
      <c r="X703" s="20">
        <f>Operations!X701-Inputs!$F$241/100*Operations!X702</f>
        <v/>
      </c>
      <c r="Y703" s="20">
        <f>Operations!Y701-Inputs!$F$241/100*Operations!Y702</f>
        <v/>
      </c>
      <c r="Z703" s="20">
        <f>Operations!Z701-Inputs!$F$241/100*Operations!Z702</f>
        <v/>
      </c>
      <c r="AA703" s="20">
        <f>Operations!AA701-Inputs!$F$241/100*Operations!AA702</f>
        <v/>
      </c>
      <c r="AB703" s="20">
        <f>Operations!AB701-Inputs!$F$241/100*Operations!AB702</f>
        <v/>
      </c>
      <c r="AC703" s="20">
        <f>Operations!AC701-Inputs!$F$241/100*Operations!AC702</f>
        <v/>
      </c>
      <c r="AD703" s="20">
        <f>Operations!AD701-Inputs!$F$241/100*Operations!AD702</f>
        <v/>
      </c>
      <c r="AE703" s="20">
        <f>Operations!AE701-Inputs!$F$241/100*Operations!AE702</f>
        <v/>
      </c>
      <c r="AF703" s="20">
        <f>Operations!AF701-Inputs!$F$241/100*Operations!AF702</f>
        <v/>
      </c>
      <c r="AG703" s="20">
        <f>Operations!AG701-Inputs!$F$241/100*Operations!AG702</f>
        <v/>
      </c>
      <c r="AH703" s="20">
        <f>Operations!AH701-Inputs!$F$241/100*Operations!AH702</f>
        <v/>
      </c>
      <c r="AI703" s="20">
        <f>Operations!AI701-Inputs!$F$241/100*Operations!AI702</f>
        <v/>
      </c>
      <c r="AJ703" s="20">
        <f>Operations!AJ701-Inputs!$F$241/100*Operations!AJ702</f>
        <v/>
      </c>
      <c r="AK703" s="20">
        <f>Operations!AK701-Inputs!$F$241/100*Operations!AK702</f>
        <v/>
      </c>
      <c r="AL703" s="20">
        <f>Operations!AL701-Inputs!$F$241/100*Operations!AL702</f>
        <v/>
      </c>
      <c r="AM703" s="20">
        <f>Operations!AM701-Inputs!$F$241/100*Operations!AM702</f>
        <v/>
      </c>
      <c r="AN703" s="20">
        <f>Operations!AN701-Inputs!$F$241/100*Operations!AN702</f>
        <v/>
      </c>
      <c r="AO703" s="20">
        <f>Operations!AO701-Inputs!$F$241/100*Operations!AO702</f>
        <v/>
      </c>
      <c r="AP703" s="20">
        <f>Operations!AP701-Inputs!$F$241/100*Operations!AP702</f>
        <v/>
      </c>
      <c r="AQ703" s="20">
        <f>Operations!AQ701-Inputs!$F$241/100*Operations!AQ702</f>
        <v/>
      </c>
      <c r="AR703" s="20">
        <f>Operations!AR701-Inputs!$F$241/100*Operations!AR702</f>
        <v/>
      </c>
      <c r="AS703" s="20">
        <f>Operations!AS701-Inputs!$F$241/100*Operations!AS702</f>
        <v/>
      </c>
      <c r="AT703" s="20">
        <f>Operations!AT701-Inputs!$F$241/100*Operations!AT702</f>
        <v/>
      </c>
      <c r="AU703" s="20">
        <f>Operations!AU701-Inputs!$F$241/100*Operations!AU702</f>
        <v/>
      </c>
    </row>
    <row r="704">
      <c r="D704" t="inlineStr">
        <is>
          <t>R7 contracted share of revenue</t>
        </is>
      </c>
      <c r="E704" t="inlineStr">
        <is>
          <t>fraction</t>
        </is>
      </c>
      <c r="J704" s="14">
        <f>IF(Operations!J689=0,0,Operations!J687/Operations!J689)</f>
        <v/>
      </c>
      <c r="K704" s="14">
        <f>IF(Operations!K689=0,0,Operations!K687/Operations!K689)</f>
        <v/>
      </c>
      <c r="L704" s="14">
        <f>IF(Operations!L689=0,0,Operations!L687/Operations!L689)</f>
        <v/>
      </c>
      <c r="M704" s="14">
        <f>IF(Operations!M689=0,0,Operations!M687/Operations!M689)</f>
        <v/>
      </c>
      <c r="N704" s="14">
        <f>IF(Operations!N689=0,0,Operations!N687/Operations!N689)</f>
        <v/>
      </c>
      <c r="O704" s="14">
        <f>IF(Operations!O689=0,0,Operations!O687/Operations!O689)</f>
        <v/>
      </c>
      <c r="P704" s="14">
        <f>IF(Operations!P689=0,0,Operations!P687/Operations!P689)</f>
        <v/>
      </c>
      <c r="Q704" s="14">
        <f>IF(Operations!Q689=0,0,Operations!Q687/Operations!Q689)</f>
        <v/>
      </c>
      <c r="R704" s="14">
        <f>IF(Operations!R689=0,0,Operations!R687/Operations!R689)</f>
        <v/>
      </c>
      <c r="S704" s="14">
        <f>IF(Operations!S689=0,0,Operations!S687/Operations!S689)</f>
        <v/>
      </c>
      <c r="T704" s="14">
        <f>IF(Operations!T689=0,0,Operations!T687/Operations!T689)</f>
        <v/>
      </c>
      <c r="U704" s="14">
        <f>IF(Operations!U689=0,0,Operations!U687/Operations!U689)</f>
        <v/>
      </c>
      <c r="V704" s="14">
        <f>IF(Operations!V689=0,0,Operations!V687/Operations!V689)</f>
        <v/>
      </c>
      <c r="W704" s="14">
        <f>IF(Operations!W689=0,0,Operations!W687/Operations!W689)</f>
        <v/>
      </c>
      <c r="X704" s="14">
        <f>IF(Operations!X689=0,0,Operations!X687/Operations!X689)</f>
        <v/>
      </c>
      <c r="Y704" s="14">
        <f>IF(Operations!Y689=0,0,Operations!Y687/Operations!Y689)</f>
        <v/>
      </c>
      <c r="Z704" s="14">
        <f>IF(Operations!Z689=0,0,Operations!Z687/Operations!Z689)</f>
        <v/>
      </c>
      <c r="AA704" s="14">
        <f>IF(Operations!AA689=0,0,Operations!AA687/Operations!AA689)</f>
        <v/>
      </c>
      <c r="AB704" s="14">
        <f>IF(Operations!AB689=0,0,Operations!AB687/Operations!AB689)</f>
        <v/>
      </c>
      <c r="AC704" s="14">
        <f>IF(Operations!AC689=0,0,Operations!AC687/Operations!AC689)</f>
        <v/>
      </c>
      <c r="AD704" s="14">
        <f>IF(Operations!AD689=0,0,Operations!AD687/Operations!AD689)</f>
        <v/>
      </c>
      <c r="AE704" s="14">
        <f>IF(Operations!AE689=0,0,Operations!AE687/Operations!AE689)</f>
        <v/>
      </c>
      <c r="AF704" s="14">
        <f>IF(Operations!AF689=0,0,Operations!AF687/Operations!AF689)</f>
        <v/>
      </c>
      <c r="AG704" s="14">
        <f>IF(Operations!AG689=0,0,Operations!AG687/Operations!AG689)</f>
        <v/>
      </c>
      <c r="AH704" s="14">
        <f>IF(Operations!AH689=0,0,Operations!AH687/Operations!AH689)</f>
        <v/>
      </c>
      <c r="AI704" s="14">
        <f>IF(Operations!AI689=0,0,Operations!AI687/Operations!AI689)</f>
        <v/>
      </c>
      <c r="AJ704" s="14">
        <f>IF(Operations!AJ689=0,0,Operations!AJ687/Operations!AJ689)</f>
        <v/>
      </c>
      <c r="AK704" s="14">
        <f>IF(Operations!AK689=0,0,Operations!AK687/Operations!AK689)</f>
        <v/>
      </c>
      <c r="AL704" s="14">
        <f>IF(Operations!AL689=0,0,Operations!AL687/Operations!AL689)</f>
        <v/>
      </c>
      <c r="AM704" s="14">
        <f>IF(Operations!AM689=0,0,Operations!AM687/Operations!AM689)</f>
        <v/>
      </c>
      <c r="AN704" s="14">
        <f>IF(Operations!AN689=0,0,Operations!AN687/Operations!AN689)</f>
        <v/>
      </c>
      <c r="AO704" s="14">
        <f>IF(Operations!AO689=0,0,Operations!AO687/Operations!AO689)</f>
        <v/>
      </c>
      <c r="AP704" s="14">
        <f>IF(Operations!AP689=0,0,Operations!AP687/Operations!AP689)</f>
        <v/>
      </c>
      <c r="AQ704" s="14">
        <f>IF(Operations!AQ689=0,0,Operations!AQ687/Operations!AQ689)</f>
        <v/>
      </c>
      <c r="AR704" s="14">
        <f>IF(Operations!AR689=0,0,Operations!AR687/Operations!AR689)</f>
        <v/>
      </c>
      <c r="AS704" s="14">
        <f>IF(Operations!AS689=0,0,Operations!AS687/Operations!AS689)</f>
        <v/>
      </c>
      <c r="AT704" s="14">
        <f>IF(Operations!AT689=0,0,Operations!AT687/Operations!AT689)</f>
        <v/>
      </c>
      <c r="AU704" s="14">
        <f>IF(Operations!AU689=0,0,Operations!AU687/Operations!AU689)</f>
        <v/>
      </c>
    </row>
    <row r="705">
      <c r="D705" t="inlineStr">
        <is>
          <t>R7 hedged share of revenue</t>
        </is>
      </c>
      <c r="E705" t="inlineStr">
        <is>
          <t>fraction</t>
        </is>
      </c>
      <c r="J705" s="14">
        <f>IF(Operations!J689=0,0,Operations!J688/Operations!J689)</f>
        <v/>
      </c>
      <c r="K705" s="14">
        <f>IF(Operations!K689=0,0,Operations!K688/Operations!K689)</f>
        <v/>
      </c>
      <c r="L705" s="14">
        <f>IF(Operations!L689=0,0,Operations!L688/Operations!L689)</f>
        <v/>
      </c>
      <c r="M705" s="14">
        <f>IF(Operations!M689=0,0,Operations!M688/Operations!M689)</f>
        <v/>
      </c>
      <c r="N705" s="14">
        <f>IF(Operations!N689=0,0,Operations!N688/Operations!N689)</f>
        <v/>
      </c>
      <c r="O705" s="14">
        <f>IF(Operations!O689=0,0,Operations!O688/Operations!O689)</f>
        <v/>
      </c>
      <c r="P705" s="14">
        <f>IF(Operations!P689=0,0,Operations!P688/Operations!P689)</f>
        <v/>
      </c>
      <c r="Q705" s="14">
        <f>IF(Operations!Q689=0,0,Operations!Q688/Operations!Q689)</f>
        <v/>
      </c>
      <c r="R705" s="14">
        <f>IF(Operations!R689=0,0,Operations!R688/Operations!R689)</f>
        <v/>
      </c>
      <c r="S705" s="14">
        <f>IF(Operations!S689=0,0,Operations!S688/Operations!S689)</f>
        <v/>
      </c>
      <c r="T705" s="14">
        <f>IF(Operations!T689=0,0,Operations!T688/Operations!T689)</f>
        <v/>
      </c>
      <c r="U705" s="14">
        <f>IF(Operations!U689=0,0,Operations!U688/Operations!U689)</f>
        <v/>
      </c>
      <c r="V705" s="14">
        <f>IF(Operations!V689=0,0,Operations!V688/Operations!V689)</f>
        <v/>
      </c>
      <c r="W705" s="14">
        <f>IF(Operations!W689=0,0,Operations!W688/Operations!W689)</f>
        <v/>
      </c>
      <c r="X705" s="14">
        <f>IF(Operations!X689=0,0,Operations!X688/Operations!X689)</f>
        <v/>
      </c>
      <c r="Y705" s="14">
        <f>IF(Operations!Y689=0,0,Operations!Y688/Operations!Y689)</f>
        <v/>
      </c>
      <c r="Z705" s="14">
        <f>IF(Operations!Z689=0,0,Operations!Z688/Operations!Z689)</f>
        <v/>
      </c>
      <c r="AA705" s="14">
        <f>IF(Operations!AA689=0,0,Operations!AA688/Operations!AA689)</f>
        <v/>
      </c>
      <c r="AB705" s="14">
        <f>IF(Operations!AB689=0,0,Operations!AB688/Operations!AB689)</f>
        <v/>
      </c>
      <c r="AC705" s="14">
        <f>IF(Operations!AC689=0,0,Operations!AC688/Operations!AC689)</f>
        <v/>
      </c>
      <c r="AD705" s="14">
        <f>IF(Operations!AD689=0,0,Operations!AD688/Operations!AD689)</f>
        <v/>
      </c>
      <c r="AE705" s="14">
        <f>IF(Operations!AE689=0,0,Operations!AE688/Operations!AE689)</f>
        <v/>
      </c>
      <c r="AF705" s="14">
        <f>IF(Operations!AF689=0,0,Operations!AF688/Operations!AF689)</f>
        <v/>
      </c>
      <c r="AG705" s="14">
        <f>IF(Operations!AG689=0,0,Operations!AG688/Operations!AG689)</f>
        <v/>
      </c>
      <c r="AH705" s="14">
        <f>IF(Operations!AH689=0,0,Operations!AH688/Operations!AH689)</f>
        <v/>
      </c>
      <c r="AI705" s="14">
        <f>IF(Operations!AI689=0,0,Operations!AI688/Operations!AI689)</f>
        <v/>
      </c>
      <c r="AJ705" s="14">
        <f>IF(Operations!AJ689=0,0,Operations!AJ688/Operations!AJ689)</f>
        <v/>
      </c>
      <c r="AK705" s="14">
        <f>IF(Operations!AK689=0,0,Operations!AK688/Operations!AK689)</f>
        <v/>
      </c>
      <c r="AL705" s="14">
        <f>IF(Operations!AL689=0,0,Operations!AL688/Operations!AL689)</f>
        <v/>
      </c>
      <c r="AM705" s="14">
        <f>IF(Operations!AM689=0,0,Operations!AM688/Operations!AM689)</f>
        <v/>
      </c>
      <c r="AN705" s="14">
        <f>IF(Operations!AN689=0,0,Operations!AN688/Operations!AN689)</f>
        <v/>
      </c>
      <c r="AO705" s="14">
        <f>IF(Operations!AO689=0,0,Operations!AO688/Operations!AO689)</f>
        <v/>
      </c>
      <c r="AP705" s="14">
        <f>IF(Operations!AP689=0,0,Operations!AP688/Operations!AP689)</f>
        <v/>
      </c>
      <c r="AQ705" s="14">
        <f>IF(Operations!AQ689=0,0,Operations!AQ688/Operations!AQ689)</f>
        <v/>
      </c>
      <c r="AR705" s="14">
        <f>IF(Operations!AR689=0,0,Operations!AR688/Operations!AR689)</f>
        <v/>
      </c>
      <c r="AS705" s="14">
        <f>IF(Operations!AS689=0,0,Operations!AS688/Operations!AS689)</f>
        <v/>
      </c>
      <c r="AT705" s="14">
        <f>IF(Operations!AT689=0,0,Operations!AT688/Operations!AT689)</f>
        <v/>
      </c>
      <c r="AU705" s="14">
        <f>IF(Operations!AU689=0,0,Operations!AU688/Operations!AU689)</f>
        <v/>
      </c>
    </row>
    <row r="706">
      <c r="D706" t="inlineStr">
        <is>
          <t>R7 merchant share of revenue</t>
        </is>
      </c>
      <c r="E706" t="inlineStr">
        <is>
          <t>fraction</t>
        </is>
      </c>
      <c r="J706" s="14">
        <f>1-Operations!J704-Operations!J705</f>
        <v/>
      </c>
      <c r="K706" s="14">
        <f>1-Operations!K704-Operations!K705</f>
        <v/>
      </c>
      <c r="L706" s="14">
        <f>1-Operations!L704-Operations!L705</f>
        <v/>
      </c>
      <c r="M706" s="14">
        <f>1-Operations!M704-Operations!M705</f>
        <v/>
      </c>
      <c r="N706" s="14">
        <f>1-Operations!N704-Operations!N705</f>
        <v/>
      </c>
      <c r="O706" s="14">
        <f>1-Operations!O704-Operations!O705</f>
        <v/>
      </c>
      <c r="P706" s="14">
        <f>1-Operations!P704-Operations!P705</f>
        <v/>
      </c>
      <c r="Q706" s="14">
        <f>1-Operations!Q704-Operations!Q705</f>
        <v/>
      </c>
      <c r="R706" s="14">
        <f>1-Operations!R704-Operations!R705</f>
        <v/>
      </c>
      <c r="S706" s="14">
        <f>1-Operations!S704-Operations!S705</f>
        <v/>
      </c>
      <c r="T706" s="14">
        <f>1-Operations!T704-Operations!T705</f>
        <v/>
      </c>
      <c r="U706" s="14">
        <f>1-Operations!U704-Operations!U705</f>
        <v/>
      </c>
      <c r="V706" s="14">
        <f>1-Operations!V704-Operations!V705</f>
        <v/>
      </c>
      <c r="W706" s="14">
        <f>1-Operations!W704-Operations!W705</f>
        <v/>
      </c>
      <c r="X706" s="14">
        <f>1-Operations!X704-Operations!X705</f>
        <v/>
      </c>
      <c r="Y706" s="14">
        <f>1-Operations!Y704-Operations!Y705</f>
        <v/>
      </c>
      <c r="Z706" s="14">
        <f>1-Operations!Z704-Operations!Z705</f>
        <v/>
      </c>
      <c r="AA706" s="14">
        <f>1-Operations!AA704-Operations!AA705</f>
        <v/>
      </c>
      <c r="AB706" s="14">
        <f>1-Operations!AB704-Operations!AB705</f>
        <v/>
      </c>
      <c r="AC706" s="14">
        <f>1-Operations!AC704-Operations!AC705</f>
        <v/>
      </c>
      <c r="AD706" s="14">
        <f>1-Operations!AD704-Operations!AD705</f>
        <v/>
      </c>
      <c r="AE706" s="14">
        <f>1-Operations!AE704-Operations!AE705</f>
        <v/>
      </c>
      <c r="AF706" s="14">
        <f>1-Operations!AF704-Operations!AF705</f>
        <v/>
      </c>
      <c r="AG706" s="14">
        <f>1-Operations!AG704-Operations!AG705</f>
        <v/>
      </c>
      <c r="AH706" s="14">
        <f>1-Operations!AH704-Operations!AH705</f>
        <v/>
      </c>
      <c r="AI706" s="14">
        <f>1-Operations!AI704-Operations!AI705</f>
        <v/>
      </c>
      <c r="AJ706" s="14">
        <f>1-Operations!AJ704-Operations!AJ705</f>
        <v/>
      </c>
      <c r="AK706" s="14">
        <f>1-Operations!AK704-Operations!AK705</f>
        <v/>
      </c>
      <c r="AL706" s="14">
        <f>1-Operations!AL704-Operations!AL705</f>
        <v/>
      </c>
      <c r="AM706" s="14">
        <f>1-Operations!AM704-Operations!AM705</f>
        <v/>
      </c>
      <c r="AN706" s="14">
        <f>1-Operations!AN704-Operations!AN705</f>
        <v/>
      </c>
      <c r="AO706" s="14">
        <f>1-Operations!AO704-Operations!AO705</f>
        <v/>
      </c>
      <c r="AP706" s="14">
        <f>1-Operations!AP704-Operations!AP705</f>
        <v/>
      </c>
      <c r="AQ706" s="14">
        <f>1-Operations!AQ704-Operations!AQ705</f>
        <v/>
      </c>
      <c r="AR706" s="14">
        <f>1-Operations!AR704-Operations!AR705</f>
        <v/>
      </c>
      <c r="AS706" s="14">
        <f>1-Operations!AS704-Operations!AS705</f>
        <v/>
      </c>
      <c r="AT706" s="14">
        <f>1-Operations!AT704-Operations!AT705</f>
        <v/>
      </c>
      <c r="AU706" s="14">
        <f>1-Operations!AU704-Operations!AU705</f>
        <v/>
      </c>
    </row>
    <row r="707">
      <c r="D707" t="inlineStr">
        <is>
          <t>R7 Mesa-share contracted revenue</t>
        </is>
      </c>
      <c r="E707" t="inlineStr">
        <is>
          <t>USD m</t>
        </is>
      </c>
      <c r="J707" s="20">
        <f>Operations!J687*Operations!J681*(1-Operations!J699)</f>
        <v/>
      </c>
      <c r="K707" s="20">
        <f>Operations!K687*Operations!K681*(1-Operations!K699)</f>
        <v/>
      </c>
      <c r="L707" s="20">
        <f>Operations!L687*Operations!L681*(1-Operations!L699)</f>
        <v/>
      </c>
      <c r="M707" s="20">
        <f>Operations!M687*Operations!M681*(1-Operations!M699)</f>
        <v/>
      </c>
      <c r="N707" s="20">
        <f>Operations!N687*Operations!N681*(1-Operations!N699)</f>
        <v/>
      </c>
      <c r="O707" s="20">
        <f>Operations!O687*Operations!O681*(1-Operations!O699)</f>
        <v/>
      </c>
      <c r="P707" s="20">
        <f>Operations!P687*Operations!P681*(1-Operations!P699)</f>
        <v/>
      </c>
      <c r="Q707" s="20">
        <f>Operations!Q687*Operations!Q681*(1-Operations!Q699)</f>
        <v/>
      </c>
      <c r="R707" s="20">
        <f>Operations!R687*Operations!R681*(1-Operations!R699)</f>
        <v/>
      </c>
      <c r="S707" s="20">
        <f>Operations!S687*Operations!S681*(1-Operations!S699)</f>
        <v/>
      </c>
      <c r="T707" s="20">
        <f>Operations!T687*Operations!T681*(1-Operations!T699)</f>
        <v/>
      </c>
      <c r="U707" s="20">
        <f>Operations!U687*Operations!U681*(1-Operations!U699)</f>
        <v/>
      </c>
      <c r="V707" s="20">
        <f>Operations!V687*Operations!V681*(1-Operations!V699)</f>
        <v/>
      </c>
      <c r="W707" s="20">
        <f>Operations!W687*Operations!W681*(1-Operations!W699)</f>
        <v/>
      </c>
      <c r="X707" s="20">
        <f>Operations!X687*Operations!X681*(1-Operations!X699)</f>
        <v/>
      </c>
      <c r="Y707" s="20">
        <f>Operations!Y687*Operations!Y681*(1-Operations!Y699)</f>
        <v/>
      </c>
      <c r="Z707" s="20">
        <f>Operations!Z687*Operations!Z681*(1-Operations!Z699)</f>
        <v/>
      </c>
      <c r="AA707" s="20">
        <f>Operations!AA687*Operations!AA681*(1-Operations!AA699)</f>
        <v/>
      </c>
      <c r="AB707" s="20">
        <f>Operations!AB687*Operations!AB681*(1-Operations!AB699)</f>
        <v/>
      </c>
      <c r="AC707" s="20">
        <f>Operations!AC687*Operations!AC681*(1-Operations!AC699)</f>
        <v/>
      </c>
      <c r="AD707" s="20">
        <f>Operations!AD687*Operations!AD681*(1-Operations!AD699)</f>
        <v/>
      </c>
      <c r="AE707" s="20">
        <f>Operations!AE687*Operations!AE681*(1-Operations!AE699)</f>
        <v/>
      </c>
      <c r="AF707" s="20">
        <f>Operations!AF687*Operations!AF681*(1-Operations!AF699)</f>
        <v/>
      </c>
      <c r="AG707" s="20">
        <f>Operations!AG687*Operations!AG681*(1-Operations!AG699)</f>
        <v/>
      </c>
      <c r="AH707" s="20">
        <f>Operations!AH687*Operations!AH681*(1-Operations!AH699)</f>
        <v/>
      </c>
      <c r="AI707" s="20">
        <f>Operations!AI687*Operations!AI681*(1-Operations!AI699)</f>
        <v/>
      </c>
      <c r="AJ707" s="20">
        <f>Operations!AJ687*Operations!AJ681*(1-Operations!AJ699)</f>
        <v/>
      </c>
      <c r="AK707" s="20">
        <f>Operations!AK687*Operations!AK681*(1-Operations!AK699)</f>
        <v/>
      </c>
      <c r="AL707" s="20">
        <f>Operations!AL687*Operations!AL681*(1-Operations!AL699)</f>
        <v/>
      </c>
      <c r="AM707" s="20">
        <f>Operations!AM687*Operations!AM681*(1-Operations!AM699)</f>
        <v/>
      </c>
      <c r="AN707" s="20">
        <f>Operations!AN687*Operations!AN681*(1-Operations!AN699)</f>
        <v/>
      </c>
      <c r="AO707" s="20">
        <f>Operations!AO687*Operations!AO681*(1-Operations!AO699)</f>
        <v/>
      </c>
      <c r="AP707" s="20">
        <f>Operations!AP687*Operations!AP681*(1-Operations!AP699)</f>
        <v/>
      </c>
      <c r="AQ707" s="20">
        <f>Operations!AQ687*Operations!AQ681*(1-Operations!AQ699)</f>
        <v/>
      </c>
      <c r="AR707" s="20">
        <f>Operations!AR687*Operations!AR681*(1-Operations!AR699)</f>
        <v/>
      </c>
      <c r="AS707" s="20">
        <f>Operations!AS687*Operations!AS681*(1-Operations!AS699)</f>
        <v/>
      </c>
      <c r="AT707" s="20">
        <f>Operations!AT687*Operations!AT681*(1-Operations!AT699)</f>
        <v/>
      </c>
      <c r="AU707" s="20">
        <f>Operations!AU687*Operations!AU681*(1-Operations!AU699)</f>
        <v/>
      </c>
    </row>
    <row r="708">
      <c r="D708" t="inlineStr">
        <is>
          <t>R7 Mesa-share hedged revenue</t>
        </is>
      </c>
      <c r="E708" t="inlineStr">
        <is>
          <t>USD m</t>
        </is>
      </c>
      <c r="J708" s="20">
        <f>Operations!J688*Operations!J681*(1-Operations!J699)</f>
        <v/>
      </c>
      <c r="K708" s="20">
        <f>Operations!K688*Operations!K681*(1-Operations!K699)</f>
        <v/>
      </c>
      <c r="L708" s="20">
        <f>Operations!L688*Operations!L681*(1-Operations!L699)</f>
        <v/>
      </c>
      <c r="M708" s="20">
        <f>Operations!M688*Operations!M681*(1-Operations!M699)</f>
        <v/>
      </c>
      <c r="N708" s="20">
        <f>Operations!N688*Operations!N681*(1-Operations!N699)</f>
        <v/>
      </c>
      <c r="O708" s="20">
        <f>Operations!O688*Operations!O681*(1-Operations!O699)</f>
        <v/>
      </c>
      <c r="P708" s="20">
        <f>Operations!P688*Operations!P681*(1-Operations!P699)</f>
        <v/>
      </c>
      <c r="Q708" s="20">
        <f>Operations!Q688*Operations!Q681*(1-Operations!Q699)</f>
        <v/>
      </c>
      <c r="R708" s="20">
        <f>Operations!R688*Operations!R681*(1-Operations!R699)</f>
        <v/>
      </c>
      <c r="S708" s="20">
        <f>Operations!S688*Operations!S681*(1-Operations!S699)</f>
        <v/>
      </c>
      <c r="T708" s="20">
        <f>Operations!T688*Operations!T681*(1-Operations!T699)</f>
        <v/>
      </c>
      <c r="U708" s="20">
        <f>Operations!U688*Operations!U681*(1-Operations!U699)</f>
        <v/>
      </c>
      <c r="V708" s="20">
        <f>Operations!V688*Operations!V681*(1-Operations!V699)</f>
        <v/>
      </c>
      <c r="W708" s="20">
        <f>Operations!W688*Operations!W681*(1-Operations!W699)</f>
        <v/>
      </c>
      <c r="X708" s="20">
        <f>Operations!X688*Operations!X681*(1-Operations!X699)</f>
        <v/>
      </c>
      <c r="Y708" s="20">
        <f>Operations!Y688*Operations!Y681*(1-Operations!Y699)</f>
        <v/>
      </c>
      <c r="Z708" s="20">
        <f>Operations!Z688*Operations!Z681*(1-Operations!Z699)</f>
        <v/>
      </c>
      <c r="AA708" s="20">
        <f>Operations!AA688*Operations!AA681*(1-Operations!AA699)</f>
        <v/>
      </c>
      <c r="AB708" s="20">
        <f>Operations!AB688*Operations!AB681*(1-Operations!AB699)</f>
        <v/>
      </c>
      <c r="AC708" s="20">
        <f>Operations!AC688*Operations!AC681*(1-Operations!AC699)</f>
        <v/>
      </c>
      <c r="AD708" s="20">
        <f>Operations!AD688*Operations!AD681*(1-Operations!AD699)</f>
        <v/>
      </c>
      <c r="AE708" s="20">
        <f>Operations!AE688*Operations!AE681*(1-Operations!AE699)</f>
        <v/>
      </c>
      <c r="AF708" s="20">
        <f>Operations!AF688*Operations!AF681*(1-Operations!AF699)</f>
        <v/>
      </c>
      <c r="AG708" s="20">
        <f>Operations!AG688*Operations!AG681*(1-Operations!AG699)</f>
        <v/>
      </c>
      <c r="AH708" s="20">
        <f>Operations!AH688*Operations!AH681*(1-Operations!AH699)</f>
        <v/>
      </c>
      <c r="AI708" s="20">
        <f>Operations!AI688*Operations!AI681*(1-Operations!AI699)</f>
        <v/>
      </c>
      <c r="AJ708" s="20">
        <f>Operations!AJ688*Operations!AJ681*(1-Operations!AJ699)</f>
        <v/>
      </c>
      <c r="AK708" s="20">
        <f>Operations!AK688*Operations!AK681*(1-Operations!AK699)</f>
        <v/>
      </c>
      <c r="AL708" s="20">
        <f>Operations!AL688*Operations!AL681*(1-Operations!AL699)</f>
        <v/>
      </c>
      <c r="AM708" s="20">
        <f>Operations!AM688*Operations!AM681*(1-Operations!AM699)</f>
        <v/>
      </c>
      <c r="AN708" s="20">
        <f>Operations!AN688*Operations!AN681*(1-Operations!AN699)</f>
        <v/>
      </c>
      <c r="AO708" s="20">
        <f>Operations!AO688*Operations!AO681*(1-Operations!AO699)</f>
        <v/>
      </c>
      <c r="AP708" s="20">
        <f>Operations!AP688*Operations!AP681*(1-Operations!AP699)</f>
        <v/>
      </c>
      <c r="AQ708" s="20">
        <f>Operations!AQ688*Operations!AQ681*(1-Operations!AQ699)</f>
        <v/>
      </c>
      <c r="AR708" s="20">
        <f>Operations!AR688*Operations!AR681*(1-Operations!AR699)</f>
        <v/>
      </c>
      <c r="AS708" s="20">
        <f>Operations!AS688*Operations!AS681*(1-Operations!AS699)</f>
        <v/>
      </c>
      <c r="AT708" s="20">
        <f>Operations!AT688*Operations!AT681*(1-Operations!AT699)</f>
        <v/>
      </c>
      <c r="AU708" s="20">
        <f>Operations!AU688*Operations!AU681*(1-Operations!AU699)</f>
        <v/>
      </c>
    </row>
    <row r="709">
      <c r="D709" t="inlineStr">
        <is>
          <t>R7 Mesa-share merchant revenue</t>
        </is>
      </c>
      <c r="E709" t="inlineStr">
        <is>
          <t>USD m</t>
        </is>
      </c>
      <c r="J709" s="20">
        <f>Operations!J690*Operations!J681*(1-Operations!J699)</f>
        <v/>
      </c>
      <c r="K709" s="20">
        <f>Operations!K690*Operations!K681*(1-Operations!K699)</f>
        <v/>
      </c>
      <c r="L709" s="20">
        <f>Operations!L690*Operations!L681*(1-Operations!L699)</f>
        <v/>
      </c>
      <c r="M709" s="20">
        <f>Operations!M690*Operations!M681*(1-Operations!M699)</f>
        <v/>
      </c>
      <c r="N709" s="20">
        <f>Operations!N690*Operations!N681*(1-Operations!N699)</f>
        <v/>
      </c>
      <c r="O709" s="20">
        <f>Operations!O690*Operations!O681*(1-Operations!O699)</f>
        <v/>
      </c>
      <c r="P709" s="20">
        <f>Operations!P690*Operations!P681*(1-Operations!P699)</f>
        <v/>
      </c>
      <c r="Q709" s="20">
        <f>Operations!Q690*Operations!Q681*(1-Operations!Q699)</f>
        <v/>
      </c>
      <c r="R709" s="20">
        <f>Operations!R690*Operations!R681*(1-Operations!R699)</f>
        <v/>
      </c>
      <c r="S709" s="20">
        <f>Operations!S690*Operations!S681*(1-Operations!S699)</f>
        <v/>
      </c>
      <c r="T709" s="20">
        <f>Operations!T690*Operations!T681*(1-Operations!T699)</f>
        <v/>
      </c>
      <c r="U709" s="20">
        <f>Operations!U690*Operations!U681*(1-Operations!U699)</f>
        <v/>
      </c>
      <c r="V709" s="20">
        <f>Operations!V690*Operations!V681*(1-Operations!V699)</f>
        <v/>
      </c>
      <c r="W709" s="20">
        <f>Operations!W690*Operations!W681*(1-Operations!W699)</f>
        <v/>
      </c>
      <c r="X709" s="20">
        <f>Operations!X690*Operations!X681*(1-Operations!X699)</f>
        <v/>
      </c>
      <c r="Y709" s="20">
        <f>Operations!Y690*Operations!Y681*(1-Operations!Y699)</f>
        <v/>
      </c>
      <c r="Z709" s="20">
        <f>Operations!Z690*Operations!Z681*(1-Operations!Z699)</f>
        <v/>
      </c>
      <c r="AA709" s="20">
        <f>Operations!AA690*Operations!AA681*(1-Operations!AA699)</f>
        <v/>
      </c>
      <c r="AB709" s="20">
        <f>Operations!AB690*Operations!AB681*(1-Operations!AB699)</f>
        <v/>
      </c>
      <c r="AC709" s="20">
        <f>Operations!AC690*Operations!AC681*(1-Operations!AC699)</f>
        <v/>
      </c>
      <c r="AD709" s="20">
        <f>Operations!AD690*Operations!AD681*(1-Operations!AD699)</f>
        <v/>
      </c>
      <c r="AE709" s="20">
        <f>Operations!AE690*Operations!AE681*(1-Operations!AE699)</f>
        <v/>
      </c>
      <c r="AF709" s="20">
        <f>Operations!AF690*Operations!AF681*(1-Operations!AF699)</f>
        <v/>
      </c>
      <c r="AG709" s="20">
        <f>Operations!AG690*Operations!AG681*(1-Operations!AG699)</f>
        <v/>
      </c>
      <c r="AH709" s="20">
        <f>Operations!AH690*Operations!AH681*(1-Operations!AH699)</f>
        <v/>
      </c>
      <c r="AI709" s="20">
        <f>Operations!AI690*Operations!AI681*(1-Operations!AI699)</f>
        <v/>
      </c>
      <c r="AJ709" s="20">
        <f>Operations!AJ690*Operations!AJ681*(1-Operations!AJ699)</f>
        <v/>
      </c>
      <c r="AK709" s="20">
        <f>Operations!AK690*Operations!AK681*(1-Operations!AK699)</f>
        <v/>
      </c>
      <c r="AL709" s="20">
        <f>Operations!AL690*Operations!AL681*(1-Operations!AL699)</f>
        <v/>
      </c>
      <c r="AM709" s="20">
        <f>Operations!AM690*Operations!AM681*(1-Operations!AM699)</f>
        <v/>
      </c>
      <c r="AN709" s="20">
        <f>Operations!AN690*Operations!AN681*(1-Operations!AN699)</f>
        <v/>
      </c>
      <c r="AO709" s="20">
        <f>Operations!AO690*Operations!AO681*(1-Operations!AO699)</f>
        <v/>
      </c>
      <c r="AP709" s="20">
        <f>Operations!AP690*Operations!AP681*(1-Operations!AP699)</f>
        <v/>
      </c>
      <c r="AQ709" s="20">
        <f>Operations!AQ690*Operations!AQ681*(1-Operations!AQ699)</f>
        <v/>
      </c>
      <c r="AR709" s="20">
        <f>Operations!AR690*Operations!AR681*(1-Operations!AR699)</f>
        <v/>
      </c>
      <c r="AS709" s="20">
        <f>Operations!AS690*Operations!AS681*(1-Operations!AS699)</f>
        <v/>
      </c>
      <c r="AT709" s="20">
        <f>Operations!AT690*Operations!AT681*(1-Operations!AT699)</f>
        <v/>
      </c>
      <c r="AU709" s="20">
        <f>Operations!AU690*Operations!AU681*(1-Operations!AU699)</f>
        <v/>
      </c>
    </row>
    <row r="710">
      <c r="D710" t="inlineStr">
        <is>
          <t>R7 Mesa-share revenue</t>
        </is>
      </c>
      <c r="E710" t="inlineStr">
        <is>
          <t>USD m</t>
        </is>
      </c>
      <c r="J710" s="20">
        <f>Operations!J689*Operations!J681*(1-Operations!J699)</f>
        <v/>
      </c>
      <c r="K710" s="20">
        <f>Operations!K689*Operations!K681*(1-Operations!K699)</f>
        <v/>
      </c>
      <c r="L710" s="20">
        <f>Operations!L689*Operations!L681*(1-Operations!L699)</f>
        <v/>
      </c>
      <c r="M710" s="20">
        <f>Operations!M689*Operations!M681*(1-Operations!M699)</f>
        <v/>
      </c>
      <c r="N710" s="20">
        <f>Operations!N689*Operations!N681*(1-Operations!N699)</f>
        <v/>
      </c>
      <c r="O710" s="20">
        <f>Operations!O689*Operations!O681*(1-Operations!O699)</f>
        <v/>
      </c>
      <c r="P710" s="20">
        <f>Operations!P689*Operations!P681*(1-Operations!P699)</f>
        <v/>
      </c>
      <c r="Q710" s="20">
        <f>Operations!Q689*Operations!Q681*(1-Operations!Q699)</f>
        <v/>
      </c>
      <c r="R710" s="20">
        <f>Operations!R689*Operations!R681*(1-Operations!R699)</f>
        <v/>
      </c>
      <c r="S710" s="20">
        <f>Operations!S689*Operations!S681*(1-Operations!S699)</f>
        <v/>
      </c>
      <c r="T710" s="20">
        <f>Operations!T689*Operations!T681*(1-Operations!T699)</f>
        <v/>
      </c>
      <c r="U710" s="20">
        <f>Operations!U689*Operations!U681*(1-Operations!U699)</f>
        <v/>
      </c>
      <c r="V710" s="20">
        <f>Operations!V689*Operations!V681*(1-Operations!V699)</f>
        <v/>
      </c>
      <c r="W710" s="20">
        <f>Operations!W689*Operations!W681*(1-Operations!W699)</f>
        <v/>
      </c>
      <c r="X710" s="20">
        <f>Operations!X689*Operations!X681*(1-Operations!X699)</f>
        <v/>
      </c>
      <c r="Y710" s="20">
        <f>Operations!Y689*Operations!Y681*(1-Operations!Y699)</f>
        <v/>
      </c>
      <c r="Z710" s="20">
        <f>Operations!Z689*Operations!Z681*(1-Operations!Z699)</f>
        <v/>
      </c>
      <c r="AA710" s="20">
        <f>Operations!AA689*Operations!AA681*(1-Operations!AA699)</f>
        <v/>
      </c>
      <c r="AB710" s="20">
        <f>Operations!AB689*Operations!AB681*(1-Operations!AB699)</f>
        <v/>
      </c>
      <c r="AC710" s="20">
        <f>Operations!AC689*Operations!AC681*(1-Operations!AC699)</f>
        <v/>
      </c>
      <c r="AD710" s="20">
        <f>Operations!AD689*Operations!AD681*(1-Operations!AD699)</f>
        <v/>
      </c>
      <c r="AE710" s="20">
        <f>Operations!AE689*Operations!AE681*(1-Operations!AE699)</f>
        <v/>
      </c>
      <c r="AF710" s="20">
        <f>Operations!AF689*Operations!AF681*(1-Operations!AF699)</f>
        <v/>
      </c>
      <c r="AG710" s="20">
        <f>Operations!AG689*Operations!AG681*(1-Operations!AG699)</f>
        <v/>
      </c>
      <c r="AH710" s="20">
        <f>Operations!AH689*Operations!AH681*(1-Operations!AH699)</f>
        <v/>
      </c>
      <c r="AI710" s="20">
        <f>Operations!AI689*Operations!AI681*(1-Operations!AI699)</f>
        <v/>
      </c>
      <c r="AJ710" s="20">
        <f>Operations!AJ689*Operations!AJ681*(1-Operations!AJ699)</f>
        <v/>
      </c>
      <c r="AK710" s="20">
        <f>Operations!AK689*Operations!AK681*(1-Operations!AK699)</f>
        <v/>
      </c>
      <c r="AL710" s="20">
        <f>Operations!AL689*Operations!AL681*(1-Operations!AL699)</f>
        <v/>
      </c>
      <c r="AM710" s="20">
        <f>Operations!AM689*Operations!AM681*(1-Operations!AM699)</f>
        <v/>
      </c>
      <c r="AN710" s="20">
        <f>Operations!AN689*Operations!AN681*(1-Operations!AN699)</f>
        <v/>
      </c>
      <c r="AO710" s="20">
        <f>Operations!AO689*Operations!AO681*(1-Operations!AO699)</f>
        <v/>
      </c>
      <c r="AP710" s="20">
        <f>Operations!AP689*Operations!AP681*(1-Operations!AP699)</f>
        <v/>
      </c>
      <c r="AQ710" s="20">
        <f>Operations!AQ689*Operations!AQ681*(1-Operations!AQ699)</f>
        <v/>
      </c>
      <c r="AR710" s="20">
        <f>Operations!AR689*Operations!AR681*(1-Operations!AR699)</f>
        <v/>
      </c>
      <c r="AS710" s="20">
        <f>Operations!AS689*Operations!AS681*(1-Operations!AS699)</f>
        <v/>
      </c>
      <c r="AT710" s="20">
        <f>Operations!AT689*Operations!AT681*(1-Operations!AT699)</f>
        <v/>
      </c>
      <c r="AU710" s="20">
        <f>Operations!AU689*Operations!AU681*(1-Operations!AU699)</f>
        <v/>
      </c>
    </row>
    <row r="711">
      <c r="D711" s="19" t="inlineStr">
        <is>
          <t>R8 Barlow Gap Solar (single-axis tracking PV)</t>
        </is>
      </c>
    </row>
    <row r="712">
      <c r="D712" t="inlineStr">
        <is>
          <t>R8 operating fraction</t>
        </is>
      </c>
      <c r="E712" t="inlineStr">
        <is>
          <t>fraction</t>
        </is>
      </c>
      <c r="J712" s="14">
        <f>MAX(0,MIN(Inputs!$F$169,Time!J$6)-MAX(Inputs!$F$168,Time!J$5))/Time!J$7</f>
        <v/>
      </c>
      <c r="K712" s="14">
        <f>MAX(0,MIN(Inputs!$F$169,Time!K$6)-MAX(Inputs!$F$168,Time!K$5))/Time!K$7</f>
        <v/>
      </c>
      <c r="L712" s="14">
        <f>MAX(0,MIN(Inputs!$F$169,Time!L$6)-MAX(Inputs!$F$168,Time!L$5))/Time!L$7</f>
        <v/>
      </c>
      <c r="M712" s="14">
        <f>MAX(0,MIN(Inputs!$F$169,Time!M$6)-MAX(Inputs!$F$168,Time!M$5))/Time!M$7</f>
        <v/>
      </c>
      <c r="N712" s="14">
        <f>MAX(0,MIN(Inputs!$F$169,Time!N$6)-MAX(Inputs!$F$168,Time!N$5))/Time!N$7</f>
        <v/>
      </c>
      <c r="O712" s="14">
        <f>MAX(0,MIN(Inputs!$F$169,Time!O$6)-MAX(Inputs!$F$168,Time!O$5))/Time!O$7</f>
        <v/>
      </c>
      <c r="P712" s="14">
        <f>MAX(0,MIN(Inputs!$F$169,Time!P$6)-MAX(Inputs!$F$168,Time!P$5))/Time!P$7</f>
        <v/>
      </c>
      <c r="Q712" s="14">
        <f>MAX(0,MIN(Inputs!$F$169,Time!Q$6)-MAX(Inputs!$F$168,Time!Q$5))/Time!Q$7</f>
        <v/>
      </c>
      <c r="R712" s="14">
        <f>MAX(0,MIN(Inputs!$F$169,Time!R$6)-MAX(Inputs!$F$168,Time!R$5))/Time!R$7</f>
        <v/>
      </c>
      <c r="S712" s="14">
        <f>MAX(0,MIN(Inputs!$F$169,Time!S$6)-MAX(Inputs!$F$168,Time!S$5))/Time!S$7</f>
        <v/>
      </c>
      <c r="T712" s="14">
        <f>MAX(0,MIN(Inputs!$F$169,Time!T$6)-MAX(Inputs!$F$168,Time!T$5))/Time!T$7</f>
        <v/>
      </c>
      <c r="U712" s="14">
        <f>MAX(0,MIN(Inputs!$F$169,Time!U$6)-MAX(Inputs!$F$168,Time!U$5))/Time!U$7</f>
        <v/>
      </c>
      <c r="V712" s="14">
        <f>MAX(0,MIN(Inputs!$F$169,Time!V$6)-MAX(Inputs!$F$168,Time!V$5))/Time!V$7</f>
        <v/>
      </c>
      <c r="W712" s="14">
        <f>MAX(0,MIN(Inputs!$F$169,Time!W$6)-MAX(Inputs!$F$168,Time!W$5))/Time!W$7</f>
        <v/>
      </c>
      <c r="X712" s="14">
        <f>MAX(0,MIN(Inputs!$F$169,Time!X$6)-MAX(Inputs!$F$168,Time!X$5))/Time!X$7</f>
        <v/>
      </c>
      <c r="Y712" s="14">
        <f>MAX(0,MIN(Inputs!$F$169,Time!Y$6)-MAX(Inputs!$F$168,Time!Y$5))/Time!Y$7</f>
        <v/>
      </c>
      <c r="Z712" s="14">
        <f>MAX(0,MIN(Inputs!$F$169,Time!Z$6)-MAX(Inputs!$F$168,Time!Z$5))/Time!Z$7</f>
        <v/>
      </c>
      <c r="AA712" s="14">
        <f>MAX(0,MIN(Inputs!$F$169,Time!AA$6)-MAX(Inputs!$F$168,Time!AA$5))/Time!AA$7</f>
        <v/>
      </c>
      <c r="AB712" s="14">
        <f>MAX(0,MIN(Inputs!$F$169,Time!AB$6)-MAX(Inputs!$F$168,Time!AB$5))/Time!AB$7</f>
        <v/>
      </c>
      <c r="AC712" s="14">
        <f>MAX(0,MIN(Inputs!$F$169,Time!AC$6)-MAX(Inputs!$F$168,Time!AC$5))/Time!AC$7</f>
        <v/>
      </c>
      <c r="AD712" s="14">
        <f>MAX(0,MIN(Inputs!$F$169,Time!AD$6)-MAX(Inputs!$F$168,Time!AD$5))/Time!AD$7</f>
        <v/>
      </c>
      <c r="AE712" s="14">
        <f>MAX(0,MIN(Inputs!$F$169,Time!AE$6)-MAX(Inputs!$F$168,Time!AE$5))/Time!AE$7</f>
        <v/>
      </c>
      <c r="AF712" s="14">
        <f>MAX(0,MIN(Inputs!$F$169,Time!AF$6)-MAX(Inputs!$F$168,Time!AF$5))/Time!AF$7</f>
        <v/>
      </c>
      <c r="AG712" s="14">
        <f>MAX(0,MIN(Inputs!$F$169,Time!AG$6)-MAX(Inputs!$F$168,Time!AG$5))/Time!AG$7</f>
        <v/>
      </c>
      <c r="AH712" s="14">
        <f>MAX(0,MIN(Inputs!$F$169,Time!AH$6)-MAX(Inputs!$F$168,Time!AH$5))/Time!AH$7</f>
        <v/>
      </c>
      <c r="AI712" s="14">
        <f>MAX(0,MIN(Inputs!$F$169,Time!AI$6)-MAX(Inputs!$F$168,Time!AI$5))/Time!AI$7</f>
        <v/>
      </c>
      <c r="AJ712" s="14">
        <f>MAX(0,MIN(Inputs!$F$169,Time!AJ$6)-MAX(Inputs!$F$168,Time!AJ$5))/Time!AJ$7</f>
        <v/>
      </c>
      <c r="AK712" s="14">
        <f>MAX(0,MIN(Inputs!$F$169,Time!AK$6)-MAX(Inputs!$F$168,Time!AK$5))/Time!AK$7</f>
        <v/>
      </c>
      <c r="AL712" s="14">
        <f>MAX(0,MIN(Inputs!$F$169,Time!AL$6)-MAX(Inputs!$F$168,Time!AL$5))/Time!AL$7</f>
        <v/>
      </c>
      <c r="AM712" s="14">
        <f>MAX(0,MIN(Inputs!$F$169,Time!AM$6)-MAX(Inputs!$F$168,Time!AM$5))/Time!AM$7</f>
        <v/>
      </c>
      <c r="AN712" s="14">
        <f>MAX(0,MIN(Inputs!$F$169,Time!AN$6)-MAX(Inputs!$F$168,Time!AN$5))/Time!AN$7</f>
        <v/>
      </c>
      <c r="AO712" s="14">
        <f>MAX(0,MIN(Inputs!$F$169,Time!AO$6)-MAX(Inputs!$F$168,Time!AO$5))/Time!AO$7</f>
        <v/>
      </c>
      <c r="AP712" s="14">
        <f>MAX(0,MIN(Inputs!$F$169,Time!AP$6)-MAX(Inputs!$F$168,Time!AP$5))/Time!AP$7</f>
        <v/>
      </c>
      <c r="AQ712" s="14">
        <f>MAX(0,MIN(Inputs!$F$169,Time!AQ$6)-MAX(Inputs!$F$168,Time!AQ$5))/Time!AQ$7</f>
        <v/>
      </c>
      <c r="AR712" s="14">
        <f>MAX(0,MIN(Inputs!$F$169,Time!AR$6)-MAX(Inputs!$F$168,Time!AR$5))/Time!AR$7</f>
        <v/>
      </c>
      <c r="AS712" s="14">
        <f>MAX(0,MIN(Inputs!$F$169,Time!AS$6)-MAX(Inputs!$F$168,Time!AS$5))/Time!AS$7</f>
        <v/>
      </c>
      <c r="AT712" s="14">
        <f>MAX(0,MIN(Inputs!$F$169,Time!AT$6)-MAX(Inputs!$F$168,Time!AT$5))/Time!AT$7</f>
        <v/>
      </c>
      <c r="AU712" s="14">
        <f>MAX(0,MIN(Inputs!$F$169,Time!AU$6)-MAX(Inputs!$F$168,Time!AU$5))/Time!AU$7</f>
        <v/>
      </c>
    </row>
    <row r="713">
      <c r="D713" t="inlineStr">
        <is>
          <t>R8 owned fraction</t>
        </is>
      </c>
      <c r="E713" t="inlineStr">
        <is>
          <t>fraction</t>
        </is>
      </c>
      <c r="J713" s="14">
        <f>MAX(0,MIN(Inputs!$F$169,Time!J$6)-MAX(MAX(Inputs!$F$170,Inputs!$F$168),Time!J$5))/Time!J$7</f>
        <v/>
      </c>
      <c r="K713" s="14">
        <f>MAX(0,MIN(Inputs!$F$169,Time!K$6)-MAX(MAX(Inputs!$F$170,Inputs!$F$168),Time!K$5))/Time!K$7</f>
        <v/>
      </c>
      <c r="L713" s="14">
        <f>MAX(0,MIN(Inputs!$F$169,Time!L$6)-MAX(MAX(Inputs!$F$170,Inputs!$F$168),Time!L$5))/Time!L$7</f>
        <v/>
      </c>
      <c r="M713" s="14">
        <f>MAX(0,MIN(Inputs!$F$169,Time!M$6)-MAX(MAX(Inputs!$F$170,Inputs!$F$168),Time!M$5))/Time!M$7</f>
        <v/>
      </c>
      <c r="N713" s="14">
        <f>MAX(0,MIN(Inputs!$F$169,Time!N$6)-MAX(MAX(Inputs!$F$170,Inputs!$F$168),Time!N$5))/Time!N$7</f>
        <v/>
      </c>
      <c r="O713" s="14">
        <f>MAX(0,MIN(Inputs!$F$169,Time!O$6)-MAX(MAX(Inputs!$F$170,Inputs!$F$168),Time!O$5))/Time!O$7</f>
        <v/>
      </c>
      <c r="P713" s="14">
        <f>MAX(0,MIN(Inputs!$F$169,Time!P$6)-MAX(MAX(Inputs!$F$170,Inputs!$F$168),Time!P$5))/Time!P$7</f>
        <v/>
      </c>
      <c r="Q713" s="14">
        <f>MAX(0,MIN(Inputs!$F$169,Time!Q$6)-MAX(MAX(Inputs!$F$170,Inputs!$F$168),Time!Q$5))/Time!Q$7</f>
        <v/>
      </c>
      <c r="R713" s="14">
        <f>MAX(0,MIN(Inputs!$F$169,Time!R$6)-MAX(MAX(Inputs!$F$170,Inputs!$F$168),Time!R$5))/Time!R$7</f>
        <v/>
      </c>
      <c r="S713" s="14">
        <f>MAX(0,MIN(Inputs!$F$169,Time!S$6)-MAX(MAX(Inputs!$F$170,Inputs!$F$168),Time!S$5))/Time!S$7</f>
        <v/>
      </c>
      <c r="T713" s="14">
        <f>MAX(0,MIN(Inputs!$F$169,Time!T$6)-MAX(MAX(Inputs!$F$170,Inputs!$F$168),Time!T$5))/Time!T$7</f>
        <v/>
      </c>
      <c r="U713" s="14">
        <f>MAX(0,MIN(Inputs!$F$169,Time!U$6)-MAX(MAX(Inputs!$F$170,Inputs!$F$168),Time!U$5))/Time!U$7</f>
        <v/>
      </c>
      <c r="V713" s="14">
        <f>MAX(0,MIN(Inputs!$F$169,Time!V$6)-MAX(MAX(Inputs!$F$170,Inputs!$F$168),Time!V$5))/Time!V$7</f>
        <v/>
      </c>
      <c r="W713" s="14">
        <f>MAX(0,MIN(Inputs!$F$169,Time!W$6)-MAX(MAX(Inputs!$F$170,Inputs!$F$168),Time!W$5))/Time!W$7</f>
        <v/>
      </c>
      <c r="X713" s="14">
        <f>MAX(0,MIN(Inputs!$F$169,Time!X$6)-MAX(MAX(Inputs!$F$170,Inputs!$F$168),Time!X$5))/Time!X$7</f>
        <v/>
      </c>
      <c r="Y713" s="14">
        <f>MAX(0,MIN(Inputs!$F$169,Time!Y$6)-MAX(MAX(Inputs!$F$170,Inputs!$F$168),Time!Y$5))/Time!Y$7</f>
        <v/>
      </c>
      <c r="Z713" s="14">
        <f>MAX(0,MIN(Inputs!$F$169,Time!Z$6)-MAX(MAX(Inputs!$F$170,Inputs!$F$168),Time!Z$5))/Time!Z$7</f>
        <v/>
      </c>
      <c r="AA713" s="14">
        <f>MAX(0,MIN(Inputs!$F$169,Time!AA$6)-MAX(MAX(Inputs!$F$170,Inputs!$F$168),Time!AA$5))/Time!AA$7</f>
        <v/>
      </c>
      <c r="AB713" s="14">
        <f>MAX(0,MIN(Inputs!$F$169,Time!AB$6)-MAX(MAX(Inputs!$F$170,Inputs!$F$168),Time!AB$5))/Time!AB$7</f>
        <v/>
      </c>
      <c r="AC713" s="14">
        <f>MAX(0,MIN(Inputs!$F$169,Time!AC$6)-MAX(MAX(Inputs!$F$170,Inputs!$F$168),Time!AC$5))/Time!AC$7</f>
        <v/>
      </c>
      <c r="AD713" s="14">
        <f>MAX(0,MIN(Inputs!$F$169,Time!AD$6)-MAX(MAX(Inputs!$F$170,Inputs!$F$168),Time!AD$5))/Time!AD$7</f>
        <v/>
      </c>
      <c r="AE713" s="14">
        <f>MAX(0,MIN(Inputs!$F$169,Time!AE$6)-MAX(MAX(Inputs!$F$170,Inputs!$F$168),Time!AE$5))/Time!AE$7</f>
        <v/>
      </c>
      <c r="AF713" s="14">
        <f>MAX(0,MIN(Inputs!$F$169,Time!AF$6)-MAX(MAX(Inputs!$F$170,Inputs!$F$168),Time!AF$5))/Time!AF$7</f>
        <v/>
      </c>
      <c r="AG713" s="14">
        <f>MAX(0,MIN(Inputs!$F$169,Time!AG$6)-MAX(MAX(Inputs!$F$170,Inputs!$F$168),Time!AG$5))/Time!AG$7</f>
        <v/>
      </c>
      <c r="AH713" s="14">
        <f>MAX(0,MIN(Inputs!$F$169,Time!AH$6)-MAX(MAX(Inputs!$F$170,Inputs!$F$168),Time!AH$5))/Time!AH$7</f>
        <v/>
      </c>
      <c r="AI713" s="14">
        <f>MAX(0,MIN(Inputs!$F$169,Time!AI$6)-MAX(MAX(Inputs!$F$170,Inputs!$F$168),Time!AI$5))/Time!AI$7</f>
        <v/>
      </c>
      <c r="AJ713" s="14">
        <f>MAX(0,MIN(Inputs!$F$169,Time!AJ$6)-MAX(MAX(Inputs!$F$170,Inputs!$F$168),Time!AJ$5))/Time!AJ$7</f>
        <v/>
      </c>
      <c r="AK713" s="14">
        <f>MAX(0,MIN(Inputs!$F$169,Time!AK$6)-MAX(MAX(Inputs!$F$170,Inputs!$F$168),Time!AK$5))/Time!AK$7</f>
        <v/>
      </c>
      <c r="AL713" s="14">
        <f>MAX(0,MIN(Inputs!$F$169,Time!AL$6)-MAX(MAX(Inputs!$F$170,Inputs!$F$168),Time!AL$5))/Time!AL$7</f>
        <v/>
      </c>
      <c r="AM713" s="14">
        <f>MAX(0,MIN(Inputs!$F$169,Time!AM$6)-MAX(MAX(Inputs!$F$170,Inputs!$F$168),Time!AM$5))/Time!AM$7</f>
        <v/>
      </c>
      <c r="AN713" s="14">
        <f>MAX(0,MIN(Inputs!$F$169,Time!AN$6)-MAX(MAX(Inputs!$F$170,Inputs!$F$168),Time!AN$5))/Time!AN$7</f>
        <v/>
      </c>
      <c r="AO713" s="14">
        <f>MAX(0,MIN(Inputs!$F$169,Time!AO$6)-MAX(MAX(Inputs!$F$170,Inputs!$F$168),Time!AO$5))/Time!AO$7</f>
        <v/>
      </c>
      <c r="AP713" s="14">
        <f>MAX(0,MIN(Inputs!$F$169,Time!AP$6)-MAX(MAX(Inputs!$F$170,Inputs!$F$168),Time!AP$5))/Time!AP$7</f>
        <v/>
      </c>
      <c r="AQ713" s="14">
        <f>MAX(0,MIN(Inputs!$F$169,Time!AQ$6)-MAX(MAX(Inputs!$F$170,Inputs!$F$168),Time!AQ$5))/Time!AQ$7</f>
        <v/>
      </c>
      <c r="AR713" s="14">
        <f>MAX(0,MIN(Inputs!$F$169,Time!AR$6)-MAX(MAX(Inputs!$F$170,Inputs!$F$168),Time!AR$5))/Time!AR$7</f>
        <v/>
      </c>
      <c r="AS713" s="14">
        <f>MAX(0,MIN(Inputs!$F$169,Time!AS$6)-MAX(MAX(Inputs!$F$170,Inputs!$F$168),Time!AS$5))/Time!AS$7</f>
        <v/>
      </c>
      <c r="AT713" s="14">
        <f>MAX(0,MIN(Inputs!$F$169,Time!AT$6)-MAX(MAX(Inputs!$F$170,Inputs!$F$168),Time!AT$5))/Time!AT$7</f>
        <v/>
      </c>
      <c r="AU713" s="14">
        <f>MAX(0,MIN(Inputs!$F$169,Time!AU$6)-MAX(MAX(Inputs!$F$170,Inputs!$F$168),Time!AU$5))/Time!AU$7</f>
        <v/>
      </c>
    </row>
    <row r="714">
      <c r="D714" t="inlineStr">
        <is>
          <t>R8 owned share of operating period</t>
        </is>
      </c>
      <c r="E714" t="inlineStr">
        <is>
          <t>fraction</t>
        </is>
      </c>
      <c r="J714" s="14">
        <f>IF(Operations!J712&gt;0,Operations!J713/Operations!J712,0)</f>
        <v/>
      </c>
      <c r="K714" s="14">
        <f>IF(Operations!K712&gt;0,Operations!K713/Operations!K712,0)</f>
        <v/>
      </c>
      <c r="L714" s="14">
        <f>IF(Operations!L712&gt;0,Operations!L713/Operations!L712,0)</f>
        <v/>
      </c>
      <c r="M714" s="14">
        <f>IF(Operations!M712&gt;0,Operations!M713/Operations!M712,0)</f>
        <v/>
      </c>
      <c r="N714" s="14">
        <f>IF(Operations!N712&gt;0,Operations!N713/Operations!N712,0)</f>
        <v/>
      </c>
      <c r="O714" s="14">
        <f>IF(Operations!O712&gt;0,Operations!O713/Operations!O712,0)</f>
        <v/>
      </c>
      <c r="P714" s="14">
        <f>IF(Operations!P712&gt;0,Operations!P713/Operations!P712,0)</f>
        <v/>
      </c>
      <c r="Q714" s="14">
        <f>IF(Operations!Q712&gt;0,Operations!Q713/Operations!Q712,0)</f>
        <v/>
      </c>
      <c r="R714" s="14">
        <f>IF(Operations!R712&gt;0,Operations!R713/Operations!R712,0)</f>
        <v/>
      </c>
      <c r="S714" s="14">
        <f>IF(Operations!S712&gt;0,Operations!S713/Operations!S712,0)</f>
        <v/>
      </c>
      <c r="T714" s="14">
        <f>IF(Operations!T712&gt;0,Operations!T713/Operations!T712,0)</f>
        <v/>
      </c>
      <c r="U714" s="14">
        <f>IF(Operations!U712&gt;0,Operations!U713/Operations!U712,0)</f>
        <v/>
      </c>
      <c r="V714" s="14">
        <f>IF(Operations!V712&gt;0,Operations!V713/Operations!V712,0)</f>
        <v/>
      </c>
      <c r="W714" s="14">
        <f>IF(Operations!W712&gt;0,Operations!W713/Operations!W712,0)</f>
        <v/>
      </c>
      <c r="X714" s="14">
        <f>IF(Operations!X712&gt;0,Operations!X713/Operations!X712,0)</f>
        <v/>
      </c>
      <c r="Y714" s="14">
        <f>IF(Operations!Y712&gt;0,Operations!Y713/Operations!Y712,0)</f>
        <v/>
      </c>
      <c r="Z714" s="14">
        <f>IF(Operations!Z712&gt;0,Operations!Z713/Operations!Z712,0)</f>
        <v/>
      </c>
      <c r="AA714" s="14">
        <f>IF(Operations!AA712&gt;0,Operations!AA713/Operations!AA712,0)</f>
        <v/>
      </c>
      <c r="AB714" s="14">
        <f>IF(Operations!AB712&gt;0,Operations!AB713/Operations!AB712,0)</f>
        <v/>
      </c>
      <c r="AC714" s="14">
        <f>IF(Operations!AC712&gt;0,Operations!AC713/Operations!AC712,0)</f>
        <v/>
      </c>
      <c r="AD714" s="14">
        <f>IF(Operations!AD712&gt;0,Operations!AD713/Operations!AD712,0)</f>
        <v/>
      </c>
      <c r="AE714" s="14">
        <f>IF(Operations!AE712&gt;0,Operations!AE713/Operations!AE712,0)</f>
        <v/>
      </c>
      <c r="AF714" s="14">
        <f>IF(Operations!AF712&gt;0,Operations!AF713/Operations!AF712,0)</f>
        <v/>
      </c>
      <c r="AG714" s="14">
        <f>IF(Operations!AG712&gt;0,Operations!AG713/Operations!AG712,0)</f>
        <v/>
      </c>
      <c r="AH714" s="14">
        <f>IF(Operations!AH712&gt;0,Operations!AH713/Operations!AH712,0)</f>
        <v/>
      </c>
      <c r="AI714" s="14">
        <f>IF(Operations!AI712&gt;0,Operations!AI713/Operations!AI712,0)</f>
        <v/>
      </c>
      <c r="AJ714" s="14">
        <f>IF(Operations!AJ712&gt;0,Operations!AJ713/Operations!AJ712,0)</f>
        <v/>
      </c>
      <c r="AK714" s="14">
        <f>IF(Operations!AK712&gt;0,Operations!AK713/Operations!AK712,0)</f>
        <v/>
      </c>
      <c r="AL714" s="14">
        <f>IF(Operations!AL712&gt;0,Operations!AL713/Operations!AL712,0)</f>
        <v/>
      </c>
      <c r="AM714" s="14">
        <f>IF(Operations!AM712&gt;0,Operations!AM713/Operations!AM712,0)</f>
        <v/>
      </c>
      <c r="AN714" s="14">
        <f>IF(Operations!AN712&gt;0,Operations!AN713/Operations!AN712,0)</f>
        <v/>
      </c>
      <c r="AO714" s="14">
        <f>IF(Operations!AO712&gt;0,Operations!AO713/Operations!AO712,0)</f>
        <v/>
      </c>
      <c r="AP714" s="14">
        <f>IF(Operations!AP712&gt;0,Operations!AP713/Operations!AP712,0)</f>
        <v/>
      </c>
      <c r="AQ714" s="14">
        <f>IF(Operations!AQ712&gt;0,Operations!AQ713/Operations!AQ712,0)</f>
        <v/>
      </c>
      <c r="AR714" s="14">
        <f>IF(Operations!AR712&gt;0,Operations!AR713/Operations!AR712,0)</f>
        <v/>
      </c>
      <c r="AS714" s="14">
        <f>IF(Operations!AS712&gt;0,Operations!AS713/Operations!AS712,0)</f>
        <v/>
      </c>
      <c r="AT714" s="14">
        <f>IF(Operations!AT712&gt;0,Operations!AT713/Operations!AT712,0)</f>
        <v/>
      </c>
      <c r="AU714" s="14">
        <f>IF(Operations!AU712&gt;0,Operations!AU713/Operations!AU712,0)</f>
        <v/>
      </c>
    </row>
    <row r="715">
      <c r="D715" t="inlineStr">
        <is>
          <t>R8 own hub ATC</t>
        </is>
      </c>
      <c r="E715" t="inlineStr">
        <is>
          <t>USD/MWh</t>
        </is>
      </c>
      <c r="J715" s="18">
        <f>Operations!J425</f>
        <v/>
      </c>
      <c r="K715" s="18">
        <f>Operations!K425</f>
        <v/>
      </c>
      <c r="L715" s="18">
        <f>Operations!L425</f>
        <v/>
      </c>
      <c r="M715" s="18">
        <f>Operations!M425</f>
        <v/>
      </c>
      <c r="N715" s="18">
        <f>Operations!N425</f>
        <v/>
      </c>
      <c r="O715" s="18">
        <f>Operations!O425</f>
        <v/>
      </c>
      <c r="P715" s="18">
        <f>Operations!P425</f>
        <v/>
      </c>
      <c r="Q715" s="18">
        <f>Operations!Q425</f>
        <v/>
      </c>
      <c r="R715" s="18">
        <f>Operations!R425</f>
        <v/>
      </c>
      <c r="S715" s="18">
        <f>Operations!S425</f>
        <v/>
      </c>
      <c r="T715" s="18">
        <f>Operations!T425</f>
        <v/>
      </c>
      <c r="U715" s="18">
        <f>Operations!U425</f>
        <v/>
      </c>
      <c r="V715" s="18">
        <f>Operations!V425</f>
        <v/>
      </c>
      <c r="W715" s="18">
        <f>Operations!W425</f>
        <v/>
      </c>
      <c r="X715" s="18">
        <f>Operations!X425</f>
        <v/>
      </c>
      <c r="Y715" s="18">
        <f>Operations!Y425</f>
        <v/>
      </c>
      <c r="Z715" s="18">
        <f>Operations!Z425</f>
        <v/>
      </c>
      <c r="AA715" s="18">
        <f>Operations!AA425</f>
        <v/>
      </c>
      <c r="AB715" s="18">
        <f>Operations!AB425</f>
        <v/>
      </c>
      <c r="AC715" s="18">
        <f>Operations!AC425</f>
        <v/>
      </c>
      <c r="AD715" s="18">
        <f>Operations!AD425</f>
        <v/>
      </c>
      <c r="AE715" s="18">
        <f>Operations!AE425</f>
        <v/>
      </c>
      <c r="AF715" s="18">
        <f>Operations!AF425</f>
        <v/>
      </c>
      <c r="AG715" s="18">
        <f>Operations!AG425</f>
        <v/>
      </c>
      <c r="AH715" s="18">
        <f>Operations!AH425</f>
        <v/>
      </c>
      <c r="AI715" s="18">
        <f>Operations!AI425</f>
        <v/>
      </c>
      <c r="AJ715" s="18">
        <f>Operations!AJ425</f>
        <v/>
      </c>
      <c r="AK715" s="18">
        <f>Operations!AK425</f>
        <v/>
      </c>
      <c r="AL715" s="18">
        <f>Operations!AL425</f>
        <v/>
      </c>
      <c r="AM715" s="18">
        <f>Operations!AM425</f>
        <v/>
      </c>
      <c r="AN715" s="18">
        <f>Operations!AN425</f>
        <v/>
      </c>
      <c r="AO715" s="18">
        <f>Operations!AO425</f>
        <v/>
      </c>
      <c r="AP715" s="18">
        <f>Operations!AP425</f>
        <v/>
      </c>
      <c r="AQ715" s="18">
        <f>Operations!AQ425</f>
        <v/>
      </c>
      <c r="AR715" s="18">
        <f>Operations!AR425</f>
        <v/>
      </c>
      <c r="AS715" s="18">
        <f>Operations!AS425</f>
        <v/>
      </c>
      <c r="AT715" s="18">
        <f>Operations!AT425</f>
        <v/>
      </c>
      <c r="AU715" s="18">
        <f>Operations!AU425</f>
        <v/>
      </c>
    </row>
    <row r="716">
      <c r="D716" t="inlineStr">
        <is>
          <t>R8 volume factor</t>
        </is>
      </c>
      <c r="E716" t="inlineStr">
        <is>
          <t>factor</t>
        </is>
      </c>
      <c r="J716" s="14">
        <f>CHOOSE(Operations!$F$418,1,Inputs!$F$174/100,Inputs!$F$175/100,Operations!$F$42/100)</f>
        <v/>
      </c>
      <c r="K716" s="14">
        <f>CHOOSE(Operations!$F$418,1,Inputs!$F$174/100,Inputs!$F$175/100,Operations!$F$42/100)</f>
        <v/>
      </c>
      <c r="L716" s="14">
        <f>CHOOSE(Operations!$F$418,1,Inputs!$F$174/100,Inputs!$F$175/100,Operations!$F$42/100)</f>
        <v/>
      </c>
      <c r="M716" s="14">
        <f>CHOOSE(Operations!$F$418,1,Inputs!$F$174/100,Inputs!$F$175/100,Operations!$F$42/100)</f>
        <v/>
      </c>
      <c r="N716" s="14">
        <f>CHOOSE(Operations!$F$418,1,Inputs!$F$174/100,Inputs!$F$175/100,Operations!$F$42/100)</f>
        <v/>
      </c>
      <c r="O716" s="14">
        <f>CHOOSE(Operations!$F$418,1,Inputs!$F$174/100,Inputs!$F$175/100,Operations!$F$42/100)</f>
        <v/>
      </c>
      <c r="P716" s="14">
        <f>CHOOSE(Operations!$F$418,1,Inputs!$F$174/100,Inputs!$F$175/100,Operations!$F$42/100)</f>
        <v/>
      </c>
      <c r="Q716" s="14">
        <f>CHOOSE(Operations!$F$418,1,Inputs!$F$174/100,Inputs!$F$175/100,Operations!$F$42/100)</f>
        <v/>
      </c>
      <c r="R716" s="14">
        <f>CHOOSE(Operations!$F$418,1,Inputs!$F$174/100,Inputs!$F$175/100,Operations!$F$42/100)</f>
        <v/>
      </c>
      <c r="S716" s="14">
        <f>CHOOSE(Operations!$F$418,1,Inputs!$F$174/100,Inputs!$F$175/100,Operations!$F$42/100)</f>
        <v/>
      </c>
      <c r="T716" s="14">
        <f>CHOOSE(Operations!$F$418,1,Inputs!$F$174/100,Inputs!$F$175/100,Operations!$F$42/100)</f>
        <v/>
      </c>
      <c r="U716" s="14">
        <f>CHOOSE(Operations!$F$418,1,Inputs!$F$174/100,Inputs!$F$175/100,Operations!$F$42/100)</f>
        <v/>
      </c>
      <c r="V716" s="14">
        <f>CHOOSE(Operations!$F$418,1,Inputs!$F$174/100,Inputs!$F$175/100,Operations!$F$42/100)</f>
        <v/>
      </c>
      <c r="W716" s="14">
        <f>CHOOSE(Operations!$F$418,1,Inputs!$F$174/100,Inputs!$F$175/100,Operations!$F$42/100)</f>
        <v/>
      </c>
      <c r="X716" s="14">
        <f>CHOOSE(Operations!$F$418,1,Inputs!$F$174/100,Inputs!$F$175/100,Operations!$F$42/100)</f>
        <v/>
      </c>
      <c r="Y716" s="14">
        <f>CHOOSE(Operations!$F$418,1,Inputs!$F$174/100,Inputs!$F$175/100,Operations!$F$42/100)</f>
        <v/>
      </c>
      <c r="Z716" s="14">
        <f>CHOOSE(Operations!$F$418,1,Inputs!$F$174/100,Inputs!$F$175/100,Operations!$F$42/100)</f>
        <v/>
      </c>
      <c r="AA716" s="14">
        <f>CHOOSE(Operations!$F$418,1,Inputs!$F$174/100,Inputs!$F$175/100,Operations!$F$42/100)</f>
        <v/>
      </c>
      <c r="AB716" s="14">
        <f>CHOOSE(Operations!$F$418,1,Inputs!$F$174/100,Inputs!$F$175/100,Operations!$F$42/100)</f>
        <v/>
      </c>
      <c r="AC716" s="14">
        <f>CHOOSE(Operations!$F$418,1,Inputs!$F$174/100,Inputs!$F$175/100,Operations!$F$42/100)</f>
        <v/>
      </c>
      <c r="AD716" s="14">
        <f>CHOOSE(Operations!$F$418,1,Inputs!$F$174/100,Inputs!$F$175/100,Operations!$F$42/100)</f>
        <v/>
      </c>
      <c r="AE716" s="14">
        <f>CHOOSE(Operations!$F$418,1,Inputs!$F$174/100,Inputs!$F$175/100,Operations!$F$42/100)</f>
        <v/>
      </c>
      <c r="AF716" s="14">
        <f>CHOOSE(Operations!$F$418,1,Inputs!$F$174/100,Inputs!$F$175/100,Operations!$F$42/100)</f>
        <v/>
      </c>
      <c r="AG716" s="14">
        <f>CHOOSE(Operations!$F$418,1,Inputs!$F$174/100,Inputs!$F$175/100,Operations!$F$42/100)</f>
        <v/>
      </c>
      <c r="AH716" s="14">
        <f>CHOOSE(Operations!$F$418,1,Inputs!$F$174/100,Inputs!$F$175/100,Operations!$F$42/100)</f>
        <v/>
      </c>
      <c r="AI716" s="14">
        <f>CHOOSE(Operations!$F$418,1,Inputs!$F$174/100,Inputs!$F$175/100,Operations!$F$42/100)</f>
        <v/>
      </c>
      <c r="AJ716" s="14">
        <f>CHOOSE(Operations!$F$418,1,Inputs!$F$174/100,Inputs!$F$175/100,Operations!$F$42/100)</f>
        <v/>
      </c>
      <c r="AK716" s="14">
        <f>CHOOSE(Operations!$F$418,1,Inputs!$F$174/100,Inputs!$F$175/100,Operations!$F$42/100)</f>
        <v/>
      </c>
      <c r="AL716" s="14">
        <f>CHOOSE(Operations!$F$418,1,Inputs!$F$174/100,Inputs!$F$175/100,Operations!$F$42/100)</f>
        <v/>
      </c>
      <c r="AM716" s="14">
        <f>CHOOSE(Operations!$F$418,1,Inputs!$F$174/100,Inputs!$F$175/100,Operations!$F$42/100)</f>
        <v/>
      </c>
      <c r="AN716" s="14">
        <f>CHOOSE(Operations!$F$418,1,Inputs!$F$174/100,Inputs!$F$175/100,Operations!$F$42/100)</f>
        <v/>
      </c>
      <c r="AO716" s="14">
        <f>CHOOSE(Operations!$F$418,1,Inputs!$F$174/100,Inputs!$F$175/100,Operations!$F$42/100)</f>
        <v/>
      </c>
      <c r="AP716" s="14">
        <f>CHOOSE(Operations!$F$418,1,Inputs!$F$174/100,Inputs!$F$175/100,Operations!$F$42/100)</f>
        <v/>
      </c>
      <c r="AQ716" s="14">
        <f>CHOOSE(Operations!$F$418,1,Inputs!$F$174/100,Inputs!$F$175/100,Operations!$F$42/100)</f>
        <v/>
      </c>
      <c r="AR716" s="14">
        <f>CHOOSE(Operations!$F$418,1,Inputs!$F$174/100,Inputs!$F$175/100,Operations!$F$42/100)</f>
        <v/>
      </c>
      <c r="AS716" s="14">
        <f>CHOOSE(Operations!$F$418,1,Inputs!$F$174/100,Inputs!$F$175/100,Operations!$F$42/100)</f>
        <v/>
      </c>
      <c r="AT716" s="14">
        <f>CHOOSE(Operations!$F$418,1,Inputs!$F$174/100,Inputs!$F$175/100,Operations!$F$42/100)</f>
        <v/>
      </c>
      <c r="AU716" s="14">
        <f>CHOOSE(Operations!$F$418,1,Inputs!$F$174/100,Inputs!$F$175/100,Operations!$F$42/100)</f>
        <v/>
      </c>
    </row>
    <row r="717">
      <c r="D717" t="inlineStr">
        <is>
          <t>R8 degradation factor</t>
        </is>
      </c>
      <c r="E717" t="inlineStr">
        <is>
          <t>factor</t>
        </is>
      </c>
      <c r="J717" s="14">
        <f>(1-Inputs!$F$176/100)^MAX(0,Time!J$4-Inputs!$F$177)</f>
        <v/>
      </c>
      <c r="K717" s="14">
        <f>(1-Inputs!$F$176/100)^MAX(0,Time!K$4-Inputs!$F$177)</f>
        <v/>
      </c>
      <c r="L717" s="14">
        <f>(1-Inputs!$F$176/100)^MAX(0,Time!L$4-Inputs!$F$177)</f>
        <v/>
      </c>
      <c r="M717" s="14">
        <f>(1-Inputs!$F$176/100)^MAX(0,Time!M$4-Inputs!$F$177)</f>
        <v/>
      </c>
      <c r="N717" s="14">
        <f>(1-Inputs!$F$176/100)^MAX(0,Time!N$4-Inputs!$F$177)</f>
        <v/>
      </c>
      <c r="O717" s="14">
        <f>(1-Inputs!$F$176/100)^MAX(0,Time!O$4-Inputs!$F$177)</f>
        <v/>
      </c>
      <c r="P717" s="14">
        <f>(1-Inputs!$F$176/100)^MAX(0,Time!P$4-Inputs!$F$177)</f>
        <v/>
      </c>
      <c r="Q717" s="14">
        <f>(1-Inputs!$F$176/100)^MAX(0,Time!Q$4-Inputs!$F$177)</f>
        <v/>
      </c>
      <c r="R717" s="14">
        <f>(1-Inputs!$F$176/100)^MAX(0,Time!R$4-Inputs!$F$177)</f>
        <v/>
      </c>
      <c r="S717" s="14">
        <f>(1-Inputs!$F$176/100)^MAX(0,Time!S$4-Inputs!$F$177)</f>
        <v/>
      </c>
      <c r="T717" s="14">
        <f>(1-Inputs!$F$176/100)^MAX(0,Time!T$4-Inputs!$F$177)</f>
        <v/>
      </c>
      <c r="U717" s="14">
        <f>(1-Inputs!$F$176/100)^MAX(0,Time!U$4-Inputs!$F$177)</f>
        <v/>
      </c>
      <c r="V717" s="14">
        <f>(1-Inputs!$F$176/100)^MAX(0,Time!V$4-Inputs!$F$177)</f>
        <v/>
      </c>
      <c r="W717" s="14">
        <f>(1-Inputs!$F$176/100)^MAX(0,Time!W$4-Inputs!$F$177)</f>
        <v/>
      </c>
      <c r="X717" s="14">
        <f>(1-Inputs!$F$176/100)^MAX(0,Time!X$4-Inputs!$F$177)</f>
        <v/>
      </c>
      <c r="Y717" s="14">
        <f>(1-Inputs!$F$176/100)^MAX(0,Time!Y$4-Inputs!$F$177)</f>
        <v/>
      </c>
      <c r="Z717" s="14">
        <f>(1-Inputs!$F$176/100)^MAX(0,Time!Z$4-Inputs!$F$177)</f>
        <v/>
      </c>
      <c r="AA717" s="14">
        <f>(1-Inputs!$F$176/100)^MAX(0,Time!AA$4-Inputs!$F$177)</f>
        <v/>
      </c>
      <c r="AB717" s="14">
        <f>(1-Inputs!$F$176/100)^MAX(0,Time!AB$4-Inputs!$F$177)</f>
        <v/>
      </c>
      <c r="AC717" s="14">
        <f>(1-Inputs!$F$176/100)^MAX(0,Time!AC$4-Inputs!$F$177)</f>
        <v/>
      </c>
      <c r="AD717" s="14">
        <f>(1-Inputs!$F$176/100)^MAX(0,Time!AD$4-Inputs!$F$177)</f>
        <v/>
      </c>
      <c r="AE717" s="14">
        <f>(1-Inputs!$F$176/100)^MAX(0,Time!AE$4-Inputs!$F$177)</f>
        <v/>
      </c>
      <c r="AF717" s="14">
        <f>(1-Inputs!$F$176/100)^MAX(0,Time!AF$4-Inputs!$F$177)</f>
        <v/>
      </c>
      <c r="AG717" s="14">
        <f>(1-Inputs!$F$176/100)^MAX(0,Time!AG$4-Inputs!$F$177)</f>
        <v/>
      </c>
      <c r="AH717" s="14">
        <f>(1-Inputs!$F$176/100)^MAX(0,Time!AH$4-Inputs!$F$177)</f>
        <v/>
      </c>
      <c r="AI717" s="14">
        <f>(1-Inputs!$F$176/100)^MAX(0,Time!AI$4-Inputs!$F$177)</f>
        <v/>
      </c>
      <c r="AJ717" s="14">
        <f>(1-Inputs!$F$176/100)^MAX(0,Time!AJ$4-Inputs!$F$177)</f>
        <v/>
      </c>
      <c r="AK717" s="14">
        <f>(1-Inputs!$F$176/100)^MAX(0,Time!AK$4-Inputs!$F$177)</f>
        <v/>
      </c>
      <c r="AL717" s="14">
        <f>(1-Inputs!$F$176/100)^MAX(0,Time!AL$4-Inputs!$F$177)</f>
        <v/>
      </c>
      <c r="AM717" s="14">
        <f>(1-Inputs!$F$176/100)^MAX(0,Time!AM$4-Inputs!$F$177)</f>
        <v/>
      </c>
      <c r="AN717" s="14">
        <f>(1-Inputs!$F$176/100)^MAX(0,Time!AN$4-Inputs!$F$177)</f>
        <v/>
      </c>
      <c r="AO717" s="14">
        <f>(1-Inputs!$F$176/100)^MAX(0,Time!AO$4-Inputs!$F$177)</f>
        <v/>
      </c>
      <c r="AP717" s="14">
        <f>(1-Inputs!$F$176/100)^MAX(0,Time!AP$4-Inputs!$F$177)</f>
        <v/>
      </c>
      <c r="AQ717" s="14">
        <f>(1-Inputs!$F$176/100)^MAX(0,Time!AQ$4-Inputs!$F$177)</f>
        <v/>
      </c>
      <c r="AR717" s="14">
        <f>(1-Inputs!$F$176/100)^MAX(0,Time!AR$4-Inputs!$F$177)</f>
        <v/>
      </c>
      <c r="AS717" s="14">
        <f>(1-Inputs!$F$176/100)^MAX(0,Time!AS$4-Inputs!$F$177)</f>
        <v/>
      </c>
      <c r="AT717" s="14">
        <f>(1-Inputs!$F$176/100)^MAX(0,Time!AT$4-Inputs!$F$177)</f>
        <v/>
      </c>
      <c r="AU717" s="14">
        <f>(1-Inputs!$F$176/100)^MAX(0,Time!AU$4-Inputs!$F$177)</f>
        <v/>
      </c>
    </row>
    <row r="718">
      <c r="D718" t="inlineStr">
        <is>
          <t>R8 curtailment</t>
        </is>
      </c>
      <c r="E718" t="inlineStr">
        <is>
          <t>fraction</t>
        </is>
      </c>
      <c r="J718" s="14">
        <f>(IF(Time!J$4&gt;=Inputs!$F$61,Inputs!$F$69,Inputs!$F$68+(Inputs!$F$69-Inputs!$F$68)*(Time!J$4-Inputs!$F$23)/(Inputs!$F$61-Inputs!$F$23))+Operations!$F$420)/100</f>
        <v/>
      </c>
      <c r="K718" s="14">
        <f>(IF(Time!K$4&gt;=Inputs!$F$61,Inputs!$F$69,Inputs!$F$68+(Inputs!$F$69-Inputs!$F$68)*(Time!K$4-Inputs!$F$23)/(Inputs!$F$61-Inputs!$F$23))+Operations!$F$420)/100</f>
        <v/>
      </c>
      <c r="L718" s="14">
        <f>(IF(Time!L$4&gt;=Inputs!$F$61,Inputs!$F$69,Inputs!$F$68+(Inputs!$F$69-Inputs!$F$68)*(Time!L$4-Inputs!$F$23)/(Inputs!$F$61-Inputs!$F$23))+Operations!$F$420)/100</f>
        <v/>
      </c>
      <c r="M718" s="14">
        <f>(IF(Time!M$4&gt;=Inputs!$F$61,Inputs!$F$69,Inputs!$F$68+(Inputs!$F$69-Inputs!$F$68)*(Time!M$4-Inputs!$F$23)/(Inputs!$F$61-Inputs!$F$23))+Operations!$F$420)/100</f>
        <v/>
      </c>
      <c r="N718" s="14">
        <f>(IF(Time!N$4&gt;=Inputs!$F$61,Inputs!$F$69,Inputs!$F$68+(Inputs!$F$69-Inputs!$F$68)*(Time!N$4-Inputs!$F$23)/(Inputs!$F$61-Inputs!$F$23))+Operations!$F$420)/100</f>
        <v/>
      </c>
      <c r="O718" s="14">
        <f>(IF(Time!O$4&gt;=Inputs!$F$61,Inputs!$F$69,Inputs!$F$68+(Inputs!$F$69-Inputs!$F$68)*(Time!O$4-Inputs!$F$23)/(Inputs!$F$61-Inputs!$F$23))+Operations!$F$420)/100</f>
        <v/>
      </c>
      <c r="P718" s="14">
        <f>(IF(Time!P$4&gt;=Inputs!$F$61,Inputs!$F$69,Inputs!$F$68+(Inputs!$F$69-Inputs!$F$68)*(Time!P$4-Inputs!$F$23)/(Inputs!$F$61-Inputs!$F$23))+Operations!$F$420)/100</f>
        <v/>
      </c>
      <c r="Q718" s="14">
        <f>(IF(Time!Q$4&gt;=Inputs!$F$61,Inputs!$F$69,Inputs!$F$68+(Inputs!$F$69-Inputs!$F$68)*(Time!Q$4-Inputs!$F$23)/(Inputs!$F$61-Inputs!$F$23))+Operations!$F$420)/100</f>
        <v/>
      </c>
      <c r="R718" s="14">
        <f>(IF(Time!R$4&gt;=Inputs!$F$61,Inputs!$F$69,Inputs!$F$68+(Inputs!$F$69-Inputs!$F$68)*(Time!R$4-Inputs!$F$23)/(Inputs!$F$61-Inputs!$F$23))+Operations!$F$420)/100</f>
        <v/>
      </c>
      <c r="S718" s="14">
        <f>(IF(Time!S$4&gt;=Inputs!$F$61,Inputs!$F$69,Inputs!$F$68+(Inputs!$F$69-Inputs!$F$68)*(Time!S$4-Inputs!$F$23)/(Inputs!$F$61-Inputs!$F$23))+Operations!$F$420)/100</f>
        <v/>
      </c>
      <c r="T718" s="14">
        <f>(IF(Time!T$4&gt;=Inputs!$F$61,Inputs!$F$69,Inputs!$F$68+(Inputs!$F$69-Inputs!$F$68)*(Time!T$4-Inputs!$F$23)/(Inputs!$F$61-Inputs!$F$23))+Operations!$F$420)/100</f>
        <v/>
      </c>
      <c r="U718" s="14">
        <f>(IF(Time!U$4&gt;=Inputs!$F$61,Inputs!$F$69,Inputs!$F$68+(Inputs!$F$69-Inputs!$F$68)*(Time!U$4-Inputs!$F$23)/(Inputs!$F$61-Inputs!$F$23))+Operations!$F$420)/100</f>
        <v/>
      </c>
      <c r="V718" s="14">
        <f>(IF(Time!V$4&gt;=Inputs!$F$61,Inputs!$F$69,Inputs!$F$68+(Inputs!$F$69-Inputs!$F$68)*(Time!V$4-Inputs!$F$23)/(Inputs!$F$61-Inputs!$F$23))+Operations!$F$420)/100</f>
        <v/>
      </c>
      <c r="W718" s="14">
        <f>(IF(Time!W$4&gt;=Inputs!$F$61,Inputs!$F$69,Inputs!$F$68+(Inputs!$F$69-Inputs!$F$68)*(Time!W$4-Inputs!$F$23)/(Inputs!$F$61-Inputs!$F$23))+Operations!$F$420)/100</f>
        <v/>
      </c>
      <c r="X718" s="14">
        <f>(IF(Time!X$4&gt;=Inputs!$F$61,Inputs!$F$69,Inputs!$F$68+(Inputs!$F$69-Inputs!$F$68)*(Time!X$4-Inputs!$F$23)/(Inputs!$F$61-Inputs!$F$23))+Operations!$F$420)/100</f>
        <v/>
      </c>
      <c r="Y718" s="14">
        <f>(IF(Time!Y$4&gt;=Inputs!$F$61,Inputs!$F$69,Inputs!$F$68+(Inputs!$F$69-Inputs!$F$68)*(Time!Y$4-Inputs!$F$23)/(Inputs!$F$61-Inputs!$F$23))+Operations!$F$420)/100</f>
        <v/>
      </c>
      <c r="Z718" s="14">
        <f>(IF(Time!Z$4&gt;=Inputs!$F$61,Inputs!$F$69,Inputs!$F$68+(Inputs!$F$69-Inputs!$F$68)*(Time!Z$4-Inputs!$F$23)/(Inputs!$F$61-Inputs!$F$23))+Operations!$F$420)/100</f>
        <v/>
      </c>
      <c r="AA718" s="14">
        <f>(IF(Time!AA$4&gt;=Inputs!$F$61,Inputs!$F$69,Inputs!$F$68+(Inputs!$F$69-Inputs!$F$68)*(Time!AA$4-Inputs!$F$23)/(Inputs!$F$61-Inputs!$F$23))+Operations!$F$420)/100</f>
        <v/>
      </c>
      <c r="AB718" s="14">
        <f>(IF(Time!AB$4&gt;=Inputs!$F$61,Inputs!$F$69,Inputs!$F$68+(Inputs!$F$69-Inputs!$F$68)*(Time!AB$4-Inputs!$F$23)/(Inputs!$F$61-Inputs!$F$23))+Operations!$F$420)/100</f>
        <v/>
      </c>
      <c r="AC718" s="14">
        <f>(IF(Time!AC$4&gt;=Inputs!$F$61,Inputs!$F$69,Inputs!$F$68+(Inputs!$F$69-Inputs!$F$68)*(Time!AC$4-Inputs!$F$23)/(Inputs!$F$61-Inputs!$F$23))+Operations!$F$420)/100</f>
        <v/>
      </c>
      <c r="AD718" s="14">
        <f>(IF(Time!AD$4&gt;=Inputs!$F$61,Inputs!$F$69,Inputs!$F$68+(Inputs!$F$69-Inputs!$F$68)*(Time!AD$4-Inputs!$F$23)/(Inputs!$F$61-Inputs!$F$23))+Operations!$F$420)/100</f>
        <v/>
      </c>
      <c r="AE718" s="14">
        <f>(IF(Time!AE$4&gt;=Inputs!$F$61,Inputs!$F$69,Inputs!$F$68+(Inputs!$F$69-Inputs!$F$68)*(Time!AE$4-Inputs!$F$23)/(Inputs!$F$61-Inputs!$F$23))+Operations!$F$420)/100</f>
        <v/>
      </c>
      <c r="AF718" s="14">
        <f>(IF(Time!AF$4&gt;=Inputs!$F$61,Inputs!$F$69,Inputs!$F$68+(Inputs!$F$69-Inputs!$F$68)*(Time!AF$4-Inputs!$F$23)/(Inputs!$F$61-Inputs!$F$23))+Operations!$F$420)/100</f>
        <v/>
      </c>
      <c r="AG718" s="14">
        <f>(IF(Time!AG$4&gt;=Inputs!$F$61,Inputs!$F$69,Inputs!$F$68+(Inputs!$F$69-Inputs!$F$68)*(Time!AG$4-Inputs!$F$23)/(Inputs!$F$61-Inputs!$F$23))+Operations!$F$420)/100</f>
        <v/>
      </c>
      <c r="AH718" s="14">
        <f>(IF(Time!AH$4&gt;=Inputs!$F$61,Inputs!$F$69,Inputs!$F$68+(Inputs!$F$69-Inputs!$F$68)*(Time!AH$4-Inputs!$F$23)/(Inputs!$F$61-Inputs!$F$23))+Operations!$F$420)/100</f>
        <v/>
      </c>
      <c r="AI718" s="14">
        <f>(IF(Time!AI$4&gt;=Inputs!$F$61,Inputs!$F$69,Inputs!$F$68+(Inputs!$F$69-Inputs!$F$68)*(Time!AI$4-Inputs!$F$23)/(Inputs!$F$61-Inputs!$F$23))+Operations!$F$420)/100</f>
        <v/>
      </c>
      <c r="AJ718" s="14">
        <f>(IF(Time!AJ$4&gt;=Inputs!$F$61,Inputs!$F$69,Inputs!$F$68+(Inputs!$F$69-Inputs!$F$68)*(Time!AJ$4-Inputs!$F$23)/(Inputs!$F$61-Inputs!$F$23))+Operations!$F$420)/100</f>
        <v/>
      </c>
      <c r="AK718" s="14">
        <f>(IF(Time!AK$4&gt;=Inputs!$F$61,Inputs!$F$69,Inputs!$F$68+(Inputs!$F$69-Inputs!$F$68)*(Time!AK$4-Inputs!$F$23)/(Inputs!$F$61-Inputs!$F$23))+Operations!$F$420)/100</f>
        <v/>
      </c>
      <c r="AL718" s="14">
        <f>(IF(Time!AL$4&gt;=Inputs!$F$61,Inputs!$F$69,Inputs!$F$68+(Inputs!$F$69-Inputs!$F$68)*(Time!AL$4-Inputs!$F$23)/(Inputs!$F$61-Inputs!$F$23))+Operations!$F$420)/100</f>
        <v/>
      </c>
      <c r="AM718" s="14">
        <f>(IF(Time!AM$4&gt;=Inputs!$F$61,Inputs!$F$69,Inputs!$F$68+(Inputs!$F$69-Inputs!$F$68)*(Time!AM$4-Inputs!$F$23)/(Inputs!$F$61-Inputs!$F$23))+Operations!$F$420)/100</f>
        <v/>
      </c>
      <c r="AN718" s="14">
        <f>(IF(Time!AN$4&gt;=Inputs!$F$61,Inputs!$F$69,Inputs!$F$68+(Inputs!$F$69-Inputs!$F$68)*(Time!AN$4-Inputs!$F$23)/(Inputs!$F$61-Inputs!$F$23))+Operations!$F$420)/100</f>
        <v/>
      </c>
      <c r="AO718" s="14">
        <f>(IF(Time!AO$4&gt;=Inputs!$F$61,Inputs!$F$69,Inputs!$F$68+(Inputs!$F$69-Inputs!$F$68)*(Time!AO$4-Inputs!$F$23)/(Inputs!$F$61-Inputs!$F$23))+Operations!$F$420)/100</f>
        <v/>
      </c>
      <c r="AP718" s="14">
        <f>(IF(Time!AP$4&gt;=Inputs!$F$61,Inputs!$F$69,Inputs!$F$68+(Inputs!$F$69-Inputs!$F$68)*(Time!AP$4-Inputs!$F$23)/(Inputs!$F$61-Inputs!$F$23))+Operations!$F$420)/100</f>
        <v/>
      </c>
      <c r="AQ718" s="14">
        <f>(IF(Time!AQ$4&gt;=Inputs!$F$61,Inputs!$F$69,Inputs!$F$68+(Inputs!$F$69-Inputs!$F$68)*(Time!AQ$4-Inputs!$F$23)/(Inputs!$F$61-Inputs!$F$23))+Operations!$F$420)/100</f>
        <v/>
      </c>
      <c r="AR718" s="14">
        <f>(IF(Time!AR$4&gt;=Inputs!$F$61,Inputs!$F$69,Inputs!$F$68+(Inputs!$F$69-Inputs!$F$68)*(Time!AR$4-Inputs!$F$23)/(Inputs!$F$61-Inputs!$F$23))+Operations!$F$420)/100</f>
        <v/>
      </c>
      <c r="AS718" s="14">
        <f>(IF(Time!AS$4&gt;=Inputs!$F$61,Inputs!$F$69,Inputs!$F$68+(Inputs!$F$69-Inputs!$F$68)*(Time!AS$4-Inputs!$F$23)/(Inputs!$F$61-Inputs!$F$23))+Operations!$F$420)/100</f>
        <v/>
      </c>
      <c r="AT718" s="14">
        <f>(IF(Time!AT$4&gt;=Inputs!$F$61,Inputs!$F$69,Inputs!$F$68+(Inputs!$F$69-Inputs!$F$68)*(Time!AT$4-Inputs!$F$23)/(Inputs!$F$61-Inputs!$F$23))+Operations!$F$420)/100</f>
        <v/>
      </c>
      <c r="AU718" s="14">
        <f>(IF(Time!AU$4&gt;=Inputs!$F$61,Inputs!$F$69,Inputs!$F$68+(Inputs!$F$69-Inputs!$F$68)*(Time!AU$4-Inputs!$F$23)/(Inputs!$F$61-Inputs!$F$23))+Operations!$F$420)/100</f>
        <v/>
      </c>
    </row>
    <row r="719">
      <c r="D719" t="inlineStr">
        <is>
          <t>R8 net generation, full year</t>
        </is>
      </c>
      <c r="E719" t="inlineStr">
        <is>
          <t>GWh</t>
        </is>
      </c>
      <c r="J719" s="20">
        <f>Inputs!$F$173*Operations!J716*Inputs!$F$185/100*Operations!J717*(1-Operations!J718)</f>
        <v/>
      </c>
      <c r="K719" s="20">
        <f>Inputs!$F$173*Operations!K716*Inputs!$F$185/100*Operations!K717*(1-Operations!K718)</f>
        <v/>
      </c>
      <c r="L719" s="20">
        <f>Inputs!$F$173*Operations!L716*Inputs!$F$185/100*Operations!L717*(1-Operations!L718)</f>
        <v/>
      </c>
      <c r="M719" s="20">
        <f>Inputs!$F$173*Operations!M716*Inputs!$F$185/100*Operations!M717*(1-Operations!M718)</f>
        <v/>
      </c>
      <c r="N719" s="20">
        <f>Inputs!$F$173*Operations!N716*Inputs!$F$185/100*Operations!N717*(1-Operations!N718)</f>
        <v/>
      </c>
      <c r="O719" s="20">
        <f>Inputs!$F$173*Operations!O716*Inputs!$F$185/100*Operations!O717*(1-Operations!O718)</f>
        <v/>
      </c>
      <c r="P719" s="20">
        <f>Inputs!$F$173*Operations!P716*Inputs!$F$185/100*Operations!P717*(1-Operations!P718)</f>
        <v/>
      </c>
      <c r="Q719" s="20">
        <f>Inputs!$F$173*Operations!Q716*Inputs!$F$185/100*Operations!Q717*(1-Operations!Q718)</f>
        <v/>
      </c>
      <c r="R719" s="20">
        <f>Inputs!$F$173*Operations!R716*Inputs!$F$185/100*Operations!R717*(1-Operations!R718)</f>
        <v/>
      </c>
      <c r="S719" s="20">
        <f>Inputs!$F$173*Operations!S716*Inputs!$F$185/100*Operations!S717*(1-Operations!S718)</f>
        <v/>
      </c>
      <c r="T719" s="20">
        <f>Inputs!$F$173*Operations!T716*Inputs!$F$185/100*Operations!T717*(1-Operations!T718)</f>
        <v/>
      </c>
      <c r="U719" s="20">
        <f>Inputs!$F$173*Operations!U716*Inputs!$F$185/100*Operations!U717*(1-Operations!U718)</f>
        <v/>
      </c>
      <c r="V719" s="20">
        <f>Inputs!$F$173*Operations!V716*Inputs!$F$185/100*Operations!V717*(1-Operations!V718)</f>
        <v/>
      </c>
      <c r="W719" s="20">
        <f>Inputs!$F$173*Operations!W716*Inputs!$F$185/100*Operations!W717*(1-Operations!W718)</f>
        <v/>
      </c>
      <c r="X719" s="20">
        <f>Inputs!$F$173*Operations!X716*Inputs!$F$185/100*Operations!X717*(1-Operations!X718)</f>
        <v/>
      </c>
      <c r="Y719" s="20">
        <f>Inputs!$F$173*Operations!Y716*Inputs!$F$185/100*Operations!Y717*(1-Operations!Y718)</f>
        <v/>
      </c>
      <c r="Z719" s="20">
        <f>Inputs!$F$173*Operations!Z716*Inputs!$F$185/100*Operations!Z717*(1-Operations!Z718)</f>
        <v/>
      </c>
      <c r="AA719" s="20">
        <f>Inputs!$F$173*Operations!AA716*Inputs!$F$185/100*Operations!AA717*(1-Operations!AA718)</f>
        <v/>
      </c>
      <c r="AB719" s="20">
        <f>Inputs!$F$173*Operations!AB716*Inputs!$F$185/100*Operations!AB717*(1-Operations!AB718)</f>
        <v/>
      </c>
      <c r="AC719" s="20">
        <f>Inputs!$F$173*Operations!AC716*Inputs!$F$185/100*Operations!AC717*(1-Operations!AC718)</f>
        <v/>
      </c>
      <c r="AD719" s="20">
        <f>Inputs!$F$173*Operations!AD716*Inputs!$F$185/100*Operations!AD717*(1-Operations!AD718)</f>
        <v/>
      </c>
      <c r="AE719" s="20">
        <f>Inputs!$F$173*Operations!AE716*Inputs!$F$185/100*Operations!AE717*(1-Operations!AE718)</f>
        <v/>
      </c>
      <c r="AF719" s="20">
        <f>Inputs!$F$173*Operations!AF716*Inputs!$F$185/100*Operations!AF717*(1-Operations!AF718)</f>
        <v/>
      </c>
      <c r="AG719" s="20">
        <f>Inputs!$F$173*Operations!AG716*Inputs!$F$185/100*Operations!AG717*(1-Operations!AG718)</f>
        <v/>
      </c>
      <c r="AH719" s="20">
        <f>Inputs!$F$173*Operations!AH716*Inputs!$F$185/100*Operations!AH717*(1-Operations!AH718)</f>
        <v/>
      </c>
      <c r="AI719" s="20">
        <f>Inputs!$F$173*Operations!AI716*Inputs!$F$185/100*Operations!AI717*(1-Operations!AI718)</f>
        <v/>
      </c>
      <c r="AJ719" s="20">
        <f>Inputs!$F$173*Operations!AJ716*Inputs!$F$185/100*Operations!AJ717*(1-Operations!AJ718)</f>
        <v/>
      </c>
      <c r="AK719" s="20">
        <f>Inputs!$F$173*Operations!AK716*Inputs!$F$185/100*Operations!AK717*(1-Operations!AK718)</f>
        <v/>
      </c>
      <c r="AL719" s="20">
        <f>Inputs!$F$173*Operations!AL716*Inputs!$F$185/100*Operations!AL717*(1-Operations!AL718)</f>
        <v/>
      </c>
      <c r="AM719" s="20">
        <f>Inputs!$F$173*Operations!AM716*Inputs!$F$185/100*Operations!AM717*(1-Operations!AM718)</f>
        <v/>
      </c>
      <c r="AN719" s="20">
        <f>Inputs!$F$173*Operations!AN716*Inputs!$F$185/100*Operations!AN717*(1-Operations!AN718)</f>
        <v/>
      </c>
      <c r="AO719" s="20">
        <f>Inputs!$F$173*Operations!AO716*Inputs!$F$185/100*Operations!AO717*(1-Operations!AO718)</f>
        <v/>
      </c>
      <c r="AP719" s="20">
        <f>Inputs!$F$173*Operations!AP716*Inputs!$F$185/100*Operations!AP717*(1-Operations!AP718)</f>
        <v/>
      </c>
      <c r="AQ719" s="20">
        <f>Inputs!$F$173*Operations!AQ716*Inputs!$F$185/100*Operations!AQ717*(1-Operations!AQ718)</f>
        <v/>
      </c>
      <c r="AR719" s="20">
        <f>Inputs!$F$173*Operations!AR716*Inputs!$F$185/100*Operations!AR717*(1-Operations!AR718)</f>
        <v/>
      </c>
      <c r="AS719" s="20">
        <f>Inputs!$F$173*Operations!AS716*Inputs!$F$185/100*Operations!AS717*(1-Operations!AS718)</f>
        <v/>
      </c>
      <c r="AT719" s="20">
        <f>Inputs!$F$173*Operations!AT716*Inputs!$F$185/100*Operations!AT717*(1-Operations!AT718)</f>
        <v/>
      </c>
      <c r="AU719" s="20">
        <f>Inputs!$F$173*Operations!AU716*Inputs!$F$185/100*Operations!AU717*(1-Operations!AU718)</f>
        <v/>
      </c>
    </row>
    <row r="720">
      <c r="D720" t="inlineStr">
        <is>
          <t>R8 net generation</t>
        </is>
      </c>
      <c r="E720" t="inlineStr">
        <is>
          <t>GWh</t>
        </is>
      </c>
      <c r="G720" s="20">
        <f>SUM(J720:AU720)</f>
        <v/>
      </c>
      <c r="J720" s="20">
        <f>Operations!J719*Operations!J712</f>
        <v/>
      </c>
      <c r="K720" s="20">
        <f>Operations!K719*Operations!K712</f>
        <v/>
      </c>
      <c r="L720" s="20">
        <f>Operations!L719*Operations!L712</f>
        <v/>
      </c>
      <c r="M720" s="20">
        <f>Operations!M719*Operations!M712</f>
        <v/>
      </c>
      <c r="N720" s="20">
        <f>Operations!N719*Operations!N712</f>
        <v/>
      </c>
      <c r="O720" s="20">
        <f>Operations!O719*Operations!O712</f>
        <v/>
      </c>
      <c r="P720" s="20">
        <f>Operations!P719*Operations!P712</f>
        <v/>
      </c>
      <c r="Q720" s="20">
        <f>Operations!Q719*Operations!Q712</f>
        <v/>
      </c>
      <c r="R720" s="20">
        <f>Operations!R719*Operations!R712</f>
        <v/>
      </c>
      <c r="S720" s="20">
        <f>Operations!S719*Operations!S712</f>
        <v/>
      </c>
      <c r="T720" s="20">
        <f>Operations!T719*Operations!T712</f>
        <v/>
      </c>
      <c r="U720" s="20">
        <f>Operations!U719*Operations!U712</f>
        <v/>
      </c>
      <c r="V720" s="20">
        <f>Operations!V719*Operations!V712</f>
        <v/>
      </c>
      <c r="W720" s="20">
        <f>Operations!W719*Operations!W712</f>
        <v/>
      </c>
      <c r="X720" s="20">
        <f>Operations!X719*Operations!X712</f>
        <v/>
      </c>
      <c r="Y720" s="20">
        <f>Operations!Y719*Operations!Y712</f>
        <v/>
      </c>
      <c r="Z720" s="20">
        <f>Operations!Z719*Operations!Z712</f>
        <v/>
      </c>
      <c r="AA720" s="20">
        <f>Operations!AA719*Operations!AA712</f>
        <v/>
      </c>
      <c r="AB720" s="20">
        <f>Operations!AB719*Operations!AB712</f>
        <v/>
      </c>
      <c r="AC720" s="20">
        <f>Operations!AC719*Operations!AC712</f>
        <v/>
      </c>
      <c r="AD720" s="20">
        <f>Operations!AD719*Operations!AD712</f>
        <v/>
      </c>
      <c r="AE720" s="20">
        <f>Operations!AE719*Operations!AE712</f>
        <v/>
      </c>
      <c r="AF720" s="20">
        <f>Operations!AF719*Operations!AF712</f>
        <v/>
      </c>
      <c r="AG720" s="20">
        <f>Operations!AG719*Operations!AG712</f>
        <v/>
      </c>
      <c r="AH720" s="20">
        <f>Operations!AH719*Operations!AH712</f>
        <v/>
      </c>
      <c r="AI720" s="20">
        <f>Operations!AI719*Operations!AI712</f>
        <v/>
      </c>
      <c r="AJ720" s="20">
        <f>Operations!AJ719*Operations!AJ712</f>
        <v/>
      </c>
      <c r="AK720" s="20">
        <f>Operations!AK719*Operations!AK712</f>
        <v/>
      </c>
      <c r="AL720" s="20">
        <f>Operations!AL719*Operations!AL712</f>
        <v/>
      </c>
      <c r="AM720" s="20">
        <f>Operations!AM719*Operations!AM712</f>
        <v/>
      </c>
      <c r="AN720" s="20">
        <f>Operations!AN719*Operations!AN712</f>
        <v/>
      </c>
      <c r="AO720" s="20">
        <f>Operations!AO719*Operations!AO712</f>
        <v/>
      </c>
      <c r="AP720" s="20">
        <f>Operations!AP719*Operations!AP712</f>
        <v/>
      </c>
      <c r="AQ720" s="20">
        <f>Operations!AQ719*Operations!AQ712</f>
        <v/>
      </c>
      <c r="AR720" s="20">
        <f>Operations!AR719*Operations!AR712</f>
        <v/>
      </c>
      <c r="AS720" s="20">
        <f>Operations!AS719*Operations!AS712</f>
        <v/>
      </c>
      <c r="AT720" s="20">
        <f>Operations!AT719*Operations!AT712</f>
        <v/>
      </c>
      <c r="AU720" s="20">
        <f>Operations!AU719*Operations!AU712</f>
        <v/>
      </c>
    </row>
    <row r="721">
      <c r="D721" t="inlineStr">
        <is>
          <t>R8 hub capture ratio</t>
        </is>
      </c>
      <c r="E721" t="inlineStr">
        <is>
          <t>ratio</t>
        </is>
      </c>
      <c r="J721" s="14">
        <f>Operations!J431</f>
        <v/>
      </c>
      <c r="K721" s="14">
        <f>Operations!K431</f>
        <v/>
      </c>
      <c r="L721" s="14">
        <f>Operations!L431</f>
        <v/>
      </c>
      <c r="M721" s="14">
        <f>Operations!M431</f>
        <v/>
      </c>
      <c r="N721" s="14">
        <f>Operations!N431</f>
        <v/>
      </c>
      <c r="O721" s="14">
        <f>Operations!O431</f>
        <v/>
      </c>
      <c r="P721" s="14">
        <f>Operations!P431</f>
        <v/>
      </c>
      <c r="Q721" s="14">
        <f>Operations!Q431</f>
        <v/>
      </c>
      <c r="R721" s="14">
        <f>Operations!R431</f>
        <v/>
      </c>
      <c r="S721" s="14">
        <f>Operations!S431</f>
        <v/>
      </c>
      <c r="T721" s="14">
        <f>Operations!T431</f>
        <v/>
      </c>
      <c r="U721" s="14">
        <f>Operations!U431</f>
        <v/>
      </c>
      <c r="V721" s="14">
        <f>Operations!V431</f>
        <v/>
      </c>
      <c r="W721" s="14">
        <f>Operations!W431</f>
        <v/>
      </c>
      <c r="X721" s="14">
        <f>Operations!X431</f>
        <v/>
      </c>
      <c r="Y721" s="14">
        <f>Operations!Y431</f>
        <v/>
      </c>
      <c r="Z721" s="14">
        <f>Operations!Z431</f>
        <v/>
      </c>
      <c r="AA721" s="14">
        <f>Operations!AA431</f>
        <v/>
      </c>
      <c r="AB721" s="14">
        <f>Operations!AB431</f>
        <v/>
      </c>
      <c r="AC721" s="14">
        <f>Operations!AC431</f>
        <v/>
      </c>
      <c r="AD721" s="14">
        <f>Operations!AD431</f>
        <v/>
      </c>
      <c r="AE721" s="14">
        <f>Operations!AE431</f>
        <v/>
      </c>
      <c r="AF721" s="14">
        <f>Operations!AF431</f>
        <v/>
      </c>
      <c r="AG721" s="14">
        <f>Operations!AG431</f>
        <v/>
      </c>
      <c r="AH721" s="14">
        <f>Operations!AH431</f>
        <v/>
      </c>
      <c r="AI721" s="14">
        <f>Operations!AI431</f>
        <v/>
      </c>
      <c r="AJ721" s="14">
        <f>Operations!AJ431</f>
        <v/>
      </c>
      <c r="AK721" s="14">
        <f>Operations!AK431</f>
        <v/>
      </c>
      <c r="AL721" s="14">
        <f>Operations!AL431</f>
        <v/>
      </c>
      <c r="AM721" s="14">
        <f>Operations!AM431</f>
        <v/>
      </c>
      <c r="AN721" s="14">
        <f>Operations!AN431</f>
        <v/>
      </c>
      <c r="AO721" s="14">
        <f>Operations!AO431</f>
        <v/>
      </c>
      <c r="AP721" s="14">
        <f>Operations!AP431</f>
        <v/>
      </c>
      <c r="AQ721" s="14">
        <f>Operations!AQ431</f>
        <v/>
      </c>
      <c r="AR721" s="14">
        <f>Operations!AR431</f>
        <v/>
      </c>
      <c r="AS721" s="14">
        <f>Operations!AS431</f>
        <v/>
      </c>
      <c r="AT721" s="14">
        <f>Operations!AT431</f>
        <v/>
      </c>
      <c r="AU721" s="14">
        <f>Operations!AU431</f>
        <v/>
      </c>
    </row>
    <row r="722">
      <c r="D722" t="inlineStr">
        <is>
          <t>R8 node capture ratio</t>
        </is>
      </c>
      <c r="E722" t="inlineStr">
        <is>
          <t>ratio</t>
        </is>
      </c>
      <c r="J722" s="14">
        <f>Operations!J721-Inputs!$F$56</f>
        <v/>
      </c>
      <c r="K722" s="14">
        <f>Operations!K721-Inputs!$F$56</f>
        <v/>
      </c>
      <c r="L722" s="14">
        <f>Operations!L721-Inputs!$F$56</f>
        <v/>
      </c>
      <c r="M722" s="14">
        <f>Operations!M721-Inputs!$F$56</f>
        <v/>
      </c>
      <c r="N722" s="14">
        <f>Operations!N721-Inputs!$F$56</f>
        <v/>
      </c>
      <c r="O722" s="14">
        <f>Operations!O721-Inputs!$F$56</f>
        <v/>
      </c>
      <c r="P722" s="14">
        <f>Operations!P721-Inputs!$F$56</f>
        <v/>
      </c>
      <c r="Q722" s="14">
        <f>Operations!Q721-Inputs!$F$56</f>
        <v/>
      </c>
      <c r="R722" s="14">
        <f>Operations!R721-Inputs!$F$56</f>
        <v/>
      </c>
      <c r="S722" s="14">
        <f>Operations!S721-Inputs!$F$56</f>
        <v/>
      </c>
      <c r="T722" s="14">
        <f>Operations!T721-Inputs!$F$56</f>
        <v/>
      </c>
      <c r="U722" s="14">
        <f>Operations!U721-Inputs!$F$56</f>
        <v/>
      </c>
      <c r="V722" s="14">
        <f>Operations!V721-Inputs!$F$56</f>
        <v/>
      </c>
      <c r="W722" s="14">
        <f>Operations!W721-Inputs!$F$56</f>
        <v/>
      </c>
      <c r="X722" s="14">
        <f>Operations!X721-Inputs!$F$56</f>
        <v/>
      </c>
      <c r="Y722" s="14">
        <f>Operations!Y721-Inputs!$F$56</f>
        <v/>
      </c>
      <c r="Z722" s="14">
        <f>Operations!Z721-Inputs!$F$56</f>
        <v/>
      </c>
      <c r="AA722" s="14">
        <f>Operations!AA721-Inputs!$F$56</f>
        <v/>
      </c>
      <c r="AB722" s="14">
        <f>Operations!AB721-Inputs!$F$56</f>
        <v/>
      </c>
      <c r="AC722" s="14">
        <f>Operations!AC721-Inputs!$F$56</f>
        <v/>
      </c>
      <c r="AD722" s="14">
        <f>Operations!AD721-Inputs!$F$56</f>
        <v/>
      </c>
      <c r="AE722" s="14">
        <f>Operations!AE721-Inputs!$F$56</f>
        <v/>
      </c>
      <c r="AF722" s="14">
        <f>Operations!AF721-Inputs!$F$56</f>
        <v/>
      </c>
      <c r="AG722" s="14">
        <f>Operations!AG721-Inputs!$F$56</f>
        <v/>
      </c>
      <c r="AH722" s="14">
        <f>Operations!AH721-Inputs!$F$56</f>
        <v/>
      </c>
      <c r="AI722" s="14">
        <f>Operations!AI721-Inputs!$F$56</f>
        <v/>
      </c>
      <c r="AJ722" s="14">
        <f>Operations!AJ721-Inputs!$F$56</f>
        <v/>
      </c>
      <c r="AK722" s="14">
        <f>Operations!AK721-Inputs!$F$56</f>
        <v/>
      </c>
      <c r="AL722" s="14">
        <f>Operations!AL721-Inputs!$F$56</f>
        <v/>
      </c>
      <c r="AM722" s="14">
        <f>Operations!AM721-Inputs!$F$56</f>
        <v/>
      </c>
      <c r="AN722" s="14">
        <f>Operations!AN721-Inputs!$F$56</f>
        <v/>
      </c>
      <c r="AO722" s="14">
        <f>Operations!AO721-Inputs!$F$56</f>
        <v/>
      </c>
      <c r="AP722" s="14">
        <f>Operations!AP721-Inputs!$F$56</f>
        <v/>
      </c>
      <c r="AQ722" s="14">
        <f>Operations!AQ721-Inputs!$F$56</f>
        <v/>
      </c>
      <c r="AR722" s="14">
        <f>Operations!AR721-Inputs!$F$56</f>
        <v/>
      </c>
      <c r="AS722" s="14">
        <f>Operations!AS721-Inputs!$F$56</f>
        <v/>
      </c>
      <c r="AT722" s="14">
        <f>Operations!AT721-Inputs!$F$56</f>
        <v/>
      </c>
      <c r="AU722" s="14">
        <f>Operations!AU721-Inputs!$F$56</f>
        <v/>
      </c>
    </row>
    <row r="723">
      <c r="D723" t="inlineStr">
        <is>
          <t>R8 realized node price</t>
        </is>
      </c>
      <c r="E723" t="inlineStr">
        <is>
          <t>USD/MWh</t>
        </is>
      </c>
      <c r="J723" s="18">
        <f>Operations!J715*Operations!J722</f>
        <v/>
      </c>
      <c r="K723" s="18">
        <f>Operations!K715*Operations!K722</f>
        <v/>
      </c>
      <c r="L723" s="18">
        <f>Operations!L715*Operations!L722</f>
        <v/>
      </c>
      <c r="M723" s="18">
        <f>Operations!M715*Operations!M722</f>
        <v/>
      </c>
      <c r="N723" s="18">
        <f>Operations!N715*Operations!N722</f>
        <v/>
      </c>
      <c r="O723" s="18">
        <f>Operations!O715*Operations!O722</f>
        <v/>
      </c>
      <c r="P723" s="18">
        <f>Operations!P715*Operations!P722</f>
        <v/>
      </c>
      <c r="Q723" s="18">
        <f>Operations!Q715*Operations!Q722</f>
        <v/>
      </c>
      <c r="R723" s="18">
        <f>Operations!R715*Operations!R722</f>
        <v/>
      </c>
      <c r="S723" s="18">
        <f>Operations!S715*Operations!S722</f>
        <v/>
      </c>
      <c r="T723" s="18">
        <f>Operations!T715*Operations!T722</f>
        <v/>
      </c>
      <c r="U723" s="18">
        <f>Operations!U715*Operations!U722</f>
        <v/>
      </c>
      <c r="V723" s="18">
        <f>Operations!V715*Operations!V722</f>
        <v/>
      </c>
      <c r="W723" s="18">
        <f>Operations!W715*Operations!W722</f>
        <v/>
      </c>
      <c r="X723" s="18">
        <f>Operations!X715*Operations!X722</f>
        <v/>
      </c>
      <c r="Y723" s="18">
        <f>Operations!Y715*Operations!Y722</f>
        <v/>
      </c>
      <c r="Z723" s="18">
        <f>Operations!Z715*Operations!Z722</f>
        <v/>
      </c>
      <c r="AA723" s="18">
        <f>Operations!AA715*Operations!AA722</f>
        <v/>
      </c>
      <c r="AB723" s="18">
        <f>Operations!AB715*Operations!AB722</f>
        <v/>
      </c>
      <c r="AC723" s="18">
        <f>Operations!AC715*Operations!AC722</f>
        <v/>
      </c>
      <c r="AD723" s="18">
        <f>Operations!AD715*Operations!AD722</f>
        <v/>
      </c>
      <c r="AE723" s="18">
        <f>Operations!AE715*Operations!AE722</f>
        <v/>
      </c>
      <c r="AF723" s="18">
        <f>Operations!AF715*Operations!AF722</f>
        <v/>
      </c>
      <c r="AG723" s="18">
        <f>Operations!AG715*Operations!AG722</f>
        <v/>
      </c>
      <c r="AH723" s="18">
        <f>Operations!AH715*Operations!AH722</f>
        <v/>
      </c>
      <c r="AI723" s="18">
        <f>Operations!AI715*Operations!AI722</f>
        <v/>
      </c>
      <c r="AJ723" s="18">
        <f>Operations!AJ715*Operations!AJ722</f>
        <v/>
      </c>
      <c r="AK723" s="18">
        <f>Operations!AK715*Operations!AK722</f>
        <v/>
      </c>
      <c r="AL723" s="18">
        <f>Operations!AL715*Operations!AL722</f>
        <v/>
      </c>
      <c r="AM723" s="18">
        <f>Operations!AM715*Operations!AM722</f>
        <v/>
      </c>
      <c r="AN723" s="18">
        <f>Operations!AN715*Operations!AN722</f>
        <v/>
      </c>
      <c r="AO723" s="18">
        <f>Operations!AO715*Operations!AO722</f>
        <v/>
      </c>
      <c r="AP723" s="18">
        <f>Operations!AP715*Operations!AP722</f>
        <v/>
      </c>
      <c r="AQ723" s="18">
        <f>Operations!AQ715*Operations!AQ722</f>
        <v/>
      </c>
      <c r="AR723" s="18">
        <f>Operations!AR715*Operations!AR722</f>
        <v/>
      </c>
      <c r="AS723" s="18">
        <f>Operations!AS715*Operations!AS722</f>
        <v/>
      </c>
      <c r="AT723" s="18">
        <f>Operations!AT715*Operations!AT722</f>
        <v/>
      </c>
      <c r="AU723" s="18">
        <f>Operations!AU715*Operations!AU722</f>
        <v/>
      </c>
    </row>
    <row r="724">
      <c r="D724" t="inlineStr">
        <is>
          <t>R8 shape hedge term fraction</t>
        </is>
      </c>
      <c r="E724" t="inlineStr">
        <is>
          <t>fraction</t>
        </is>
      </c>
      <c r="J724" s="14">
        <f>MAX(0,MIN(Inputs!$F$220,Time!J$6)-MAX(Inputs!$F$219-1,Time!J$5))/Time!J$7</f>
        <v/>
      </c>
      <c r="K724" s="14">
        <f>MAX(0,MIN(Inputs!$F$220,Time!K$6)-MAX(Inputs!$F$219-1,Time!K$5))/Time!K$7</f>
        <v/>
      </c>
      <c r="L724" s="14">
        <f>MAX(0,MIN(Inputs!$F$220,Time!L$6)-MAX(Inputs!$F$219-1,Time!L$5))/Time!L$7</f>
        <v/>
      </c>
      <c r="M724" s="14">
        <f>MAX(0,MIN(Inputs!$F$220,Time!M$6)-MAX(Inputs!$F$219-1,Time!M$5))/Time!M$7</f>
        <v/>
      </c>
      <c r="N724" s="14">
        <f>MAX(0,MIN(Inputs!$F$220,Time!N$6)-MAX(Inputs!$F$219-1,Time!N$5))/Time!N$7</f>
        <v/>
      </c>
      <c r="O724" s="14">
        <f>MAX(0,MIN(Inputs!$F$220,Time!O$6)-MAX(Inputs!$F$219-1,Time!O$5))/Time!O$7</f>
        <v/>
      </c>
      <c r="P724" s="14">
        <f>MAX(0,MIN(Inputs!$F$220,Time!P$6)-MAX(Inputs!$F$219-1,Time!P$5))/Time!P$7</f>
        <v/>
      </c>
      <c r="Q724" s="14">
        <f>MAX(0,MIN(Inputs!$F$220,Time!Q$6)-MAX(Inputs!$F$219-1,Time!Q$5))/Time!Q$7</f>
        <v/>
      </c>
      <c r="R724" s="14">
        <f>MAX(0,MIN(Inputs!$F$220,Time!R$6)-MAX(Inputs!$F$219-1,Time!R$5))/Time!R$7</f>
        <v/>
      </c>
      <c r="S724" s="14">
        <f>MAX(0,MIN(Inputs!$F$220,Time!S$6)-MAX(Inputs!$F$219-1,Time!S$5))/Time!S$7</f>
        <v/>
      </c>
      <c r="T724" s="14">
        <f>MAX(0,MIN(Inputs!$F$220,Time!T$6)-MAX(Inputs!$F$219-1,Time!T$5))/Time!T$7</f>
        <v/>
      </c>
      <c r="U724" s="14">
        <f>MAX(0,MIN(Inputs!$F$220,Time!U$6)-MAX(Inputs!$F$219-1,Time!U$5))/Time!U$7</f>
        <v/>
      </c>
      <c r="V724" s="14">
        <f>MAX(0,MIN(Inputs!$F$220,Time!V$6)-MAX(Inputs!$F$219-1,Time!V$5))/Time!V$7</f>
        <v/>
      </c>
      <c r="W724" s="14">
        <f>MAX(0,MIN(Inputs!$F$220,Time!W$6)-MAX(Inputs!$F$219-1,Time!W$5))/Time!W$7</f>
        <v/>
      </c>
      <c r="X724" s="14">
        <f>MAX(0,MIN(Inputs!$F$220,Time!X$6)-MAX(Inputs!$F$219-1,Time!X$5))/Time!X$7</f>
        <v/>
      </c>
      <c r="Y724" s="14">
        <f>MAX(0,MIN(Inputs!$F$220,Time!Y$6)-MAX(Inputs!$F$219-1,Time!Y$5))/Time!Y$7</f>
        <v/>
      </c>
      <c r="Z724" s="14">
        <f>MAX(0,MIN(Inputs!$F$220,Time!Z$6)-MAX(Inputs!$F$219-1,Time!Z$5))/Time!Z$7</f>
        <v/>
      </c>
      <c r="AA724" s="14">
        <f>MAX(0,MIN(Inputs!$F$220,Time!AA$6)-MAX(Inputs!$F$219-1,Time!AA$5))/Time!AA$7</f>
        <v/>
      </c>
      <c r="AB724" s="14">
        <f>MAX(0,MIN(Inputs!$F$220,Time!AB$6)-MAX(Inputs!$F$219-1,Time!AB$5))/Time!AB$7</f>
        <v/>
      </c>
      <c r="AC724" s="14">
        <f>MAX(0,MIN(Inputs!$F$220,Time!AC$6)-MAX(Inputs!$F$219-1,Time!AC$5))/Time!AC$7</f>
        <v/>
      </c>
      <c r="AD724" s="14">
        <f>MAX(0,MIN(Inputs!$F$220,Time!AD$6)-MAX(Inputs!$F$219-1,Time!AD$5))/Time!AD$7</f>
        <v/>
      </c>
      <c r="AE724" s="14">
        <f>MAX(0,MIN(Inputs!$F$220,Time!AE$6)-MAX(Inputs!$F$219-1,Time!AE$5))/Time!AE$7</f>
        <v/>
      </c>
      <c r="AF724" s="14">
        <f>MAX(0,MIN(Inputs!$F$220,Time!AF$6)-MAX(Inputs!$F$219-1,Time!AF$5))/Time!AF$7</f>
        <v/>
      </c>
      <c r="AG724" s="14">
        <f>MAX(0,MIN(Inputs!$F$220,Time!AG$6)-MAX(Inputs!$F$219-1,Time!AG$5))/Time!AG$7</f>
        <v/>
      </c>
      <c r="AH724" s="14">
        <f>MAX(0,MIN(Inputs!$F$220,Time!AH$6)-MAX(Inputs!$F$219-1,Time!AH$5))/Time!AH$7</f>
        <v/>
      </c>
      <c r="AI724" s="14">
        <f>MAX(0,MIN(Inputs!$F$220,Time!AI$6)-MAX(Inputs!$F$219-1,Time!AI$5))/Time!AI$7</f>
        <v/>
      </c>
      <c r="AJ724" s="14">
        <f>MAX(0,MIN(Inputs!$F$220,Time!AJ$6)-MAX(Inputs!$F$219-1,Time!AJ$5))/Time!AJ$7</f>
        <v/>
      </c>
      <c r="AK724" s="14">
        <f>MAX(0,MIN(Inputs!$F$220,Time!AK$6)-MAX(Inputs!$F$219-1,Time!AK$5))/Time!AK$7</f>
        <v/>
      </c>
      <c r="AL724" s="14">
        <f>MAX(0,MIN(Inputs!$F$220,Time!AL$6)-MAX(Inputs!$F$219-1,Time!AL$5))/Time!AL$7</f>
        <v/>
      </c>
      <c r="AM724" s="14">
        <f>MAX(0,MIN(Inputs!$F$220,Time!AM$6)-MAX(Inputs!$F$219-1,Time!AM$5))/Time!AM$7</f>
        <v/>
      </c>
      <c r="AN724" s="14">
        <f>MAX(0,MIN(Inputs!$F$220,Time!AN$6)-MAX(Inputs!$F$219-1,Time!AN$5))/Time!AN$7</f>
        <v/>
      </c>
      <c r="AO724" s="14">
        <f>MAX(0,MIN(Inputs!$F$220,Time!AO$6)-MAX(Inputs!$F$219-1,Time!AO$5))/Time!AO$7</f>
        <v/>
      </c>
      <c r="AP724" s="14">
        <f>MAX(0,MIN(Inputs!$F$220,Time!AP$6)-MAX(Inputs!$F$219-1,Time!AP$5))/Time!AP$7</f>
        <v/>
      </c>
      <c r="AQ724" s="14">
        <f>MAX(0,MIN(Inputs!$F$220,Time!AQ$6)-MAX(Inputs!$F$219-1,Time!AQ$5))/Time!AQ$7</f>
        <v/>
      </c>
      <c r="AR724" s="14">
        <f>MAX(0,MIN(Inputs!$F$220,Time!AR$6)-MAX(Inputs!$F$219-1,Time!AR$5))/Time!AR$7</f>
        <v/>
      </c>
      <c r="AS724" s="14">
        <f>MAX(0,MIN(Inputs!$F$220,Time!AS$6)-MAX(Inputs!$F$219-1,Time!AS$5))/Time!AS$7</f>
        <v/>
      </c>
      <c r="AT724" s="14">
        <f>MAX(0,MIN(Inputs!$F$220,Time!AT$6)-MAX(Inputs!$F$219-1,Time!AT$5))/Time!AT$7</f>
        <v/>
      </c>
      <c r="AU724" s="14">
        <f>MAX(0,MIN(Inputs!$F$220,Time!AU$6)-MAX(Inputs!$F$219-1,Time!AU$5))/Time!AU$7</f>
        <v/>
      </c>
    </row>
    <row r="725">
      <c r="D725" t="inlineStr">
        <is>
          <t>R8 shape hedge volume</t>
        </is>
      </c>
      <c r="E725" t="inlineStr">
        <is>
          <t>GWh</t>
        </is>
      </c>
      <c r="J725" s="20">
        <f>Inputs!$F$217*Operations!J724</f>
        <v/>
      </c>
      <c r="K725" s="20">
        <f>Inputs!$F$217*Operations!K724</f>
        <v/>
      </c>
      <c r="L725" s="20">
        <f>Inputs!$F$217*Operations!L724</f>
        <v/>
      </c>
      <c r="M725" s="20">
        <f>Inputs!$F$217*Operations!M724</f>
        <v/>
      </c>
      <c r="N725" s="20">
        <f>Inputs!$F$217*Operations!N724</f>
        <v/>
      </c>
      <c r="O725" s="20">
        <f>Inputs!$F$217*Operations!O724</f>
        <v/>
      </c>
      <c r="P725" s="20">
        <f>Inputs!$F$217*Operations!P724</f>
        <v/>
      </c>
      <c r="Q725" s="20">
        <f>Inputs!$F$217*Operations!Q724</f>
        <v/>
      </c>
      <c r="R725" s="20">
        <f>Inputs!$F$217*Operations!R724</f>
        <v/>
      </c>
      <c r="S725" s="20">
        <f>Inputs!$F$217*Operations!S724</f>
        <v/>
      </c>
      <c r="T725" s="20">
        <f>Inputs!$F$217*Operations!T724</f>
        <v/>
      </c>
      <c r="U725" s="20">
        <f>Inputs!$F$217*Operations!U724</f>
        <v/>
      </c>
      <c r="V725" s="20">
        <f>Inputs!$F$217*Operations!V724</f>
        <v/>
      </c>
      <c r="W725" s="20">
        <f>Inputs!$F$217*Operations!W724</f>
        <v/>
      </c>
      <c r="X725" s="20">
        <f>Inputs!$F$217*Operations!X724</f>
        <v/>
      </c>
      <c r="Y725" s="20">
        <f>Inputs!$F$217*Operations!Y724</f>
        <v/>
      </c>
      <c r="Z725" s="20">
        <f>Inputs!$F$217*Operations!Z724</f>
        <v/>
      </c>
      <c r="AA725" s="20">
        <f>Inputs!$F$217*Operations!AA724</f>
        <v/>
      </c>
      <c r="AB725" s="20">
        <f>Inputs!$F$217*Operations!AB724</f>
        <v/>
      </c>
      <c r="AC725" s="20">
        <f>Inputs!$F$217*Operations!AC724</f>
        <v/>
      </c>
      <c r="AD725" s="20">
        <f>Inputs!$F$217*Operations!AD724</f>
        <v/>
      </c>
      <c r="AE725" s="20">
        <f>Inputs!$F$217*Operations!AE724</f>
        <v/>
      </c>
      <c r="AF725" s="20">
        <f>Inputs!$F$217*Operations!AF724</f>
        <v/>
      </c>
      <c r="AG725" s="20">
        <f>Inputs!$F$217*Operations!AG724</f>
        <v/>
      </c>
      <c r="AH725" s="20">
        <f>Inputs!$F$217*Operations!AH724</f>
        <v/>
      </c>
      <c r="AI725" s="20">
        <f>Inputs!$F$217*Operations!AI724</f>
        <v/>
      </c>
      <c r="AJ725" s="20">
        <f>Inputs!$F$217*Operations!AJ724</f>
        <v/>
      </c>
      <c r="AK725" s="20">
        <f>Inputs!$F$217*Operations!AK724</f>
        <v/>
      </c>
      <c r="AL725" s="20">
        <f>Inputs!$F$217*Operations!AL724</f>
        <v/>
      </c>
      <c r="AM725" s="20">
        <f>Inputs!$F$217*Operations!AM724</f>
        <v/>
      </c>
      <c r="AN725" s="20">
        <f>Inputs!$F$217*Operations!AN724</f>
        <v/>
      </c>
      <c r="AO725" s="20">
        <f>Inputs!$F$217*Operations!AO724</f>
        <v/>
      </c>
      <c r="AP725" s="20">
        <f>Inputs!$F$217*Operations!AP724</f>
        <v/>
      </c>
      <c r="AQ725" s="20">
        <f>Inputs!$F$217*Operations!AQ724</f>
        <v/>
      </c>
      <c r="AR725" s="20">
        <f>Inputs!$F$217*Operations!AR724</f>
        <v/>
      </c>
      <c r="AS725" s="20">
        <f>Inputs!$F$217*Operations!AS724</f>
        <v/>
      </c>
      <c r="AT725" s="20">
        <f>Inputs!$F$217*Operations!AT724</f>
        <v/>
      </c>
      <c r="AU725" s="20">
        <f>Inputs!$F$217*Operations!AU724</f>
        <v/>
      </c>
    </row>
    <row r="726">
      <c r="D726" t="inlineStr">
        <is>
          <t>R8 shape hedge settlement (strike less hub x shape factor)</t>
        </is>
      </c>
      <c r="E726" t="inlineStr">
        <is>
          <t>USD m</t>
        </is>
      </c>
      <c r="G726" s="20">
        <f>SUM(J726:AU726)</f>
        <v/>
      </c>
      <c r="J726" s="20">
        <f>Operations!J725*(Inputs!$F$218-Operations!J715*Operations!J721)/1000</f>
        <v/>
      </c>
      <c r="K726" s="20">
        <f>Operations!K725*(Inputs!$F$218-Operations!K715*Operations!K721)/1000</f>
        <v/>
      </c>
      <c r="L726" s="20">
        <f>Operations!L725*(Inputs!$F$218-Operations!L715*Operations!L721)/1000</f>
        <v/>
      </c>
      <c r="M726" s="20">
        <f>Operations!M725*(Inputs!$F$218-Operations!M715*Operations!M721)/1000</f>
        <v/>
      </c>
      <c r="N726" s="20">
        <f>Operations!N725*(Inputs!$F$218-Operations!N715*Operations!N721)/1000</f>
        <v/>
      </c>
      <c r="O726" s="20">
        <f>Operations!O725*(Inputs!$F$218-Operations!O715*Operations!O721)/1000</f>
        <v/>
      </c>
      <c r="P726" s="20">
        <f>Operations!P725*(Inputs!$F$218-Operations!P715*Operations!P721)/1000</f>
        <v/>
      </c>
      <c r="Q726" s="20">
        <f>Operations!Q725*(Inputs!$F$218-Operations!Q715*Operations!Q721)/1000</f>
        <v/>
      </c>
      <c r="R726" s="20">
        <f>Operations!R725*(Inputs!$F$218-Operations!R715*Operations!R721)/1000</f>
        <v/>
      </c>
      <c r="S726" s="20">
        <f>Operations!S725*(Inputs!$F$218-Operations!S715*Operations!S721)/1000</f>
        <v/>
      </c>
      <c r="T726" s="20">
        <f>Operations!T725*(Inputs!$F$218-Operations!T715*Operations!T721)/1000</f>
        <v/>
      </c>
      <c r="U726" s="20">
        <f>Operations!U725*(Inputs!$F$218-Operations!U715*Operations!U721)/1000</f>
        <v/>
      </c>
      <c r="V726" s="20">
        <f>Operations!V725*(Inputs!$F$218-Operations!V715*Operations!V721)/1000</f>
        <v/>
      </c>
      <c r="W726" s="20">
        <f>Operations!W725*(Inputs!$F$218-Operations!W715*Operations!W721)/1000</f>
        <v/>
      </c>
      <c r="X726" s="20">
        <f>Operations!X725*(Inputs!$F$218-Operations!X715*Operations!X721)/1000</f>
        <v/>
      </c>
      <c r="Y726" s="20">
        <f>Operations!Y725*(Inputs!$F$218-Operations!Y715*Operations!Y721)/1000</f>
        <v/>
      </c>
      <c r="Z726" s="20">
        <f>Operations!Z725*(Inputs!$F$218-Operations!Z715*Operations!Z721)/1000</f>
        <v/>
      </c>
      <c r="AA726" s="20">
        <f>Operations!AA725*(Inputs!$F$218-Operations!AA715*Operations!AA721)/1000</f>
        <v/>
      </c>
      <c r="AB726" s="20">
        <f>Operations!AB725*(Inputs!$F$218-Operations!AB715*Operations!AB721)/1000</f>
        <v/>
      </c>
      <c r="AC726" s="20">
        <f>Operations!AC725*(Inputs!$F$218-Operations!AC715*Operations!AC721)/1000</f>
        <v/>
      </c>
      <c r="AD726" s="20">
        <f>Operations!AD725*(Inputs!$F$218-Operations!AD715*Operations!AD721)/1000</f>
        <v/>
      </c>
      <c r="AE726" s="20">
        <f>Operations!AE725*(Inputs!$F$218-Operations!AE715*Operations!AE721)/1000</f>
        <v/>
      </c>
      <c r="AF726" s="20">
        <f>Operations!AF725*(Inputs!$F$218-Operations!AF715*Operations!AF721)/1000</f>
        <v/>
      </c>
      <c r="AG726" s="20">
        <f>Operations!AG725*(Inputs!$F$218-Operations!AG715*Operations!AG721)/1000</f>
        <v/>
      </c>
      <c r="AH726" s="20">
        <f>Operations!AH725*(Inputs!$F$218-Operations!AH715*Operations!AH721)/1000</f>
        <v/>
      </c>
      <c r="AI726" s="20">
        <f>Operations!AI725*(Inputs!$F$218-Operations!AI715*Operations!AI721)/1000</f>
        <v/>
      </c>
      <c r="AJ726" s="20">
        <f>Operations!AJ725*(Inputs!$F$218-Operations!AJ715*Operations!AJ721)/1000</f>
        <v/>
      </c>
      <c r="AK726" s="20">
        <f>Operations!AK725*(Inputs!$F$218-Operations!AK715*Operations!AK721)/1000</f>
        <v/>
      </c>
      <c r="AL726" s="20">
        <f>Operations!AL725*(Inputs!$F$218-Operations!AL715*Operations!AL721)/1000</f>
        <v/>
      </c>
      <c r="AM726" s="20">
        <f>Operations!AM725*(Inputs!$F$218-Operations!AM715*Operations!AM721)/1000</f>
        <v/>
      </c>
      <c r="AN726" s="20">
        <f>Operations!AN725*(Inputs!$F$218-Operations!AN715*Operations!AN721)/1000</f>
        <v/>
      </c>
      <c r="AO726" s="20">
        <f>Operations!AO725*(Inputs!$F$218-Operations!AO715*Operations!AO721)/1000</f>
        <v/>
      </c>
      <c r="AP726" s="20">
        <f>Operations!AP725*(Inputs!$F$218-Operations!AP715*Operations!AP721)/1000</f>
        <v/>
      </c>
      <c r="AQ726" s="20">
        <f>Operations!AQ725*(Inputs!$F$218-Operations!AQ715*Operations!AQ721)/1000</f>
        <v/>
      </c>
      <c r="AR726" s="20">
        <f>Operations!AR725*(Inputs!$F$218-Operations!AR715*Operations!AR721)/1000</f>
        <v/>
      </c>
      <c r="AS726" s="20">
        <f>Operations!AS725*(Inputs!$F$218-Operations!AS715*Operations!AS721)/1000</f>
        <v/>
      </c>
      <c r="AT726" s="20">
        <f>Operations!AT725*(Inputs!$F$218-Operations!AT715*Operations!AT721)/1000</f>
        <v/>
      </c>
      <c r="AU726" s="20">
        <f>Operations!AU725*(Inputs!$F$218-Operations!AU715*Operations!AU721)/1000</f>
        <v/>
      </c>
    </row>
    <row r="727">
      <c r="D727" t="inlineStr">
        <is>
          <t>R8 generation sold at node</t>
        </is>
      </c>
      <c r="E727" t="inlineStr">
        <is>
          <t>GWh</t>
        </is>
      </c>
      <c r="J727" s="20">
        <f>Operations!J720</f>
        <v/>
      </c>
      <c r="K727" s="20">
        <f>Operations!K720</f>
        <v/>
      </c>
      <c r="L727" s="20">
        <f>Operations!L720</f>
        <v/>
      </c>
      <c r="M727" s="20">
        <f>Operations!M720</f>
        <v/>
      </c>
      <c r="N727" s="20">
        <f>Operations!N720</f>
        <v/>
      </c>
      <c r="O727" s="20">
        <f>Operations!O720</f>
        <v/>
      </c>
      <c r="P727" s="20">
        <f>Operations!P720</f>
        <v/>
      </c>
      <c r="Q727" s="20">
        <f>Operations!Q720</f>
        <v/>
      </c>
      <c r="R727" s="20">
        <f>Operations!R720</f>
        <v/>
      </c>
      <c r="S727" s="20">
        <f>Operations!S720</f>
        <v/>
      </c>
      <c r="T727" s="20">
        <f>Operations!T720</f>
        <v/>
      </c>
      <c r="U727" s="20">
        <f>Operations!U720</f>
        <v/>
      </c>
      <c r="V727" s="20">
        <f>Operations!V720</f>
        <v/>
      </c>
      <c r="W727" s="20">
        <f>Operations!W720</f>
        <v/>
      </c>
      <c r="X727" s="20">
        <f>Operations!X720</f>
        <v/>
      </c>
      <c r="Y727" s="20">
        <f>Operations!Y720</f>
        <v/>
      </c>
      <c r="Z727" s="20">
        <f>Operations!Z720</f>
        <v/>
      </c>
      <c r="AA727" s="20">
        <f>Operations!AA720</f>
        <v/>
      </c>
      <c r="AB727" s="20">
        <f>Operations!AB720</f>
        <v/>
      </c>
      <c r="AC727" s="20">
        <f>Operations!AC720</f>
        <v/>
      </c>
      <c r="AD727" s="20">
        <f>Operations!AD720</f>
        <v/>
      </c>
      <c r="AE727" s="20">
        <f>Operations!AE720</f>
        <v/>
      </c>
      <c r="AF727" s="20">
        <f>Operations!AF720</f>
        <v/>
      </c>
      <c r="AG727" s="20">
        <f>Operations!AG720</f>
        <v/>
      </c>
      <c r="AH727" s="20">
        <f>Operations!AH720</f>
        <v/>
      </c>
      <c r="AI727" s="20">
        <f>Operations!AI720</f>
        <v/>
      </c>
      <c r="AJ727" s="20">
        <f>Operations!AJ720</f>
        <v/>
      </c>
      <c r="AK727" s="20">
        <f>Operations!AK720</f>
        <v/>
      </c>
      <c r="AL727" s="20">
        <f>Operations!AL720</f>
        <v/>
      </c>
      <c r="AM727" s="20">
        <f>Operations!AM720</f>
        <v/>
      </c>
      <c r="AN727" s="20">
        <f>Operations!AN720</f>
        <v/>
      </c>
      <c r="AO727" s="20">
        <f>Operations!AO720</f>
        <v/>
      </c>
      <c r="AP727" s="20">
        <f>Operations!AP720</f>
        <v/>
      </c>
      <c r="AQ727" s="20">
        <f>Operations!AQ720</f>
        <v/>
      </c>
      <c r="AR727" s="20">
        <f>Operations!AR720</f>
        <v/>
      </c>
      <c r="AS727" s="20">
        <f>Operations!AS720</f>
        <v/>
      </c>
      <c r="AT727" s="20">
        <f>Operations!AT720</f>
        <v/>
      </c>
      <c r="AU727" s="20">
        <f>Operations!AU720</f>
        <v/>
      </c>
    </row>
    <row r="728">
      <c r="D728" t="inlineStr">
        <is>
          <t>R8 contracted revenue</t>
        </is>
      </c>
      <c r="E728" t="inlineStr">
        <is>
          <t>USD m</t>
        </is>
      </c>
      <c r="J728" s="20">
        <f>0</f>
        <v/>
      </c>
      <c r="K728" s="20">
        <f>0</f>
        <v/>
      </c>
      <c r="L728" s="20">
        <f>0</f>
        <v/>
      </c>
      <c r="M728" s="20">
        <f>0</f>
        <v/>
      </c>
      <c r="N728" s="20">
        <f>0</f>
        <v/>
      </c>
      <c r="O728" s="20">
        <f>0</f>
        <v/>
      </c>
      <c r="P728" s="20">
        <f>0</f>
        <v/>
      </c>
      <c r="Q728" s="20">
        <f>0</f>
        <v/>
      </c>
      <c r="R728" s="20">
        <f>0</f>
        <v/>
      </c>
      <c r="S728" s="20">
        <f>0</f>
        <v/>
      </c>
      <c r="T728" s="20">
        <f>0</f>
        <v/>
      </c>
      <c r="U728" s="20">
        <f>0</f>
        <v/>
      </c>
      <c r="V728" s="20">
        <f>0</f>
        <v/>
      </c>
      <c r="W728" s="20">
        <f>0</f>
        <v/>
      </c>
      <c r="X728" s="20">
        <f>0</f>
        <v/>
      </c>
      <c r="Y728" s="20">
        <f>0</f>
        <v/>
      </c>
      <c r="Z728" s="20">
        <f>0</f>
        <v/>
      </c>
      <c r="AA728" s="20">
        <f>0</f>
        <v/>
      </c>
      <c r="AB728" s="20">
        <f>0</f>
        <v/>
      </c>
      <c r="AC728" s="20">
        <f>0</f>
        <v/>
      </c>
      <c r="AD728" s="20">
        <f>0</f>
        <v/>
      </c>
      <c r="AE728" s="20">
        <f>0</f>
        <v/>
      </c>
      <c r="AF728" s="20">
        <f>0</f>
        <v/>
      </c>
      <c r="AG728" s="20">
        <f>0</f>
        <v/>
      </c>
      <c r="AH728" s="20">
        <f>0</f>
        <v/>
      </c>
      <c r="AI728" s="20">
        <f>0</f>
        <v/>
      </c>
      <c r="AJ728" s="20">
        <f>0</f>
        <v/>
      </c>
      <c r="AK728" s="20">
        <f>0</f>
        <v/>
      </c>
      <c r="AL728" s="20">
        <f>0</f>
        <v/>
      </c>
      <c r="AM728" s="20">
        <f>0</f>
        <v/>
      </c>
      <c r="AN728" s="20">
        <f>0</f>
        <v/>
      </c>
      <c r="AO728" s="20">
        <f>0</f>
        <v/>
      </c>
      <c r="AP728" s="20">
        <f>0</f>
        <v/>
      </c>
      <c r="AQ728" s="20">
        <f>0</f>
        <v/>
      </c>
      <c r="AR728" s="20">
        <f>0</f>
        <v/>
      </c>
      <c r="AS728" s="20">
        <f>0</f>
        <v/>
      </c>
      <c r="AT728" s="20">
        <f>0</f>
        <v/>
      </c>
      <c r="AU728" s="20">
        <f>0</f>
        <v/>
      </c>
    </row>
    <row r="729">
      <c r="D729" t="inlineStr">
        <is>
          <t>R8 hedged revenue (volume x strike)</t>
        </is>
      </c>
      <c r="E729" t="inlineStr">
        <is>
          <t>USD m</t>
        </is>
      </c>
      <c r="J729" s="20">
        <f>Operations!J725*Inputs!$F$218/1000</f>
        <v/>
      </c>
      <c r="K729" s="20">
        <f>Operations!K725*Inputs!$F$218/1000</f>
        <v/>
      </c>
      <c r="L729" s="20">
        <f>Operations!L725*Inputs!$F$218/1000</f>
        <v/>
      </c>
      <c r="M729" s="20">
        <f>Operations!M725*Inputs!$F$218/1000</f>
        <v/>
      </c>
      <c r="N729" s="20">
        <f>Operations!N725*Inputs!$F$218/1000</f>
        <v/>
      </c>
      <c r="O729" s="20">
        <f>Operations!O725*Inputs!$F$218/1000</f>
        <v/>
      </c>
      <c r="P729" s="20">
        <f>Operations!P725*Inputs!$F$218/1000</f>
        <v/>
      </c>
      <c r="Q729" s="20">
        <f>Operations!Q725*Inputs!$F$218/1000</f>
        <v/>
      </c>
      <c r="R729" s="20">
        <f>Operations!R725*Inputs!$F$218/1000</f>
        <v/>
      </c>
      <c r="S729" s="20">
        <f>Operations!S725*Inputs!$F$218/1000</f>
        <v/>
      </c>
      <c r="T729" s="20">
        <f>Operations!T725*Inputs!$F$218/1000</f>
        <v/>
      </c>
      <c r="U729" s="20">
        <f>Operations!U725*Inputs!$F$218/1000</f>
        <v/>
      </c>
      <c r="V729" s="20">
        <f>Operations!V725*Inputs!$F$218/1000</f>
        <v/>
      </c>
      <c r="W729" s="20">
        <f>Operations!W725*Inputs!$F$218/1000</f>
        <v/>
      </c>
      <c r="X729" s="20">
        <f>Operations!X725*Inputs!$F$218/1000</f>
        <v/>
      </c>
      <c r="Y729" s="20">
        <f>Operations!Y725*Inputs!$F$218/1000</f>
        <v/>
      </c>
      <c r="Z729" s="20">
        <f>Operations!Z725*Inputs!$F$218/1000</f>
        <v/>
      </c>
      <c r="AA729" s="20">
        <f>Operations!AA725*Inputs!$F$218/1000</f>
        <v/>
      </c>
      <c r="AB729" s="20">
        <f>Operations!AB725*Inputs!$F$218/1000</f>
        <v/>
      </c>
      <c r="AC729" s="20">
        <f>Operations!AC725*Inputs!$F$218/1000</f>
        <v/>
      </c>
      <c r="AD729" s="20">
        <f>Operations!AD725*Inputs!$F$218/1000</f>
        <v/>
      </c>
      <c r="AE729" s="20">
        <f>Operations!AE725*Inputs!$F$218/1000</f>
        <v/>
      </c>
      <c r="AF729" s="20">
        <f>Operations!AF725*Inputs!$F$218/1000</f>
        <v/>
      </c>
      <c r="AG729" s="20">
        <f>Operations!AG725*Inputs!$F$218/1000</f>
        <v/>
      </c>
      <c r="AH729" s="20">
        <f>Operations!AH725*Inputs!$F$218/1000</f>
        <v/>
      </c>
      <c r="AI729" s="20">
        <f>Operations!AI725*Inputs!$F$218/1000</f>
        <v/>
      </c>
      <c r="AJ729" s="20">
        <f>Operations!AJ725*Inputs!$F$218/1000</f>
        <v/>
      </c>
      <c r="AK729" s="20">
        <f>Operations!AK725*Inputs!$F$218/1000</f>
        <v/>
      </c>
      <c r="AL729" s="20">
        <f>Operations!AL725*Inputs!$F$218/1000</f>
        <v/>
      </c>
      <c r="AM729" s="20">
        <f>Operations!AM725*Inputs!$F$218/1000</f>
        <v/>
      </c>
      <c r="AN729" s="20">
        <f>Operations!AN725*Inputs!$F$218/1000</f>
        <v/>
      </c>
      <c r="AO729" s="20">
        <f>Operations!AO725*Inputs!$F$218/1000</f>
        <v/>
      </c>
      <c r="AP729" s="20">
        <f>Operations!AP725*Inputs!$F$218/1000</f>
        <v/>
      </c>
      <c r="AQ729" s="20">
        <f>Operations!AQ725*Inputs!$F$218/1000</f>
        <v/>
      </c>
      <c r="AR729" s="20">
        <f>Operations!AR725*Inputs!$F$218/1000</f>
        <v/>
      </c>
      <c r="AS729" s="20">
        <f>Operations!AS725*Inputs!$F$218/1000</f>
        <v/>
      </c>
      <c r="AT729" s="20">
        <f>Operations!AT725*Inputs!$F$218/1000</f>
        <v/>
      </c>
      <c r="AU729" s="20">
        <f>Operations!AU725*Inputs!$F$218/1000</f>
        <v/>
      </c>
    </row>
    <row r="730">
      <c r="D730" t="inlineStr">
        <is>
          <t>R8 market revenue at node</t>
        </is>
      </c>
      <c r="E730" t="inlineStr">
        <is>
          <t>USD m</t>
        </is>
      </c>
      <c r="G730" s="20">
        <f>SUM(J730:AU730)</f>
        <v/>
      </c>
      <c r="J730" s="20">
        <f>Operations!J727*Operations!J723/1000</f>
        <v/>
      </c>
      <c r="K730" s="20">
        <f>Operations!K727*Operations!K723/1000</f>
        <v/>
      </c>
      <c r="L730" s="20">
        <f>Operations!L727*Operations!L723/1000</f>
        <v/>
      </c>
      <c r="M730" s="20">
        <f>Operations!M727*Operations!M723/1000</f>
        <v/>
      </c>
      <c r="N730" s="20">
        <f>Operations!N727*Operations!N723/1000</f>
        <v/>
      </c>
      <c r="O730" s="20">
        <f>Operations!O727*Operations!O723/1000</f>
        <v/>
      </c>
      <c r="P730" s="20">
        <f>Operations!P727*Operations!P723/1000</f>
        <v/>
      </c>
      <c r="Q730" s="20">
        <f>Operations!Q727*Operations!Q723/1000</f>
        <v/>
      </c>
      <c r="R730" s="20">
        <f>Operations!R727*Operations!R723/1000</f>
        <v/>
      </c>
      <c r="S730" s="20">
        <f>Operations!S727*Operations!S723/1000</f>
        <v/>
      </c>
      <c r="T730" s="20">
        <f>Operations!T727*Operations!T723/1000</f>
        <v/>
      </c>
      <c r="U730" s="20">
        <f>Operations!U727*Operations!U723/1000</f>
        <v/>
      </c>
      <c r="V730" s="20">
        <f>Operations!V727*Operations!V723/1000</f>
        <v/>
      </c>
      <c r="W730" s="20">
        <f>Operations!W727*Operations!W723/1000</f>
        <v/>
      </c>
      <c r="X730" s="20">
        <f>Operations!X727*Operations!X723/1000</f>
        <v/>
      </c>
      <c r="Y730" s="20">
        <f>Operations!Y727*Operations!Y723/1000</f>
        <v/>
      </c>
      <c r="Z730" s="20">
        <f>Operations!Z727*Operations!Z723/1000</f>
        <v/>
      </c>
      <c r="AA730" s="20">
        <f>Operations!AA727*Operations!AA723/1000</f>
        <v/>
      </c>
      <c r="AB730" s="20">
        <f>Operations!AB727*Operations!AB723/1000</f>
        <v/>
      </c>
      <c r="AC730" s="20">
        <f>Operations!AC727*Operations!AC723/1000</f>
        <v/>
      </c>
      <c r="AD730" s="20">
        <f>Operations!AD727*Operations!AD723/1000</f>
        <v/>
      </c>
      <c r="AE730" s="20">
        <f>Operations!AE727*Operations!AE723/1000</f>
        <v/>
      </c>
      <c r="AF730" s="20">
        <f>Operations!AF727*Operations!AF723/1000</f>
        <v/>
      </c>
      <c r="AG730" s="20">
        <f>Operations!AG727*Operations!AG723/1000</f>
        <v/>
      </c>
      <c r="AH730" s="20">
        <f>Operations!AH727*Operations!AH723/1000</f>
        <v/>
      </c>
      <c r="AI730" s="20">
        <f>Operations!AI727*Operations!AI723/1000</f>
        <v/>
      </c>
      <c r="AJ730" s="20">
        <f>Operations!AJ727*Operations!AJ723/1000</f>
        <v/>
      </c>
      <c r="AK730" s="20">
        <f>Operations!AK727*Operations!AK723/1000</f>
        <v/>
      </c>
      <c r="AL730" s="20">
        <f>Operations!AL727*Operations!AL723/1000</f>
        <v/>
      </c>
      <c r="AM730" s="20">
        <f>Operations!AM727*Operations!AM723/1000</f>
        <v/>
      </c>
      <c r="AN730" s="20">
        <f>Operations!AN727*Operations!AN723/1000</f>
        <v/>
      </c>
      <c r="AO730" s="20">
        <f>Operations!AO727*Operations!AO723/1000</f>
        <v/>
      </c>
      <c r="AP730" s="20">
        <f>Operations!AP727*Operations!AP723/1000</f>
        <v/>
      </c>
      <c r="AQ730" s="20">
        <f>Operations!AQ727*Operations!AQ723/1000</f>
        <v/>
      </c>
      <c r="AR730" s="20">
        <f>Operations!AR727*Operations!AR723/1000</f>
        <v/>
      </c>
      <c r="AS730" s="20">
        <f>Operations!AS727*Operations!AS723/1000</f>
        <v/>
      </c>
      <c r="AT730" s="20">
        <f>Operations!AT727*Operations!AT723/1000</f>
        <v/>
      </c>
      <c r="AU730" s="20">
        <f>Operations!AU727*Operations!AU723/1000</f>
        <v/>
      </c>
    </row>
    <row r="731">
      <c r="D731" t="inlineStr">
        <is>
          <t>R8 total revenue</t>
        </is>
      </c>
      <c r="E731" t="inlineStr">
        <is>
          <t>USD m</t>
        </is>
      </c>
      <c r="G731" s="20">
        <f>SUM(J731:AU731)</f>
        <v/>
      </c>
      <c r="J731" s="20">
        <f>Operations!J730+Operations!J726</f>
        <v/>
      </c>
      <c r="K731" s="20">
        <f>Operations!K730+Operations!K726</f>
        <v/>
      </c>
      <c r="L731" s="20">
        <f>Operations!L730+Operations!L726</f>
        <v/>
      </c>
      <c r="M731" s="20">
        <f>Operations!M730+Operations!M726</f>
        <v/>
      </c>
      <c r="N731" s="20">
        <f>Operations!N730+Operations!N726</f>
        <v/>
      </c>
      <c r="O731" s="20">
        <f>Operations!O730+Operations!O726</f>
        <v/>
      </c>
      <c r="P731" s="20">
        <f>Operations!P730+Operations!P726</f>
        <v/>
      </c>
      <c r="Q731" s="20">
        <f>Operations!Q730+Operations!Q726</f>
        <v/>
      </c>
      <c r="R731" s="20">
        <f>Operations!R730+Operations!R726</f>
        <v/>
      </c>
      <c r="S731" s="20">
        <f>Operations!S730+Operations!S726</f>
        <v/>
      </c>
      <c r="T731" s="20">
        <f>Operations!T730+Operations!T726</f>
        <v/>
      </c>
      <c r="U731" s="20">
        <f>Operations!U730+Operations!U726</f>
        <v/>
      </c>
      <c r="V731" s="20">
        <f>Operations!V730+Operations!V726</f>
        <v/>
      </c>
      <c r="W731" s="20">
        <f>Operations!W730+Operations!W726</f>
        <v/>
      </c>
      <c r="X731" s="20">
        <f>Operations!X730+Operations!X726</f>
        <v/>
      </c>
      <c r="Y731" s="20">
        <f>Operations!Y730+Operations!Y726</f>
        <v/>
      </c>
      <c r="Z731" s="20">
        <f>Operations!Z730+Operations!Z726</f>
        <v/>
      </c>
      <c r="AA731" s="20">
        <f>Operations!AA730+Operations!AA726</f>
        <v/>
      </c>
      <c r="AB731" s="20">
        <f>Operations!AB730+Operations!AB726</f>
        <v/>
      </c>
      <c r="AC731" s="20">
        <f>Operations!AC730+Operations!AC726</f>
        <v/>
      </c>
      <c r="AD731" s="20">
        <f>Operations!AD730+Operations!AD726</f>
        <v/>
      </c>
      <c r="AE731" s="20">
        <f>Operations!AE730+Operations!AE726</f>
        <v/>
      </c>
      <c r="AF731" s="20">
        <f>Operations!AF730+Operations!AF726</f>
        <v/>
      </c>
      <c r="AG731" s="20">
        <f>Operations!AG730+Operations!AG726</f>
        <v/>
      </c>
      <c r="AH731" s="20">
        <f>Operations!AH730+Operations!AH726</f>
        <v/>
      </c>
      <c r="AI731" s="20">
        <f>Operations!AI730+Operations!AI726</f>
        <v/>
      </c>
      <c r="AJ731" s="20">
        <f>Operations!AJ730+Operations!AJ726</f>
        <v/>
      </c>
      <c r="AK731" s="20">
        <f>Operations!AK730+Operations!AK726</f>
        <v/>
      </c>
      <c r="AL731" s="20">
        <f>Operations!AL730+Operations!AL726</f>
        <v/>
      </c>
      <c r="AM731" s="20">
        <f>Operations!AM730+Operations!AM726</f>
        <v/>
      </c>
      <c r="AN731" s="20">
        <f>Operations!AN730+Operations!AN726</f>
        <v/>
      </c>
      <c r="AO731" s="20">
        <f>Operations!AO730+Operations!AO726</f>
        <v/>
      </c>
      <c r="AP731" s="20">
        <f>Operations!AP730+Operations!AP726</f>
        <v/>
      </c>
      <c r="AQ731" s="20">
        <f>Operations!AQ730+Operations!AQ726</f>
        <v/>
      </c>
      <c r="AR731" s="20">
        <f>Operations!AR730+Operations!AR726</f>
        <v/>
      </c>
      <c r="AS731" s="20">
        <f>Operations!AS730+Operations!AS726</f>
        <v/>
      </c>
      <c r="AT731" s="20">
        <f>Operations!AT730+Operations!AT726</f>
        <v/>
      </c>
      <c r="AU731" s="20">
        <f>Operations!AU730+Operations!AU726</f>
        <v/>
      </c>
    </row>
    <row r="732">
      <c r="D732" t="inlineStr">
        <is>
          <t>R8 merchant revenue (total less contracted and hedged)</t>
        </is>
      </c>
      <c r="E732" t="inlineStr">
        <is>
          <t>USD m</t>
        </is>
      </c>
      <c r="J732" s="20">
        <f>Operations!J731-Operations!J728-Operations!J729</f>
        <v/>
      </c>
      <c r="K732" s="20">
        <f>Operations!K731-Operations!K728-Operations!K729</f>
        <v/>
      </c>
      <c r="L732" s="20">
        <f>Operations!L731-Operations!L728-Operations!L729</f>
        <v/>
      </c>
      <c r="M732" s="20">
        <f>Operations!M731-Operations!M728-Operations!M729</f>
        <v/>
      </c>
      <c r="N732" s="20">
        <f>Operations!N731-Operations!N728-Operations!N729</f>
        <v/>
      </c>
      <c r="O732" s="20">
        <f>Operations!O731-Operations!O728-Operations!O729</f>
        <v/>
      </c>
      <c r="P732" s="20">
        <f>Operations!P731-Operations!P728-Operations!P729</f>
        <v/>
      </c>
      <c r="Q732" s="20">
        <f>Operations!Q731-Operations!Q728-Operations!Q729</f>
        <v/>
      </c>
      <c r="R732" s="20">
        <f>Operations!R731-Operations!R728-Operations!R729</f>
        <v/>
      </c>
      <c r="S732" s="20">
        <f>Operations!S731-Operations!S728-Operations!S729</f>
        <v/>
      </c>
      <c r="T732" s="20">
        <f>Operations!T731-Operations!T728-Operations!T729</f>
        <v/>
      </c>
      <c r="U732" s="20">
        <f>Operations!U731-Operations!U728-Operations!U729</f>
        <v/>
      </c>
      <c r="V732" s="20">
        <f>Operations!V731-Operations!V728-Operations!V729</f>
        <v/>
      </c>
      <c r="W732" s="20">
        <f>Operations!W731-Operations!W728-Operations!W729</f>
        <v/>
      </c>
      <c r="X732" s="20">
        <f>Operations!X731-Operations!X728-Operations!X729</f>
        <v/>
      </c>
      <c r="Y732" s="20">
        <f>Operations!Y731-Operations!Y728-Operations!Y729</f>
        <v/>
      </c>
      <c r="Z732" s="20">
        <f>Operations!Z731-Operations!Z728-Operations!Z729</f>
        <v/>
      </c>
      <c r="AA732" s="20">
        <f>Operations!AA731-Operations!AA728-Operations!AA729</f>
        <v/>
      </c>
      <c r="AB732" s="20">
        <f>Operations!AB731-Operations!AB728-Operations!AB729</f>
        <v/>
      </c>
      <c r="AC732" s="20">
        <f>Operations!AC731-Operations!AC728-Operations!AC729</f>
        <v/>
      </c>
      <c r="AD732" s="20">
        <f>Operations!AD731-Operations!AD728-Operations!AD729</f>
        <v/>
      </c>
      <c r="AE732" s="20">
        <f>Operations!AE731-Operations!AE728-Operations!AE729</f>
        <v/>
      </c>
      <c r="AF732" s="20">
        <f>Operations!AF731-Operations!AF728-Operations!AF729</f>
        <v/>
      </c>
      <c r="AG732" s="20">
        <f>Operations!AG731-Operations!AG728-Operations!AG729</f>
        <v/>
      </c>
      <c r="AH732" s="20">
        <f>Operations!AH731-Operations!AH728-Operations!AH729</f>
        <v/>
      </c>
      <c r="AI732" s="20">
        <f>Operations!AI731-Operations!AI728-Operations!AI729</f>
        <v/>
      </c>
      <c r="AJ732" s="20">
        <f>Operations!AJ731-Operations!AJ728-Operations!AJ729</f>
        <v/>
      </c>
      <c r="AK732" s="20">
        <f>Operations!AK731-Operations!AK728-Operations!AK729</f>
        <v/>
      </c>
      <c r="AL732" s="20">
        <f>Operations!AL731-Operations!AL728-Operations!AL729</f>
        <v/>
      </c>
      <c r="AM732" s="20">
        <f>Operations!AM731-Operations!AM728-Operations!AM729</f>
        <v/>
      </c>
      <c r="AN732" s="20">
        <f>Operations!AN731-Operations!AN728-Operations!AN729</f>
        <v/>
      </c>
      <c r="AO732" s="20">
        <f>Operations!AO731-Operations!AO728-Operations!AO729</f>
        <v/>
      </c>
      <c r="AP732" s="20">
        <f>Operations!AP731-Operations!AP728-Operations!AP729</f>
        <v/>
      </c>
      <c r="AQ732" s="20">
        <f>Operations!AQ731-Operations!AQ728-Operations!AQ729</f>
        <v/>
      </c>
      <c r="AR732" s="20">
        <f>Operations!AR731-Operations!AR728-Operations!AR729</f>
        <v/>
      </c>
      <c r="AS732" s="20">
        <f>Operations!AS731-Operations!AS728-Operations!AS729</f>
        <v/>
      </c>
      <c r="AT732" s="20">
        <f>Operations!AT731-Operations!AT728-Operations!AT729</f>
        <v/>
      </c>
      <c r="AU732" s="20">
        <f>Operations!AU731-Operations!AU728-Operations!AU729</f>
        <v/>
      </c>
    </row>
    <row r="733">
      <c r="D733" t="inlineStr">
        <is>
          <t>R8 opex (O&amp;M, land, insurance, property tax, site)</t>
        </is>
      </c>
      <c r="E733" t="inlineStr">
        <is>
          <t>USD m</t>
        </is>
      </c>
      <c r="J733" s="20">
        <f>Inputs!$F$171*Inputs!$F$167/1000*Time!J$9*Time!J$10*Operations!J712*Operations!$F$421</f>
        <v/>
      </c>
      <c r="K733" s="20">
        <f>Inputs!$F$171*Inputs!$F$167/1000*Time!K$9*Time!K$10*Operations!K712*Operations!$F$421</f>
        <v/>
      </c>
      <c r="L733" s="20">
        <f>Inputs!$F$171*Inputs!$F$167/1000*Time!L$9*Time!L$10*Operations!L712*Operations!$F$421</f>
        <v/>
      </c>
      <c r="M733" s="20">
        <f>Inputs!$F$171*Inputs!$F$167/1000*Time!M$9*Time!M$10*Operations!M712*Operations!$F$421</f>
        <v/>
      </c>
      <c r="N733" s="20">
        <f>Inputs!$F$171*Inputs!$F$167/1000*Time!N$9*Time!N$10*Operations!N712*Operations!$F$421</f>
        <v/>
      </c>
      <c r="O733" s="20">
        <f>Inputs!$F$171*Inputs!$F$167/1000*Time!O$9*Time!O$10*Operations!O712*Operations!$F$421</f>
        <v/>
      </c>
      <c r="P733" s="20">
        <f>Inputs!$F$171*Inputs!$F$167/1000*Time!P$9*Time!P$10*Operations!P712*Operations!$F$421</f>
        <v/>
      </c>
      <c r="Q733" s="20">
        <f>Inputs!$F$171*Inputs!$F$167/1000*Time!Q$9*Time!Q$10*Operations!Q712*Operations!$F$421</f>
        <v/>
      </c>
      <c r="R733" s="20">
        <f>Inputs!$F$171*Inputs!$F$167/1000*Time!R$9*Time!R$10*Operations!R712*Operations!$F$421</f>
        <v/>
      </c>
      <c r="S733" s="20">
        <f>Inputs!$F$171*Inputs!$F$167/1000*Time!S$9*Time!S$10*Operations!S712*Operations!$F$421</f>
        <v/>
      </c>
      <c r="T733" s="20">
        <f>Inputs!$F$171*Inputs!$F$167/1000*Time!T$9*Time!T$10*Operations!T712*Operations!$F$421</f>
        <v/>
      </c>
      <c r="U733" s="20">
        <f>Inputs!$F$171*Inputs!$F$167/1000*Time!U$9*Time!U$10*Operations!U712*Operations!$F$421</f>
        <v/>
      </c>
      <c r="V733" s="20">
        <f>Inputs!$F$171*Inputs!$F$167/1000*Time!V$9*Time!V$10*Operations!V712*Operations!$F$421</f>
        <v/>
      </c>
      <c r="W733" s="20">
        <f>Inputs!$F$171*Inputs!$F$167/1000*Time!W$9*Time!W$10*Operations!W712*Operations!$F$421</f>
        <v/>
      </c>
      <c r="X733" s="20">
        <f>Inputs!$F$171*Inputs!$F$167/1000*Time!X$9*Time!X$10*Operations!X712*Operations!$F$421</f>
        <v/>
      </c>
      <c r="Y733" s="20">
        <f>Inputs!$F$171*Inputs!$F$167/1000*Time!Y$9*Time!Y$10*Operations!Y712*Operations!$F$421</f>
        <v/>
      </c>
      <c r="Z733" s="20">
        <f>Inputs!$F$171*Inputs!$F$167/1000*Time!Z$9*Time!Z$10*Operations!Z712*Operations!$F$421</f>
        <v/>
      </c>
      <c r="AA733" s="20">
        <f>Inputs!$F$171*Inputs!$F$167/1000*Time!AA$9*Time!AA$10*Operations!AA712*Operations!$F$421</f>
        <v/>
      </c>
      <c r="AB733" s="20">
        <f>Inputs!$F$171*Inputs!$F$167/1000*Time!AB$9*Time!AB$10*Operations!AB712*Operations!$F$421</f>
        <v/>
      </c>
      <c r="AC733" s="20">
        <f>Inputs!$F$171*Inputs!$F$167/1000*Time!AC$9*Time!AC$10*Operations!AC712*Operations!$F$421</f>
        <v/>
      </c>
      <c r="AD733" s="20">
        <f>Inputs!$F$171*Inputs!$F$167/1000*Time!AD$9*Time!AD$10*Operations!AD712*Operations!$F$421</f>
        <v/>
      </c>
      <c r="AE733" s="20">
        <f>Inputs!$F$171*Inputs!$F$167/1000*Time!AE$9*Time!AE$10*Operations!AE712*Operations!$F$421</f>
        <v/>
      </c>
      <c r="AF733" s="20">
        <f>Inputs!$F$171*Inputs!$F$167/1000*Time!AF$9*Time!AF$10*Operations!AF712*Operations!$F$421</f>
        <v/>
      </c>
      <c r="AG733" s="20">
        <f>Inputs!$F$171*Inputs!$F$167/1000*Time!AG$9*Time!AG$10*Operations!AG712*Operations!$F$421</f>
        <v/>
      </c>
      <c r="AH733" s="20">
        <f>Inputs!$F$171*Inputs!$F$167/1000*Time!AH$9*Time!AH$10*Operations!AH712*Operations!$F$421</f>
        <v/>
      </c>
      <c r="AI733" s="20">
        <f>Inputs!$F$171*Inputs!$F$167/1000*Time!AI$9*Time!AI$10*Operations!AI712*Operations!$F$421</f>
        <v/>
      </c>
      <c r="AJ733" s="20">
        <f>Inputs!$F$171*Inputs!$F$167/1000*Time!AJ$9*Time!AJ$10*Operations!AJ712*Operations!$F$421</f>
        <v/>
      </c>
      <c r="AK733" s="20">
        <f>Inputs!$F$171*Inputs!$F$167/1000*Time!AK$9*Time!AK$10*Operations!AK712*Operations!$F$421</f>
        <v/>
      </c>
      <c r="AL733" s="20">
        <f>Inputs!$F$171*Inputs!$F$167/1000*Time!AL$9*Time!AL$10*Operations!AL712*Operations!$F$421</f>
        <v/>
      </c>
      <c r="AM733" s="20">
        <f>Inputs!$F$171*Inputs!$F$167/1000*Time!AM$9*Time!AM$10*Operations!AM712*Operations!$F$421</f>
        <v/>
      </c>
      <c r="AN733" s="20">
        <f>Inputs!$F$171*Inputs!$F$167/1000*Time!AN$9*Time!AN$10*Operations!AN712*Operations!$F$421</f>
        <v/>
      </c>
      <c r="AO733" s="20">
        <f>Inputs!$F$171*Inputs!$F$167/1000*Time!AO$9*Time!AO$10*Operations!AO712*Operations!$F$421</f>
        <v/>
      </c>
      <c r="AP733" s="20">
        <f>Inputs!$F$171*Inputs!$F$167/1000*Time!AP$9*Time!AP$10*Operations!AP712*Operations!$F$421</f>
        <v/>
      </c>
      <c r="AQ733" s="20">
        <f>Inputs!$F$171*Inputs!$F$167/1000*Time!AQ$9*Time!AQ$10*Operations!AQ712*Operations!$F$421</f>
        <v/>
      </c>
      <c r="AR733" s="20">
        <f>Inputs!$F$171*Inputs!$F$167/1000*Time!AR$9*Time!AR$10*Operations!AR712*Operations!$F$421</f>
        <v/>
      </c>
      <c r="AS733" s="20">
        <f>Inputs!$F$171*Inputs!$F$167/1000*Time!AS$9*Time!AS$10*Operations!AS712*Operations!$F$421</f>
        <v/>
      </c>
      <c r="AT733" s="20">
        <f>Inputs!$F$171*Inputs!$F$167/1000*Time!AT$9*Time!AT$10*Operations!AT712*Operations!$F$421</f>
        <v/>
      </c>
      <c r="AU733" s="20">
        <f>Inputs!$F$171*Inputs!$F$167/1000*Time!AU$9*Time!AU$10*Operations!AU712*Operations!$F$421</f>
        <v/>
      </c>
    </row>
    <row r="734">
      <c r="D734" t="inlineStr">
        <is>
          <t>R8 land lease (in opex)</t>
        </is>
      </c>
      <c r="E734" t="inlineStr">
        <is>
          <t>USD m</t>
        </is>
      </c>
      <c r="J734" s="20">
        <f>0</f>
        <v/>
      </c>
      <c r="K734" s="20">
        <f>0</f>
        <v/>
      </c>
      <c r="L734" s="20">
        <f>0</f>
        <v/>
      </c>
      <c r="M734" s="20">
        <f>0</f>
        <v/>
      </c>
      <c r="N734" s="20">
        <f>0</f>
        <v/>
      </c>
      <c r="O734" s="20">
        <f>0</f>
        <v/>
      </c>
      <c r="P734" s="20">
        <f>0</f>
        <v/>
      </c>
      <c r="Q734" s="20">
        <f>0</f>
        <v/>
      </c>
      <c r="R734" s="20">
        <f>0</f>
        <v/>
      </c>
      <c r="S734" s="20">
        <f>0</f>
        <v/>
      </c>
      <c r="T734" s="20">
        <f>0</f>
        <v/>
      </c>
      <c r="U734" s="20">
        <f>0</f>
        <v/>
      </c>
      <c r="V734" s="20">
        <f>0</f>
        <v/>
      </c>
      <c r="W734" s="20">
        <f>0</f>
        <v/>
      </c>
      <c r="X734" s="20">
        <f>0</f>
        <v/>
      </c>
      <c r="Y734" s="20">
        <f>0</f>
        <v/>
      </c>
      <c r="Z734" s="20">
        <f>0</f>
        <v/>
      </c>
      <c r="AA734" s="20">
        <f>0</f>
        <v/>
      </c>
      <c r="AB734" s="20">
        <f>0</f>
        <v/>
      </c>
      <c r="AC734" s="20">
        <f>0</f>
        <v/>
      </c>
      <c r="AD734" s="20">
        <f>0</f>
        <v/>
      </c>
      <c r="AE734" s="20">
        <f>0</f>
        <v/>
      </c>
      <c r="AF734" s="20">
        <f>0</f>
        <v/>
      </c>
      <c r="AG734" s="20">
        <f>0</f>
        <v/>
      </c>
      <c r="AH734" s="20">
        <f>0</f>
        <v/>
      </c>
      <c r="AI734" s="20">
        <f>0</f>
        <v/>
      </c>
      <c r="AJ734" s="20">
        <f>0</f>
        <v/>
      </c>
      <c r="AK734" s="20">
        <f>0</f>
        <v/>
      </c>
      <c r="AL734" s="20">
        <f>0</f>
        <v/>
      </c>
      <c r="AM734" s="20">
        <f>0</f>
        <v/>
      </c>
      <c r="AN734" s="20">
        <f>0</f>
        <v/>
      </c>
      <c r="AO734" s="20">
        <f>0</f>
        <v/>
      </c>
      <c r="AP734" s="20">
        <f>0</f>
        <v/>
      </c>
      <c r="AQ734" s="20">
        <f>0</f>
        <v/>
      </c>
      <c r="AR734" s="20">
        <f>0</f>
        <v/>
      </c>
      <c r="AS734" s="20">
        <f>0</f>
        <v/>
      </c>
      <c r="AT734" s="20">
        <f>0</f>
        <v/>
      </c>
      <c r="AU734" s="20">
        <f>0</f>
        <v/>
      </c>
    </row>
    <row r="735">
      <c r="D735" t="inlineStr">
        <is>
          <t>R8 decommissioning surety cost</t>
        </is>
      </c>
      <c r="E735" t="inlineStr">
        <is>
          <t>USD m</t>
        </is>
      </c>
      <c r="J735" s="20">
        <f>Inputs!$F$236/100*Inputs!$F$172*Inputs!$F$167/1000*Time!J$9*Operations!J712</f>
        <v/>
      </c>
      <c r="K735" s="20">
        <f>Inputs!$F$236/100*Inputs!$F$172*Inputs!$F$167/1000*Time!K$9*Operations!K712</f>
        <v/>
      </c>
      <c r="L735" s="20">
        <f>Inputs!$F$236/100*Inputs!$F$172*Inputs!$F$167/1000*Time!L$9*Operations!L712</f>
        <v/>
      </c>
      <c r="M735" s="20">
        <f>Inputs!$F$236/100*Inputs!$F$172*Inputs!$F$167/1000*Time!M$9*Operations!M712</f>
        <v/>
      </c>
      <c r="N735" s="20">
        <f>Inputs!$F$236/100*Inputs!$F$172*Inputs!$F$167/1000*Time!N$9*Operations!N712</f>
        <v/>
      </c>
      <c r="O735" s="20">
        <f>Inputs!$F$236/100*Inputs!$F$172*Inputs!$F$167/1000*Time!O$9*Operations!O712</f>
        <v/>
      </c>
      <c r="P735" s="20">
        <f>Inputs!$F$236/100*Inputs!$F$172*Inputs!$F$167/1000*Time!P$9*Operations!P712</f>
        <v/>
      </c>
      <c r="Q735" s="20">
        <f>Inputs!$F$236/100*Inputs!$F$172*Inputs!$F$167/1000*Time!Q$9*Operations!Q712</f>
        <v/>
      </c>
      <c r="R735" s="20">
        <f>Inputs!$F$236/100*Inputs!$F$172*Inputs!$F$167/1000*Time!R$9*Operations!R712</f>
        <v/>
      </c>
      <c r="S735" s="20">
        <f>Inputs!$F$236/100*Inputs!$F$172*Inputs!$F$167/1000*Time!S$9*Operations!S712</f>
        <v/>
      </c>
      <c r="T735" s="20">
        <f>Inputs!$F$236/100*Inputs!$F$172*Inputs!$F$167/1000*Time!T$9*Operations!T712</f>
        <v/>
      </c>
      <c r="U735" s="20">
        <f>Inputs!$F$236/100*Inputs!$F$172*Inputs!$F$167/1000*Time!U$9*Operations!U712</f>
        <v/>
      </c>
      <c r="V735" s="20">
        <f>Inputs!$F$236/100*Inputs!$F$172*Inputs!$F$167/1000*Time!V$9*Operations!V712</f>
        <v/>
      </c>
      <c r="W735" s="20">
        <f>Inputs!$F$236/100*Inputs!$F$172*Inputs!$F$167/1000*Time!W$9*Operations!W712</f>
        <v/>
      </c>
      <c r="X735" s="20">
        <f>Inputs!$F$236/100*Inputs!$F$172*Inputs!$F$167/1000*Time!X$9*Operations!X712</f>
        <v/>
      </c>
      <c r="Y735" s="20">
        <f>Inputs!$F$236/100*Inputs!$F$172*Inputs!$F$167/1000*Time!Y$9*Operations!Y712</f>
        <v/>
      </c>
      <c r="Z735" s="20">
        <f>Inputs!$F$236/100*Inputs!$F$172*Inputs!$F$167/1000*Time!Z$9*Operations!Z712</f>
        <v/>
      </c>
      <c r="AA735" s="20">
        <f>Inputs!$F$236/100*Inputs!$F$172*Inputs!$F$167/1000*Time!AA$9*Operations!AA712</f>
        <v/>
      </c>
      <c r="AB735" s="20">
        <f>Inputs!$F$236/100*Inputs!$F$172*Inputs!$F$167/1000*Time!AB$9*Operations!AB712</f>
        <v/>
      </c>
      <c r="AC735" s="20">
        <f>Inputs!$F$236/100*Inputs!$F$172*Inputs!$F$167/1000*Time!AC$9*Operations!AC712</f>
        <v/>
      </c>
      <c r="AD735" s="20">
        <f>Inputs!$F$236/100*Inputs!$F$172*Inputs!$F$167/1000*Time!AD$9*Operations!AD712</f>
        <v/>
      </c>
      <c r="AE735" s="20">
        <f>Inputs!$F$236/100*Inputs!$F$172*Inputs!$F$167/1000*Time!AE$9*Operations!AE712</f>
        <v/>
      </c>
      <c r="AF735" s="20">
        <f>Inputs!$F$236/100*Inputs!$F$172*Inputs!$F$167/1000*Time!AF$9*Operations!AF712</f>
        <v/>
      </c>
      <c r="AG735" s="20">
        <f>Inputs!$F$236/100*Inputs!$F$172*Inputs!$F$167/1000*Time!AG$9*Operations!AG712</f>
        <v/>
      </c>
      <c r="AH735" s="20">
        <f>Inputs!$F$236/100*Inputs!$F$172*Inputs!$F$167/1000*Time!AH$9*Operations!AH712</f>
        <v/>
      </c>
      <c r="AI735" s="20">
        <f>Inputs!$F$236/100*Inputs!$F$172*Inputs!$F$167/1000*Time!AI$9*Operations!AI712</f>
        <v/>
      </c>
      <c r="AJ735" s="20">
        <f>Inputs!$F$236/100*Inputs!$F$172*Inputs!$F$167/1000*Time!AJ$9*Operations!AJ712</f>
        <v/>
      </c>
      <c r="AK735" s="20">
        <f>Inputs!$F$236/100*Inputs!$F$172*Inputs!$F$167/1000*Time!AK$9*Operations!AK712</f>
        <v/>
      </c>
      <c r="AL735" s="20">
        <f>Inputs!$F$236/100*Inputs!$F$172*Inputs!$F$167/1000*Time!AL$9*Operations!AL712</f>
        <v/>
      </c>
      <c r="AM735" s="20">
        <f>Inputs!$F$236/100*Inputs!$F$172*Inputs!$F$167/1000*Time!AM$9*Operations!AM712</f>
        <v/>
      </c>
      <c r="AN735" s="20">
        <f>Inputs!$F$236/100*Inputs!$F$172*Inputs!$F$167/1000*Time!AN$9*Operations!AN712</f>
        <v/>
      </c>
      <c r="AO735" s="20">
        <f>Inputs!$F$236/100*Inputs!$F$172*Inputs!$F$167/1000*Time!AO$9*Operations!AO712</f>
        <v/>
      </c>
      <c r="AP735" s="20">
        <f>Inputs!$F$236/100*Inputs!$F$172*Inputs!$F$167/1000*Time!AP$9*Operations!AP712</f>
        <v/>
      </c>
      <c r="AQ735" s="20">
        <f>Inputs!$F$236/100*Inputs!$F$172*Inputs!$F$167/1000*Time!AQ$9*Operations!AQ712</f>
        <v/>
      </c>
      <c r="AR735" s="20">
        <f>Inputs!$F$236/100*Inputs!$F$172*Inputs!$F$167/1000*Time!AR$9*Operations!AR712</f>
        <v/>
      </c>
      <c r="AS735" s="20">
        <f>Inputs!$F$236/100*Inputs!$F$172*Inputs!$F$167/1000*Time!AS$9*Operations!AS712</f>
        <v/>
      </c>
      <c r="AT735" s="20">
        <f>Inputs!$F$236/100*Inputs!$F$172*Inputs!$F$167/1000*Time!AT$9*Operations!AT712</f>
        <v/>
      </c>
      <c r="AU735" s="20">
        <f>Inputs!$F$236/100*Inputs!$F$172*Inputs!$F$167/1000*Time!AU$9*Operations!AU712</f>
        <v/>
      </c>
    </row>
    <row r="736">
      <c r="D736" t="inlineStr">
        <is>
          <t>R8 Texas margin tax</t>
        </is>
      </c>
      <c r="E736" t="inlineStr">
        <is>
          <t>USD m</t>
        </is>
      </c>
      <c r="J736" s="20">
        <f>Inputs!$F$237/100*Inputs!$F$238/100*Operations!J731</f>
        <v/>
      </c>
      <c r="K736" s="20">
        <f>Inputs!$F$237/100*Inputs!$F$238/100*Operations!K731</f>
        <v/>
      </c>
      <c r="L736" s="20">
        <f>Inputs!$F$237/100*Inputs!$F$238/100*Operations!L731</f>
        <v/>
      </c>
      <c r="M736" s="20">
        <f>Inputs!$F$237/100*Inputs!$F$238/100*Operations!M731</f>
        <v/>
      </c>
      <c r="N736" s="20">
        <f>Inputs!$F$237/100*Inputs!$F$238/100*Operations!N731</f>
        <v/>
      </c>
      <c r="O736" s="20">
        <f>Inputs!$F$237/100*Inputs!$F$238/100*Operations!O731</f>
        <v/>
      </c>
      <c r="P736" s="20">
        <f>Inputs!$F$237/100*Inputs!$F$238/100*Operations!P731</f>
        <v/>
      </c>
      <c r="Q736" s="20">
        <f>Inputs!$F$237/100*Inputs!$F$238/100*Operations!Q731</f>
        <v/>
      </c>
      <c r="R736" s="20">
        <f>Inputs!$F$237/100*Inputs!$F$238/100*Operations!R731</f>
        <v/>
      </c>
      <c r="S736" s="20">
        <f>Inputs!$F$237/100*Inputs!$F$238/100*Operations!S731</f>
        <v/>
      </c>
      <c r="T736" s="20">
        <f>Inputs!$F$237/100*Inputs!$F$238/100*Operations!T731</f>
        <v/>
      </c>
      <c r="U736" s="20">
        <f>Inputs!$F$237/100*Inputs!$F$238/100*Operations!U731</f>
        <v/>
      </c>
      <c r="V736" s="20">
        <f>Inputs!$F$237/100*Inputs!$F$238/100*Operations!V731</f>
        <v/>
      </c>
      <c r="W736" s="20">
        <f>Inputs!$F$237/100*Inputs!$F$238/100*Operations!W731</f>
        <v/>
      </c>
      <c r="X736" s="20">
        <f>Inputs!$F$237/100*Inputs!$F$238/100*Operations!X731</f>
        <v/>
      </c>
      <c r="Y736" s="20">
        <f>Inputs!$F$237/100*Inputs!$F$238/100*Operations!Y731</f>
        <v/>
      </c>
      <c r="Z736" s="20">
        <f>Inputs!$F$237/100*Inputs!$F$238/100*Operations!Z731</f>
        <v/>
      </c>
      <c r="AA736" s="20">
        <f>Inputs!$F$237/100*Inputs!$F$238/100*Operations!AA731</f>
        <v/>
      </c>
      <c r="AB736" s="20">
        <f>Inputs!$F$237/100*Inputs!$F$238/100*Operations!AB731</f>
        <v/>
      </c>
      <c r="AC736" s="20">
        <f>Inputs!$F$237/100*Inputs!$F$238/100*Operations!AC731</f>
        <v/>
      </c>
      <c r="AD736" s="20">
        <f>Inputs!$F$237/100*Inputs!$F$238/100*Operations!AD731</f>
        <v/>
      </c>
      <c r="AE736" s="20">
        <f>Inputs!$F$237/100*Inputs!$F$238/100*Operations!AE731</f>
        <v/>
      </c>
      <c r="AF736" s="20">
        <f>Inputs!$F$237/100*Inputs!$F$238/100*Operations!AF731</f>
        <v/>
      </c>
      <c r="AG736" s="20">
        <f>Inputs!$F$237/100*Inputs!$F$238/100*Operations!AG731</f>
        <v/>
      </c>
      <c r="AH736" s="20">
        <f>Inputs!$F$237/100*Inputs!$F$238/100*Operations!AH731</f>
        <v/>
      </c>
      <c r="AI736" s="20">
        <f>Inputs!$F$237/100*Inputs!$F$238/100*Operations!AI731</f>
        <v/>
      </c>
      <c r="AJ736" s="20">
        <f>Inputs!$F$237/100*Inputs!$F$238/100*Operations!AJ731</f>
        <v/>
      </c>
      <c r="AK736" s="20">
        <f>Inputs!$F$237/100*Inputs!$F$238/100*Operations!AK731</f>
        <v/>
      </c>
      <c r="AL736" s="20">
        <f>Inputs!$F$237/100*Inputs!$F$238/100*Operations!AL731</f>
        <v/>
      </c>
      <c r="AM736" s="20">
        <f>Inputs!$F$237/100*Inputs!$F$238/100*Operations!AM731</f>
        <v/>
      </c>
      <c r="AN736" s="20">
        <f>Inputs!$F$237/100*Inputs!$F$238/100*Operations!AN731</f>
        <v/>
      </c>
      <c r="AO736" s="20">
        <f>Inputs!$F$237/100*Inputs!$F$238/100*Operations!AO731</f>
        <v/>
      </c>
      <c r="AP736" s="20">
        <f>Inputs!$F$237/100*Inputs!$F$238/100*Operations!AP731</f>
        <v/>
      </c>
      <c r="AQ736" s="20">
        <f>Inputs!$F$237/100*Inputs!$F$238/100*Operations!AQ731</f>
        <v/>
      </c>
      <c r="AR736" s="20">
        <f>Inputs!$F$237/100*Inputs!$F$238/100*Operations!AR731</f>
        <v/>
      </c>
      <c r="AS736" s="20">
        <f>Inputs!$F$237/100*Inputs!$F$238/100*Operations!AS731</f>
        <v/>
      </c>
      <c r="AT736" s="20">
        <f>Inputs!$F$237/100*Inputs!$F$238/100*Operations!AT731</f>
        <v/>
      </c>
      <c r="AU736" s="20">
        <f>Inputs!$F$237/100*Inputs!$F$238/100*Operations!AU731</f>
        <v/>
      </c>
    </row>
    <row r="737">
      <c r="D737" t="inlineStr">
        <is>
          <t>R8 EBITDA</t>
        </is>
      </c>
      <c r="E737" t="inlineStr">
        <is>
          <t>USD m</t>
        </is>
      </c>
      <c r="G737" s="20">
        <f>SUM(J737:AU737)</f>
        <v/>
      </c>
      <c r="J737" s="20">
        <f>Operations!J731-Operations!J733-Operations!J734-Operations!J735-Operations!J736</f>
        <v/>
      </c>
      <c r="K737" s="20">
        <f>Operations!K731-Operations!K733-Operations!K734-Operations!K735-Operations!K736</f>
        <v/>
      </c>
      <c r="L737" s="20">
        <f>Operations!L731-Operations!L733-Operations!L734-Operations!L735-Operations!L736</f>
        <v/>
      </c>
      <c r="M737" s="20">
        <f>Operations!M731-Operations!M733-Operations!M734-Operations!M735-Operations!M736</f>
        <v/>
      </c>
      <c r="N737" s="20">
        <f>Operations!N731-Operations!N733-Operations!N734-Operations!N735-Operations!N736</f>
        <v/>
      </c>
      <c r="O737" s="20">
        <f>Operations!O731-Operations!O733-Operations!O734-Operations!O735-Operations!O736</f>
        <v/>
      </c>
      <c r="P737" s="20">
        <f>Operations!P731-Operations!P733-Operations!P734-Operations!P735-Operations!P736</f>
        <v/>
      </c>
      <c r="Q737" s="20">
        <f>Operations!Q731-Operations!Q733-Operations!Q734-Operations!Q735-Operations!Q736</f>
        <v/>
      </c>
      <c r="R737" s="20">
        <f>Operations!R731-Operations!R733-Operations!R734-Operations!R735-Operations!R736</f>
        <v/>
      </c>
      <c r="S737" s="20">
        <f>Operations!S731-Operations!S733-Operations!S734-Operations!S735-Operations!S736</f>
        <v/>
      </c>
      <c r="T737" s="20">
        <f>Operations!T731-Operations!T733-Operations!T734-Operations!T735-Operations!T736</f>
        <v/>
      </c>
      <c r="U737" s="20">
        <f>Operations!U731-Operations!U733-Operations!U734-Operations!U735-Operations!U736</f>
        <v/>
      </c>
      <c r="V737" s="20">
        <f>Operations!V731-Operations!V733-Operations!V734-Operations!V735-Operations!V736</f>
        <v/>
      </c>
      <c r="W737" s="20">
        <f>Operations!W731-Operations!W733-Operations!W734-Operations!W735-Operations!W736</f>
        <v/>
      </c>
      <c r="X737" s="20">
        <f>Operations!X731-Operations!X733-Operations!X734-Operations!X735-Operations!X736</f>
        <v/>
      </c>
      <c r="Y737" s="20">
        <f>Operations!Y731-Operations!Y733-Operations!Y734-Operations!Y735-Operations!Y736</f>
        <v/>
      </c>
      <c r="Z737" s="20">
        <f>Operations!Z731-Operations!Z733-Operations!Z734-Operations!Z735-Operations!Z736</f>
        <v/>
      </c>
      <c r="AA737" s="20">
        <f>Operations!AA731-Operations!AA733-Operations!AA734-Operations!AA735-Operations!AA736</f>
        <v/>
      </c>
      <c r="AB737" s="20">
        <f>Operations!AB731-Operations!AB733-Operations!AB734-Operations!AB735-Operations!AB736</f>
        <v/>
      </c>
      <c r="AC737" s="20">
        <f>Operations!AC731-Operations!AC733-Operations!AC734-Operations!AC735-Operations!AC736</f>
        <v/>
      </c>
      <c r="AD737" s="20">
        <f>Operations!AD731-Operations!AD733-Operations!AD734-Operations!AD735-Operations!AD736</f>
        <v/>
      </c>
      <c r="AE737" s="20">
        <f>Operations!AE731-Operations!AE733-Operations!AE734-Operations!AE735-Operations!AE736</f>
        <v/>
      </c>
      <c r="AF737" s="20">
        <f>Operations!AF731-Operations!AF733-Operations!AF734-Operations!AF735-Operations!AF736</f>
        <v/>
      </c>
      <c r="AG737" s="20">
        <f>Operations!AG731-Operations!AG733-Operations!AG734-Operations!AG735-Operations!AG736</f>
        <v/>
      </c>
      <c r="AH737" s="20">
        <f>Operations!AH731-Operations!AH733-Operations!AH734-Operations!AH735-Operations!AH736</f>
        <v/>
      </c>
      <c r="AI737" s="20">
        <f>Operations!AI731-Operations!AI733-Operations!AI734-Operations!AI735-Operations!AI736</f>
        <v/>
      </c>
      <c r="AJ737" s="20">
        <f>Operations!AJ731-Operations!AJ733-Operations!AJ734-Operations!AJ735-Operations!AJ736</f>
        <v/>
      </c>
      <c r="AK737" s="20">
        <f>Operations!AK731-Operations!AK733-Operations!AK734-Operations!AK735-Operations!AK736</f>
        <v/>
      </c>
      <c r="AL737" s="20">
        <f>Operations!AL731-Operations!AL733-Operations!AL734-Operations!AL735-Operations!AL736</f>
        <v/>
      </c>
      <c r="AM737" s="20">
        <f>Operations!AM731-Operations!AM733-Operations!AM734-Operations!AM735-Operations!AM736</f>
        <v/>
      </c>
      <c r="AN737" s="20">
        <f>Operations!AN731-Operations!AN733-Operations!AN734-Operations!AN735-Operations!AN736</f>
        <v/>
      </c>
      <c r="AO737" s="20">
        <f>Operations!AO731-Operations!AO733-Operations!AO734-Operations!AO735-Operations!AO736</f>
        <v/>
      </c>
      <c r="AP737" s="20">
        <f>Operations!AP731-Operations!AP733-Operations!AP734-Operations!AP735-Operations!AP736</f>
        <v/>
      </c>
      <c r="AQ737" s="20">
        <f>Operations!AQ731-Operations!AQ733-Operations!AQ734-Operations!AQ735-Operations!AQ736</f>
        <v/>
      </c>
      <c r="AR737" s="20">
        <f>Operations!AR731-Operations!AR733-Operations!AR734-Operations!AR735-Operations!AR736</f>
        <v/>
      </c>
      <c r="AS737" s="20">
        <f>Operations!AS731-Operations!AS733-Operations!AS734-Operations!AS735-Operations!AS736</f>
        <v/>
      </c>
      <c r="AT737" s="20">
        <f>Operations!AT731-Operations!AT733-Operations!AT734-Operations!AT735-Operations!AT736</f>
        <v/>
      </c>
      <c r="AU737" s="20">
        <f>Operations!AU731-Operations!AU733-Operations!AU734-Operations!AU735-Operations!AU736</f>
        <v/>
      </c>
    </row>
    <row r="738">
      <c r="D738" t="inlineStr">
        <is>
          <t>R8 capex</t>
        </is>
      </c>
      <c r="E738" t="inlineStr">
        <is>
          <t>USD m</t>
        </is>
      </c>
      <c r="J738" s="20">
        <f>0</f>
        <v/>
      </c>
      <c r="K738" s="20">
        <f>0</f>
        <v/>
      </c>
      <c r="L738" s="20">
        <f>0</f>
        <v/>
      </c>
      <c r="M738" s="20">
        <f>0</f>
        <v/>
      </c>
      <c r="N738" s="20">
        <f>0</f>
        <v/>
      </c>
      <c r="O738" s="20">
        <f>0</f>
        <v/>
      </c>
      <c r="P738" s="20">
        <f>0</f>
        <v/>
      </c>
      <c r="Q738" s="20">
        <f>0</f>
        <v/>
      </c>
      <c r="R738" s="20">
        <f>0</f>
        <v/>
      </c>
      <c r="S738" s="20">
        <f>0</f>
        <v/>
      </c>
      <c r="T738" s="20">
        <f>0</f>
        <v/>
      </c>
      <c r="U738" s="20">
        <f>0</f>
        <v/>
      </c>
      <c r="V738" s="20">
        <f>0</f>
        <v/>
      </c>
      <c r="W738" s="20">
        <f>0</f>
        <v/>
      </c>
      <c r="X738" s="20">
        <f>0</f>
        <v/>
      </c>
      <c r="Y738" s="20">
        <f>0</f>
        <v/>
      </c>
      <c r="Z738" s="20">
        <f>0</f>
        <v/>
      </c>
      <c r="AA738" s="20">
        <f>0</f>
        <v/>
      </c>
      <c r="AB738" s="20">
        <f>0</f>
        <v/>
      </c>
      <c r="AC738" s="20">
        <f>0</f>
        <v/>
      </c>
      <c r="AD738" s="20">
        <f>0</f>
        <v/>
      </c>
      <c r="AE738" s="20">
        <f>0</f>
        <v/>
      </c>
      <c r="AF738" s="20">
        <f>0</f>
        <v/>
      </c>
      <c r="AG738" s="20">
        <f>0</f>
        <v/>
      </c>
      <c r="AH738" s="20">
        <f>0</f>
        <v/>
      </c>
      <c r="AI738" s="20">
        <f>0</f>
        <v/>
      </c>
      <c r="AJ738" s="20">
        <f>0</f>
        <v/>
      </c>
      <c r="AK738" s="20">
        <f>0</f>
        <v/>
      </c>
      <c r="AL738" s="20">
        <f>0</f>
        <v/>
      </c>
      <c r="AM738" s="20">
        <f>0</f>
        <v/>
      </c>
      <c r="AN738" s="20">
        <f>0</f>
        <v/>
      </c>
      <c r="AO738" s="20">
        <f>0</f>
        <v/>
      </c>
      <c r="AP738" s="20">
        <f>0</f>
        <v/>
      </c>
      <c r="AQ738" s="20">
        <f>0</f>
        <v/>
      </c>
      <c r="AR738" s="20">
        <f>0</f>
        <v/>
      </c>
      <c r="AS738" s="20">
        <f>0</f>
        <v/>
      </c>
      <c r="AT738" s="20">
        <f>0</f>
        <v/>
      </c>
      <c r="AU738" s="20">
        <f>0</f>
        <v/>
      </c>
    </row>
    <row r="739">
      <c r="D739" t="inlineStr">
        <is>
          <t>R8 decommissioning at end of life</t>
        </is>
      </c>
      <c r="E739" t="inlineStr">
        <is>
          <t>USD m</t>
        </is>
      </c>
      <c r="J739" s="20">
        <f>IF(Time!J$4=YEAR(Inputs!$F$169),Inputs!$F$172*Inputs!$F$167/1000*Time!J$9,0)</f>
        <v/>
      </c>
      <c r="K739" s="20">
        <f>IF(Time!K$4=YEAR(Inputs!$F$169),Inputs!$F$172*Inputs!$F$167/1000*Time!K$9,0)</f>
        <v/>
      </c>
      <c r="L739" s="20">
        <f>IF(Time!L$4=YEAR(Inputs!$F$169),Inputs!$F$172*Inputs!$F$167/1000*Time!L$9,0)</f>
        <v/>
      </c>
      <c r="M739" s="20">
        <f>IF(Time!M$4=YEAR(Inputs!$F$169),Inputs!$F$172*Inputs!$F$167/1000*Time!M$9,0)</f>
        <v/>
      </c>
      <c r="N739" s="20">
        <f>IF(Time!N$4=YEAR(Inputs!$F$169),Inputs!$F$172*Inputs!$F$167/1000*Time!N$9,0)</f>
        <v/>
      </c>
      <c r="O739" s="20">
        <f>IF(Time!O$4=YEAR(Inputs!$F$169),Inputs!$F$172*Inputs!$F$167/1000*Time!O$9,0)</f>
        <v/>
      </c>
      <c r="P739" s="20">
        <f>IF(Time!P$4=YEAR(Inputs!$F$169),Inputs!$F$172*Inputs!$F$167/1000*Time!P$9,0)</f>
        <v/>
      </c>
      <c r="Q739" s="20">
        <f>IF(Time!Q$4=YEAR(Inputs!$F$169),Inputs!$F$172*Inputs!$F$167/1000*Time!Q$9,0)</f>
        <v/>
      </c>
      <c r="R739" s="20">
        <f>IF(Time!R$4=YEAR(Inputs!$F$169),Inputs!$F$172*Inputs!$F$167/1000*Time!R$9,0)</f>
        <v/>
      </c>
      <c r="S739" s="20">
        <f>IF(Time!S$4=YEAR(Inputs!$F$169),Inputs!$F$172*Inputs!$F$167/1000*Time!S$9,0)</f>
        <v/>
      </c>
      <c r="T739" s="20">
        <f>IF(Time!T$4=YEAR(Inputs!$F$169),Inputs!$F$172*Inputs!$F$167/1000*Time!T$9,0)</f>
        <v/>
      </c>
      <c r="U739" s="20">
        <f>IF(Time!U$4=YEAR(Inputs!$F$169),Inputs!$F$172*Inputs!$F$167/1000*Time!U$9,0)</f>
        <v/>
      </c>
      <c r="V739" s="20">
        <f>IF(Time!V$4=YEAR(Inputs!$F$169),Inputs!$F$172*Inputs!$F$167/1000*Time!V$9,0)</f>
        <v/>
      </c>
      <c r="W739" s="20">
        <f>IF(Time!W$4=YEAR(Inputs!$F$169),Inputs!$F$172*Inputs!$F$167/1000*Time!W$9,0)</f>
        <v/>
      </c>
      <c r="X739" s="20">
        <f>IF(Time!X$4=YEAR(Inputs!$F$169),Inputs!$F$172*Inputs!$F$167/1000*Time!X$9,0)</f>
        <v/>
      </c>
      <c r="Y739" s="20">
        <f>IF(Time!Y$4=YEAR(Inputs!$F$169),Inputs!$F$172*Inputs!$F$167/1000*Time!Y$9,0)</f>
        <v/>
      </c>
      <c r="Z739" s="20">
        <f>IF(Time!Z$4=YEAR(Inputs!$F$169),Inputs!$F$172*Inputs!$F$167/1000*Time!Z$9,0)</f>
        <v/>
      </c>
      <c r="AA739" s="20">
        <f>IF(Time!AA$4=YEAR(Inputs!$F$169),Inputs!$F$172*Inputs!$F$167/1000*Time!AA$9,0)</f>
        <v/>
      </c>
      <c r="AB739" s="20">
        <f>IF(Time!AB$4=YEAR(Inputs!$F$169),Inputs!$F$172*Inputs!$F$167/1000*Time!AB$9,0)</f>
        <v/>
      </c>
      <c r="AC739" s="20">
        <f>IF(Time!AC$4=YEAR(Inputs!$F$169),Inputs!$F$172*Inputs!$F$167/1000*Time!AC$9,0)</f>
        <v/>
      </c>
      <c r="AD739" s="20">
        <f>IF(Time!AD$4=YEAR(Inputs!$F$169),Inputs!$F$172*Inputs!$F$167/1000*Time!AD$9,0)</f>
        <v/>
      </c>
      <c r="AE739" s="20">
        <f>IF(Time!AE$4=YEAR(Inputs!$F$169),Inputs!$F$172*Inputs!$F$167/1000*Time!AE$9,0)</f>
        <v/>
      </c>
      <c r="AF739" s="20">
        <f>IF(Time!AF$4=YEAR(Inputs!$F$169),Inputs!$F$172*Inputs!$F$167/1000*Time!AF$9,0)</f>
        <v/>
      </c>
      <c r="AG739" s="20">
        <f>IF(Time!AG$4=YEAR(Inputs!$F$169),Inputs!$F$172*Inputs!$F$167/1000*Time!AG$9,0)</f>
        <v/>
      </c>
      <c r="AH739" s="20">
        <f>IF(Time!AH$4=YEAR(Inputs!$F$169),Inputs!$F$172*Inputs!$F$167/1000*Time!AH$9,0)</f>
        <v/>
      </c>
      <c r="AI739" s="20">
        <f>IF(Time!AI$4=YEAR(Inputs!$F$169),Inputs!$F$172*Inputs!$F$167/1000*Time!AI$9,0)</f>
        <v/>
      </c>
      <c r="AJ739" s="20">
        <f>IF(Time!AJ$4=YEAR(Inputs!$F$169),Inputs!$F$172*Inputs!$F$167/1000*Time!AJ$9,0)</f>
        <v/>
      </c>
      <c r="AK739" s="20">
        <f>IF(Time!AK$4=YEAR(Inputs!$F$169),Inputs!$F$172*Inputs!$F$167/1000*Time!AK$9,0)</f>
        <v/>
      </c>
      <c r="AL739" s="20">
        <f>IF(Time!AL$4=YEAR(Inputs!$F$169),Inputs!$F$172*Inputs!$F$167/1000*Time!AL$9,0)</f>
        <v/>
      </c>
      <c r="AM739" s="20">
        <f>IF(Time!AM$4=YEAR(Inputs!$F$169),Inputs!$F$172*Inputs!$F$167/1000*Time!AM$9,0)</f>
        <v/>
      </c>
      <c r="AN739" s="20">
        <f>IF(Time!AN$4=YEAR(Inputs!$F$169),Inputs!$F$172*Inputs!$F$167/1000*Time!AN$9,0)</f>
        <v/>
      </c>
      <c r="AO739" s="20">
        <f>IF(Time!AO$4=YEAR(Inputs!$F$169),Inputs!$F$172*Inputs!$F$167/1000*Time!AO$9,0)</f>
        <v/>
      </c>
      <c r="AP739" s="20">
        <f>IF(Time!AP$4=YEAR(Inputs!$F$169),Inputs!$F$172*Inputs!$F$167/1000*Time!AP$9,0)</f>
        <v/>
      </c>
      <c r="AQ739" s="20">
        <f>IF(Time!AQ$4=YEAR(Inputs!$F$169),Inputs!$F$172*Inputs!$F$167/1000*Time!AQ$9,0)</f>
        <v/>
      </c>
      <c r="AR739" s="20">
        <f>IF(Time!AR$4=YEAR(Inputs!$F$169),Inputs!$F$172*Inputs!$F$167/1000*Time!AR$9,0)</f>
        <v/>
      </c>
      <c r="AS739" s="20">
        <f>IF(Time!AS$4=YEAR(Inputs!$F$169),Inputs!$F$172*Inputs!$F$167/1000*Time!AS$9,0)</f>
        <v/>
      </c>
      <c r="AT739" s="20">
        <f>IF(Time!AT$4=YEAR(Inputs!$F$169),Inputs!$F$172*Inputs!$F$167/1000*Time!AT$9,0)</f>
        <v/>
      </c>
      <c r="AU739" s="20">
        <f>IF(Time!AU$4=YEAR(Inputs!$F$169),Inputs!$F$172*Inputs!$F$167/1000*Time!AU$9,0)</f>
        <v/>
      </c>
    </row>
    <row r="740">
      <c r="D740" t="inlineStr">
        <is>
          <t>R8 pre-tax cash flow, 100% of asset</t>
        </is>
      </c>
      <c r="E740" t="inlineStr">
        <is>
          <t>USD m</t>
        </is>
      </c>
      <c r="G740" s="20">
        <f>SUM(J740:AU740)</f>
        <v/>
      </c>
      <c r="J740" s="20">
        <f>Operations!J737-Operations!J738-Operations!J739</f>
        <v/>
      </c>
      <c r="K740" s="20">
        <f>Operations!K737-Operations!K738-Operations!K739</f>
        <v/>
      </c>
      <c r="L740" s="20">
        <f>Operations!L737-Operations!L738-Operations!L739</f>
        <v/>
      </c>
      <c r="M740" s="20">
        <f>Operations!M737-Operations!M738-Operations!M739</f>
        <v/>
      </c>
      <c r="N740" s="20">
        <f>Operations!N737-Operations!N738-Operations!N739</f>
        <v/>
      </c>
      <c r="O740" s="20">
        <f>Operations!O737-Operations!O738-Operations!O739</f>
        <v/>
      </c>
      <c r="P740" s="20">
        <f>Operations!P737-Operations!P738-Operations!P739</f>
        <v/>
      </c>
      <c r="Q740" s="20">
        <f>Operations!Q737-Operations!Q738-Operations!Q739</f>
        <v/>
      </c>
      <c r="R740" s="20">
        <f>Operations!R737-Operations!R738-Operations!R739</f>
        <v/>
      </c>
      <c r="S740" s="20">
        <f>Operations!S737-Operations!S738-Operations!S739</f>
        <v/>
      </c>
      <c r="T740" s="20">
        <f>Operations!T737-Operations!T738-Operations!T739</f>
        <v/>
      </c>
      <c r="U740" s="20">
        <f>Operations!U737-Operations!U738-Operations!U739</f>
        <v/>
      </c>
      <c r="V740" s="20">
        <f>Operations!V737-Operations!V738-Operations!V739</f>
        <v/>
      </c>
      <c r="W740" s="20">
        <f>Operations!W737-Operations!W738-Operations!W739</f>
        <v/>
      </c>
      <c r="X740" s="20">
        <f>Operations!X737-Operations!X738-Operations!X739</f>
        <v/>
      </c>
      <c r="Y740" s="20">
        <f>Operations!Y737-Operations!Y738-Operations!Y739</f>
        <v/>
      </c>
      <c r="Z740" s="20">
        <f>Operations!Z737-Operations!Z738-Operations!Z739</f>
        <v/>
      </c>
      <c r="AA740" s="20">
        <f>Operations!AA737-Operations!AA738-Operations!AA739</f>
        <v/>
      </c>
      <c r="AB740" s="20">
        <f>Operations!AB737-Operations!AB738-Operations!AB739</f>
        <v/>
      </c>
      <c r="AC740" s="20">
        <f>Operations!AC737-Operations!AC738-Operations!AC739</f>
        <v/>
      </c>
      <c r="AD740" s="20">
        <f>Operations!AD737-Operations!AD738-Operations!AD739</f>
        <v/>
      </c>
      <c r="AE740" s="20">
        <f>Operations!AE737-Operations!AE738-Operations!AE739</f>
        <v/>
      </c>
      <c r="AF740" s="20">
        <f>Operations!AF737-Operations!AF738-Operations!AF739</f>
        <v/>
      </c>
      <c r="AG740" s="20">
        <f>Operations!AG737-Operations!AG738-Operations!AG739</f>
        <v/>
      </c>
      <c r="AH740" s="20">
        <f>Operations!AH737-Operations!AH738-Operations!AH739</f>
        <v/>
      </c>
      <c r="AI740" s="20">
        <f>Operations!AI737-Operations!AI738-Operations!AI739</f>
        <v/>
      </c>
      <c r="AJ740" s="20">
        <f>Operations!AJ737-Operations!AJ738-Operations!AJ739</f>
        <v/>
      </c>
      <c r="AK740" s="20">
        <f>Operations!AK737-Operations!AK738-Operations!AK739</f>
        <v/>
      </c>
      <c r="AL740" s="20">
        <f>Operations!AL737-Operations!AL738-Operations!AL739</f>
        <v/>
      </c>
      <c r="AM740" s="20">
        <f>Operations!AM737-Operations!AM738-Operations!AM739</f>
        <v/>
      </c>
      <c r="AN740" s="20">
        <f>Operations!AN737-Operations!AN738-Operations!AN739</f>
        <v/>
      </c>
      <c r="AO740" s="20">
        <f>Operations!AO737-Operations!AO738-Operations!AO739</f>
        <v/>
      </c>
      <c r="AP740" s="20">
        <f>Operations!AP737-Operations!AP738-Operations!AP739</f>
        <v/>
      </c>
      <c r="AQ740" s="20">
        <f>Operations!AQ737-Operations!AQ738-Operations!AQ739</f>
        <v/>
      </c>
      <c r="AR740" s="20">
        <f>Operations!AR737-Operations!AR738-Operations!AR739</f>
        <v/>
      </c>
      <c r="AS740" s="20">
        <f>Operations!AS737-Operations!AS738-Operations!AS739</f>
        <v/>
      </c>
      <c r="AT740" s="20">
        <f>Operations!AT737-Operations!AT738-Operations!AT739</f>
        <v/>
      </c>
      <c r="AU740" s="20">
        <f>Operations!AU737-Operations!AU738-Operations!AU739</f>
        <v/>
      </c>
    </row>
    <row r="741">
      <c r="D741" t="inlineStr">
        <is>
          <t>R8 tax equity cash share</t>
        </is>
      </c>
      <c r="E741" t="inlineStr">
        <is>
          <t>fraction</t>
        </is>
      </c>
      <c r="J741" s="14">
        <f>0</f>
        <v/>
      </c>
      <c r="K741" s="14">
        <f>0</f>
        <v/>
      </c>
      <c r="L741" s="14">
        <f>0</f>
        <v/>
      </c>
      <c r="M741" s="14">
        <f>0</f>
        <v/>
      </c>
      <c r="N741" s="14">
        <f>0</f>
        <v/>
      </c>
      <c r="O741" s="14">
        <f>0</f>
        <v/>
      </c>
      <c r="P741" s="14">
        <f>0</f>
        <v/>
      </c>
      <c r="Q741" s="14">
        <f>0</f>
        <v/>
      </c>
      <c r="R741" s="14">
        <f>0</f>
        <v/>
      </c>
      <c r="S741" s="14">
        <f>0</f>
        <v/>
      </c>
      <c r="T741" s="14">
        <f>0</f>
        <v/>
      </c>
      <c r="U741" s="14">
        <f>0</f>
        <v/>
      </c>
      <c r="V741" s="14">
        <f>0</f>
        <v/>
      </c>
      <c r="W741" s="14">
        <f>0</f>
        <v/>
      </c>
      <c r="X741" s="14">
        <f>0</f>
        <v/>
      </c>
      <c r="Y741" s="14">
        <f>0</f>
        <v/>
      </c>
      <c r="Z741" s="14">
        <f>0</f>
        <v/>
      </c>
      <c r="AA741" s="14">
        <f>0</f>
        <v/>
      </c>
      <c r="AB741" s="14">
        <f>0</f>
        <v/>
      </c>
      <c r="AC741" s="14">
        <f>0</f>
        <v/>
      </c>
      <c r="AD741" s="14">
        <f>0</f>
        <v/>
      </c>
      <c r="AE741" s="14">
        <f>0</f>
        <v/>
      </c>
      <c r="AF741" s="14">
        <f>0</f>
        <v/>
      </c>
      <c r="AG741" s="14">
        <f>0</f>
        <v/>
      </c>
      <c r="AH741" s="14">
        <f>0</f>
        <v/>
      </c>
      <c r="AI741" s="14">
        <f>0</f>
        <v/>
      </c>
      <c r="AJ741" s="14">
        <f>0</f>
        <v/>
      </c>
      <c r="AK741" s="14">
        <f>0</f>
        <v/>
      </c>
      <c r="AL741" s="14">
        <f>0</f>
        <v/>
      </c>
      <c r="AM741" s="14">
        <f>0</f>
        <v/>
      </c>
      <c r="AN741" s="14">
        <f>0</f>
        <v/>
      </c>
      <c r="AO741" s="14">
        <f>0</f>
        <v/>
      </c>
      <c r="AP741" s="14">
        <f>0</f>
        <v/>
      </c>
      <c r="AQ741" s="14">
        <f>0</f>
        <v/>
      </c>
      <c r="AR741" s="14">
        <f>0</f>
        <v/>
      </c>
      <c r="AS741" s="14">
        <f>0</f>
        <v/>
      </c>
      <c r="AT741" s="14">
        <f>0</f>
        <v/>
      </c>
      <c r="AU741" s="14">
        <f>0</f>
        <v/>
      </c>
    </row>
    <row r="742">
      <c r="D742" t="inlineStr">
        <is>
          <t>R8 Mesa share of taxable income</t>
        </is>
      </c>
      <c r="E742" t="inlineStr">
        <is>
          <t>fraction</t>
        </is>
      </c>
      <c r="J742" s="14">
        <f>1</f>
        <v/>
      </c>
      <c r="K742" s="14">
        <f>1</f>
        <v/>
      </c>
      <c r="L742" s="14">
        <f>1</f>
        <v/>
      </c>
      <c r="M742" s="14">
        <f>1</f>
        <v/>
      </c>
      <c r="N742" s="14">
        <f>1</f>
        <v/>
      </c>
      <c r="O742" s="14">
        <f>1</f>
        <v/>
      </c>
      <c r="P742" s="14">
        <f>1</f>
        <v/>
      </c>
      <c r="Q742" s="14">
        <f>1</f>
        <v/>
      </c>
      <c r="R742" s="14">
        <f>1</f>
        <v/>
      </c>
      <c r="S742" s="14">
        <f>1</f>
        <v/>
      </c>
      <c r="T742" s="14">
        <f>1</f>
        <v/>
      </c>
      <c r="U742" s="14">
        <f>1</f>
        <v/>
      </c>
      <c r="V742" s="14">
        <f>1</f>
        <v/>
      </c>
      <c r="W742" s="14">
        <f>1</f>
        <v/>
      </c>
      <c r="X742" s="14">
        <f>1</f>
        <v/>
      </c>
      <c r="Y742" s="14">
        <f>1</f>
        <v/>
      </c>
      <c r="Z742" s="14">
        <f>1</f>
        <v/>
      </c>
      <c r="AA742" s="14">
        <f>1</f>
        <v/>
      </c>
      <c r="AB742" s="14">
        <f>1</f>
        <v/>
      </c>
      <c r="AC742" s="14">
        <f>1</f>
        <v/>
      </c>
      <c r="AD742" s="14">
        <f>1</f>
        <v/>
      </c>
      <c r="AE742" s="14">
        <f>1</f>
        <v/>
      </c>
      <c r="AF742" s="14">
        <f>1</f>
        <v/>
      </c>
      <c r="AG742" s="14">
        <f>1</f>
        <v/>
      </c>
      <c r="AH742" s="14">
        <f>1</f>
        <v/>
      </c>
      <c r="AI742" s="14">
        <f>1</f>
        <v/>
      </c>
      <c r="AJ742" s="14">
        <f>1</f>
        <v/>
      </c>
      <c r="AK742" s="14">
        <f>1</f>
        <v/>
      </c>
      <c r="AL742" s="14">
        <f>1</f>
        <v/>
      </c>
      <c r="AM742" s="14">
        <f>1</f>
        <v/>
      </c>
      <c r="AN742" s="14">
        <f>1</f>
        <v/>
      </c>
      <c r="AO742" s="14">
        <f>1</f>
        <v/>
      </c>
      <c r="AP742" s="14">
        <f>1</f>
        <v/>
      </c>
      <c r="AQ742" s="14">
        <f>1</f>
        <v/>
      </c>
      <c r="AR742" s="14">
        <f>1</f>
        <v/>
      </c>
      <c r="AS742" s="14">
        <f>1</f>
        <v/>
      </c>
      <c r="AT742" s="14">
        <f>1</f>
        <v/>
      </c>
      <c r="AU742" s="14">
        <f>1</f>
        <v/>
      </c>
    </row>
    <row r="743">
      <c r="D743" t="inlineStr">
        <is>
          <t>R8 Mesa share of cash flow</t>
        </is>
      </c>
      <c r="E743" t="inlineStr">
        <is>
          <t>USD m</t>
        </is>
      </c>
      <c r="G743" s="20">
        <f>SUM(J743:AU743)</f>
        <v/>
      </c>
      <c r="J743" s="20">
        <f>Operations!J740*(1-Operations!J741)*Operations!J714</f>
        <v/>
      </c>
      <c r="K743" s="20">
        <f>Operations!K740*(1-Operations!K741)*Operations!K714</f>
        <v/>
      </c>
      <c r="L743" s="20">
        <f>Operations!L740*(1-Operations!L741)*Operations!L714</f>
        <v/>
      </c>
      <c r="M743" s="20">
        <f>Operations!M740*(1-Operations!M741)*Operations!M714</f>
        <v/>
      </c>
      <c r="N743" s="20">
        <f>Operations!N740*(1-Operations!N741)*Operations!N714</f>
        <v/>
      </c>
      <c r="O743" s="20">
        <f>Operations!O740*(1-Operations!O741)*Operations!O714</f>
        <v/>
      </c>
      <c r="P743" s="20">
        <f>Operations!P740*(1-Operations!P741)*Operations!P714</f>
        <v/>
      </c>
      <c r="Q743" s="20">
        <f>Operations!Q740*(1-Operations!Q741)*Operations!Q714</f>
        <v/>
      </c>
      <c r="R743" s="20">
        <f>Operations!R740*(1-Operations!R741)*Operations!R714</f>
        <v/>
      </c>
      <c r="S743" s="20">
        <f>Operations!S740*(1-Operations!S741)*Operations!S714</f>
        <v/>
      </c>
      <c r="T743" s="20">
        <f>Operations!T740*(1-Operations!T741)*Operations!T714</f>
        <v/>
      </c>
      <c r="U743" s="20">
        <f>Operations!U740*(1-Operations!U741)*Operations!U714</f>
        <v/>
      </c>
      <c r="V743" s="20">
        <f>Operations!V740*(1-Operations!V741)*Operations!V714</f>
        <v/>
      </c>
      <c r="W743" s="20">
        <f>Operations!W740*(1-Operations!W741)*Operations!W714</f>
        <v/>
      </c>
      <c r="X743" s="20">
        <f>Operations!X740*(1-Operations!X741)*Operations!X714</f>
        <v/>
      </c>
      <c r="Y743" s="20">
        <f>Operations!Y740*(1-Operations!Y741)*Operations!Y714</f>
        <v/>
      </c>
      <c r="Z743" s="20">
        <f>Operations!Z740*(1-Operations!Z741)*Operations!Z714</f>
        <v/>
      </c>
      <c r="AA743" s="20">
        <f>Operations!AA740*(1-Operations!AA741)*Operations!AA714</f>
        <v/>
      </c>
      <c r="AB743" s="20">
        <f>Operations!AB740*(1-Operations!AB741)*Operations!AB714</f>
        <v/>
      </c>
      <c r="AC743" s="20">
        <f>Operations!AC740*(1-Operations!AC741)*Operations!AC714</f>
        <v/>
      </c>
      <c r="AD743" s="20">
        <f>Operations!AD740*(1-Operations!AD741)*Operations!AD714</f>
        <v/>
      </c>
      <c r="AE743" s="20">
        <f>Operations!AE740*(1-Operations!AE741)*Operations!AE714</f>
        <v/>
      </c>
      <c r="AF743" s="20">
        <f>Operations!AF740*(1-Operations!AF741)*Operations!AF714</f>
        <v/>
      </c>
      <c r="AG743" s="20">
        <f>Operations!AG740*(1-Operations!AG741)*Operations!AG714</f>
        <v/>
      </c>
      <c r="AH743" s="20">
        <f>Operations!AH740*(1-Operations!AH741)*Operations!AH714</f>
        <v/>
      </c>
      <c r="AI743" s="20">
        <f>Operations!AI740*(1-Operations!AI741)*Operations!AI714</f>
        <v/>
      </c>
      <c r="AJ743" s="20">
        <f>Operations!AJ740*(1-Operations!AJ741)*Operations!AJ714</f>
        <v/>
      </c>
      <c r="AK743" s="20">
        <f>Operations!AK740*(1-Operations!AK741)*Operations!AK714</f>
        <v/>
      </c>
      <c r="AL743" s="20">
        <f>Operations!AL740*(1-Operations!AL741)*Operations!AL714</f>
        <v/>
      </c>
      <c r="AM743" s="20">
        <f>Operations!AM740*(1-Operations!AM741)*Operations!AM714</f>
        <v/>
      </c>
      <c r="AN743" s="20">
        <f>Operations!AN740*(1-Operations!AN741)*Operations!AN714</f>
        <v/>
      </c>
      <c r="AO743" s="20">
        <f>Operations!AO740*(1-Operations!AO741)*Operations!AO714</f>
        <v/>
      </c>
      <c r="AP743" s="20">
        <f>Operations!AP740*(1-Operations!AP741)*Operations!AP714</f>
        <v/>
      </c>
      <c r="AQ743" s="20">
        <f>Operations!AQ740*(1-Operations!AQ741)*Operations!AQ714</f>
        <v/>
      </c>
      <c r="AR743" s="20">
        <f>Operations!AR740*(1-Operations!AR741)*Operations!AR714</f>
        <v/>
      </c>
      <c r="AS743" s="20">
        <f>Operations!AS740*(1-Operations!AS741)*Operations!AS714</f>
        <v/>
      </c>
      <c r="AT743" s="20">
        <f>Operations!AT740*(1-Operations!AT741)*Operations!AT714</f>
        <v/>
      </c>
      <c r="AU743" s="20">
        <f>Operations!AU740*(1-Operations!AU741)*Operations!AU714</f>
        <v/>
      </c>
    </row>
    <row r="744">
      <c r="D744" t="inlineStr">
        <is>
          <t>R8 Mesa taxable operating income</t>
        </is>
      </c>
      <c r="E744" t="inlineStr">
        <is>
          <t>USD m</t>
        </is>
      </c>
      <c r="J744" s="20">
        <f>Operations!J740*Operations!J742*Operations!J714</f>
        <v/>
      </c>
      <c r="K744" s="20">
        <f>Operations!K740*Operations!K742*Operations!K714</f>
        <v/>
      </c>
      <c r="L744" s="20">
        <f>Operations!L740*Operations!L742*Operations!L714</f>
        <v/>
      </c>
      <c r="M744" s="20">
        <f>Operations!M740*Operations!M742*Operations!M714</f>
        <v/>
      </c>
      <c r="N744" s="20">
        <f>Operations!N740*Operations!N742*Operations!N714</f>
        <v/>
      </c>
      <c r="O744" s="20">
        <f>Operations!O740*Operations!O742*Operations!O714</f>
        <v/>
      </c>
      <c r="P744" s="20">
        <f>Operations!P740*Operations!P742*Operations!P714</f>
        <v/>
      </c>
      <c r="Q744" s="20">
        <f>Operations!Q740*Operations!Q742*Operations!Q714</f>
        <v/>
      </c>
      <c r="R744" s="20">
        <f>Operations!R740*Operations!R742*Operations!R714</f>
        <v/>
      </c>
      <c r="S744" s="20">
        <f>Operations!S740*Operations!S742*Operations!S714</f>
        <v/>
      </c>
      <c r="T744" s="20">
        <f>Operations!T740*Operations!T742*Operations!T714</f>
        <v/>
      </c>
      <c r="U744" s="20">
        <f>Operations!U740*Operations!U742*Operations!U714</f>
        <v/>
      </c>
      <c r="V744" s="20">
        <f>Operations!V740*Operations!V742*Operations!V714</f>
        <v/>
      </c>
      <c r="W744" s="20">
        <f>Operations!W740*Operations!W742*Operations!W714</f>
        <v/>
      </c>
      <c r="X744" s="20">
        <f>Operations!X740*Operations!X742*Operations!X714</f>
        <v/>
      </c>
      <c r="Y744" s="20">
        <f>Operations!Y740*Operations!Y742*Operations!Y714</f>
        <v/>
      </c>
      <c r="Z744" s="20">
        <f>Operations!Z740*Operations!Z742*Operations!Z714</f>
        <v/>
      </c>
      <c r="AA744" s="20">
        <f>Operations!AA740*Operations!AA742*Operations!AA714</f>
        <v/>
      </c>
      <c r="AB744" s="20">
        <f>Operations!AB740*Operations!AB742*Operations!AB714</f>
        <v/>
      </c>
      <c r="AC744" s="20">
        <f>Operations!AC740*Operations!AC742*Operations!AC714</f>
        <v/>
      </c>
      <c r="AD744" s="20">
        <f>Operations!AD740*Operations!AD742*Operations!AD714</f>
        <v/>
      </c>
      <c r="AE744" s="20">
        <f>Operations!AE740*Operations!AE742*Operations!AE714</f>
        <v/>
      </c>
      <c r="AF744" s="20">
        <f>Operations!AF740*Operations!AF742*Operations!AF714</f>
        <v/>
      </c>
      <c r="AG744" s="20">
        <f>Operations!AG740*Operations!AG742*Operations!AG714</f>
        <v/>
      </c>
      <c r="AH744" s="20">
        <f>Operations!AH740*Operations!AH742*Operations!AH714</f>
        <v/>
      </c>
      <c r="AI744" s="20">
        <f>Operations!AI740*Operations!AI742*Operations!AI714</f>
        <v/>
      </c>
      <c r="AJ744" s="20">
        <f>Operations!AJ740*Operations!AJ742*Operations!AJ714</f>
        <v/>
      </c>
      <c r="AK744" s="20">
        <f>Operations!AK740*Operations!AK742*Operations!AK714</f>
        <v/>
      </c>
      <c r="AL744" s="20">
        <f>Operations!AL740*Operations!AL742*Operations!AL714</f>
        <v/>
      </c>
      <c r="AM744" s="20">
        <f>Operations!AM740*Operations!AM742*Operations!AM714</f>
        <v/>
      </c>
      <c r="AN744" s="20">
        <f>Operations!AN740*Operations!AN742*Operations!AN714</f>
        <v/>
      </c>
      <c r="AO744" s="20">
        <f>Operations!AO740*Operations!AO742*Operations!AO714</f>
        <v/>
      </c>
      <c r="AP744" s="20">
        <f>Operations!AP740*Operations!AP742*Operations!AP714</f>
        <v/>
      </c>
      <c r="AQ744" s="20">
        <f>Operations!AQ740*Operations!AQ742*Operations!AQ714</f>
        <v/>
      </c>
      <c r="AR744" s="20">
        <f>Operations!AR740*Operations!AR742*Operations!AR714</f>
        <v/>
      </c>
      <c r="AS744" s="20">
        <f>Operations!AS740*Operations!AS742*Operations!AS714</f>
        <v/>
      </c>
      <c r="AT744" s="20">
        <f>Operations!AT740*Operations!AT742*Operations!AT714</f>
        <v/>
      </c>
      <c r="AU744" s="20">
        <f>Operations!AU740*Operations!AU742*Operations!AU714</f>
        <v/>
      </c>
    </row>
    <row r="745">
      <c r="D745" t="inlineStr">
        <is>
          <t>R8 Mesa unlevered post-tax cash flow (before price shield)</t>
        </is>
      </c>
      <c r="E745" t="inlineStr">
        <is>
          <t>USD m</t>
        </is>
      </c>
      <c r="J745" s="20">
        <f>Operations!J743-Inputs!$F$241/100*Operations!J744</f>
        <v/>
      </c>
      <c r="K745" s="20">
        <f>Operations!K743-Inputs!$F$241/100*Operations!K744</f>
        <v/>
      </c>
      <c r="L745" s="20">
        <f>Operations!L743-Inputs!$F$241/100*Operations!L744</f>
        <v/>
      </c>
      <c r="M745" s="20">
        <f>Operations!M743-Inputs!$F$241/100*Operations!M744</f>
        <v/>
      </c>
      <c r="N745" s="20">
        <f>Operations!N743-Inputs!$F$241/100*Operations!N744</f>
        <v/>
      </c>
      <c r="O745" s="20">
        <f>Operations!O743-Inputs!$F$241/100*Operations!O744</f>
        <v/>
      </c>
      <c r="P745" s="20">
        <f>Operations!P743-Inputs!$F$241/100*Operations!P744</f>
        <v/>
      </c>
      <c r="Q745" s="20">
        <f>Operations!Q743-Inputs!$F$241/100*Operations!Q744</f>
        <v/>
      </c>
      <c r="R745" s="20">
        <f>Operations!R743-Inputs!$F$241/100*Operations!R744</f>
        <v/>
      </c>
      <c r="S745" s="20">
        <f>Operations!S743-Inputs!$F$241/100*Operations!S744</f>
        <v/>
      </c>
      <c r="T745" s="20">
        <f>Operations!T743-Inputs!$F$241/100*Operations!T744</f>
        <v/>
      </c>
      <c r="U745" s="20">
        <f>Operations!U743-Inputs!$F$241/100*Operations!U744</f>
        <v/>
      </c>
      <c r="V745" s="20">
        <f>Operations!V743-Inputs!$F$241/100*Operations!V744</f>
        <v/>
      </c>
      <c r="W745" s="20">
        <f>Operations!W743-Inputs!$F$241/100*Operations!W744</f>
        <v/>
      </c>
      <c r="X745" s="20">
        <f>Operations!X743-Inputs!$F$241/100*Operations!X744</f>
        <v/>
      </c>
      <c r="Y745" s="20">
        <f>Operations!Y743-Inputs!$F$241/100*Operations!Y744</f>
        <v/>
      </c>
      <c r="Z745" s="20">
        <f>Operations!Z743-Inputs!$F$241/100*Operations!Z744</f>
        <v/>
      </c>
      <c r="AA745" s="20">
        <f>Operations!AA743-Inputs!$F$241/100*Operations!AA744</f>
        <v/>
      </c>
      <c r="AB745" s="20">
        <f>Operations!AB743-Inputs!$F$241/100*Operations!AB744</f>
        <v/>
      </c>
      <c r="AC745" s="20">
        <f>Operations!AC743-Inputs!$F$241/100*Operations!AC744</f>
        <v/>
      </c>
      <c r="AD745" s="20">
        <f>Operations!AD743-Inputs!$F$241/100*Operations!AD744</f>
        <v/>
      </c>
      <c r="AE745" s="20">
        <f>Operations!AE743-Inputs!$F$241/100*Operations!AE744</f>
        <v/>
      </c>
      <c r="AF745" s="20">
        <f>Operations!AF743-Inputs!$F$241/100*Operations!AF744</f>
        <v/>
      </c>
      <c r="AG745" s="20">
        <f>Operations!AG743-Inputs!$F$241/100*Operations!AG744</f>
        <v/>
      </c>
      <c r="AH745" s="20">
        <f>Operations!AH743-Inputs!$F$241/100*Operations!AH744</f>
        <v/>
      </c>
      <c r="AI745" s="20">
        <f>Operations!AI743-Inputs!$F$241/100*Operations!AI744</f>
        <v/>
      </c>
      <c r="AJ745" s="20">
        <f>Operations!AJ743-Inputs!$F$241/100*Operations!AJ744</f>
        <v/>
      </c>
      <c r="AK745" s="20">
        <f>Operations!AK743-Inputs!$F$241/100*Operations!AK744</f>
        <v/>
      </c>
      <c r="AL745" s="20">
        <f>Operations!AL743-Inputs!$F$241/100*Operations!AL744</f>
        <v/>
      </c>
      <c r="AM745" s="20">
        <f>Operations!AM743-Inputs!$F$241/100*Operations!AM744</f>
        <v/>
      </c>
      <c r="AN745" s="20">
        <f>Operations!AN743-Inputs!$F$241/100*Operations!AN744</f>
        <v/>
      </c>
      <c r="AO745" s="20">
        <f>Operations!AO743-Inputs!$F$241/100*Operations!AO744</f>
        <v/>
      </c>
      <c r="AP745" s="20">
        <f>Operations!AP743-Inputs!$F$241/100*Operations!AP744</f>
        <v/>
      </c>
      <c r="AQ745" s="20">
        <f>Operations!AQ743-Inputs!$F$241/100*Operations!AQ744</f>
        <v/>
      </c>
      <c r="AR745" s="20">
        <f>Operations!AR743-Inputs!$F$241/100*Operations!AR744</f>
        <v/>
      </c>
      <c r="AS745" s="20">
        <f>Operations!AS743-Inputs!$F$241/100*Operations!AS744</f>
        <v/>
      </c>
      <c r="AT745" s="20">
        <f>Operations!AT743-Inputs!$F$241/100*Operations!AT744</f>
        <v/>
      </c>
      <c r="AU745" s="20">
        <f>Operations!AU743-Inputs!$F$241/100*Operations!AU744</f>
        <v/>
      </c>
    </row>
    <row r="746">
      <c r="D746" t="inlineStr">
        <is>
          <t>R8 contracted share of revenue</t>
        </is>
      </c>
      <c r="E746" t="inlineStr">
        <is>
          <t>fraction</t>
        </is>
      </c>
      <c r="J746" s="14">
        <f>IF(Operations!J731=0,0,Operations!J728/Operations!J731)</f>
        <v/>
      </c>
      <c r="K746" s="14">
        <f>IF(Operations!K731=0,0,Operations!K728/Operations!K731)</f>
        <v/>
      </c>
      <c r="L746" s="14">
        <f>IF(Operations!L731=0,0,Operations!L728/Operations!L731)</f>
        <v/>
      </c>
      <c r="M746" s="14">
        <f>IF(Operations!M731=0,0,Operations!M728/Operations!M731)</f>
        <v/>
      </c>
      <c r="N746" s="14">
        <f>IF(Operations!N731=0,0,Operations!N728/Operations!N731)</f>
        <v/>
      </c>
      <c r="O746" s="14">
        <f>IF(Operations!O731=0,0,Operations!O728/Operations!O731)</f>
        <v/>
      </c>
      <c r="P746" s="14">
        <f>IF(Operations!P731=0,0,Operations!P728/Operations!P731)</f>
        <v/>
      </c>
      <c r="Q746" s="14">
        <f>IF(Operations!Q731=0,0,Operations!Q728/Operations!Q731)</f>
        <v/>
      </c>
      <c r="R746" s="14">
        <f>IF(Operations!R731=0,0,Operations!R728/Operations!R731)</f>
        <v/>
      </c>
      <c r="S746" s="14">
        <f>IF(Operations!S731=0,0,Operations!S728/Operations!S731)</f>
        <v/>
      </c>
      <c r="T746" s="14">
        <f>IF(Operations!T731=0,0,Operations!T728/Operations!T731)</f>
        <v/>
      </c>
      <c r="U746" s="14">
        <f>IF(Operations!U731=0,0,Operations!U728/Operations!U731)</f>
        <v/>
      </c>
      <c r="V746" s="14">
        <f>IF(Operations!V731=0,0,Operations!V728/Operations!V731)</f>
        <v/>
      </c>
      <c r="W746" s="14">
        <f>IF(Operations!W731=0,0,Operations!W728/Operations!W731)</f>
        <v/>
      </c>
      <c r="X746" s="14">
        <f>IF(Operations!X731=0,0,Operations!X728/Operations!X731)</f>
        <v/>
      </c>
      <c r="Y746" s="14">
        <f>IF(Operations!Y731=0,0,Operations!Y728/Operations!Y731)</f>
        <v/>
      </c>
      <c r="Z746" s="14">
        <f>IF(Operations!Z731=0,0,Operations!Z728/Operations!Z731)</f>
        <v/>
      </c>
      <c r="AA746" s="14">
        <f>IF(Operations!AA731=0,0,Operations!AA728/Operations!AA731)</f>
        <v/>
      </c>
      <c r="AB746" s="14">
        <f>IF(Operations!AB731=0,0,Operations!AB728/Operations!AB731)</f>
        <v/>
      </c>
      <c r="AC746" s="14">
        <f>IF(Operations!AC731=0,0,Operations!AC728/Operations!AC731)</f>
        <v/>
      </c>
      <c r="AD746" s="14">
        <f>IF(Operations!AD731=0,0,Operations!AD728/Operations!AD731)</f>
        <v/>
      </c>
      <c r="AE746" s="14">
        <f>IF(Operations!AE731=0,0,Operations!AE728/Operations!AE731)</f>
        <v/>
      </c>
      <c r="AF746" s="14">
        <f>IF(Operations!AF731=0,0,Operations!AF728/Operations!AF731)</f>
        <v/>
      </c>
      <c r="AG746" s="14">
        <f>IF(Operations!AG731=0,0,Operations!AG728/Operations!AG731)</f>
        <v/>
      </c>
      <c r="AH746" s="14">
        <f>IF(Operations!AH731=0,0,Operations!AH728/Operations!AH731)</f>
        <v/>
      </c>
      <c r="AI746" s="14">
        <f>IF(Operations!AI731=0,0,Operations!AI728/Operations!AI731)</f>
        <v/>
      </c>
      <c r="AJ746" s="14">
        <f>IF(Operations!AJ731=0,0,Operations!AJ728/Operations!AJ731)</f>
        <v/>
      </c>
      <c r="AK746" s="14">
        <f>IF(Operations!AK731=0,0,Operations!AK728/Operations!AK731)</f>
        <v/>
      </c>
      <c r="AL746" s="14">
        <f>IF(Operations!AL731=0,0,Operations!AL728/Operations!AL731)</f>
        <v/>
      </c>
      <c r="AM746" s="14">
        <f>IF(Operations!AM731=0,0,Operations!AM728/Operations!AM731)</f>
        <v/>
      </c>
      <c r="AN746" s="14">
        <f>IF(Operations!AN731=0,0,Operations!AN728/Operations!AN731)</f>
        <v/>
      </c>
      <c r="AO746" s="14">
        <f>IF(Operations!AO731=0,0,Operations!AO728/Operations!AO731)</f>
        <v/>
      </c>
      <c r="AP746" s="14">
        <f>IF(Operations!AP731=0,0,Operations!AP728/Operations!AP731)</f>
        <v/>
      </c>
      <c r="AQ746" s="14">
        <f>IF(Operations!AQ731=0,0,Operations!AQ728/Operations!AQ731)</f>
        <v/>
      </c>
      <c r="AR746" s="14">
        <f>IF(Operations!AR731=0,0,Operations!AR728/Operations!AR731)</f>
        <v/>
      </c>
      <c r="AS746" s="14">
        <f>IF(Operations!AS731=0,0,Operations!AS728/Operations!AS731)</f>
        <v/>
      </c>
      <c r="AT746" s="14">
        <f>IF(Operations!AT731=0,0,Operations!AT728/Operations!AT731)</f>
        <v/>
      </c>
      <c r="AU746" s="14">
        <f>IF(Operations!AU731=0,0,Operations!AU728/Operations!AU731)</f>
        <v/>
      </c>
    </row>
    <row r="747">
      <c r="D747" t="inlineStr">
        <is>
          <t>R8 hedged share of revenue</t>
        </is>
      </c>
      <c r="E747" t="inlineStr">
        <is>
          <t>fraction</t>
        </is>
      </c>
      <c r="J747" s="14">
        <f>IF(Operations!J731=0,0,Operations!J729/Operations!J731)</f>
        <v/>
      </c>
      <c r="K747" s="14">
        <f>IF(Operations!K731=0,0,Operations!K729/Operations!K731)</f>
        <v/>
      </c>
      <c r="L747" s="14">
        <f>IF(Operations!L731=0,0,Operations!L729/Operations!L731)</f>
        <v/>
      </c>
      <c r="M747" s="14">
        <f>IF(Operations!M731=0,0,Operations!M729/Operations!M731)</f>
        <v/>
      </c>
      <c r="N747" s="14">
        <f>IF(Operations!N731=0,0,Operations!N729/Operations!N731)</f>
        <v/>
      </c>
      <c r="O747" s="14">
        <f>IF(Operations!O731=0,0,Operations!O729/Operations!O731)</f>
        <v/>
      </c>
      <c r="P747" s="14">
        <f>IF(Operations!P731=0,0,Operations!P729/Operations!P731)</f>
        <v/>
      </c>
      <c r="Q747" s="14">
        <f>IF(Operations!Q731=0,0,Operations!Q729/Operations!Q731)</f>
        <v/>
      </c>
      <c r="R747" s="14">
        <f>IF(Operations!R731=0,0,Operations!R729/Operations!R731)</f>
        <v/>
      </c>
      <c r="S747" s="14">
        <f>IF(Operations!S731=0,0,Operations!S729/Operations!S731)</f>
        <v/>
      </c>
      <c r="T747" s="14">
        <f>IF(Operations!T731=0,0,Operations!T729/Operations!T731)</f>
        <v/>
      </c>
      <c r="U747" s="14">
        <f>IF(Operations!U731=0,0,Operations!U729/Operations!U731)</f>
        <v/>
      </c>
      <c r="V747" s="14">
        <f>IF(Operations!V731=0,0,Operations!V729/Operations!V731)</f>
        <v/>
      </c>
      <c r="W747" s="14">
        <f>IF(Operations!W731=0,0,Operations!W729/Operations!W731)</f>
        <v/>
      </c>
      <c r="X747" s="14">
        <f>IF(Operations!X731=0,0,Operations!X729/Operations!X731)</f>
        <v/>
      </c>
      <c r="Y747" s="14">
        <f>IF(Operations!Y731=0,0,Operations!Y729/Operations!Y731)</f>
        <v/>
      </c>
      <c r="Z747" s="14">
        <f>IF(Operations!Z731=0,0,Operations!Z729/Operations!Z731)</f>
        <v/>
      </c>
      <c r="AA747" s="14">
        <f>IF(Operations!AA731=0,0,Operations!AA729/Operations!AA731)</f>
        <v/>
      </c>
      <c r="AB747" s="14">
        <f>IF(Operations!AB731=0,0,Operations!AB729/Operations!AB731)</f>
        <v/>
      </c>
      <c r="AC747" s="14">
        <f>IF(Operations!AC731=0,0,Operations!AC729/Operations!AC731)</f>
        <v/>
      </c>
      <c r="AD747" s="14">
        <f>IF(Operations!AD731=0,0,Operations!AD729/Operations!AD731)</f>
        <v/>
      </c>
      <c r="AE747" s="14">
        <f>IF(Operations!AE731=0,0,Operations!AE729/Operations!AE731)</f>
        <v/>
      </c>
      <c r="AF747" s="14">
        <f>IF(Operations!AF731=0,0,Operations!AF729/Operations!AF731)</f>
        <v/>
      </c>
      <c r="AG747" s="14">
        <f>IF(Operations!AG731=0,0,Operations!AG729/Operations!AG731)</f>
        <v/>
      </c>
      <c r="AH747" s="14">
        <f>IF(Operations!AH731=0,0,Operations!AH729/Operations!AH731)</f>
        <v/>
      </c>
      <c r="AI747" s="14">
        <f>IF(Operations!AI731=0,0,Operations!AI729/Operations!AI731)</f>
        <v/>
      </c>
      <c r="AJ747" s="14">
        <f>IF(Operations!AJ731=0,0,Operations!AJ729/Operations!AJ731)</f>
        <v/>
      </c>
      <c r="AK747" s="14">
        <f>IF(Operations!AK731=0,0,Operations!AK729/Operations!AK731)</f>
        <v/>
      </c>
      <c r="AL747" s="14">
        <f>IF(Operations!AL731=0,0,Operations!AL729/Operations!AL731)</f>
        <v/>
      </c>
      <c r="AM747" s="14">
        <f>IF(Operations!AM731=0,0,Operations!AM729/Operations!AM731)</f>
        <v/>
      </c>
      <c r="AN747" s="14">
        <f>IF(Operations!AN731=0,0,Operations!AN729/Operations!AN731)</f>
        <v/>
      </c>
      <c r="AO747" s="14">
        <f>IF(Operations!AO731=0,0,Operations!AO729/Operations!AO731)</f>
        <v/>
      </c>
      <c r="AP747" s="14">
        <f>IF(Operations!AP731=0,0,Operations!AP729/Operations!AP731)</f>
        <v/>
      </c>
      <c r="AQ747" s="14">
        <f>IF(Operations!AQ731=0,0,Operations!AQ729/Operations!AQ731)</f>
        <v/>
      </c>
      <c r="AR747" s="14">
        <f>IF(Operations!AR731=0,0,Operations!AR729/Operations!AR731)</f>
        <v/>
      </c>
      <c r="AS747" s="14">
        <f>IF(Operations!AS731=0,0,Operations!AS729/Operations!AS731)</f>
        <v/>
      </c>
      <c r="AT747" s="14">
        <f>IF(Operations!AT731=0,0,Operations!AT729/Operations!AT731)</f>
        <v/>
      </c>
      <c r="AU747" s="14">
        <f>IF(Operations!AU731=0,0,Operations!AU729/Operations!AU731)</f>
        <v/>
      </c>
    </row>
    <row r="748">
      <c r="D748" t="inlineStr">
        <is>
          <t>R8 merchant share of revenue</t>
        </is>
      </c>
      <c r="E748" t="inlineStr">
        <is>
          <t>fraction</t>
        </is>
      </c>
      <c r="J748" s="14">
        <f>1-Operations!J746-Operations!J747</f>
        <v/>
      </c>
      <c r="K748" s="14">
        <f>1-Operations!K746-Operations!K747</f>
        <v/>
      </c>
      <c r="L748" s="14">
        <f>1-Operations!L746-Operations!L747</f>
        <v/>
      </c>
      <c r="M748" s="14">
        <f>1-Operations!M746-Operations!M747</f>
        <v/>
      </c>
      <c r="N748" s="14">
        <f>1-Operations!N746-Operations!N747</f>
        <v/>
      </c>
      <c r="O748" s="14">
        <f>1-Operations!O746-Operations!O747</f>
        <v/>
      </c>
      <c r="P748" s="14">
        <f>1-Operations!P746-Operations!P747</f>
        <v/>
      </c>
      <c r="Q748" s="14">
        <f>1-Operations!Q746-Operations!Q747</f>
        <v/>
      </c>
      <c r="R748" s="14">
        <f>1-Operations!R746-Operations!R747</f>
        <v/>
      </c>
      <c r="S748" s="14">
        <f>1-Operations!S746-Operations!S747</f>
        <v/>
      </c>
      <c r="T748" s="14">
        <f>1-Operations!T746-Operations!T747</f>
        <v/>
      </c>
      <c r="U748" s="14">
        <f>1-Operations!U746-Operations!U747</f>
        <v/>
      </c>
      <c r="V748" s="14">
        <f>1-Operations!V746-Operations!V747</f>
        <v/>
      </c>
      <c r="W748" s="14">
        <f>1-Operations!W746-Operations!W747</f>
        <v/>
      </c>
      <c r="X748" s="14">
        <f>1-Operations!X746-Operations!X747</f>
        <v/>
      </c>
      <c r="Y748" s="14">
        <f>1-Operations!Y746-Operations!Y747</f>
        <v/>
      </c>
      <c r="Z748" s="14">
        <f>1-Operations!Z746-Operations!Z747</f>
        <v/>
      </c>
      <c r="AA748" s="14">
        <f>1-Operations!AA746-Operations!AA747</f>
        <v/>
      </c>
      <c r="AB748" s="14">
        <f>1-Operations!AB746-Operations!AB747</f>
        <v/>
      </c>
      <c r="AC748" s="14">
        <f>1-Operations!AC746-Operations!AC747</f>
        <v/>
      </c>
      <c r="AD748" s="14">
        <f>1-Operations!AD746-Operations!AD747</f>
        <v/>
      </c>
      <c r="AE748" s="14">
        <f>1-Operations!AE746-Operations!AE747</f>
        <v/>
      </c>
      <c r="AF748" s="14">
        <f>1-Operations!AF746-Operations!AF747</f>
        <v/>
      </c>
      <c r="AG748" s="14">
        <f>1-Operations!AG746-Operations!AG747</f>
        <v/>
      </c>
      <c r="AH748" s="14">
        <f>1-Operations!AH746-Operations!AH747</f>
        <v/>
      </c>
      <c r="AI748" s="14">
        <f>1-Operations!AI746-Operations!AI747</f>
        <v/>
      </c>
      <c r="AJ748" s="14">
        <f>1-Operations!AJ746-Operations!AJ747</f>
        <v/>
      </c>
      <c r="AK748" s="14">
        <f>1-Operations!AK746-Operations!AK747</f>
        <v/>
      </c>
      <c r="AL748" s="14">
        <f>1-Operations!AL746-Operations!AL747</f>
        <v/>
      </c>
      <c r="AM748" s="14">
        <f>1-Operations!AM746-Operations!AM747</f>
        <v/>
      </c>
      <c r="AN748" s="14">
        <f>1-Operations!AN746-Operations!AN747</f>
        <v/>
      </c>
      <c r="AO748" s="14">
        <f>1-Operations!AO746-Operations!AO747</f>
        <v/>
      </c>
      <c r="AP748" s="14">
        <f>1-Operations!AP746-Operations!AP747</f>
        <v/>
      </c>
      <c r="AQ748" s="14">
        <f>1-Operations!AQ746-Operations!AQ747</f>
        <v/>
      </c>
      <c r="AR748" s="14">
        <f>1-Operations!AR746-Operations!AR747</f>
        <v/>
      </c>
      <c r="AS748" s="14">
        <f>1-Operations!AS746-Operations!AS747</f>
        <v/>
      </c>
      <c r="AT748" s="14">
        <f>1-Operations!AT746-Operations!AT747</f>
        <v/>
      </c>
      <c r="AU748" s="14">
        <f>1-Operations!AU746-Operations!AU747</f>
        <v/>
      </c>
    </row>
    <row r="749">
      <c r="D749" t="inlineStr">
        <is>
          <t>R8 Mesa-share contracted revenue</t>
        </is>
      </c>
      <c r="E749" t="inlineStr">
        <is>
          <t>USD m</t>
        </is>
      </c>
      <c r="J749" s="20">
        <f>Operations!J728*Operations!J714*(1-Operations!J741)</f>
        <v/>
      </c>
      <c r="K749" s="20">
        <f>Operations!K728*Operations!K714*(1-Operations!K741)</f>
        <v/>
      </c>
      <c r="L749" s="20">
        <f>Operations!L728*Operations!L714*(1-Operations!L741)</f>
        <v/>
      </c>
      <c r="M749" s="20">
        <f>Operations!M728*Operations!M714*(1-Operations!M741)</f>
        <v/>
      </c>
      <c r="N749" s="20">
        <f>Operations!N728*Operations!N714*(1-Operations!N741)</f>
        <v/>
      </c>
      <c r="O749" s="20">
        <f>Operations!O728*Operations!O714*(1-Operations!O741)</f>
        <v/>
      </c>
      <c r="P749" s="20">
        <f>Operations!P728*Operations!P714*(1-Operations!P741)</f>
        <v/>
      </c>
      <c r="Q749" s="20">
        <f>Operations!Q728*Operations!Q714*(1-Operations!Q741)</f>
        <v/>
      </c>
      <c r="R749" s="20">
        <f>Operations!R728*Operations!R714*(1-Operations!R741)</f>
        <v/>
      </c>
      <c r="S749" s="20">
        <f>Operations!S728*Operations!S714*(1-Operations!S741)</f>
        <v/>
      </c>
      <c r="T749" s="20">
        <f>Operations!T728*Operations!T714*(1-Operations!T741)</f>
        <v/>
      </c>
      <c r="U749" s="20">
        <f>Operations!U728*Operations!U714*(1-Operations!U741)</f>
        <v/>
      </c>
      <c r="V749" s="20">
        <f>Operations!V728*Operations!V714*(1-Operations!V741)</f>
        <v/>
      </c>
      <c r="W749" s="20">
        <f>Operations!W728*Operations!W714*(1-Operations!W741)</f>
        <v/>
      </c>
      <c r="X749" s="20">
        <f>Operations!X728*Operations!X714*(1-Operations!X741)</f>
        <v/>
      </c>
      <c r="Y749" s="20">
        <f>Operations!Y728*Operations!Y714*(1-Operations!Y741)</f>
        <v/>
      </c>
      <c r="Z749" s="20">
        <f>Operations!Z728*Operations!Z714*(1-Operations!Z741)</f>
        <v/>
      </c>
      <c r="AA749" s="20">
        <f>Operations!AA728*Operations!AA714*(1-Operations!AA741)</f>
        <v/>
      </c>
      <c r="AB749" s="20">
        <f>Operations!AB728*Operations!AB714*(1-Operations!AB741)</f>
        <v/>
      </c>
      <c r="AC749" s="20">
        <f>Operations!AC728*Operations!AC714*(1-Operations!AC741)</f>
        <v/>
      </c>
      <c r="AD749" s="20">
        <f>Operations!AD728*Operations!AD714*(1-Operations!AD741)</f>
        <v/>
      </c>
      <c r="AE749" s="20">
        <f>Operations!AE728*Operations!AE714*(1-Operations!AE741)</f>
        <v/>
      </c>
      <c r="AF749" s="20">
        <f>Operations!AF728*Operations!AF714*(1-Operations!AF741)</f>
        <v/>
      </c>
      <c r="AG749" s="20">
        <f>Operations!AG728*Operations!AG714*(1-Operations!AG741)</f>
        <v/>
      </c>
      <c r="AH749" s="20">
        <f>Operations!AH728*Operations!AH714*(1-Operations!AH741)</f>
        <v/>
      </c>
      <c r="AI749" s="20">
        <f>Operations!AI728*Operations!AI714*(1-Operations!AI741)</f>
        <v/>
      </c>
      <c r="AJ749" s="20">
        <f>Operations!AJ728*Operations!AJ714*(1-Operations!AJ741)</f>
        <v/>
      </c>
      <c r="AK749" s="20">
        <f>Operations!AK728*Operations!AK714*(1-Operations!AK741)</f>
        <v/>
      </c>
      <c r="AL749" s="20">
        <f>Operations!AL728*Operations!AL714*(1-Operations!AL741)</f>
        <v/>
      </c>
      <c r="AM749" s="20">
        <f>Operations!AM728*Operations!AM714*(1-Operations!AM741)</f>
        <v/>
      </c>
      <c r="AN749" s="20">
        <f>Operations!AN728*Operations!AN714*(1-Operations!AN741)</f>
        <v/>
      </c>
      <c r="AO749" s="20">
        <f>Operations!AO728*Operations!AO714*(1-Operations!AO741)</f>
        <v/>
      </c>
      <c r="AP749" s="20">
        <f>Operations!AP728*Operations!AP714*(1-Operations!AP741)</f>
        <v/>
      </c>
      <c r="AQ749" s="20">
        <f>Operations!AQ728*Operations!AQ714*(1-Operations!AQ741)</f>
        <v/>
      </c>
      <c r="AR749" s="20">
        <f>Operations!AR728*Operations!AR714*(1-Operations!AR741)</f>
        <v/>
      </c>
      <c r="AS749" s="20">
        <f>Operations!AS728*Operations!AS714*(1-Operations!AS741)</f>
        <v/>
      </c>
      <c r="AT749" s="20">
        <f>Operations!AT728*Operations!AT714*(1-Operations!AT741)</f>
        <v/>
      </c>
      <c r="AU749" s="20">
        <f>Operations!AU728*Operations!AU714*(1-Operations!AU741)</f>
        <v/>
      </c>
    </row>
    <row r="750">
      <c r="D750" t="inlineStr">
        <is>
          <t>R8 Mesa-share hedged revenue</t>
        </is>
      </c>
      <c r="E750" t="inlineStr">
        <is>
          <t>USD m</t>
        </is>
      </c>
      <c r="J750" s="20">
        <f>Operations!J729*Operations!J714*(1-Operations!J741)</f>
        <v/>
      </c>
      <c r="K750" s="20">
        <f>Operations!K729*Operations!K714*(1-Operations!K741)</f>
        <v/>
      </c>
      <c r="L750" s="20">
        <f>Operations!L729*Operations!L714*(1-Operations!L741)</f>
        <v/>
      </c>
      <c r="M750" s="20">
        <f>Operations!M729*Operations!M714*(1-Operations!M741)</f>
        <v/>
      </c>
      <c r="N750" s="20">
        <f>Operations!N729*Operations!N714*(1-Operations!N741)</f>
        <v/>
      </c>
      <c r="O750" s="20">
        <f>Operations!O729*Operations!O714*(1-Operations!O741)</f>
        <v/>
      </c>
      <c r="P750" s="20">
        <f>Operations!P729*Operations!P714*(1-Operations!P741)</f>
        <v/>
      </c>
      <c r="Q750" s="20">
        <f>Operations!Q729*Operations!Q714*(1-Operations!Q741)</f>
        <v/>
      </c>
      <c r="R750" s="20">
        <f>Operations!R729*Operations!R714*(1-Operations!R741)</f>
        <v/>
      </c>
      <c r="S750" s="20">
        <f>Operations!S729*Operations!S714*(1-Operations!S741)</f>
        <v/>
      </c>
      <c r="T750" s="20">
        <f>Operations!T729*Operations!T714*(1-Operations!T741)</f>
        <v/>
      </c>
      <c r="U750" s="20">
        <f>Operations!U729*Operations!U714*(1-Operations!U741)</f>
        <v/>
      </c>
      <c r="V750" s="20">
        <f>Operations!V729*Operations!V714*(1-Operations!V741)</f>
        <v/>
      </c>
      <c r="W750" s="20">
        <f>Operations!W729*Operations!W714*(1-Operations!W741)</f>
        <v/>
      </c>
      <c r="X750" s="20">
        <f>Operations!X729*Operations!X714*(1-Operations!X741)</f>
        <v/>
      </c>
      <c r="Y750" s="20">
        <f>Operations!Y729*Operations!Y714*(1-Operations!Y741)</f>
        <v/>
      </c>
      <c r="Z750" s="20">
        <f>Operations!Z729*Operations!Z714*(1-Operations!Z741)</f>
        <v/>
      </c>
      <c r="AA750" s="20">
        <f>Operations!AA729*Operations!AA714*(1-Operations!AA741)</f>
        <v/>
      </c>
      <c r="AB750" s="20">
        <f>Operations!AB729*Operations!AB714*(1-Operations!AB741)</f>
        <v/>
      </c>
      <c r="AC750" s="20">
        <f>Operations!AC729*Operations!AC714*(1-Operations!AC741)</f>
        <v/>
      </c>
      <c r="AD750" s="20">
        <f>Operations!AD729*Operations!AD714*(1-Operations!AD741)</f>
        <v/>
      </c>
      <c r="AE750" s="20">
        <f>Operations!AE729*Operations!AE714*(1-Operations!AE741)</f>
        <v/>
      </c>
      <c r="AF750" s="20">
        <f>Operations!AF729*Operations!AF714*(1-Operations!AF741)</f>
        <v/>
      </c>
      <c r="AG750" s="20">
        <f>Operations!AG729*Operations!AG714*(1-Operations!AG741)</f>
        <v/>
      </c>
      <c r="AH750" s="20">
        <f>Operations!AH729*Operations!AH714*(1-Operations!AH741)</f>
        <v/>
      </c>
      <c r="AI750" s="20">
        <f>Operations!AI729*Operations!AI714*(1-Operations!AI741)</f>
        <v/>
      </c>
      <c r="AJ750" s="20">
        <f>Operations!AJ729*Operations!AJ714*(1-Operations!AJ741)</f>
        <v/>
      </c>
      <c r="AK750" s="20">
        <f>Operations!AK729*Operations!AK714*(1-Operations!AK741)</f>
        <v/>
      </c>
      <c r="AL750" s="20">
        <f>Operations!AL729*Operations!AL714*(1-Operations!AL741)</f>
        <v/>
      </c>
      <c r="AM750" s="20">
        <f>Operations!AM729*Operations!AM714*(1-Operations!AM741)</f>
        <v/>
      </c>
      <c r="AN750" s="20">
        <f>Operations!AN729*Operations!AN714*(1-Operations!AN741)</f>
        <v/>
      </c>
      <c r="AO750" s="20">
        <f>Operations!AO729*Operations!AO714*(1-Operations!AO741)</f>
        <v/>
      </c>
      <c r="AP750" s="20">
        <f>Operations!AP729*Operations!AP714*(1-Operations!AP741)</f>
        <v/>
      </c>
      <c r="AQ750" s="20">
        <f>Operations!AQ729*Operations!AQ714*(1-Operations!AQ741)</f>
        <v/>
      </c>
      <c r="AR750" s="20">
        <f>Operations!AR729*Operations!AR714*(1-Operations!AR741)</f>
        <v/>
      </c>
      <c r="AS750" s="20">
        <f>Operations!AS729*Operations!AS714*(1-Operations!AS741)</f>
        <v/>
      </c>
      <c r="AT750" s="20">
        <f>Operations!AT729*Operations!AT714*(1-Operations!AT741)</f>
        <v/>
      </c>
      <c r="AU750" s="20">
        <f>Operations!AU729*Operations!AU714*(1-Operations!AU741)</f>
        <v/>
      </c>
    </row>
    <row r="751">
      <c r="D751" t="inlineStr">
        <is>
          <t>R8 Mesa-share merchant revenue</t>
        </is>
      </c>
      <c r="E751" t="inlineStr">
        <is>
          <t>USD m</t>
        </is>
      </c>
      <c r="J751" s="20">
        <f>Operations!J732*Operations!J714*(1-Operations!J741)</f>
        <v/>
      </c>
      <c r="K751" s="20">
        <f>Operations!K732*Operations!K714*(1-Operations!K741)</f>
        <v/>
      </c>
      <c r="L751" s="20">
        <f>Operations!L732*Operations!L714*(1-Operations!L741)</f>
        <v/>
      </c>
      <c r="M751" s="20">
        <f>Operations!M732*Operations!M714*(1-Operations!M741)</f>
        <v/>
      </c>
      <c r="N751" s="20">
        <f>Operations!N732*Operations!N714*(1-Operations!N741)</f>
        <v/>
      </c>
      <c r="O751" s="20">
        <f>Operations!O732*Operations!O714*(1-Operations!O741)</f>
        <v/>
      </c>
      <c r="P751" s="20">
        <f>Operations!P732*Operations!P714*(1-Operations!P741)</f>
        <v/>
      </c>
      <c r="Q751" s="20">
        <f>Operations!Q732*Operations!Q714*(1-Operations!Q741)</f>
        <v/>
      </c>
      <c r="R751" s="20">
        <f>Operations!R732*Operations!R714*(1-Operations!R741)</f>
        <v/>
      </c>
      <c r="S751" s="20">
        <f>Operations!S732*Operations!S714*(1-Operations!S741)</f>
        <v/>
      </c>
      <c r="T751" s="20">
        <f>Operations!T732*Operations!T714*(1-Operations!T741)</f>
        <v/>
      </c>
      <c r="U751" s="20">
        <f>Operations!U732*Operations!U714*(1-Operations!U741)</f>
        <v/>
      </c>
      <c r="V751" s="20">
        <f>Operations!V732*Operations!V714*(1-Operations!V741)</f>
        <v/>
      </c>
      <c r="W751" s="20">
        <f>Operations!W732*Operations!W714*(1-Operations!W741)</f>
        <v/>
      </c>
      <c r="X751" s="20">
        <f>Operations!X732*Operations!X714*(1-Operations!X741)</f>
        <v/>
      </c>
      <c r="Y751" s="20">
        <f>Operations!Y732*Operations!Y714*(1-Operations!Y741)</f>
        <v/>
      </c>
      <c r="Z751" s="20">
        <f>Operations!Z732*Operations!Z714*(1-Operations!Z741)</f>
        <v/>
      </c>
      <c r="AA751" s="20">
        <f>Operations!AA732*Operations!AA714*(1-Operations!AA741)</f>
        <v/>
      </c>
      <c r="AB751" s="20">
        <f>Operations!AB732*Operations!AB714*(1-Operations!AB741)</f>
        <v/>
      </c>
      <c r="AC751" s="20">
        <f>Operations!AC732*Operations!AC714*(1-Operations!AC741)</f>
        <v/>
      </c>
      <c r="AD751" s="20">
        <f>Operations!AD732*Operations!AD714*(1-Operations!AD741)</f>
        <v/>
      </c>
      <c r="AE751" s="20">
        <f>Operations!AE732*Operations!AE714*(1-Operations!AE741)</f>
        <v/>
      </c>
      <c r="AF751" s="20">
        <f>Operations!AF732*Operations!AF714*(1-Operations!AF741)</f>
        <v/>
      </c>
      <c r="AG751" s="20">
        <f>Operations!AG732*Operations!AG714*(1-Operations!AG741)</f>
        <v/>
      </c>
      <c r="AH751" s="20">
        <f>Operations!AH732*Operations!AH714*(1-Operations!AH741)</f>
        <v/>
      </c>
      <c r="AI751" s="20">
        <f>Operations!AI732*Operations!AI714*(1-Operations!AI741)</f>
        <v/>
      </c>
      <c r="AJ751" s="20">
        <f>Operations!AJ732*Operations!AJ714*(1-Operations!AJ741)</f>
        <v/>
      </c>
      <c r="AK751" s="20">
        <f>Operations!AK732*Operations!AK714*(1-Operations!AK741)</f>
        <v/>
      </c>
      <c r="AL751" s="20">
        <f>Operations!AL732*Operations!AL714*(1-Operations!AL741)</f>
        <v/>
      </c>
      <c r="AM751" s="20">
        <f>Operations!AM732*Operations!AM714*(1-Operations!AM741)</f>
        <v/>
      </c>
      <c r="AN751" s="20">
        <f>Operations!AN732*Operations!AN714*(1-Operations!AN741)</f>
        <v/>
      </c>
      <c r="AO751" s="20">
        <f>Operations!AO732*Operations!AO714*(1-Operations!AO741)</f>
        <v/>
      </c>
      <c r="AP751" s="20">
        <f>Operations!AP732*Operations!AP714*(1-Operations!AP741)</f>
        <v/>
      </c>
      <c r="AQ751" s="20">
        <f>Operations!AQ732*Operations!AQ714*(1-Operations!AQ741)</f>
        <v/>
      </c>
      <c r="AR751" s="20">
        <f>Operations!AR732*Operations!AR714*(1-Operations!AR741)</f>
        <v/>
      </c>
      <c r="AS751" s="20">
        <f>Operations!AS732*Operations!AS714*(1-Operations!AS741)</f>
        <v/>
      </c>
      <c r="AT751" s="20">
        <f>Operations!AT732*Operations!AT714*(1-Operations!AT741)</f>
        <v/>
      </c>
      <c r="AU751" s="20">
        <f>Operations!AU732*Operations!AU714*(1-Operations!AU741)</f>
        <v/>
      </c>
    </row>
    <row r="752">
      <c r="D752" t="inlineStr">
        <is>
          <t>R8 Mesa-share revenue</t>
        </is>
      </c>
      <c r="E752" t="inlineStr">
        <is>
          <t>USD m</t>
        </is>
      </c>
      <c r="J752" s="20">
        <f>Operations!J731*Operations!J714*(1-Operations!J741)</f>
        <v/>
      </c>
      <c r="K752" s="20">
        <f>Operations!K731*Operations!K714*(1-Operations!K741)</f>
        <v/>
      </c>
      <c r="L752" s="20">
        <f>Operations!L731*Operations!L714*(1-Operations!L741)</f>
        <v/>
      </c>
      <c r="M752" s="20">
        <f>Operations!M731*Operations!M714*(1-Operations!M741)</f>
        <v/>
      </c>
      <c r="N752" s="20">
        <f>Operations!N731*Operations!N714*(1-Operations!N741)</f>
        <v/>
      </c>
      <c r="O752" s="20">
        <f>Operations!O731*Operations!O714*(1-Operations!O741)</f>
        <v/>
      </c>
      <c r="P752" s="20">
        <f>Operations!P731*Operations!P714*(1-Operations!P741)</f>
        <v/>
      </c>
      <c r="Q752" s="20">
        <f>Operations!Q731*Operations!Q714*(1-Operations!Q741)</f>
        <v/>
      </c>
      <c r="R752" s="20">
        <f>Operations!R731*Operations!R714*(1-Operations!R741)</f>
        <v/>
      </c>
      <c r="S752" s="20">
        <f>Operations!S731*Operations!S714*(1-Operations!S741)</f>
        <v/>
      </c>
      <c r="T752" s="20">
        <f>Operations!T731*Operations!T714*(1-Operations!T741)</f>
        <v/>
      </c>
      <c r="U752" s="20">
        <f>Operations!U731*Operations!U714*(1-Operations!U741)</f>
        <v/>
      </c>
      <c r="V752" s="20">
        <f>Operations!V731*Operations!V714*(1-Operations!V741)</f>
        <v/>
      </c>
      <c r="W752" s="20">
        <f>Operations!W731*Operations!W714*(1-Operations!W741)</f>
        <v/>
      </c>
      <c r="X752" s="20">
        <f>Operations!X731*Operations!X714*(1-Operations!X741)</f>
        <v/>
      </c>
      <c r="Y752" s="20">
        <f>Operations!Y731*Operations!Y714*(1-Operations!Y741)</f>
        <v/>
      </c>
      <c r="Z752" s="20">
        <f>Operations!Z731*Operations!Z714*(1-Operations!Z741)</f>
        <v/>
      </c>
      <c r="AA752" s="20">
        <f>Operations!AA731*Operations!AA714*(1-Operations!AA741)</f>
        <v/>
      </c>
      <c r="AB752" s="20">
        <f>Operations!AB731*Operations!AB714*(1-Operations!AB741)</f>
        <v/>
      </c>
      <c r="AC752" s="20">
        <f>Operations!AC731*Operations!AC714*(1-Operations!AC741)</f>
        <v/>
      </c>
      <c r="AD752" s="20">
        <f>Operations!AD731*Operations!AD714*(1-Operations!AD741)</f>
        <v/>
      </c>
      <c r="AE752" s="20">
        <f>Operations!AE731*Operations!AE714*(1-Operations!AE741)</f>
        <v/>
      </c>
      <c r="AF752" s="20">
        <f>Operations!AF731*Operations!AF714*(1-Operations!AF741)</f>
        <v/>
      </c>
      <c r="AG752" s="20">
        <f>Operations!AG731*Operations!AG714*(1-Operations!AG741)</f>
        <v/>
      </c>
      <c r="AH752" s="20">
        <f>Operations!AH731*Operations!AH714*(1-Operations!AH741)</f>
        <v/>
      </c>
      <c r="AI752" s="20">
        <f>Operations!AI731*Operations!AI714*(1-Operations!AI741)</f>
        <v/>
      </c>
      <c r="AJ752" s="20">
        <f>Operations!AJ731*Operations!AJ714*(1-Operations!AJ741)</f>
        <v/>
      </c>
      <c r="AK752" s="20">
        <f>Operations!AK731*Operations!AK714*(1-Operations!AK741)</f>
        <v/>
      </c>
      <c r="AL752" s="20">
        <f>Operations!AL731*Operations!AL714*(1-Operations!AL741)</f>
        <v/>
      </c>
      <c r="AM752" s="20">
        <f>Operations!AM731*Operations!AM714*(1-Operations!AM741)</f>
        <v/>
      </c>
      <c r="AN752" s="20">
        <f>Operations!AN731*Operations!AN714*(1-Operations!AN741)</f>
        <v/>
      </c>
      <c r="AO752" s="20">
        <f>Operations!AO731*Operations!AO714*(1-Operations!AO741)</f>
        <v/>
      </c>
      <c r="AP752" s="20">
        <f>Operations!AP731*Operations!AP714*(1-Operations!AP741)</f>
        <v/>
      </c>
      <c r="AQ752" s="20">
        <f>Operations!AQ731*Operations!AQ714*(1-Operations!AQ741)</f>
        <v/>
      </c>
      <c r="AR752" s="20">
        <f>Operations!AR731*Operations!AR714*(1-Operations!AR741)</f>
        <v/>
      </c>
      <c r="AS752" s="20">
        <f>Operations!AS731*Operations!AS714*(1-Operations!AS741)</f>
        <v/>
      </c>
      <c r="AT752" s="20">
        <f>Operations!AT731*Operations!AT714*(1-Operations!AT741)</f>
        <v/>
      </c>
      <c r="AU752" s="20">
        <f>Operations!AU731*Operations!AU714*(1-Operations!AU741)</f>
        <v/>
      </c>
    </row>
    <row r="754">
      <c r="A754" s="4" t="inlineStr">
        <is>
          <t>Block B: portfolio</t>
        </is>
      </c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</row>
    <row r="755">
      <c r="D755" t="inlineStr">
        <is>
          <t>Asset management cost</t>
        </is>
      </c>
      <c r="E755" t="inlineStr">
        <is>
          <t>USD m</t>
        </is>
      </c>
      <c r="J755" s="20">
        <f>Inputs!$F$239*Time!J$9*MAX(0,MIN(Inputs!$F$26,Time!J$6)-MAX(Inputs!$F$240,Time!J$5))/Time!J$7</f>
        <v/>
      </c>
      <c r="K755" s="20">
        <f>Inputs!$F$239*Time!K$9*MAX(0,MIN(Inputs!$F$26,Time!K$6)-MAX(Inputs!$F$240,Time!K$5))/Time!K$7</f>
        <v/>
      </c>
      <c r="L755" s="20">
        <f>Inputs!$F$239*Time!L$9*MAX(0,MIN(Inputs!$F$26,Time!L$6)-MAX(Inputs!$F$240,Time!L$5))/Time!L$7</f>
        <v/>
      </c>
      <c r="M755" s="20">
        <f>Inputs!$F$239*Time!M$9*MAX(0,MIN(Inputs!$F$26,Time!M$6)-MAX(Inputs!$F$240,Time!M$5))/Time!M$7</f>
        <v/>
      </c>
      <c r="N755" s="20">
        <f>Inputs!$F$239*Time!N$9*MAX(0,MIN(Inputs!$F$26,Time!N$6)-MAX(Inputs!$F$240,Time!N$5))/Time!N$7</f>
        <v/>
      </c>
      <c r="O755" s="20">
        <f>Inputs!$F$239*Time!O$9*MAX(0,MIN(Inputs!$F$26,Time!O$6)-MAX(Inputs!$F$240,Time!O$5))/Time!O$7</f>
        <v/>
      </c>
      <c r="P755" s="20">
        <f>Inputs!$F$239*Time!P$9*MAX(0,MIN(Inputs!$F$26,Time!P$6)-MAX(Inputs!$F$240,Time!P$5))/Time!P$7</f>
        <v/>
      </c>
      <c r="Q755" s="20">
        <f>Inputs!$F$239*Time!Q$9*MAX(0,MIN(Inputs!$F$26,Time!Q$6)-MAX(Inputs!$F$240,Time!Q$5))/Time!Q$7</f>
        <v/>
      </c>
      <c r="R755" s="20">
        <f>Inputs!$F$239*Time!R$9*MAX(0,MIN(Inputs!$F$26,Time!R$6)-MAX(Inputs!$F$240,Time!R$5))/Time!R$7</f>
        <v/>
      </c>
      <c r="S755" s="20">
        <f>Inputs!$F$239*Time!S$9*MAX(0,MIN(Inputs!$F$26,Time!S$6)-MAX(Inputs!$F$240,Time!S$5))/Time!S$7</f>
        <v/>
      </c>
      <c r="T755" s="20">
        <f>Inputs!$F$239*Time!T$9*MAX(0,MIN(Inputs!$F$26,Time!T$6)-MAX(Inputs!$F$240,Time!T$5))/Time!T$7</f>
        <v/>
      </c>
      <c r="U755" s="20">
        <f>Inputs!$F$239*Time!U$9*MAX(0,MIN(Inputs!$F$26,Time!U$6)-MAX(Inputs!$F$240,Time!U$5))/Time!U$7</f>
        <v/>
      </c>
      <c r="V755" s="20">
        <f>Inputs!$F$239*Time!V$9*MAX(0,MIN(Inputs!$F$26,Time!V$6)-MAX(Inputs!$F$240,Time!V$5))/Time!V$7</f>
        <v/>
      </c>
      <c r="W755" s="20">
        <f>Inputs!$F$239*Time!W$9*MAX(0,MIN(Inputs!$F$26,Time!W$6)-MAX(Inputs!$F$240,Time!W$5))/Time!W$7</f>
        <v/>
      </c>
      <c r="X755" s="20">
        <f>Inputs!$F$239*Time!X$9*MAX(0,MIN(Inputs!$F$26,Time!X$6)-MAX(Inputs!$F$240,Time!X$5))/Time!X$7</f>
        <v/>
      </c>
      <c r="Y755" s="20">
        <f>Inputs!$F$239*Time!Y$9*MAX(0,MIN(Inputs!$F$26,Time!Y$6)-MAX(Inputs!$F$240,Time!Y$5))/Time!Y$7</f>
        <v/>
      </c>
      <c r="Z755" s="20">
        <f>Inputs!$F$239*Time!Z$9*MAX(0,MIN(Inputs!$F$26,Time!Z$6)-MAX(Inputs!$F$240,Time!Z$5))/Time!Z$7</f>
        <v/>
      </c>
      <c r="AA755" s="20">
        <f>Inputs!$F$239*Time!AA$9*MAX(0,MIN(Inputs!$F$26,Time!AA$6)-MAX(Inputs!$F$240,Time!AA$5))/Time!AA$7</f>
        <v/>
      </c>
      <c r="AB755" s="20">
        <f>Inputs!$F$239*Time!AB$9*MAX(0,MIN(Inputs!$F$26,Time!AB$6)-MAX(Inputs!$F$240,Time!AB$5))/Time!AB$7</f>
        <v/>
      </c>
      <c r="AC755" s="20">
        <f>Inputs!$F$239*Time!AC$9*MAX(0,MIN(Inputs!$F$26,Time!AC$6)-MAX(Inputs!$F$240,Time!AC$5))/Time!AC$7</f>
        <v/>
      </c>
      <c r="AD755" s="20">
        <f>Inputs!$F$239*Time!AD$9*MAX(0,MIN(Inputs!$F$26,Time!AD$6)-MAX(Inputs!$F$240,Time!AD$5))/Time!AD$7</f>
        <v/>
      </c>
      <c r="AE755" s="20">
        <f>Inputs!$F$239*Time!AE$9*MAX(0,MIN(Inputs!$F$26,Time!AE$6)-MAX(Inputs!$F$240,Time!AE$5))/Time!AE$7</f>
        <v/>
      </c>
      <c r="AF755" s="20">
        <f>Inputs!$F$239*Time!AF$9*MAX(0,MIN(Inputs!$F$26,Time!AF$6)-MAX(Inputs!$F$240,Time!AF$5))/Time!AF$7</f>
        <v/>
      </c>
      <c r="AG755" s="20">
        <f>Inputs!$F$239*Time!AG$9*MAX(0,MIN(Inputs!$F$26,Time!AG$6)-MAX(Inputs!$F$240,Time!AG$5))/Time!AG$7</f>
        <v/>
      </c>
      <c r="AH755" s="20">
        <f>Inputs!$F$239*Time!AH$9*MAX(0,MIN(Inputs!$F$26,Time!AH$6)-MAX(Inputs!$F$240,Time!AH$5))/Time!AH$7</f>
        <v/>
      </c>
      <c r="AI755" s="20">
        <f>Inputs!$F$239*Time!AI$9*MAX(0,MIN(Inputs!$F$26,Time!AI$6)-MAX(Inputs!$F$240,Time!AI$5))/Time!AI$7</f>
        <v/>
      </c>
      <c r="AJ755" s="20">
        <f>Inputs!$F$239*Time!AJ$9*MAX(0,MIN(Inputs!$F$26,Time!AJ$6)-MAX(Inputs!$F$240,Time!AJ$5))/Time!AJ$7</f>
        <v/>
      </c>
      <c r="AK755" s="20">
        <f>Inputs!$F$239*Time!AK$9*MAX(0,MIN(Inputs!$F$26,Time!AK$6)-MAX(Inputs!$F$240,Time!AK$5))/Time!AK$7</f>
        <v/>
      </c>
      <c r="AL755" s="20">
        <f>Inputs!$F$239*Time!AL$9*MAX(0,MIN(Inputs!$F$26,Time!AL$6)-MAX(Inputs!$F$240,Time!AL$5))/Time!AL$7</f>
        <v/>
      </c>
      <c r="AM755" s="20">
        <f>Inputs!$F$239*Time!AM$9*MAX(0,MIN(Inputs!$F$26,Time!AM$6)-MAX(Inputs!$F$240,Time!AM$5))/Time!AM$7</f>
        <v/>
      </c>
      <c r="AN755" s="20">
        <f>Inputs!$F$239*Time!AN$9*MAX(0,MIN(Inputs!$F$26,Time!AN$6)-MAX(Inputs!$F$240,Time!AN$5))/Time!AN$7</f>
        <v/>
      </c>
      <c r="AO755" s="20">
        <f>Inputs!$F$239*Time!AO$9*MAX(0,MIN(Inputs!$F$26,Time!AO$6)-MAX(Inputs!$F$240,Time!AO$5))/Time!AO$7</f>
        <v/>
      </c>
      <c r="AP755" s="20">
        <f>Inputs!$F$239*Time!AP$9*MAX(0,MIN(Inputs!$F$26,Time!AP$6)-MAX(Inputs!$F$240,Time!AP$5))/Time!AP$7</f>
        <v/>
      </c>
      <c r="AQ755" s="20">
        <f>Inputs!$F$239*Time!AQ$9*MAX(0,MIN(Inputs!$F$26,Time!AQ$6)-MAX(Inputs!$F$240,Time!AQ$5))/Time!AQ$7</f>
        <v/>
      </c>
      <c r="AR755" s="20">
        <f>Inputs!$F$239*Time!AR$9*MAX(0,MIN(Inputs!$F$26,Time!AR$6)-MAX(Inputs!$F$240,Time!AR$5))/Time!AR$7</f>
        <v/>
      </c>
      <c r="AS755" s="20">
        <f>Inputs!$F$239*Time!AS$9*MAX(0,MIN(Inputs!$F$26,Time!AS$6)-MAX(Inputs!$F$240,Time!AS$5))/Time!AS$7</f>
        <v/>
      </c>
      <c r="AT755" s="20">
        <f>Inputs!$F$239*Time!AT$9*MAX(0,MIN(Inputs!$F$26,Time!AT$6)-MAX(Inputs!$F$240,Time!AT$5))/Time!AT$7</f>
        <v/>
      </c>
      <c r="AU755" s="20">
        <f>Inputs!$F$239*Time!AU$9*MAX(0,MIN(Inputs!$F$26,Time!AU$6)-MAX(Inputs!$F$240,Time!AU$5))/Time!AU$7</f>
        <v/>
      </c>
    </row>
    <row r="756">
      <c r="D756" t="inlineStr">
        <is>
          <t>Mesa cash flow, a1 assets</t>
        </is>
      </c>
      <c r="E756" t="inlineStr">
        <is>
          <t>USD m</t>
        </is>
      </c>
      <c r="J756" s="20">
        <f>Operations!J465+Operations!J507+Operations!J550+Operations!J593+Operations!J636</f>
        <v/>
      </c>
      <c r="K756" s="20">
        <f>Operations!K465+Operations!K507+Operations!K550+Operations!K593+Operations!K636</f>
        <v/>
      </c>
      <c r="L756" s="20">
        <f>Operations!L465+Operations!L507+Operations!L550+Operations!L593+Operations!L636</f>
        <v/>
      </c>
      <c r="M756" s="20">
        <f>Operations!M465+Operations!M507+Operations!M550+Operations!M593+Operations!M636</f>
        <v/>
      </c>
      <c r="N756" s="20">
        <f>Operations!N465+Operations!N507+Operations!N550+Operations!N593+Operations!N636</f>
        <v/>
      </c>
      <c r="O756" s="20">
        <f>Operations!O465+Operations!O507+Operations!O550+Operations!O593+Operations!O636</f>
        <v/>
      </c>
      <c r="P756" s="20">
        <f>Operations!P465+Operations!P507+Operations!P550+Operations!P593+Operations!P636</f>
        <v/>
      </c>
      <c r="Q756" s="20">
        <f>Operations!Q465+Operations!Q507+Operations!Q550+Operations!Q593+Operations!Q636</f>
        <v/>
      </c>
      <c r="R756" s="20">
        <f>Operations!R465+Operations!R507+Operations!R550+Operations!R593+Operations!R636</f>
        <v/>
      </c>
      <c r="S756" s="20">
        <f>Operations!S465+Operations!S507+Operations!S550+Operations!S593+Operations!S636</f>
        <v/>
      </c>
      <c r="T756" s="20">
        <f>Operations!T465+Operations!T507+Operations!T550+Operations!T593+Operations!T636</f>
        <v/>
      </c>
      <c r="U756" s="20">
        <f>Operations!U465+Operations!U507+Operations!U550+Operations!U593+Operations!U636</f>
        <v/>
      </c>
      <c r="V756" s="20">
        <f>Operations!V465+Operations!V507+Operations!V550+Operations!V593+Operations!V636</f>
        <v/>
      </c>
      <c r="W756" s="20">
        <f>Operations!W465+Operations!W507+Operations!W550+Operations!W593+Operations!W636</f>
        <v/>
      </c>
      <c r="X756" s="20">
        <f>Operations!X465+Operations!X507+Operations!X550+Operations!X593+Operations!X636</f>
        <v/>
      </c>
      <c r="Y756" s="20">
        <f>Operations!Y465+Operations!Y507+Operations!Y550+Operations!Y593+Operations!Y636</f>
        <v/>
      </c>
      <c r="Z756" s="20">
        <f>Operations!Z465+Operations!Z507+Operations!Z550+Operations!Z593+Operations!Z636</f>
        <v/>
      </c>
      <c r="AA756" s="20">
        <f>Operations!AA465+Operations!AA507+Operations!AA550+Operations!AA593+Operations!AA636</f>
        <v/>
      </c>
      <c r="AB756" s="20">
        <f>Operations!AB465+Operations!AB507+Operations!AB550+Operations!AB593+Operations!AB636</f>
        <v/>
      </c>
      <c r="AC756" s="20">
        <f>Operations!AC465+Operations!AC507+Operations!AC550+Operations!AC593+Operations!AC636</f>
        <v/>
      </c>
      <c r="AD756" s="20">
        <f>Operations!AD465+Operations!AD507+Operations!AD550+Operations!AD593+Operations!AD636</f>
        <v/>
      </c>
      <c r="AE756" s="20">
        <f>Operations!AE465+Operations!AE507+Operations!AE550+Operations!AE593+Operations!AE636</f>
        <v/>
      </c>
      <c r="AF756" s="20">
        <f>Operations!AF465+Operations!AF507+Operations!AF550+Operations!AF593+Operations!AF636</f>
        <v/>
      </c>
      <c r="AG756" s="20">
        <f>Operations!AG465+Operations!AG507+Operations!AG550+Operations!AG593+Operations!AG636</f>
        <v/>
      </c>
      <c r="AH756" s="20">
        <f>Operations!AH465+Operations!AH507+Operations!AH550+Operations!AH593+Operations!AH636</f>
        <v/>
      </c>
      <c r="AI756" s="20">
        <f>Operations!AI465+Operations!AI507+Operations!AI550+Operations!AI593+Operations!AI636</f>
        <v/>
      </c>
      <c r="AJ756" s="20">
        <f>Operations!AJ465+Operations!AJ507+Operations!AJ550+Operations!AJ593+Operations!AJ636</f>
        <v/>
      </c>
      <c r="AK756" s="20">
        <f>Operations!AK465+Operations!AK507+Operations!AK550+Operations!AK593+Operations!AK636</f>
        <v/>
      </c>
      <c r="AL756" s="20">
        <f>Operations!AL465+Operations!AL507+Operations!AL550+Operations!AL593+Operations!AL636</f>
        <v/>
      </c>
      <c r="AM756" s="20">
        <f>Operations!AM465+Operations!AM507+Operations!AM550+Operations!AM593+Operations!AM636</f>
        <v/>
      </c>
      <c r="AN756" s="20">
        <f>Operations!AN465+Operations!AN507+Operations!AN550+Operations!AN593+Operations!AN636</f>
        <v/>
      </c>
      <c r="AO756" s="20">
        <f>Operations!AO465+Operations!AO507+Operations!AO550+Operations!AO593+Operations!AO636</f>
        <v/>
      </c>
      <c r="AP756" s="20">
        <f>Operations!AP465+Operations!AP507+Operations!AP550+Operations!AP593+Operations!AP636</f>
        <v/>
      </c>
      <c r="AQ756" s="20">
        <f>Operations!AQ465+Operations!AQ507+Operations!AQ550+Operations!AQ593+Operations!AQ636</f>
        <v/>
      </c>
      <c r="AR756" s="20">
        <f>Operations!AR465+Operations!AR507+Operations!AR550+Operations!AR593+Operations!AR636</f>
        <v/>
      </c>
      <c r="AS756" s="20">
        <f>Operations!AS465+Operations!AS507+Operations!AS550+Operations!AS593+Operations!AS636</f>
        <v/>
      </c>
      <c r="AT756" s="20">
        <f>Operations!AT465+Operations!AT507+Operations!AT550+Operations!AT593+Operations!AT636</f>
        <v/>
      </c>
      <c r="AU756" s="20">
        <f>Operations!AU465+Operations!AU507+Operations!AU550+Operations!AU593+Operations!AU636</f>
        <v/>
      </c>
    </row>
    <row r="757">
      <c r="D757" t="inlineStr">
        <is>
          <t>Mesa-share contracted revenue, a1</t>
        </is>
      </c>
      <c r="E757" t="inlineStr">
        <is>
          <t>USD m</t>
        </is>
      </c>
      <c r="J757" s="20">
        <f>Operations!J471+Operations!J513+Operations!J556+Operations!J599+Operations!J642</f>
        <v/>
      </c>
      <c r="K757" s="20">
        <f>Operations!K471+Operations!K513+Operations!K556+Operations!K599+Operations!K642</f>
        <v/>
      </c>
      <c r="L757" s="20">
        <f>Operations!L471+Operations!L513+Operations!L556+Operations!L599+Operations!L642</f>
        <v/>
      </c>
      <c r="M757" s="20">
        <f>Operations!M471+Operations!M513+Operations!M556+Operations!M599+Operations!M642</f>
        <v/>
      </c>
      <c r="N757" s="20">
        <f>Operations!N471+Operations!N513+Operations!N556+Operations!N599+Operations!N642</f>
        <v/>
      </c>
      <c r="O757" s="20">
        <f>Operations!O471+Operations!O513+Operations!O556+Operations!O599+Operations!O642</f>
        <v/>
      </c>
      <c r="P757" s="20">
        <f>Operations!P471+Operations!P513+Operations!P556+Operations!P599+Operations!P642</f>
        <v/>
      </c>
      <c r="Q757" s="20">
        <f>Operations!Q471+Operations!Q513+Operations!Q556+Operations!Q599+Operations!Q642</f>
        <v/>
      </c>
      <c r="R757" s="20">
        <f>Operations!R471+Operations!R513+Operations!R556+Operations!R599+Operations!R642</f>
        <v/>
      </c>
      <c r="S757" s="20">
        <f>Operations!S471+Operations!S513+Operations!S556+Operations!S599+Operations!S642</f>
        <v/>
      </c>
      <c r="T757" s="20">
        <f>Operations!T471+Operations!T513+Operations!T556+Operations!T599+Operations!T642</f>
        <v/>
      </c>
      <c r="U757" s="20">
        <f>Operations!U471+Operations!U513+Operations!U556+Operations!U599+Operations!U642</f>
        <v/>
      </c>
      <c r="V757" s="20">
        <f>Operations!V471+Operations!V513+Operations!V556+Operations!V599+Operations!V642</f>
        <v/>
      </c>
      <c r="W757" s="20">
        <f>Operations!W471+Operations!W513+Operations!W556+Operations!W599+Operations!W642</f>
        <v/>
      </c>
      <c r="X757" s="20">
        <f>Operations!X471+Operations!X513+Operations!X556+Operations!X599+Operations!X642</f>
        <v/>
      </c>
      <c r="Y757" s="20">
        <f>Operations!Y471+Operations!Y513+Operations!Y556+Operations!Y599+Operations!Y642</f>
        <v/>
      </c>
      <c r="Z757" s="20">
        <f>Operations!Z471+Operations!Z513+Operations!Z556+Operations!Z599+Operations!Z642</f>
        <v/>
      </c>
      <c r="AA757" s="20">
        <f>Operations!AA471+Operations!AA513+Operations!AA556+Operations!AA599+Operations!AA642</f>
        <v/>
      </c>
      <c r="AB757" s="20">
        <f>Operations!AB471+Operations!AB513+Operations!AB556+Operations!AB599+Operations!AB642</f>
        <v/>
      </c>
      <c r="AC757" s="20">
        <f>Operations!AC471+Operations!AC513+Operations!AC556+Operations!AC599+Operations!AC642</f>
        <v/>
      </c>
      <c r="AD757" s="20">
        <f>Operations!AD471+Operations!AD513+Operations!AD556+Operations!AD599+Operations!AD642</f>
        <v/>
      </c>
      <c r="AE757" s="20">
        <f>Operations!AE471+Operations!AE513+Operations!AE556+Operations!AE599+Operations!AE642</f>
        <v/>
      </c>
      <c r="AF757" s="20">
        <f>Operations!AF471+Operations!AF513+Operations!AF556+Operations!AF599+Operations!AF642</f>
        <v/>
      </c>
      <c r="AG757" s="20">
        <f>Operations!AG471+Operations!AG513+Operations!AG556+Operations!AG599+Operations!AG642</f>
        <v/>
      </c>
      <c r="AH757" s="20">
        <f>Operations!AH471+Operations!AH513+Operations!AH556+Operations!AH599+Operations!AH642</f>
        <v/>
      </c>
      <c r="AI757" s="20">
        <f>Operations!AI471+Operations!AI513+Operations!AI556+Operations!AI599+Operations!AI642</f>
        <v/>
      </c>
      <c r="AJ757" s="20">
        <f>Operations!AJ471+Operations!AJ513+Operations!AJ556+Operations!AJ599+Operations!AJ642</f>
        <v/>
      </c>
      <c r="AK757" s="20">
        <f>Operations!AK471+Operations!AK513+Operations!AK556+Operations!AK599+Operations!AK642</f>
        <v/>
      </c>
      <c r="AL757" s="20">
        <f>Operations!AL471+Operations!AL513+Operations!AL556+Operations!AL599+Operations!AL642</f>
        <v/>
      </c>
      <c r="AM757" s="20">
        <f>Operations!AM471+Operations!AM513+Operations!AM556+Operations!AM599+Operations!AM642</f>
        <v/>
      </c>
      <c r="AN757" s="20">
        <f>Operations!AN471+Operations!AN513+Operations!AN556+Operations!AN599+Operations!AN642</f>
        <v/>
      </c>
      <c r="AO757" s="20">
        <f>Operations!AO471+Operations!AO513+Operations!AO556+Operations!AO599+Operations!AO642</f>
        <v/>
      </c>
      <c r="AP757" s="20">
        <f>Operations!AP471+Operations!AP513+Operations!AP556+Operations!AP599+Operations!AP642</f>
        <v/>
      </c>
      <c r="AQ757" s="20">
        <f>Operations!AQ471+Operations!AQ513+Operations!AQ556+Operations!AQ599+Operations!AQ642</f>
        <v/>
      </c>
      <c r="AR757" s="20">
        <f>Operations!AR471+Operations!AR513+Operations!AR556+Operations!AR599+Operations!AR642</f>
        <v/>
      </c>
      <c r="AS757" s="20">
        <f>Operations!AS471+Operations!AS513+Operations!AS556+Operations!AS599+Operations!AS642</f>
        <v/>
      </c>
      <c r="AT757" s="20">
        <f>Operations!AT471+Operations!AT513+Operations!AT556+Operations!AT599+Operations!AT642</f>
        <v/>
      </c>
      <c r="AU757" s="20">
        <f>Operations!AU471+Operations!AU513+Operations!AU556+Operations!AU599+Operations!AU642</f>
        <v/>
      </c>
    </row>
    <row r="758">
      <c r="D758" t="inlineStr">
        <is>
          <t>Mesa-share hedged revenue, a1</t>
        </is>
      </c>
      <c r="E758" t="inlineStr">
        <is>
          <t>USD m</t>
        </is>
      </c>
      <c r="J758" s="20">
        <f>Operations!J472+Operations!J514+Operations!J557+Operations!J600+Operations!J643</f>
        <v/>
      </c>
      <c r="K758" s="20">
        <f>Operations!K472+Operations!K514+Operations!K557+Operations!K600+Operations!K643</f>
        <v/>
      </c>
      <c r="L758" s="20">
        <f>Operations!L472+Operations!L514+Operations!L557+Operations!L600+Operations!L643</f>
        <v/>
      </c>
      <c r="M758" s="20">
        <f>Operations!M472+Operations!M514+Operations!M557+Operations!M600+Operations!M643</f>
        <v/>
      </c>
      <c r="N758" s="20">
        <f>Operations!N472+Operations!N514+Operations!N557+Operations!N600+Operations!N643</f>
        <v/>
      </c>
      <c r="O758" s="20">
        <f>Operations!O472+Operations!O514+Operations!O557+Operations!O600+Operations!O643</f>
        <v/>
      </c>
      <c r="P758" s="20">
        <f>Operations!P472+Operations!P514+Operations!P557+Operations!P600+Operations!P643</f>
        <v/>
      </c>
      <c r="Q758" s="20">
        <f>Operations!Q472+Operations!Q514+Operations!Q557+Operations!Q600+Operations!Q643</f>
        <v/>
      </c>
      <c r="R758" s="20">
        <f>Operations!R472+Operations!R514+Operations!R557+Operations!R600+Operations!R643</f>
        <v/>
      </c>
      <c r="S758" s="20">
        <f>Operations!S472+Operations!S514+Operations!S557+Operations!S600+Operations!S643</f>
        <v/>
      </c>
      <c r="T758" s="20">
        <f>Operations!T472+Operations!T514+Operations!T557+Operations!T600+Operations!T643</f>
        <v/>
      </c>
      <c r="U758" s="20">
        <f>Operations!U472+Operations!U514+Operations!U557+Operations!U600+Operations!U643</f>
        <v/>
      </c>
      <c r="V758" s="20">
        <f>Operations!V472+Operations!V514+Operations!V557+Operations!V600+Operations!V643</f>
        <v/>
      </c>
      <c r="W758" s="20">
        <f>Operations!W472+Operations!W514+Operations!W557+Operations!W600+Operations!W643</f>
        <v/>
      </c>
      <c r="X758" s="20">
        <f>Operations!X472+Operations!X514+Operations!X557+Operations!X600+Operations!X643</f>
        <v/>
      </c>
      <c r="Y758" s="20">
        <f>Operations!Y472+Operations!Y514+Operations!Y557+Operations!Y600+Operations!Y643</f>
        <v/>
      </c>
      <c r="Z758" s="20">
        <f>Operations!Z472+Operations!Z514+Operations!Z557+Operations!Z600+Operations!Z643</f>
        <v/>
      </c>
      <c r="AA758" s="20">
        <f>Operations!AA472+Operations!AA514+Operations!AA557+Operations!AA600+Operations!AA643</f>
        <v/>
      </c>
      <c r="AB758" s="20">
        <f>Operations!AB472+Operations!AB514+Operations!AB557+Operations!AB600+Operations!AB643</f>
        <v/>
      </c>
      <c r="AC758" s="20">
        <f>Operations!AC472+Operations!AC514+Operations!AC557+Operations!AC600+Operations!AC643</f>
        <v/>
      </c>
      <c r="AD758" s="20">
        <f>Operations!AD472+Operations!AD514+Operations!AD557+Operations!AD600+Operations!AD643</f>
        <v/>
      </c>
      <c r="AE758" s="20">
        <f>Operations!AE472+Operations!AE514+Operations!AE557+Operations!AE600+Operations!AE643</f>
        <v/>
      </c>
      <c r="AF758" s="20">
        <f>Operations!AF472+Operations!AF514+Operations!AF557+Operations!AF600+Operations!AF643</f>
        <v/>
      </c>
      <c r="AG758" s="20">
        <f>Operations!AG472+Operations!AG514+Operations!AG557+Operations!AG600+Operations!AG643</f>
        <v/>
      </c>
      <c r="AH758" s="20">
        <f>Operations!AH472+Operations!AH514+Operations!AH557+Operations!AH600+Operations!AH643</f>
        <v/>
      </c>
      <c r="AI758" s="20">
        <f>Operations!AI472+Operations!AI514+Operations!AI557+Operations!AI600+Operations!AI643</f>
        <v/>
      </c>
      <c r="AJ758" s="20">
        <f>Operations!AJ472+Operations!AJ514+Operations!AJ557+Operations!AJ600+Operations!AJ643</f>
        <v/>
      </c>
      <c r="AK758" s="20">
        <f>Operations!AK472+Operations!AK514+Operations!AK557+Operations!AK600+Operations!AK643</f>
        <v/>
      </c>
      <c r="AL758" s="20">
        <f>Operations!AL472+Operations!AL514+Operations!AL557+Operations!AL600+Operations!AL643</f>
        <v/>
      </c>
      <c r="AM758" s="20">
        <f>Operations!AM472+Operations!AM514+Operations!AM557+Operations!AM600+Operations!AM643</f>
        <v/>
      </c>
      <c r="AN758" s="20">
        <f>Operations!AN472+Operations!AN514+Operations!AN557+Operations!AN600+Operations!AN643</f>
        <v/>
      </c>
      <c r="AO758" s="20">
        <f>Operations!AO472+Operations!AO514+Operations!AO557+Operations!AO600+Operations!AO643</f>
        <v/>
      </c>
      <c r="AP758" s="20">
        <f>Operations!AP472+Operations!AP514+Operations!AP557+Operations!AP600+Operations!AP643</f>
        <v/>
      </c>
      <c r="AQ758" s="20">
        <f>Operations!AQ472+Operations!AQ514+Operations!AQ557+Operations!AQ600+Operations!AQ643</f>
        <v/>
      </c>
      <c r="AR758" s="20">
        <f>Operations!AR472+Operations!AR514+Operations!AR557+Operations!AR600+Operations!AR643</f>
        <v/>
      </c>
      <c r="AS758" s="20">
        <f>Operations!AS472+Operations!AS514+Operations!AS557+Operations!AS600+Operations!AS643</f>
        <v/>
      </c>
      <c r="AT758" s="20">
        <f>Operations!AT472+Operations!AT514+Operations!AT557+Operations!AT600+Operations!AT643</f>
        <v/>
      </c>
      <c r="AU758" s="20">
        <f>Operations!AU472+Operations!AU514+Operations!AU557+Operations!AU600+Operations!AU643</f>
        <v/>
      </c>
    </row>
    <row r="759">
      <c r="D759" t="inlineStr">
        <is>
          <t>Mesa-share merchant revenue, a1</t>
        </is>
      </c>
      <c r="E759" t="inlineStr">
        <is>
          <t>USD m</t>
        </is>
      </c>
      <c r="J759" s="20">
        <f>Operations!J473+Operations!J515+Operations!J558+Operations!J601+Operations!J644</f>
        <v/>
      </c>
      <c r="K759" s="20">
        <f>Operations!K473+Operations!K515+Operations!K558+Operations!K601+Operations!K644</f>
        <v/>
      </c>
      <c r="L759" s="20">
        <f>Operations!L473+Operations!L515+Operations!L558+Operations!L601+Operations!L644</f>
        <v/>
      </c>
      <c r="M759" s="20">
        <f>Operations!M473+Operations!M515+Operations!M558+Operations!M601+Operations!M644</f>
        <v/>
      </c>
      <c r="N759" s="20">
        <f>Operations!N473+Operations!N515+Operations!N558+Operations!N601+Operations!N644</f>
        <v/>
      </c>
      <c r="O759" s="20">
        <f>Operations!O473+Operations!O515+Operations!O558+Operations!O601+Operations!O644</f>
        <v/>
      </c>
      <c r="P759" s="20">
        <f>Operations!P473+Operations!P515+Operations!P558+Operations!P601+Operations!P644</f>
        <v/>
      </c>
      <c r="Q759" s="20">
        <f>Operations!Q473+Operations!Q515+Operations!Q558+Operations!Q601+Operations!Q644</f>
        <v/>
      </c>
      <c r="R759" s="20">
        <f>Operations!R473+Operations!R515+Operations!R558+Operations!R601+Operations!R644</f>
        <v/>
      </c>
      <c r="S759" s="20">
        <f>Operations!S473+Operations!S515+Operations!S558+Operations!S601+Operations!S644</f>
        <v/>
      </c>
      <c r="T759" s="20">
        <f>Operations!T473+Operations!T515+Operations!T558+Operations!T601+Operations!T644</f>
        <v/>
      </c>
      <c r="U759" s="20">
        <f>Operations!U473+Operations!U515+Operations!U558+Operations!U601+Operations!U644</f>
        <v/>
      </c>
      <c r="V759" s="20">
        <f>Operations!V473+Operations!V515+Operations!V558+Operations!V601+Operations!V644</f>
        <v/>
      </c>
      <c r="W759" s="20">
        <f>Operations!W473+Operations!W515+Operations!W558+Operations!W601+Operations!W644</f>
        <v/>
      </c>
      <c r="X759" s="20">
        <f>Operations!X473+Operations!X515+Operations!X558+Operations!X601+Operations!X644</f>
        <v/>
      </c>
      <c r="Y759" s="20">
        <f>Operations!Y473+Operations!Y515+Operations!Y558+Operations!Y601+Operations!Y644</f>
        <v/>
      </c>
      <c r="Z759" s="20">
        <f>Operations!Z473+Operations!Z515+Operations!Z558+Operations!Z601+Operations!Z644</f>
        <v/>
      </c>
      <c r="AA759" s="20">
        <f>Operations!AA473+Operations!AA515+Operations!AA558+Operations!AA601+Operations!AA644</f>
        <v/>
      </c>
      <c r="AB759" s="20">
        <f>Operations!AB473+Operations!AB515+Operations!AB558+Operations!AB601+Operations!AB644</f>
        <v/>
      </c>
      <c r="AC759" s="20">
        <f>Operations!AC473+Operations!AC515+Operations!AC558+Operations!AC601+Operations!AC644</f>
        <v/>
      </c>
      <c r="AD759" s="20">
        <f>Operations!AD473+Operations!AD515+Operations!AD558+Operations!AD601+Operations!AD644</f>
        <v/>
      </c>
      <c r="AE759" s="20">
        <f>Operations!AE473+Operations!AE515+Operations!AE558+Operations!AE601+Operations!AE644</f>
        <v/>
      </c>
      <c r="AF759" s="20">
        <f>Operations!AF473+Operations!AF515+Operations!AF558+Operations!AF601+Operations!AF644</f>
        <v/>
      </c>
      <c r="AG759" s="20">
        <f>Operations!AG473+Operations!AG515+Operations!AG558+Operations!AG601+Operations!AG644</f>
        <v/>
      </c>
      <c r="AH759" s="20">
        <f>Operations!AH473+Operations!AH515+Operations!AH558+Operations!AH601+Operations!AH644</f>
        <v/>
      </c>
      <c r="AI759" s="20">
        <f>Operations!AI473+Operations!AI515+Operations!AI558+Operations!AI601+Operations!AI644</f>
        <v/>
      </c>
      <c r="AJ759" s="20">
        <f>Operations!AJ473+Operations!AJ515+Operations!AJ558+Operations!AJ601+Operations!AJ644</f>
        <v/>
      </c>
      <c r="AK759" s="20">
        <f>Operations!AK473+Operations!AK515+Operations!AK558+Operations!AK601+Operations!AK644</f>
        <v/>
      </c>
      <c r="AL759" s="20">
        <f>Operations!AL473+Operations!AL515+Operations!AL558+Operations!AL601+Operations!AL644</f>
        <v/>
      </c>
      <c r="AM759" s="20">
        <f>Operations!AM473+Operations!AM515+Operations!AM558+Operations!AM601+Operations!AM644</f>
        <v/>
      </c>
      <c r="AN759" s="20">
        <f>Operations!AN473+Operations!AN515+Operations!AN558+Operations!AN601+Operations!AN644</f>
        <v/>
      </c>
      <c r="AO759" s="20">
        <f>Operations!AO473+Operations!AO515+Operations!AO558+Operations!AO601+Operations!AO644</f>
        <v/>
      </c>
      <c r="AP759" s="20">
        <f>Operations!AP473+Operations!AP515+Operations!AP558+Operations!AP601+Operations!AP644</f>
        <v/>
      </c>
      <c r="AQ759" s="20">
        <f>Operations!AQ473+Operations!AQ515+Operations!AQ558+Operations!AQ601+Operations!AQ644</f>
        <v/>
      </c>
      <c r="AR759" s="20">
        <f>Operations!AR473+Operations!AR515+Operations!AR558+Operations!AR601+Operations!AR644</f>
        <v/>
      </c>
      <c r="AS759" s="20">
        <f>Operations!AS473+Operations!AS515+Operations!AS558+Operations!AS601+Operations!AS644</f>
        <v/>
      </c>
      <c r="AT759" s="20">
        <f>Operations!AT473+Operations!AT515+Operations!AT558+Operations!AT601+Operations!AT644</f>
        <v/>
      </c>
      <c r="AU759" s="20">
        <f>Operations!AU473+Operations!AU515+Operations!AU558+Operations!AU601+Operations!AU644</f>
        <v/>
      </c>
    </row>
    <row r="760">
      <c r="D760" t="inlineStr">
        <is>
          <t>Mesa-share revenue, a1</t>
        </is>
      </c>
      <c r="E760" t="inlineStr">
        <is>
          <t>USD m</t>
        </is>
      </c>
      <c r="J760" s="20">
        <f>Operations!J757+Operations!J758+Operations!J759</f>
        <v/>
      </c>
      <c r="K760" s="20">
        <f>Operations!K757+Operations!K758+Operations!K759</f>
        <v/>
      </c>
      <c r="L760" s="20">
        <f>Operations!L757+Operations!L758+Operations!L759</f>
        <v/>
      </c>
      <c r="M760" s="20">
        <f>Operations!M757+Operations!M758+Operations!M759</f>
        <v/>
      </c>
      <c r="N760" s="20">
        <f>Operations!N757+Operations!N758+Operations!N759</f>
        <v/>
      </c>
      <c r="O760" s="20">
        <f>Operations!O757+Operations!O758+Operations!O759</f>
        <v/>
      </c>
      <c r="P760" s="20">
        <f>Operations!P757+Operations!P758+Operations!P759</f>
        <v/>
      </c>
      <c r="Q760" s="20">
        <f>Operations!Q757+Operations!Q758+Operations!Q759</f>
        <v/>
      </c>
      <c r="R760" s="20">
        <f>Operations!R757+Operations!R758+Operations!R759</f>
        <v/>
      </c>
      <c r="S760" s="20">
        <f>Operations!S757+Operations!S758+Operations!S759</f>
        <v/>
      </c>
      <c r="T760" s="20">
        <f>Operations!T757+Operations!T758+Operations!T759</f>
        <v/>
      </c>
      <c r="U760" s="20">
        <f>Operations!U757+Operations!U758+Operations!U759</f>
        <v/>
      </c>
      <c r="V760" s="20">
        <f>Operations!V757+Operations!V758+Operations!V759</f>
        <v/>
      </c>
      <c r="W760" s="20">
        <f>Operations!W757+Operations!W758+Operations!W759</f>
        <v/>
      </c>
      <c r="X760" s="20">
        <f>Operations!X757+Operations!X758+Operations!X759</f>
        <v/>
      </c>
      <c r="Y760" s="20">
        <f>Operations!Y757+Operations!Y758+Operations!Y759</f>
        <v/>
      </c>
      <c r="Z760" s="20">
        <f>Operations!Z757+Operations!Z758+Operations!Z759</f>
        <v/>
      </c>
      <c r="AA760" s="20">
        <f>Operations!AA757+Operations!AA758+Operations!AA759</f>
        <v/>
      </c>
      <c r="AB760" s="20">
        <f>Operations!AB757+Operations!AB758+Operations!AB759</f>
        <v/>
      </c>
      <c r="AC760" s="20">
        <f>Operations!AC757+Operations!AC758+Operations!AC759</f>
        <v/>
      </c>
      <c r="AD760" s="20">
        <f>Operations!AD757+Operations!AD758+Operations!AD759</f>
        <v/>
      </c>
      <c r="AE760" s="20">
        <f>Operations!AE757+Operations!AE758+Operations!AE759</f>
        <v/>
      </c>
      <c r="AF760" s="20">
        <f>Operations!AF757+Operations!AF758+Operations!AF759</f>
        <v/>
      </c>
      <c r="AG760" s="20">
        <f>Operations!AG757+Operations!AG758+Operations!AG759</f>
        <v/>
      </c>
      <c r="AH760" s="20">
        <f>Operations!AH757+Operations!AH758+Operations!AH759</f>
        <v/>
      </c>
      <c r="AI760" s="20">
        <f>Operations!AI757+Operations!AI758+Operations!AI759</f>
        <v/>
      </c>
      <c r="AJ760" s="20">
        <f>Operations!AJ757+Operations!AJ758+Operations!AJ759</f>
        <v/>
      </c>
      <c r="AK760" s="20">
        <f>Operations!AK757+Operations!AK758+Operations!AK759</f>
        <v/>
      </c>
      <c r="AL760" s="20">
        <f>Operations!AL757+Operations!AL758+Operations!AL759</f>
        <v/>
      </c>
      <c r="AM760" s="20">
        <f>Operations!AM757+Operations!AM758+Operations!AM759</f>
        <v/>
      </c>
      <c r="AN760" s="20">
        <f>Operations!AN757+Operations!AN758+Operations!AN759</f>
        <v/>
      </c>
      <c r="AO760" s="20">
        <f>Operations!AO757+Operations!AO758+Operations!AO759</f>
        <v/>
      </c>
      <c r="AP760" s="20">
        <f>Operations!AP757+Operations!AP758+Operations!AP759</f>
        <v/>
      </c>
      <c r="AQ760" s="20">
        <f>Operations!AQ757+Operations!AQ758+Operations!AQ759</f>
        <v/>
      </c>
      <c r="AR760" s="20">
        <f>Operations!AR757+Operations!AR758+Operations!AR759</f>
        <v/>
      </c>
      <c r="AS760" s="20">
        <f>Operations!AS757+Operations!AS758+Operations!AS759</f>
        <v/>
      </c>
      <c r="AT760" s="20">
        <f>Operations!AT757+Operations!AT758+Operations!AT759</f>
        <v/>
      </c>
      <c r="AU760" s="20">
        <f>Operations!AU757+Operations!AU758+Operations!AU759</f>
        <v/>
      </c>
    </row>
    <row r="761">
      <c r="D761" t="inlineStr">
        <is>
          <t>Mesa cash flow, all assets</t>
        </is>
      </c>
      <c r="E761" t="inlineStr">
        <is>
          <t>USD m</t>
        </is>
      </c>
      <c r="J761" s="20">
        <f>Operations!J465+Operations!J507+Operations!J550+Operations!J593+Operations!J636+Operations!J668+Operations!J701+Operations!J743</f>
        <v/>
      </c>
      <c r="K761" s="20">
        <f>Operations!K465+Operations!K507+Operations!K550+Operations!K593+Operations!K636+Operations!K668+Operations!K701+Operations!K743</f>
        <v/>
      </c>
      <c r="L761" s="20">
        <f>Operations!L465+Operations!L507+Operations!L550+Operations!L593+Operations!L636+Operations!L668+Operations!L701+Operations!L743</f>
        <v/>
      </c>
      <c r="M761" s="20">
        <f>Operations!M465+Operations!M507+Operations!M550+Operations!M593+Operations!M636+Operations!M668+Operations!M701+Operations!M743</f>
        <v/>
      </c>
      <c r="N761" s="20">
        <f>Operations!N465+Operations!N507+Operations!N550+Operations!N593+Operations!N636+Operations!N668+Operations!N701+Operations!N743</f>
        <v/>
      </c>
      <c r="O761" s="20">
        <f>Operations!O465+Operations!O507+Operations!O550+Operations!O593+Operations!O636+Operations!O668+Operations!O701+Operations!O743</f>
        <v/>
      </c>
      <c r="P761" s="20">
        <f>Operations!P465+Operations!P507+Operations!P550+Operations!P593+Operations!P636+Operations!P668+Operations!P701+Operations!P743</f>
        <v/>
      </c>
      <c r="Q761" s="20">
        <f>Operations!Q465+Operations!Q507+Operations!Q550+Operations!Q593+Operations!Q636+Operations!Q668+Operations!Q701+Operations!Q743</f>
        <v/>
      </c>
      <c r="R761" s="20">
        <f>Operations!R465+Operations!R507+Operations!R550+Operations!R593+Operations!R636+Operations!R668+Operations!R701+Operations!R743</f>
        <v/>
      </c>
      <c r="S761" s="20">
        <f>Operations!S465+Operations!S507+Operations!S550+Operations!S593+Operations!S636+Operations!S668+Operations!S701+Operations!S743</f>
        <v/>
      </c>
      <c r="T761" s="20">
        <f>Operations!T465+Operations!T507+Operations!T550+Operations!T593+Operations!T636+Operations!T668+Operations!T701+Operations!T743</f>
        <v/>
      </c>
      <c r="U761" s="20">
        <f>Operations!U465+Operations!U507+Operations!U550+Operations!U593+Operations!U636+Operations!U668+Operations!U701+Operations!U743</f>
        <v/>
      </c>
      <c r="V761" s="20">
        <f>Operations!V465+Operations!V507+Operations!V550+Operations!V593+Operations!V636+Operations!V668+Operations!V701+Operations!V743</f>
        <v/>
      </c>
      <c r="W761" s="20">
        <f>Operations!W465+Operations!W507+Operations!W550+Operations!W593+Operations!W636+Operations!W668+Operations!W701+Operations!W743</f>
        <v/>
      </c>
      <c r="X761" s="20">
        <f>Operations!X465+Operations!X507+Operations!X550+Operations!X593+Operations!X636+Operations!X668+Operations!X701+Operations!X743</f>
        <v/>
      </c>
      <c r="Y761" s="20">
        <f>Operations!Y465+Operations!Y507+Operations!Y550+Operations!Y593+Operations!Y636+Operations!Y668+Operations!Y701+Operations!Y743</f>
        <v/>
      </c>
      <c r="Z761" s="20">
        <f>Operations!Z465+Operations!Z507+Operations!Z550+Operations!Z593+Operations!Z636+Operations!Z668+Operations!Z701+Operations!Z743</f>
        <v/>
      </c>
      <c r="AA761" s="20">
        <f>Operations!AA465+Operations!AA507+Operations!AA550+Operations!AA593+Operations!AA636+Operations!AA668+Operations!AA701+Operations!AA743</f>
        <v/>
      </c>
      <c r="AB761" s="20">
        <f>Operations!AB465+Operations!AB507+Operations!AB550+Operations!AB593+Operations!AB636+Operations!AB668+Operations!AB701+Operations!AB743</f>
        <v/>
      </c>
      <c r="AC761" s="20">
        <f>Operations!AC465+Operations!AC507+Operations!AC550+Operations!AC593+Operations!AC636+Operations!AC668+Operations!AC701+Operations!AC743</f>
        <v/>
      </c>
      <c r="AD761" s="20">
        <f>Operations!AD465+Operations!AD507+Operations!AD550+Operations!AD593+Operations!AD636+Operations!AD668+Operations!AD701+Operations!AD743</f>
        <v/>
      </c>
      <c r="AE761" s="20">
        <f>Operations!AE465+Operations!AE507+Operations!AE550+Operations!AE593+Operations!AE636+Operations!AE668+Operations!AE701+Operations!AE743</f>
        <v/>
      </c>
      <c r="AF761" s="20">
        <f>Operations!AF465+Operations!AF507+Operations!AF550+Operations!AF593+Operations!AF636+Operations!AF668+Operations!AF701+Operations!AF743</f>
        <v/>
      </c>
      <c r="AG761" s="20">
        <f>Operations!AG465+Operations!AG507+Operations!AG550+Operations!AG593+Operations!AG636+Operations!AG668+Operations!AG701+Operations!AG743</f>
        <v/>
      </c>
      <c r="AH761" s="20">
        <f>Operations!AH465+Operations!AH507+Operations!AH550+Operations!AH593+Operations!AH636+Operations!AH668+Operations!AH701+Operations!AH743</f>
        <v/>
      </c>
      <c r="AI761" s="20">
        <f>Operations!AI465+Operations!AI507+Operations!AI550+Operations!AI593+Operations!AI636+Operations!AI668+Operations!AI701+Operations!AI743</f>
        <v/>
      </c>
      <c r="AJ761" s="20">
        <f>Operations!AJ465+Operations!AJ507+Operations!AJ550+Operations!AJ593+Operations!AJ636+Operations!AJ668+Operations!AJ701+Operations!AJ743</f>
        <v/>
      </c>
      <c r="AK761" s="20">
        <f>Operations!AK465+Operations!AK507+Operations!AK550+Operations!AK593+Operations!AK636+Operations!AK668+Operations!AK701+Operations!AK743</f>
        <v/>
      </c>
      <c r="AL761" s="20">
        <f>Operations!AL465+Operations!AL507+Operations!AL550+Operations!AL593+Operations!AL636+Operations!AL668+Operations!AL701+Operations!AL743</f>
        <v/>
      </c>
      <c r="AM761" s="20">
        <f>Operations!AM465+Operations!AM507+Operations!AM550+Operations!AM593+Operations!AM636+Operations!AM668+Operations!AM701+Operations!AM743</f>
        <v/>
      </c>
      <c r="AN761" s="20">
        <f>Operations!AN465+Operations!AN507+Operations!AN550+Operations!AN593+Operations!AN636+Operations!AN668+Operations!AN701+Operations!AN743</f>
        <v/>
      </c>
      <c r="AO761" s="20">
        <f>Operations!AO465+Operations!AO507+Operations!AO550+Operations!AO593+Operations!AO636+Operations!AO668+Operations!AO701+Operations!AO743</f>
        <v/>
      </c>
      <c r="AP761" s="20">
        <f>Operations!AP465+Operations!AP507+Operations!AP550+Operations!AP593+Operations!AP636+Operations!AP668+Operations!AP701+Operations!AP743</f>
        <v/>
      </c>
      <c r="AQ761" s="20">
        <f>Operations!AQ465+Operations!AQ507+Operations!AQ550+Operations!AQ593+Operations!AQ636+Operations!AQ668+Operations!AQ701+Operations!AQ743</f>
        <v/>
      </c>
      <c r="AR761" s="20">
        <f>Operations!AR465+Operations!AR507+Operations!AR550+Operations!AR593+Operations!AR636+Operations!AR668+Operations!AR701+Operations!AR743</f>
        <v/>
      </c>
      <c r="AS761" s="20">
        <f>Operations!AS465+Operations!AS507+Operations!AS550+Operations!AS593+Operations!AS636+Operations!AS668+Operations!AS701+Operations!AS743</f>
        <v/>
      </c>
      <c r="AT761" s="20">
        <f>Operations!AT465+Operations!AT507+Operations!AT550+Operations!AT593+Operations!AT636+Operations!AT668+Operations!AT701+Operations!AT743</f>
        <v/>
      </c>
      <c r="AU761" s="20">
        <f>Operations!AU465+Operations!AU507+Operations!AU550+Operations!AU593+Operations!AU636+Operations!AU668+Operations!AU701+Operations!AU743</f>
        <v/>
      </c>
    </row>
    <row r="762">
      <c r="D762" t="inlineStr">
        <is>
          <t>Mesa-share contracted revenue, all</t>
        </is>
      </c>
      <c r="E762" t="inlineStr">
        <is>
          <t>USD m</t>
        </is>
      </c>
      <c r="J762" s="20">
        <f>Operations!J471+Operations!J513+Operations!J556+Operations!J599+Operations!J642+Operations!J674+Operations!J707+Operations!J749</f>
        <v/>
      </c>
      <c r="K762" s="20">
        <f>Operations!K471+Operations!K513+Operations!K556+Operations!K599+Operations!K642+Operations!K674+Operations!K707+Operations!K749</f>
        <v/>
      </c>
      <c r="L762" s="20">
        <f>Operations!L471+Operations!L513+Operations!L556+Operations!L599+Operations!L642+Operations!L674+Operations!L707+Operations!L749</f>
        <v/>
      </c>
      <c r="M762" s="20">
        <f>Operations!M471+Operations!M513+Operations!M556+Operations!M599+Operations!M642+Operations!M674+Operations!M707+Operations!M749</f>
        <v/>
      </c>
      <c r="N762" s="20">
        <f>Operations!N471+Operations!N513+Operations!N556+Operations!N599+Operations!N642+Operations!N674+Operations!N707+Operations!N749</f>
        <v/>
      </c>
      <c r="O762" s="20">
        <f>Operations!O471+Operations!O513+Operations!O556+Operations!O599+Operations!O642+Operations!O674+Operations!O707+Operations!O749</f>
        <v/>
      </c>
      <c r="P762" s="20">
        <f>Operations!P471+Operations!P513+Operations!P556+Operations!P599+Operations!P642+Operations!P674+Operations!P707+Operations!P749</f>
        <v/>
      </c>
      <c r="Q762" s="20">
        <f>Operations!Q471+Operations!Q513+Operations!Q556+Operations!Q599+Operations!Q642+Operations!Q674+Operations!Q707+Operations!Q749</f>
        <v/>
      </c>
      <c r="R762" s="20">
        <f>Operations!R471+Operations!R513+Operations!R556+Operations!R599+Operations!R642+Operations!R674+Operations!R707+Operations!R749</f>
        <v/>
      </c>
      <c r="S762" s="20">
        <f>Operations!S471+Operations!S513+Operations!S556+Operations!S599+Operations!S642+Operations!S674+Operations!S707+Operations!S749</f>
        <v/>
      </c>
      <c r="T762" s="20">
        <f>Operations!T471+Operations!T513+Operations!T556+Operations!T599+Operations!T642+Operations!T674+Operations!T707+Operations!T749</f>
        <v/>
      </c>
      <c r="U762" s="20">
        <f>Operations!U471+Operations!U513+Operations!U556+Operations!U599+Operations!U642+Operations!U674+Operations!U707+Operations!U749</f>
        <v/>
      </c>
      <c r="V762" s="20">
        <f>Operations!V471+Operations!V513+Operations!V556+Operations!V599+Operations!V642+Operations!V674+Operations!V707+Operations!V749</f>
        <v/>
      </c>
      <c r="W762" s="20">
        <f>Operations!W471+Operations!W513+Operations!W556+Operations!W599+Operations!W642+Operations!W674+Operations!W707+Operations!W749</f>
        <v/>
      </c>
      <c r="X762" s="20">
        <f>Operations!X471+Operations!X513+Operations!X556+Operations!X599+Operations!X642+Operations!X674+Operations!X707+Operations!X749</f>
        <v/>
      </c>
      <c r="Y762" s="20">
        <f>Operations!Y471+Operations!Y513+Operations!Y556+Operations!Y599+Operations!Y642+Operations!Y674+Operations!Y707+Operations!Y749</f>
        <v/>
      </c>
      <c r="Z762" s="20">
        <f>Operations!Z471+Operations!Z513+Operations!Z556+Operations!Z599+Operations!Z642+Operations!Z674+Operations!Z707+Operations!Z749</f>
        <v/>
      </c>
      <c r="AA762" s="20">
        <f>Operations!AA471+Operations!AA513+Operations!AA556+Operations!AA599+Operations!AA642+Operations!AA674+Operations!AA707+Operations!AA749</f>
        <v/>
      </c>
      <c r="AB762" s="20">
        <f>Operations!AB471+Operations!AB513+Operations!AB556+Operations!AB599+Operations!AB642+Operations!AB674+Operations!AB707+Operations!AB749</f>
        <v/>
      </c>
      <c r="AC762" s="20">
        <f>Operations!AC471+Operations!AC513+Operations!AC556+Operations!AC599+Operations!AC642+Operations!AC674+Operations!AC707+Operations!AC749</f>
        <v/>
      </c>
      <c r="AD762" s="20">
        <f>Operations!AD471+Operations!AD513+Operations!AD556+Operations!AD599+Operations!AD642+Operations!AD674+Operations!AD707+Operations!AD749</f>
        <v/>
      </c>
      <c r="AE762" s="20">
        <f>Operations!AE471+Operations!AE513+Operations!AE556+Operations!AE599+Operations!AE642+Operations!AE674+Operations!AE707+Operations!AE749</f>
        <v/>
      </c>
      <c r="AF762" s="20">
        <f>Operations!AF471+Operations!AF513+Operations!AF556+Operations!AF599+Operations!AF642+Operations!AF674+Operations!AF707+Operations!AF749</f>
        <v/>
      </c>
      <c r="AG762" s="20">
        <f>Operations!AG471+Operations!AG513+Operations!AG556+Operations!AG599+Operations!AG642+Operations!AG674+Operations!AG707+Operations!AG749</f>
        <v/>
      </c>
      <c r="AH762" s="20">
        <f>Operations!AH471+Operations!AH513+Operations!AH556+Operations!AH599+Operations!AH642+Operations!AH674+Operations!AH707+Operations!AH749</f>
        <v/>
      </c>
      <c r="AI762" s="20">
        <f>Operations!AI471+Operations!AI513+Operations!AI556+Operations!AI599+Operations!AI642+Operations!AI674+Operations!AI707+Operations!AI749</f>
        <v/>
      </c>
      <c r="AJ762" s="20">
        <f>Operations!AJ471+Operations!AJ513+Operations!AJ556+Operations!AJ599+Operations!AJ642+Operations!AJ674+Operations!AJ707+Operations!AJ749</f>
        <v/>
      </c>
      <c r="AK762" s="20">
        <f>Operations!AK471+Operations!AK513+Operations!AK556+Operations!AK599+Operations!AK642+Operations!AK674+Operations!AK707+Operations!AK749</f>
        <v/>
      </c>
      <c r="AL762" s="20">
        <f>Operations!AL471+Operations!AL513+Operations!AL556+Operations!AL599+Operations!AL642+Operations!AL674+Operations!AL707+Operations!AL749</f>
        <v/>
      </c>
      <c r="AM762" s="20">
        <f>Operations!AM471+Operations!AM513+Operations!AM556+Operations!AM599+Operations!AM642+Operations!AM674+Operations!AM707+Operations!AM749</f>
        <v/>
      </c>
      <c r="AN762" s="20">
        <f>Operations!AN471+Operations!AN513+Operations!AN556+Operations!AN599+Operations!AN642+Operations!AN674+Operations!AN707+Operations!AN749</f>
        <v/>
      </c>
      <c r="AO762" s="20">
        <f>Operations!AO471+Operations!AO513+Operations!AO556+Operations!AO599+Operations!AO642+Operations!AO674+Operations!AO707+Operations!AO749</f>
        <v/>
      </c>
      <c r="AP762" s="20">
        <f>Operations!AP471+Operations!AP513+Operations!AP556+Operations!AP599+Operations!AP642+Operations!AP674+Operations!AP707+Operations!AP749</f>
        <v/>
      </c>
      <c r="AQ762" s="20">
        <f>Operations!AQ471+Operations!AQ513+Operations!AQ556+Operations!AQ599+Operations!AQ642+Operations!AQ674+Operations!AQ707+Operations!AQ749</f>
        <v/>
      </c>
      <c r="AR762" s="20">
        <f>Operations!AR471+Operations!AR513+Operations!AR556+Operations!AR599+Operations!AR642+Operations!AR674+Operations!AR707+Operations!AR749</f>
        <v/>
      </c>
      <c r="AS762" s="20">
        <f>Operations!AS471+Operations!AS513+Operations!AS556+Operations!AS599+Operations!AS642+Operations!AS674+Operations!AS707+Operations!AS749</f>
        <v/>
      </c>
      <c r="AT762" s="20">
        <f>Operations!AT471+Operations!AT513+Operations!AT556+Operations!AT599+Operations!AT642+Operations!AT674+Operations!AT707+Operations!AT749</f>
        <v/>
      </c>
      <c r="AU762" s="20">
        <f>Operations!AU471+Operations!AU513+Operations!AU556+Operations!AU599+Operations!AU642+Operations!AU674+Operations!AU707+Operations!AU749</f>
        <v/>
      </c>
    </row>
    <row r="763">
      <c r="D763" t="inlineStr">
        <is>
          <t>Mesa-share hedged revenue, all</t>
        </is>
      </c>
      <c r="E763" t="inlineStr">
        <is>
          <t>USD m</t>
        </is>
      </c>
      <c r="J763" s="20">
        <f>Operations!J472+Operations!J514+Operations!J557+Operations!J600+Operations!J643+Operations!J675+Operations!J708+Operations!J750</f>
        <v/>
      </c>
      <c r="K763" s="20">
        <f>Operations!K472+Operations!K514+Operations!K557+Operations!K600+Operations!K643+Operations!K675+Operations!K708+Operations!K750</f>
        <v/>
      </c>
      <c r="L763" s="20">
        <f>Operations!L472+Operations!L514+Operations!L557+Operations!L600+Operations!L643+Operations!L675+Operations!L708+Operations!L750</f>
        <v/>
      </c>
      <c r="M763" s="20">
        <f>Operations!M472+Operations!M514+Operations!M557+Operations!M600+Operations!M643+Operations!M675+Operations!M708+Operations!M750</f>
        <v/>
      </c>
      <c r="N763" s="20">
        <f>Operations!N472+Operations!N514+Operations!N557+Operations!N600+Operations!N643+Operations!N675+Operations!N708+Operations!N750</f>
        <v/>
      </c>
      <c r="O763" s="20">
        <f>Operations!O472+Operations!O514+Operations!O557+Operations!O600+Operations!O643+Operations!O675+Operations!O708+Operations!O750</f>
        <v/>
      </c>
      <c r="P763" s="20">
        <f>Operations!P472+Operations!P514+Operations!P557+Operations!P600+Operations!P643+Operations!P675+Operations!P708+Operations!P750</f>
        <v/>
      </c>
      <c r="Q763" s="20">
        <f>Operations!Q472+Operations!Q514+Operations!Q557+Operations!Q600+Operations!Q643+Operations!Q675+Operations!Q708+Operations!Q750</f>
        <v/>
      </c>
      <c r="R763" s="20">
        <f>Operations!R472+Operations!R514+Operations!R557+Operations!R600+Operations!R643+Operations!R675+Operations!R708+Operations!R750</f>
        <v/>
      </c>
      <c r="S763" s="20">
        <f>Operations!S472+Operations!S514+Operations!S557+Operations!S600+Operations!S643+Operations!S675+Operations!S708+Operations!S750</f>
        <v/>
      </c>
      <c r="T763" s="20">
        <f>Operations!T472+Operations!T514+Operations!T557+Operations!T600+Operations!T643+Operations!T675+Operations!T708+Operations!T750</f>
        <v/>
      </c>
      <c r="U763" s="20">
        <f>Operations!U472+Operations!U514+Operations!U557+Operations!U600+Operations!U643+Operations!U675+Operations!U708+Operations!U750</f>
        <v/>
      </c>
      <c r="V763" s="20">
        <f>Operations!V472+Operations!V514+Operations!V557+Operations!V600+Operations!V643+Operations!V675+Operations!V708+Operations!V750</f>
        <v/>
      </c>
      <c r="W763" s="20">
        <f>Operations!W472+Operations!W514+Operations!W557+Operations!W600+Operations!W643+Operations!W675+Operations!W708+Operations!W750</f>
        <v/>
      </c>
      <c r="X763" s="20">
        <f>Operations!X472+Operations!X514+Operations!X557+Operations!X600+Operations!X643+Operations!X675+Operations!X708+Operations!X750</f>
        <v/>
      </c>
      <c r="Y763" s="20">
        <f>Operations!Y472+Operations!Y514+Operations!Y557+Operations!Y600+Operations!Y643+Operations!Y675+Operations!Y708+Operations!Y750</f>
        <v/>
      </c>
      <c r="Z763" s="20">
        <f>Operations!Z472+Operations!Z514+Operations!Z557+Operations!Z600+Operations!Z643+Operations!Z675+Operations!Z708+Operations!Z750</f>
        <v/>
      </c>
      <c r="AA763" s="20">
        <f>Operations!AA472+Operations!AA514+Operations!AA557+Operations!AA600+Operations!AA643+Operations!AA675+Operations!AA708+Operations!AA750</f>
        <v/>
      </c>
      <c r="AB763" s="20">
        <f>Operations!AB472+Operations!AB514+Operations!AB557+Operations!AB600+Operations!AB643+Operations!AB675+Operations!AB708+Operations!AB750</f>
        <v/>
      </c>
      <c r="AC763" s="20">
        <f>Operations!AC472+Operations!AC514+Operations!AC557+Operations!AC600+Operations!AC643+Operations!AC675+Operations!AC708+Operations!AC750</f>
        <v/>
      </c>
      <c r="AD763" s="20">
        <f>Operations!AD472+Operations!AD514+Operations!AD557+Operations!AD600+Operations!AD643+Operations!AD675+Operations!AD708+Operations!AD750</f>
        <v/>
      </c>
      <c r="AE763" s="20">
        <f>Operations!AE472+Operations!AE514+Operations!AE557+Operations!AE600+Operations!AE643+Operations!AE675+Operations!AE708+Operations!AE750</f>
        <v/>
      </c>
      <c r="AF763" s="20">
        <f>Operations!AF472+Operations!AF514+Operations!AF557+Operations!AF600+Operations!AF643+Operations!AF675+Operations!AF708+Operations!AF750</f>
        <v/>
      </c>
      <c r="AG763" s="20">
        <f>Operations!AG472+Operations!AG514+Operations!AG557+Operations!AG600+Operations!AG643+Operations!AG675+Operations!AG708+Operations!AG750</f>
        <v/>
      </c>
      <c r="AH763" s="20">
        <f>Operations!AH472+Operations!AH514+Operations!AH557+Operations!AH600+Operations!AH643+Operations!AH675+Operations!AH708+Operations!AH750</f>
        <v/>
      </c>
      <c r="AI763" s="20">
        <f>Operations!AI472+Operations!AI514+Operations!AI557+Operations!AI600+Operations!AI643+Operations!AI675+Operations!AI708+Operations!AI750</f>
        <v/>
      </c>
      <c r="AJ763" s="20">
        <f>Operations!AJ472+Operations!AJ514+Operations!AJ557+Operations!AJ600+Operations!AJ643+Operations!AJ675+Operations!AJ708+Operations!AJ750</f>
        <v/>
      </c>
      <c r="AK763" s="20">
        <f>Operations!AK472+Operations!AK514+Operations!AK557+Operations!AK600+Operations!AK643+Operations!AK675+Operations!AK708+Operations!AK750</f>
        <v/>
      </c>
      <c r="AL763" s="20">
        <f>Operations!AL472+Operations!AL514+Operations!AL557+Operations!AL600+Operations!AL643+Operations!AL675+Operations!AL708+Operations!AL750</f>
        <v/>
      </c>
      <c r="AM763" s="20">
        <f>Operations!AM472+Operations!AM514+Operations!AM557+Operations!AM600+Operations!AM643+Operations!AM675+Operations!AM708+Operations!AM750</f>
        <v/>
      </c>
      <c r="AN763" s="20">
        <f>Operations!AN472+Operations!AN514+Operations!AN557+Operations!AN600+Operations!AN643+Operations!AN675+Operations!AN708+Operations!AN750</f>
        <v/>
      </c>
      <c r="AO763" s="20">
        <f>Operations!AO472+Operations!AO514+Operations!AO557+Operations!AO600+Operations!AO643+Operations!AO675+Operations!AO708+Operations!AO750</f>
        <v/>
      </c>
      <c r="AP763" s="20">
        <f>Operations!AP472+Operations!AP514+Operations!AP557+Operations!AP600+Operations!AP643+Operations!AP675+Operations!AP708+Operations!AP750</f>
        <v/>
      </c>
      <c r="AQ763" s="20">
        <f>Operations!AQ472+Operations!AQ514+Operations!AQ557+Operations!AQ600+Operations!AQ643+Operations!AQ675+Operations!AQ708+Operations!AQ750</f>
        <v/>
      </c>
      <c r="AR763" s="20">
        <f>Operations!AR472+Operations!AR514+Operations!AR557+Operations!AR600+Operations!AR643+Operations!AR675+Operations!AR708+Operations!AR750</f>
        <v/>
      </c>
      <c r="AS763" s="20">
        <f>Operations!AS472+Operations!AS514+Operations!AS557+Operations!AS600+Operations!AS643+Operations!AS675+Operations!AS708+Operations!AS750</f>
        <v/>
      </c>
      <c r="AT763" s="20">
        <f>Operations!AT472+Operations!AT514+Operations!AT557+Operations!AT600+Operations!AT643+Operations!AT675+Operations!AT708+Operations!AT750</f>
        <v/>
      </c>
      <c r="AU763" s="20">
        <f>Operations!AU472+Operations!AU514+Operations!AU557+Operations!AU600+Operations!AU643+Operations!AU675+Operations!AU708+Operations!AU750</f>
        <v/>
      </c>
    </row>
    <row r="764">
      <c r="D764" t="inlineStr">
        <is>
          <t>Mesa-share merchant revenue, all</t>
        </is>
      </c>
      <c r="E764" t="inlineStr">
        <is>
          <t>USD m</t>
        </is>
      </c>
      <c r="J764" s="20">
        <f>Operations!J473+Operations!J515+Operations!J558+Operations!J601+Operations!J644+Operations!J676+Operations!J709+Operations!J751</f>
        <v/>
      </c>
      <c r="K764" s="20">
        <f>Operations!K473+Operations!K515+Operations!K558+Operations!K601+Operations!K644+Operations!K676+Operations!K709+Operations!K751</f>
        <v/>
      </c>
      <c r="L764" s="20">
        <f>Operations!L473+Operations!L515+Operations!L558+Operations!L601+Operations!L644+Operations!L676+Operations!L709+Operations!L751</f>
        <v/>
      </c>
      <c r="M764" s="20">
        <f>Operations!M473+Operations!M515+Operations!M558+Operations!M601+Operations!M644+Operations!M676+Operations!M709+Operations!M751</f>
        <v/>
      </c>
      <c r="N764" s="20">
        <f>Operations!N473+Operations!N515+Operations!N558+Operations!N601+Operations!N644+Operations!N676+Operations!N709+Operations!N751</f>
        <v/>
      </c>
      <c r="O764" s="20">
        <f>Operations!O473+Operations!O515+Operations!O558+Operations!O601+Operations!O644+Operations!O676+Operations!O709+Operations!O751</f>
        <v/>
      </c>
      <c r="P764" s="20">
        <f>Operations!P473+Operations!P515+Operations!P558+Operations!P601+Operations!P644+Operations!P676+Operations!P709+Operations!P751</f>
        <v/>
      </c>
      <c r="Q764" s="20">
        <f>Operations!Q473+Operations!Q515+Operations!Q558+Operations!Q601+Operations!Q644+Operations!Q676+Operations!Q709+Operations!Q751</f>
        <v/>
      </c>
      <c r="R764" s="20">
        <f>Operations!R473+Operations!R515+Operations!R558+Operations!R601+Operations!R644+Operations!R676+Operations!R709+Operations!R751</f>
        <v/>
      </c>
      <c r="S764" s="20">
        <f>Operations!S473+Operations!S515+Operations!S558+Operations!S601+Operations!S644+Operations!S676+Operations!S709+Operations!S751</f>
        <v/>
      </c>
      <c r="T764" s="20">
        <f>Operations!T473+Operations!T515+Operations!T558+Operations!T601+Operations!T644+Operations!T676+Operations!T709+Operations!T751</f>
        <v/>
      </c>
      <c r="U764" s="20">
        <f>Operations!U473+Operations!U515+Operations!U558+Operations!U601+Operations!U644+Operations!U676+Operations!U709+Operations!U751</f>
        <v/>
      </c>
      <c r="V764" s="20">
        <f>Operations!V473+Operations!V515+Operations!V558+Operations!V601+Operations!V644+Operations!V676+Operations!V709+Operations!V751</f>
        <v/>
      </c>
      <c r="W764" s="20">
        <f>Operations!W473+Operations!W515+Operations!W558+Operations!W601+Operations!W644+Operations!W676+Operations!W709+Operations!W751</f>
        <v/>
      </c>
      <c r="X764" s="20">
        <f>Operations!X473+Operations!X515+Operations!X558+Operations!X601+Operations!X644+Operations!X676+Operations!X709+Operations!X751</f>
        <v/>
      </c>
      <c r="Y764" s="20">
        <f>Operations!Y473+Operations!Y515+Operations!Y558+Operations!Y601+Operations!Y644+Operations!Y676+Operations!Y709+Operations!Y751</f>
        <v/>
      </c>
      <c r="Z764" s="20">
        <f>Operations!Z473+Operations!Z515+Operations!Z558+Operations!Z601+Operations!Z644+Operations!Z676+Operations!Z709+Operations!Z751</f>
        <v/>
      </c>
      <c r="AA764" s="20">
        <f>Operations!AA473+Operations!AA515+Operations!AA558+Operations!AA601+Operations!AA644+Operations!AA676+Operations!AA709+Operations!AA751</f>
        <v/>
      </c>
      <c r="AB764" s="20">
        <f>Operations!AB473+Operations!AB515+Operations!AB558+Operations!AB601+Operations!AB644+Operations!AB676+Operations!AB709+Operations!AB751</f>
        <v/>
      </c>
      <c r="AC764" s="20">
        <f>Operations!AC473+Operations!AC515+Operations!AC558+Operations!AC601+Operations!AC644+Operations!AC676+Operations!AC709+Operations!AC751</f>
        <v/>
      </c>
      <c r="AD764" s="20">
        <f>Operations!AD473+Operations!AD515+Operations!AD558+Operations!AD601+Operations!AD644+Operations!AD676+Operations!AD709+Operations!AD751</f>
        <v/>
      </c>
      <c r="AE764" s="20">
        <f>Operations!AE473+Operations!AE515+Operations!AE558+Operations!AE601+Operations!AE644+Operations!AE676+Operations!AE709+Operations!AE751</f>
        <v/>
      </c>
      <c r="AF764" s="20">
        <f>Operations!AF473+Operations!AF515+Operations!AF558+Operations!AF601+Operations!AF644+Operations!AF676+Operations!AF709+Operations!AF751</f>
        <v/>
      </c>
      <c r="AG764" s="20">
        <f>Operations!AG473+Operations!AG515+Operations!AG558+Operations!AG601+Operations!AG644+Operations!AG676+Operations!AG709+Operations!AG751</f>
        <v/>
      </c>
      <c r="AH764" s="20">
        <f>Operations!AH473+Operations!AH515+Operations!AH558+Operations!AH601+Operations!AH644+Operations!AH676+Operations!AH709+Operations!AH751</f>
        <v/>
      </c>
      <c r="AI764" s="20">
        <f>Operations!AI473+Operations!AI515+Operations!AI558+Operations!AI601+Operations!AI644+Operations!AI676+Operations!AI709+Operations!AI751</f>
        <v/>
      </c>
      <c r="AJ764" s="20">
        <f>Operations!AJ473+Operations!AJ515+Operations!AJ558+Operations!AJ601+Operations!AJ644+Operations!AJ676+Operations!AJ709+Operations!AJ751</f>
        <v/>
      </c>
      <c r="AK764" s="20">
        <f>Operations!AK473+Operations!AK515+Operations!AK558+Operations!AK601+Operations!AK644+Operations!AK676+Operations!AK709+Operations!AK751</f>
        <v/>
      </c>
      <c r="AL764" s="20">
        <f>Operations!AL473+Operations!AL515+Operations!AL558+Operations!AL601+Operations!AL644+Operations!AL676+Operations!AL709+Operations!AL751</f>
        <v/>
      </c>
      <c r="AM764" s="20">
        <f>Operations!AM473+Operations!AM515+Operations!AM558+Operations!AM601+Operations!AM644+Operations!AM676+Operations!AM709+Operations!AM751</f>
        <v/>
      </c>
      <c r="AN764" s="20">
        <f>Operations!AN473+Operations!AN515+Operations!AN558+Operations!AN601+Operations!AN644+Operations!AN676+Operations!AN709+Operations!AN751</f>
        <v/>
      </c>
      <c r="AO764" s="20">
        <f>Operations!AO473+Operations!AO515+Operations!AO558+Operations!AO601+Operations!AO644+Operations!AO676+Operations!AO709+Operations!AO751</f>
        <v/>
      </c>
      <c r="AP764" s="20">
        <f>Operations!AP473+Operations!AP515+Operations!AP558+Operations!AP601+Operations!AP644+Operations!AP676+Operations!AP709+Operations!AP751</f>
        <v/>
      </c>
      <c r="AQ764" s="20">
        <f>Operations!AQ473+Operations!AQ515+Operations!AQ558+Operations!AQ601+Operations!AQ644+Operations!AQ676+Operations!AQ709+Operations!AQ751</f>
        <v/>
      </c>
      <c r="AR764" s="20">
        <f>Operations!AR473+Operations!AR515+Operations!AR558+Operations!AR601+Operations!AR644+Operations!AR676+Operations!AR709+Operations!AR751</f>
        <v/>
      </c>
      <c r="AS764" s="20">
        <f>Operations!AS473+Operations!AS515+Operations!AS558+Operations!AS601+Operations!AS644+Operations!AS676+Operations!AS709+Operations!AS751</f>
        <v/>
      </c>
      <c r="AT764" s="20">
        <f>Operations!AT473+Operations!AT515+Operations!AT558+Operations!AT601+Operations!AT644+Operations!AT676+Operations!AT709+Operations!AT751</f>
        <v/>
      </c>
      <c r="AU764" s="20">
        <f>Operations!AU473+Operations!AU515+Operations!AU558+Operations!AU601+Operations!AU644+Operations!AU676+Operations!AU709+Operations!AU751</f>
        <v/>
      </c>
    </row>
    <row r="765">
      <c r="D765" t="inlineStr">
        <is>
          <t>Mesa-share revenue, all</t>
        </is>
      </c>
      <c r="E765" t="inlineStr">
        <is>
          <t>USD m</t>
        </is>
      </c>
      <c r="J765" s="20">
        <f>Operations!J762+Operations!J763+Operations!J764</f>
        <v/>
      </c>
      <c r="K765" s="20">
        <f>Operations!K762+Operations!K763+Operations!K764</f>
        <v/>
      </c>
      <c r="L765" s="20">
        <f>Operations!L762+Operations!L763+Operations!L764</f>
        <v/>
      </c>
      <c r="M765" s="20">
        <f>Operations!M762+Operations!M763+Operations!M764</f>
        <v/>
      </c>
      <c r="N765" s="20">
        <f>Operations!N762+Operations!N763+Operations!N764</f>
        <v/>
      </c>
      <c r="O765" s="20">
        <f>Operations!O762+Operations!O763+Operations!O764</f>
        <v/>
      </c>
      <c r="P765" s="20">
        <f>Operations!P762+Operations!P763+Operations!P764</f>
        <v/>
      </c>
      <c r="Q765" s="20">
        <f>Operations!Q762+Operations!Q763+Operations!Q764</f>
        <v/>
      </c>
      <c r="R765" s="20">
        <f>Operations!R762+Operations!R763+Operations!R764</f>
        <v/>
      </c>
      <c r="S765" s="20">
        <f>Operations!S762+Operations!S763+Operations!S764</f>
        <v/>
      </c>
      <c r="T765" s="20">
        <f>Operations!T762+Operations!T763+Operations!T764</f>
        <v/>
      </c>
      <c r="U765" s="20">
        <f>Operations!U762+Operations!U763+Operations!U764</f>
        <v/>
      </c>
      <c r="V765" s="20">
        <f>Operations!V762+Operations!V763+Operations!V764</f>
        <v/>
      </c>
      <c r="W765" s="20">
        <f>Operations!W762+Operations!W763+Operations!W764</f>
        <v/>
      </c>
      <c r="X765" s="20">
        <f>Operations!X762+Operations!X763+Operations!X764</f>
        <v/>
      </c>
      <c r="Y765" s="20">
        <f>Operations!Y762+Operations!Y763+Operations!Y764</f>
        <v/>
      </c>
      <c r="Z765" s="20">
        <f>Operations!Z762+Operations!Z763+Operations!Z764</f>
        <v/>
      </c>
      <c r="AA765" s="20">
        <f>Operations!AA762+Operations!AA763+Operations!AA764</f>
        <v/>
      </c>
      <c r="AB765" s="20">
        <f>Operations!AB762+Operations!AB763+Operations!AB764</f>
        <v/>
      </c>
      <c r="AC765" s="20">
        <f>Operations!AC762+Operations!AC763+Operations!AC764</f>
        <v/>
      </c>
      <c r="AD765" s="20">
        <f>Operations!AD762+Operations!AD763+Operations!AD764</f>
        <v/>
      </c>
      <c r="AE765" s="20">
        <f>Operations!AE762+Operations!AE763+Operations!AE764</f>
        <v/>
      </c>
      <c r="AF765" s="20">
        <f>Operations!AF762+Operations!AF763+Operations!AF764</f>
        <v/>
      </c>
      <c r="AG765" s="20">
        <f>Operations!AG762+Operations!AG763+Operations!AG764</f>
        <v/>
      </c>
      <c r="AH765" s="20">
        <f>Operations!AH762+Operations!AH763+Operations!AH764</f>
        <v/>
      </c>
      <c r="AI765" s="20">
        <f>Operations!AI762+Operations!AI763+Operations!AI764</f>
        <v/>
      </c>
      <c r="AJ765" s="20">
        <f>Operations!AJ762+Operations!AJ763+Operations!AJ764</f>
        <v/>
      </c>
      <c r="AK765" s="20">
        <f>Operations!AK762+Operations!AK763+Operations!AK764</f>
        <v/>
      </c>
      <c r="AL765" s="20">
        <f>Operations!AL762+Operations!AL763+Operations!AL764</f>
        <v/>
      </c>
      <c r="AM765" s="20">
        <f>Operations!AM762+Operations!AM763+Operations!AM764</f>
        <v/>
      </c>
      <c r="AN765" s="20">
        <f>Operations!AN762+Operations!AN763+Operations!AN764</f>
        <v/>
      </c>
      <c r="AO765" s="20">
        <f>Operations!AO762+Operations!AO763+Operations!AO764</f>
        <v/>
      </c>
      <c r="AP765" s="20">
        <f>Operations!AP762+Operations!AP763+Operations!AP764</f>
        <v/>
      </c>
      <c r="AQ765" s="20">
        <f>Operations!AQ762+Operations!AQ763+Operations!AQ764</f>
        <v/>
      </c>
      <c r="AR765" s="20">
        <f>Operations!AR762+Operations!AR763+Operations!AR764</f>
        <v/>
      </c>
      <c r="AS765" s="20">
        <f>Operations!AS762+Operations!AS763+Operations!AS764</f>
        <v/>
      </c>
      <c r="AT765" s="20">
        <f>Operations!AT762+Operations!AT763+Operations!AT764</f>
        <v/>
      </c>
      <c r="AU765" s="20">
        <f>Operations!AU762+Operations!AU763+Operations!AU764</f>
        <v/>
      </c>
    </row>
    <row r="766">
      <c r="D766" t="inlineStr">
        <is>
          <t>Mesa cash flow, a3 assets</t>
        </is>
      </c>
      <c r="E766" t="inlineStr">
        <is>
          <t>USD m</t>
        </is>
      </c>
      <c r="J766" s="20">
        <f>Operations!J701+Operations!J743</f>
        <v/>
      </c>
      <c r="K766" s="20">
        <f>Operations!K701+Operations!K743</f>
        <v/>
      </c>
      <c r="L766" s="20">
        <f>Operations!L701+Operations!L743</f>
        <v/>
      </c>
      <c r="M766" s="20">
        <f>Operations!M701+Operations!M743</f>
        <v/>
      </c>
      <c r="N766" s="20">
        <f>Operations!N701+Operations!N743</f>
        <v/>
      </c>
      <c r="O766" s="20">
        <f>Operations!O701+Operations!O743</f>
        <v/>
      </c>
      <c r="P766" s="20">
        <f>Operations!P701+Operations!P743</f>
        <v/>
      </c>
      <c r="Q766" s="20">
        <f>Operations!Q701+Operations!Q743</f>
        <v/>
      </c>
      <c r="R766" s="20">
        <f>Operations!R701+Operations!R743</f>
        <v/>
      </c>
      <c r="S766" s="20">
        <f>Operations!S701+Operations!S743</f>
        <v/>
      </c>
      <c r="T766" s="20">
        <f>Operations!T701+Operations!T743</f>
        <v/>
      </c>
      <c r="U766" s="20">
        <f>Operations!U701+Operations!U743</f>
        <v/>
      </c>
      <c r="V766" s="20">
        <f>Operations!V701+Operations!V743</f>
        <v/>
      </c>
      <c r="W766" s="20">
        <f>Operations!W701+Operations!W743</f>
        <v/>
      </c>
      <c r="X766" s="20">
        <f>Operations!X701+Operations!X743</f>
        <v/>
      </c>
      <c r="Y766" s="20">
        <f>Operations!Y701+Operations!Y743</f>
        <v/>
      </c>
      <c r="Z766" s="20">
        <f>Operations!Z701+Operations!Z743</f>
        <v/>
      </c>
      <c r="AA766" s="20">
        <f>Operations!AA701+Operations!AA743</f>
        <v/>
      </c>
      <c r="AB766" s="20">
        <f>Operations!AB701+Operations!AB743</f>
        <v/>
      </c>
      <c r="AC766" s="20">
        <f>Operations!AC701+Operations!AC743</f>
        <v/>
      </c>
      <c r="AD766" s="20">
        <f>Operations!AD701+Operations!AD743</f>
        <v/>
      </c>
      <c r="AE766" s="20">
        <f>Operations!AE701+Operations!AE743</f>
        <v/>
      </c>
      <c r="AF766" s="20">
        <f>Operations!AF701+Operations!AF743</f>
        <v/>
      </c>
      <c r="AG766" s="20">
        <f>Operations!AG701+Operations!AG743</f>
        <v/>
      </c>
      <c r="AH766" s="20">
        <f>Operations!AH701+Operations!AH743</f>
        <v/>
      </c>
      <c r="AI766" s="20">
        <f>Operations!AI701+Operations!AI743</f>
        <v/>
      </c>
      <c r="AJ766" s="20">
        <f>Operations!AJ701+Operations!AJ743</f>
        <v/>
      </c>
      <c r="AK766" s="20">
        <f>Operations!AK701+Operations!AK743</f>
        <v/>
      </c>
      <c r="AL766" s="20">
        <f>Operations!AL701+Operations!AL743</f>
        <v/>
      </c>
      <c r="AM766" s="20">
        <f>Operations!AM701+Operations!AM743</f>
        <v/>
      </c>
      <c r="AN766" s="20">
        <f>Operations!AN701+Operations!AN743</f>
        <v/>
      </c>
      <c r="AO766" s="20">
        <f>Operations!AO701+Operations!AO743</f>
        <v/>
      </c>
      <c r="AP766" s="20">
        <f>Operations!AP701+Operations!AP743</f>
        <v/>
      </c>
      <c r="AQ766" s="20">
        <f>Operations!AQ701+Operations!AQ743</f>
        <v/>
      </c>
      <c r="AR766" s="20">
        <f>Operations!AR701+Operations!AR743</f>
        <v/>
      </c>
      <c r="AS766" s="20">
        <f>Operations!AS701+Operations!AS743</f>
        <v/>
      </c>
      <c r="AT766" s="20">
        <f>Operations!AT701+Operations!AT743</f>
        <v/>
      </c>
      <c r="AU766" s="20">
        <f>Operations!AU701+Operations!AU743</f>
        <v/>
      </c>
    </row>
    <row r="767">
      <c r="D767" t="inlineStr">
        <is>
          <t>Mesa-share contracted revenue, a3</t>
        </is>
      </c>
      <c r="E767" t="inlineStr">
        <is>
          <t>USD m</t>
        </is>
      </c>
      <c r="J767" s="20">
        <f>Operations!J707+Operations!J749</f>
        <v/>
      </c>
      <c r="K767" s="20">
        <f>Operations!K707+Operations!K749</f>
        <v/>
      </c>
      <c r="L767" s="20">
        <f>Operations!L707+Operations!L749</f>
        <v/>
      </c>
      <c r="M767" s="20">
        <f>Operations!M707+Operations!M749</f>
        <v/>
      </c>
      <c r="N767" s="20">
        <f>Operations!N707+Operations!N749</f>
        <v/>
      </c>
      <c r="O767" s="20">
        <f>Operations!O707+Operations!O749</f>
        <v/>
      </c>
      <c r="P767" s="20">
        <f>Operations!P707+Operations!P749</f>
        <v/>
      </c>
      <c r="Q767" s="20">
        <f>Operations!Q707+Operations!Q749</f>
        <v/>
      </c>
      <c r="R767" s="20">
        <f>Operations!R707+Operations!R749</f>
        <v/>
      </c>
      <c r="S767" s="20">
        <f>Operations!S707+Operations!S749</f>
        <v/>
      </c>
      <c r="T767" s="20">
        <f>Operations!T707+Operations!T749</f>
        <v/>
      </c>
      <c r="U767" s="20">
        <f>Operations!U707+Operations!U749</f>
        <v/>
      </c>
      <c r="V767" s="20">
        <f>Operations!V707+Operations!V749</f>
        <v/>
      </c>
      <c r="W767" s="20">
        <f>Operations!W707+Operations!W749</f>
        <v/>
      </c>
      <c r="X767" s="20">
        <f>Operations!X707+Operations!X749</f>
        <v/>
      </c>
      <c r="Y767" s="20">
        <f>Operations!Y707+Operations!Y749</f>
        <v/>
      </c>
      <c r="Z767" s="20">
        <f>Operations!Z707+Operations!Z749</f>
        <v/>
      </c>
      <c r="AA767" s="20">
        <f>Operations!AA707+Operations!AA749</f>
        <v/>
      </c>
      <c r="AB767" s="20">
        <f>Operations!AB707+Operations!AB749</f>
        <v/>
      </c>
      <c r="AC767" s="20">
        <f>Operations!AC707+Operations!AC749</f>
        <v/>
      </c>
      <c r="AD767" s="20">
        <f>Operations!AD707+Operations!AD749</f>
        <v/>
      </c>
      <c r="AE767" s="20">
        <f>Operations!AE707+Operations!AE749</f>
        <v/>
      </c>
      <c r="AF767" s="20">
        <f>Operations!AF707+Operations!AF749</f>
        <v/>
      </c>
      <c r="AG767" s="20">
        <f>Operations!AG707+Operations!AG749</f>
        <v/>
      </c>
      <c r="AH767" s="20">
        <f>Operations!AH707+Operations!AH749</f>
        <v/>
      </c>
      <c r="AI767" s="20">
        <f>Operations!AI707+Operations!AI749</f>
        <v/>
      </c>
      <c r="AJ767" s="20">
        <f>Operations!AJ707+Operations!AJ749</f>
        <v/>
      </c>
      <c r="AK767" s="20">
        <f>Operations!AK707+Operations!AK749</f>
        <v/>
      </c>
      <c r="AL767" s="20">
        <f>Operations!AL707+Operations!AL749</f>
        <v/>
      </c>
      <c r="AM767" s="20">
        <f>Operations!AM707+Operations!AM749</f>
        <v/>
      </c>
      <c r="AN767" s="20">
        <f>Operations!AN707+Operations!AN749</f>
        <v/>
      </c>
      <c r="AO767" s="20">
        <f>Operations!AO707+Operations!AO749</f>
        <v/>
      </c>
      <c r="AP767" s="20">
        <f>Operations!AP707+Operations!AP749</f>
        <v/>
      </c>
      <c r="AQ767" s="20">
        <f>Operations!AQ707+Operations!AQ749</f>
        <v/>
      </c>
      <c r="AR767" s="20">
        <f>Operations!AR707+Operations!AR749</f>
        <v/>
      </c>
      <c r="AS767" s="20">
        <f>Operations!AS707+Operations!AS749</f>
        <v/>
      </c>
      <c r="AT767" s="20">
        <f>Operations!AT707+Operations!AT749</f>
        <v/>
      </c>
      <c r="AU767" s="20">
        <f>Operations!AU707+Operations!AU749</f>
        <v/>
      </c>
    </row>
    <row r="768">
      <c r="D768" t="inlineStr">
        <is>
          <t>Mesa-share hedged revenue, a3</t>
        </is>
      </c>
      <c r="E768" t="inlineStr">
        <is>
          <t>USD m</t>
        </is>
      </c>
      <c r="J768" s="20">
        <f>Operations!J708+Operations!J750</f>
        <v/>
      </c>
      <c r="K768" s="20">
        <f>Operations!K708+Operations!K750</f>
        <v/>
      </c>
      <c r="L768" s="20">
        <f>Operations!L708+Operations!L750</f>
        <v/>
      </c>
      <c r="M768" s="20">
        <f>Operations!M708+Operations!M750</f>
        <v/>
      </c>
      <c r="N768" s="20">
        <f>Operations!N708+Operations!N750</f>
        <v/>
      </c>
      <c r="O768" s="20">
        <f>Operations!O708+Operations!O750</f>
        <v/>
      </c>
      <c r="P768" s="20">
        <f>Operations!P708+Operations!P750</f>
        <v/>
      </c>
      <c r="Q768" s="20">
        <f>Operations!Q708+Operations!Q750</f>
        <v/>
      </c>
      <c r="R768" s="20">
        <f>Operations!R708+Operations!R750</f>
        <v/>
      </c>
      <c r="S768" s="20">
        <f>Operations!S708+Operations!S750</f>
        <v/>
      </c>
      <c r="T768" s="20">
        <f>Operations!T708+Operations!T750</f>
        <v/>
      </c>
      <c r="U768" s="20">
        <f>Operations!U708+Operations!U750</f>
        <v/>
      </c>
      <c r="V768" s="20">
        <f>Operations!V708+Operations!V750</f>
        <v/>
      </c>
      <c r="W768" s="20">
        <f>Operations!W708+Operations!W750</f>
        <v/>
      </c>
      <c r="X768" s="20">
        <f>Operations!X708+Operations!X750</f>
        <v/>
      </c>
      <c r="Y768" s="20">
        <f>Operations!Y708+Operations!Y750</f>
        <v/>
      </c>
      <c r="Z768" s="20">
        <f>Operations!Z708+Operations!Z750</f>
        <v/>
      </c>
      <c r="AA768" s="20">
        <f>Operations!AA708+Operations!AA750</f>
        <v/>
      </c>
      <c r="AB768" s="20">
        <f>Operations!AB708+Operations!AB750</f>
        <v/>
      </c>
      <c r="AC768" s="20">
        <f>Operations!AC708+Operations!AC750</f>
        <v/>
      </c>
      <c r="AD768" s="20">
        <f>Operations!AD708+Operations!AD750</f>
        <v/>
      </c>
      <c r="AE768" s="20">
        <f>Operations!AE708+Operations!AE750</f>
        <v/>
      </c>
      <c r="AF768" s="20">
        <f>Operations!AF708+Operations!AF750</f>
        <v/>
      </c>
      <c r="AG768" s="20">
        <f>Operations!AG708+Operations!AG750</f>
        <v/>
      </c>
      <c r="AH768" s="20">
        <f>Operations!AH708+Operations!AH750</f>
        <v/>
      </c>
      <c r="AI768" s="20">
        <f>Operations!AI708+Operations!AI750</f>
        <v/>
      </c>
      <c r="AJ768" s="20">
        <f>Operations!AJ708+Operations!AJ750</f>
        <v/>
      </c>
      <c r="AK768" s="20">
        <f>Operations!AK708+Operations!AK750</f>
        <v/>
      </c>
      <c r="AL768" s="20">
        <f>Operations!AL708+Operations!AL750</f>
        <v/>
      </c>
      <c r="AM768" s="20">
        <f>Operations!AM708+Operations!AM750</f>
        <v/>
      </c>
      <c r="AN768" s="20">
        <f>Operations!AN708+Operations!AN750</f>
        <v/>
      </c>
      <c r="AO768" s="20">
        <f>Operations!AO708+Operations!AO750</f>
        <v/>
      </c>
      <c r="AP768" s="20">
        <f>Operations!AP708+Operations!AP750</f>
        <v/>
      </c>
      <c r="AQ768" s="20">
        <f>Operations!AQ708+Operations!AQ750</f>
        <v/>
      </c>
      <c r="AR768" s="20">
        <f>Operations!AR708+Operations!AR750</f>
        <v/>
      </c>
      <c r="AS768" s="20">
        <f>Operations!AS708+Operations!AS750</f>
        <v/>
      </c>
      <c r="AT768" s="20">
        <f>Operations!AT708+Operations!AT750</f>
        <v/>
      </c>
      <c r="AU768" s="20">
        <f>Operations!AU708+Operations!AU750</f>
        <v/>
      </c>
    </row>
    <row r="769">
      <c r="D769" t="inlineStr">
        <is>
          <t>Mesa-share merchant revenue, a3</t>
        </is>
      </c>
      <c r="E769" t="inlineStr">
        <is>
          <t>USD m</t>
        </is>
      </c>
      <c r="J769" s="20">
        <f>Operations!J709+Operations!J751</f>
        <v/>
      </c>
      <c r="K769" s="20">
        <f>Operations!K709+Operations!K751</f>
        <v/>
      </c>
      <c r="L769" s="20">
        <f>Operations!L709+Operations!L751</f>
        <v/>
      </c>
      <c r="M769" s="20">
        <f>Operations!M709+Operations!M751</f>
        <v/>
      </c>
      <c r="N769" s="20">
        <f>Operations!N709+Operations!N751</f>
        <v/>
      </c>
      <c r="O769" s="20">
        <f>Operations!O709+Operations!O751</f>
        <v/>
      </c>
      <c r="P769" s="20">
        <f>Operations!P709+Operations!P751</f>
        <v/>
      </c>
      <c r="Q769" s="20">
        <f>Operations!Q709+Operations!Q751</f>
        <v/>
      </c>
      <c r="R769" s="20">
        <f>Operations!R709+Operations!R751</f>
        <v/>
      </c>
      <c r="S769" s="20">
        <f>Operations!S709+Operations!S751</f>
        <v/>
      </c>
      <c r="T769" s="20">
        <f>Operations!T709+Operations!T751</f>
        <v/>
      </c>
      <c r="U769" s="20">
        <f>Operations!U709+Operations!U751</f>
        <v/>
      </c>
      <c r="V769" s="20">
        <f>Operations!V709+Operations!V751</f>
        <v/>
      </c>
      <c r="W769" s="20">
        <f>Operations!W709+Operations!W751</f>
        <v/>
      </c>
      <c r="X769" s="20">
        <f>Operations!X709+Operations!X751</f>
        <v/>
      </c>
      <c r="Y769" s="20">
        <f>Operations!Y709+Operations!Y751</f>
        <v/>
      </c>
      <c r="Z769" s="20">
        <f>Operations!Z709+Operations!Z751</f>
        <v/>
      </c>
      <c r="AA769" s="20">
        <f>Operations!AA709+Operations!AA751</f>
        <v/>
      </c>
      <c r="AB769" s="20">
        <f>Operations!AB709+Operations!AB751</f>
        <v/>
      </c>
      <c r="AC769" s="20">
        <f>Operations!AC709+Operations!AC751</f>
        <v/>
      </c>
      <c r="AD769" s="20">
        <f>Operations!AD709+Operations!AD751</f>
        <v/>
      </c>
      <c r="AE769" s="20">
        <f>Operations!AE709+Operations!AE751</f>
        <v/>
      </c>
      <c r="AF769" s="20">
        <f>Operations!AF709+Operations!AF751</f>
        <v/>
      </c>
      <c r="AG769" s="20">
        <f>Operations!AG709+Operations!AG751</f>
        <v/>
      </c>
      <c r="AH769" s="20">
        <f>Operations!AH709+Operations!AH751</f>
        <v/>
      </c>
      <c r="AI769" s="20">
        <f>Operations!AI709+Operations!AI751</f>
        <v/>
      </c>
      <c r="AJ769" s="20">
        <f>Operations!AJ709+Operations!AJ751</f>
        <v/>
      </c>
      <c r="AK769" s="20">
        <f>Operations!AK709+Operations!AK751</f>
        <v/>
      </c>
      <c r="AL769" s="20">
        <f>Operations!AL709+Operations!AL751</f>
        <v/>
      </c>
      <c r="AM769" s="20">
        <f>Operations!AM709+Operations!AM751</f>
        <v/>
      </c>
      <c r="AN769" s="20">
        <f>Operations!AN709+Operations!AN751</f>
        <v/>
      </c>
      <c r="AO769" s="20">
        <f>Operations!AO709+Operations!AO751</f>
        <v/>
      </c>
      <c r="AP769" s="20">
        <f>Operations!AP709+Operations!AP751</f>
        <v/>
      </c>
      <c r="AQ769" s="20">
        <f>Operations!AQ709+Operations!AQ751</f>
        <v/>
      </c>
      <c r="AR769" s="20">
        <f>Operations!AR709+Operations!AR751</f>
        <v/>
      </c>
      <c r="AS769" s="20">
        <f>Operations!AS709+Operations!AS751</f>
        <v/>
      </c>
      <c r="AT769" s="20">
        <f>Operations!AT709+Operations!AT751</f>
        <v/>
      </c>
      <c r="AU769" s="20">
        <f>Operations!AU709+Operations!AU751</f>
        <v/>
      </c>
    </row>
    <row r="770">
      <c r="D770" t="inlineStr">
        <is>
          <t>Mesa-share revenue, a3</t>
        </is>
      </c>
      <c r="E770" t="inlineStr">
        <is>
          <t>USD m</t>
        </is>
      </c>
      <c r="J770" s="20">
        <f>Operations!J767+Operations!J768+Operations!J769</f>
        <v/>
      </c>
      <c r="K770" s="20">
        <f>Operations!K767+Operations!K768+Operations!K769</f>
        <v/>
      </c>
      <c r="L770" s="20">
        <f>Operations!L767+Operations!L768+Operations!L769</f>
        <v/>
      </c>
      <c r="M770" s="20">
        <f>Operations!M767+Operations!M768+Operations!M769</f>
        <v/>
      </c>
      <c r="N770" s="20">
        <f>Operations!N767+Operations!N768+Operations!N769</f>
        <v/>
      </c>
      <c r="O770" s="20">
        <f>Operations!O767+Operations!O768+Operations!O769</f>
        <v/>
      </c>
      <c r="P770" s="20">
        <f>Operations!P767+Operations!P768+Operations!P769</f>
        <v/>
      </c>
      <c r="Q770" s="20">
        <f>Operations!Q767+Operations!Q768+Operations!Q769</f>
        <v/>
      </c>
      <c r="R770" s="20">
        <f>Operations!R767+Operations!R768+Operations!R769</f>
        <v/>
      </c>
      <c r="S770" s="20">
        <f>Operations!S767+Operations!S768+Operations!S769</f>
        <v/>
      </c>
      <c r="T770" s="20">
        <f>Operations!T767+Operations!T768+Operations!T769</f>
        <v/>
      </c>
      <c r="U770" s="20">
        <f>Operations!U767+Operations!U768+Operations!U769</f>
        <v/>
      </c>
      <c r="V770" s="20">
        <f>Operations!V767+Operations!V768+Operations!V769</f>
        <v/>
      </c>
      <c r="W770" s="20">
        <f>Operations!W767+Operations!W768+Operations!W769</f>
        <v/>
      </c>
      <c r="X770" s="20">
        <f>Operations!X767+Operations!X768+Operations!X769</f>
        <v/>
      </c>
      <c r="Y770" s="20">
        <f>Operations!Y767+Operations!Y768+Operations!Y769</f>
        <v/>
      </c>
      <c r="Z770" s="20">
        <f>Operations!Z767+Operations!Z768+Operations!Z769</f>
        <v/>
      </c>
      <c r="AA770" s="20">
        <f>Operations!AA767+Operations!AA768+Operations!AA769</f>
        <v/>
      </c>
      <c r="AB770" s="20">
        <f>Operations!AB767+Operations!AB768+Operations!AB769</f>
        <v/>
      </c>
      <c r="AC770" s="20">
        <f>Operations!AC767+Operations!AC768+Operations!AC769</f>
        <v/>
      </c>
      <c r="AD770" s="20">
        <f>Operations!AD767+Operations!AD768+Operations!AD769</f>
        <v/>
      </c>
      <c r="AE770" s="20">
        <f>Operations!AE767+Operations!AE768+Operations!AE769</f>
        <v/>
      </c>
      <c r="AF770" s="20">
        <f>Operations!AF767+Operations!AF768+Operations!AF769</f>
        <v/>
      </c>
      <c r="AG770" s="20">
        <f>Operations!AG767+Operations!AG768+Operations!AG769</f>
        <v/>
      </c>
      <c r="AH770" s="20">
        <f>Operations!AH767+Operations!AH768+Operations!AH769</f>
        <v/>
      </c>
      <c r="AI770" s="20">
        <f>Operations!AI767+Operations!AI768+Operations!AI769</f>
        <v/>
      </c>
      <c r="AJ770" s="20">
        <f>Operations!AJ767+Operations!AJ768+Operations!AJ769</f>
        <v/>
      </c>
      <c r="AK770" s="20">
        <f>Operations!AK767+Operations!AK768+Operations!AK769</f>
        <v/>
      </c>
      <c r="AL770" s="20">
        <f>Operations!AL767+Operations!AL768+Operations!AL769</f>
        <v/>
      </c>
      <c r="AM770" s="20">
        <f>Operations!AM767+Operations!AM768+Operations!AM769</f>
        <v/>
      </c>
      <c r="AN770" s="20">
        <f>Operations!AN767+Operations!AN768+Operations!AN769</f>
        <v/>
      </c>
      <c r="AO770" s="20">
        <f>Operations!AO767+Operations!AO768+Operations!AO769</f>
        <v/>
      </c>
      <c r="AP770" s="20">
        <f>Operations!AP767+Operations!AP768+Operations!AP769</f>
        <v/>
      </c>
      <c r="AQ770" s="20">
        <f>Operations!AQ767+Operations!AQ768+Operations!AQ769</f>
        <v/>
      </c>
      <c r="AR770" s="20">
        <f>Operations!AR767+Operations!AR768+Operations!AR769</f>
        <v/>
      </c>
      <c r="AS770" s="20">
        <f>Operations!AS767+Operations!AS768+Operations!AS769</f>
        <v/>
      </c>
      <c r="AT770" s="20">
        <f>Operations!AT767+Operations!AT768+Operations!AT769</f>
        <v/>
      </c>
      <c r="AU770" s="20">
        <f>Operations!AU767+Operations!AU768+Operations!AU769</f>
        <v/>
      </c>
    </row>
    <row r="771">
      <c r="D771" t="inlineStr">
        <is>
          <t>CFADS, A1 group (opco term loan borrower group)</t>
        </is>
      </c>
      <c r="E771" t="inlineStr">
        <is>
          <t>USD m</t>
        </is>
      </c>
      <c r="G771" s="20">
        <f>SUM(J771:AU771)</f>
        <v/>
      </c>
      <c r="J771" s="20">
        <f>Operations!J756-Operations!J755</f>
        <v/>
      </c>
      <c r="K771" s="20">
        <f>Operations!K756-Operations!K755</f>
        <v/>
      </c>
      <c r="L771" s="20">
        <f>Operations!L756-Operations!L755</f>
        <v/>
      </c>
      <c r="M771" s="20">
        <f>Operations!M756-Operations!M755</f>
        <v/>
      </c>
      <c r="N771" s="20">
        <f>Operations!N756-Operations!N755</f>
        <v/>
      </c>
      <c r="O771" s="20">
        <f>Operations!O756-Operations!O755</f>
        <v/>
      </c>
      <c r="P771" s="20">
        <f>Operations!P756-Operations!P755</f>
        <v/>
      </c>
      <c r="Q771" s="20">
        <f>Operations!Q756-Operations!Q755</f>
        <v/>
      </c>
      <c r="R771" s="20">
        <f>Operations!R756-Operations!R755</f>
        <v/>
      </c>
      <c r="S771" s="20">
        <f>Operations!S756-Operations!S755</f>
        <v/>
      </c>
      <c r="T771" s="20">
        <f>Operations!T756-Operations!T755</f>
        <v/>
      </c>
      <c r="U771" s="20">
        <f>Operations!U756-Operations!U755</f>
        <v/>
      </c>
      <c r="V771" s="20">
        <f>Operations!V756-Operations!V755</f>
        <v/>
      </c>
      <c r="W771" s="20">
        <f>Operations!W756-Operations!W755</f>
        <v/>
      </c>
      <c r="X771" s="20">
        <f>Operations!X756-Operations!X755</f>
        <v/>
      </c>
      <c r="Y771" s="20">
        <f>Operations!Y756-Operations!Y755</f>
        <v/>
      </c>
      <c r="Z771" s="20">
        <f>Operations!Z756-Operations!Z755</f>
        <v/>
      </c>
      <c r="AA771" s="20">
        <f>Operations!AA756-Operations!AA755</f>
        <v/>
      </c>
      <c r="AB771" s="20">
        <f>Operations!AB756-Operations!AB755</f>
        <v/>
      </c>
      <c r="AC771" s="20">
        <f>Operations!AC756-Operations!AC755</f>
        <v/>
      </c>
      <c r="AD771" s="20">
        <f>Operations!AD756-Operations!AD755</f>
        <v/>
      </c>
      <c r="AE771" s="20">
        <f>Operations!AE756-Operations!AE755</f>
        <v/>
      </c>
      <c r="AF771" s="20">
        <f>Operations!AF756-Operations!AF755</f>
        <v/>
      </c>
      <c r="AG771" s="20">
        <f>Operations!AG756-Operations!AG755</f>
        <v/>
      </c>
      <c r="AH771" s="20">
        <f>Operations!AH756-Operations!AH755</f>
        <v/>
      </c>
      <c r="AI771" s="20">
        <f>Operations!AI756-Operations!AI755</f>
        <v/>
      </c>
      <c r="AJ771" s="20">
        <f>Operations!AJ756-Operations!AJ755</f>
        <v/>
      </c>
      <c r="AK771" s="20">
        <f>Operations!AK756-Operations!AK755</f>
        <v/>
      </c>
      <c r="AL771" s="20">
        <f>Operations!AL756-Operations!AL755</f>
        <v/>
      </c>
      <c r="AM771" s="20">
        <f>Operations!AM756-Operations!AM755</f>
        <v/>
      </c>
      <c r="AN771" s="20">
        <f>Operations!AN756-Operations!AN755</f>
        <v/>
      </c>
      <c r="AO771" s="20">
        <f>Operations!AO756-Operations!AO755</f>
        <v/>
      </c>
      <c r="AP771" s="20">
        <f>Operations!AP756-Operations!AP755</f>
        <v/>
      </c>
      <c r="AQ771" s="20">
        <f>Operations!AQ756-Operations!AQ755</f>
        <v/>
      </c>
      <c r="AR771" s="20">
        <f>Operations!AR756-Operations!AR755</f>
        <v/>
      </c>
      <c r="AS771" s="20">
        <f>Operations!AS756-Operations!AS755</f>
        <v/>
      </c>
      <c r="AT771" s="20">
        <f>Operations!AT756-Operations!AT755</f>
        <v/>
      </c>
      <c r="AU771" s="20">
        <f>Operations!AU756-Operations!AU755</f>
        <v/>
      </c>
    </row>
    <row r="772">
      <c r="D772" t="inlineStr">
        <is>
          <t>CFADS, portfolio (all assets)</t>
        </is>
      </c>
      <c r="E772" t="inlineStr">
        <is>
          <t>USD m</t>
        </is>
      </c>
      <c r="G772" s="20">
        <f>SUM(J772:AU772)</f>
        <v/>
      </c>
      <c r="J772" s="20">
        <f>Operations!J761-Operations!J755</f>
        <v/>
      </c>
      <c r="K772" s="20">
        <f>Operations!K761-Operations!K755</f>
        <v/>
      </c>
      <c r="L772" s="20">
        <f>Operations!L761-Operations!L755</f>
        <v/>
      </c>
      <c r="M772" s="20">
        <f>Operations!M761-Operations!M755</f>
        <v/>
      </c>
      <c r="N772" s="20">
        <f>Operations!N761-Operations!N755</f>
        <v/>
      </c>
      <c r="O772" s="20">
        <f>Operations!O761-Operations!O755</f>
        <v/>
      </c>
      <c r="P772" s="20">
        <f>Operations!P761-Operations!P755</f>
        <v/>
      </c>
      <c r="Q772" s="20">
        <f>Operations!Q761-Operations!Q755</f>
        <v/>
      </c>
      <c r="R772" s="20">
        <f>Operations!R761-Operations!R755</f>
        <v/>
      </c>
      <c r="S772" s="20">
        <f>Operations!S761-Operations!S755</f>
        <v/>
      </c>
      <c r="T772" s="20">
        <f>Operations!T761-Operations!T755</f>
        <v/>
      </c>
      <c r="U772" s="20">
        <f>Operations!U761-Operations!U755</f>
        <v/>
      </c>
      <c r="V772" s="20">
        <f>Operations!V761-Operations!V755</f>
        <v/>
      </c>
      <c r="W772" s="20">
        <f>Operations!W761-Operations!W755</f>
        <v/>
      </c>
      <c r="X772" s="20">
        <f>Operations!X761-Operations!X755</f>
        <v/>
      </c>
      <c r="Y772" s="20">
        <f>Operations!Y761-Operations!Y755</f>
        <v/>
      </c>
      <c r="Z772" s="20">
        <f>Operations!Z761-Operations!Z755</f>
        <v/>
      </c>
      <c r="AA772" s="20">
        <f>Operations!AA761-Operations!AA755</f>
        <v/>
      </c>
      <c r="AB772" s="20">
        <f>Operations!AB761-Operations!AB755</f>
        <v/>
      </c>
      <c r="AC772" s="20">
        <f>Operations!AC761-Operations!AC755</f>
        <v/>
      </c>
      <c r="AD772" s="20">
        <f>Operations!AD761-Operations!AD755</f>
        <v/>
      </c>
      <c r="AE772" s="20">
        <f>Operations!AE761-Operations!AE755</f>
        <v/>
      </c>
      <c r="AF772" s="20">
        <f>Operations!AF761-Operations!AF755</f>
        <v/>
      </c>
      <c r="AG772" s="20">
        <f>Operations!AG761-Operations!AG755</f>
        <v/>
      </c>
      <c r="AH772" s="20">
        <f>Operations!AH761-Operations!AH755</f>
        <v/>
      </c>
      <c r="AI772" s="20">
        <f>Operations!AI761-Operations!AI755</f>
        <v/>
      </c>
      <c r="AJ772" s="20">
        <f>Operations!AJ761-Operations!AJ755</f>
        <v/>
      </c>
      <c r="AK772" s="20">
        <f>Operations!AK761-Operations!AK755</f>
        <v/>
      </c>
      <c r="AL772" s="20">
        <f>Operations!AL761-Operations!AL755</f>
        <v/>
      </c>
      <c r="AM772" s="20">
        <f>Operations!AM761-Operations!AM755</f>
        <v/>
      </c>
      <c r="AN772" s="20">
        <f>Operations!AN761-Operations!AN755</f>
        <v/>
      </c>
      <c r="AO772" s="20">
        <f>Operations!AO761-Operations!AO755</f>
        <v/>
      </c>
      <c r="AP772" s="20">
        <f>Operations!AP761-Operations!AP755</f>
        <v/>
      </c>
      <c r="AQ772" s="20">
        <f>Operations!AQ761-Operations!AQ755</f>
        <v/>
      </c>
      <c r="AR772" s="20">
        <f>Operations!AR761-Operations!AR755</f>
        <v/>
      </c>
      <c r="AS772" s="20">
        <f>Operations!AS761-Operations!AS755</f>
        <v/>
      </c>
      <c r="AT772" s="20">
        <f>Operations!AT761-Operations!AT755</f>
        <v/>
      </c>
      <c r="AU772" s="20">
        <f>Operations!AU761-Operations!AU755</f>
        <v/>
      </c>
    </row>
    <row r="773">
      <c r="D773" t="inlineStr">
        <is>
          <t>CFADS, R7 and R8</t>
        </is>
      </c>
      <c r="E773" t="inlineStr">
        <is>
          <t>USD m</t>
        </is>
      </c>
      <c r="J773" s="20">
        <f>Operations!J766</f>
        <v/>
      </c>
      <c r="K773" s="20">
        <f>Operations!K766</f>
        <v/>
      </c>
      <c r="L773" s="20">
        <f>Operations!L766</f>
        <v/>
      </c>
      <c r="M773" s="20">
        <f>Operations!M766</f>
        <v/>
      </c>
      <c r="N773" s="20">
        <f>Operations!N766</f>
        <v/>
      </c>
      <c r="O773" s="20">
        <f>Operations!O766</f>
        <v/>
      </c>
      <c r="P773" s="20">
        <f>Operations!P766</f>
        <v/>
      </c>
      <c r="Q773" s="20">
        <f>Operations!Q766</f>
        <v/>
      </c>
      <c r="R773" s="20">
        <f>Operations!R766</f>
        <v/>
      </c>
      <c r="S773" s="20">
        <f>Operations!S766</f>
        <v/>
      </c>
      <c r="T773" s="20">
        <f>Operations!T766</f>
        <v/>
      </c>
      <c r="U773" s="20">
        <f>Operations!U766</f>
        <v/>
      </c>
      <c r="V773" s="20">
        <f>Operations!V766</f>
        <v/>
      </c>
      <c r="W773" s="20">
        <f>Operations!W766</f>
        <v/>
      </c>
      <c r="X773" s="20">
        <f>Operations!X766</f>
        <v/>
      </c>
      <c r="Y773" s="20">
        <f>Operations!Y766</f>
        <v/>
      </c>
      <c r="Z773" s="20">
        <f>Operations!Z766</f>
        <v/>
      </c>
      <c r="AA773" s="20">
        <f>Operations!AA766</f>
        <v/>
      </c>
      <c r="AB773" s="20">
        <f>Operations!AB766</f>
        <v/>
      </c>
      <c r="AC773" s="20">
        <f>Operations!AC766</f>
        <v/>
      </c>
      <c r="AD773" s="20">
        <f>Operations!AD766</f>
        <v/>
      </c>
      <c r="AE773" s="20">
        <f>Operations!AE766</f>
        <v/>
      </c>
      <c r="AF773" s="20">
        <f>Operations!AF766</f>
        <v/>
      </c>
      <c r="AG773" s="20">
        <f>Operations!AG766</f>
        <v/>
      </c>
      <c r="AH773" s="20">
        <f>Operations!AH766</f>
        <v/>
      </c>
      <c r="AI773" s="20">
        <f>Operations!AI766</f>
        <v/>
      </c>
      <c r="AJ773" s="20">
        <f>Operations!AJ766</f>
        <v/>
      </c>
      <c r="AK773" s="20">
        <f>Operations!AK766</f>
        <v/>
      </c>
      <c r="AL773" s="20">
        <f>Operations!AL766</f>
        <v/>
      </c>
      <c r="AM773" s="20">
        <f>Operations!AM766</f>
        <v/>
      </c>
      <c r="AN773" s="20">
        <f>Operations!AN766</f>
        <v/>
      </c>
      <c r="AO773" s="20">
        <f>Operations!AO766</f>
        <v/>
      </c>
      <c r="AP773" s="20">
        <f>Operations!AP766</f>
        <v/>
      </c>
      <c r="AQ773" s="20">
        <f>Operations!AQ766</f>
        <v/>
      </c>
      <c r="AR773" s="20">
        <f>Operations!AR766</f>
        <v/>
      </c>
      <c r="AS773" s="20">
        <f>Operations!AS766</f>
        <v/>
      </c>
      <c r="AT773" s="20">
        <f>Operations!AT766</f>
        <v/>
      </c>
      <c r="AU773" s="20">
        <f>Operations!AU766</f>
        <v/>
      </c>
    </row>
    <row r="774">
      <c r="D774" t="inlineStr">
        <is>
          <t>Contracted share of Mesa revenue, a1</t>
        </is>
      </c>
      <c r="E774" t="inlineStr">
        <is>
          <t>fraction</t>
        </is>
      </c>
      <c r="J774" s="14">
        <f>IF(Operations!J760=0,0,Operations!J757/Operations!J760)</f>
        <v/>
      </c>
      <c r="K774" s="14">
        <f>IF(Operations!K760=0,0,Operations!K757/Operations!K760)</f>
        <v/>
      </c>
      <c r="L774" s="14">
        <f>IF(Operations!L760=0,0,Operations!L757/Operations!L760)</f>
        <v/>
      </c>
      <c r="M774" s="14">
        <f>IF(Operations!M760=0,0,Operations!M757/Operations!M760)</f>
        <v/>
      </c>
      <c r="N774" s="14">
        <f>IF(Operations!N760=0,0,Operations!N757/Operations!N760)</f>
        <v/>
      </c>
      <c r="O774" s="14">
        <f>IF(Operations!O760=0,0,Operations!O757/Operations!O760)</f>
        <v/>
      </c>
      <c r="P774" s="14">
        <f>IF(Operations!P760=0,0,Operations!P757/Operations!P760)</f>
        <v/>
      </c>
      <c r="Q774" s="14">
        <f>IF(Operations!Q760=0,0,Operations!Q757/Operations!Q760)</f>
        <v/>
      </c>
      <c r="R774" s="14">
        <f>IF(Operations!R760=0,0,Operations!R757/Operations!R760)</f>
        <v/>
      </c>
      <c r="S774" s="14">
        <f>IF(Operations!S760=0,0,Operations!S757/Operations!S760)</f>
        <v/>
      </c>
      <c r="T774" s="14">
        <f>IF(Operations!T760=0,0,Operations!T757/Operations!T760)</f>
        <v/>
      </c>
      <c r="U774" s="14">
        <f>IF(Operations!U760=0,0,Operations!U757/Operations!U760)</f>
        <v/>
      </c>
      <c r="V774" s="14">
        <f>IF(Operations!V760=0,0,Operations!V757/Operations!V760)</f>
        <v/>
      </c>
      <c r="W774" s="14">
        <f>IF(Operations!W760=0,0,Operations!W757/Operations!W760)</f>
        <v/>
      </c>
      <c r="X774" s="14">
        <f>IF(Operations!X760=0,0,Operations!X757/Operations!X760)</f>
        <v/>
      </c>
      <c r="Y774" s="14">
        <f>IF(Operations!Y760=0,0,Operations!Y757/Operations!Y760)</f>
        <v/>
      </c>
      <c r="Z774" s="14">
        <f>IF(Operations!Z760=0,0,Operations!Z757/Operations!Z760)</f>
        <v/>
      </c>
      <c r="AA774" s="14">
        <f>IF(Operations!AA760=0,0,Operations!AA757/Operations!AA760)</f>
        <v/>
      </c>
      <c r="AB774" s="14">
        <f>IF(Operations!AB760=0,0,Operations!AB757/Operations!AB760)</f>
        <v/>
      </c>
      <c r="AC774" s="14">
        <f>IF(Operations!AC760=0,0,Operations!AC757/Operations!AC760)</f>
        <v/>
      </c>
      <c r="AD774" s="14">
        <f>IF(Operations!AD760=0,0,Operations!AD757/Operations!AD760)</f>
        <v/>
      </c>
      <c r="AE774" s="14">
        <f>IF(Operations!AE760=0,0,Operations!AE757/Operations!AE760)</f>
        <v/>
      </c>
      <c r="AF774" s="14">
        <f>IF(Operations!AF760=0,0,Operations!AF757/Operations!AF760)</f>
        <v/>
      </c>
      <c r="AG774" s="14">
        <f>IF(Operations!AG760=0,0,Operations!AG757/Operations!AG760)</f>
        <v/>
      </c>
      <c r="AH774" s="14">
        <f>IF(Operations!AH760=0,0,Operations!AH757/Operations!AH760)</f>
        <v/>
      </c>
      <c r="AI774" s="14">
        <f>IF(Operations!AI760=0,0,Operations!AI757/Operations!AI760)</f>
        <v/>
      </c>
      <c r="AJ774" s="14">
        <f>IF(Operations!AJ760=0,0,Operations!AJ757/Operations!AJ760)</f>
        <v/>
      </c>
      <c r="AK774" s="14">
        <f>IF(Operations!AK760=0,0,Operations!AK757/Operations!AK760)</f>
        <v/>
      </c>
      <c r="AL774" s="14">
        <f>IF(Operations!AL760=0,0,Operations!AL757/Operations!AL760)</f>
        <v/>
      </c>
      <c r="AM774" s="14">
        <f>IF(Operations!AM760=0,0,Operations!AM757/Operations!AM760)</f>
        <v/>
      </c>
      <c r="AN774" s="14">
        <f>IF(Operations!AN760=0,0,Operations!AN757/Operations!AN760)</f>
        <v/>
      </c>
      <c r="AO774" s="14">
        <f>IF(Operations!AO760=0,0,Operations!AO757/Operations!AO760)</f>
        <v/>
      </c>
      <c r="AP774" s="14">
        <f>IF(Operations!AP760=0,0,Operations!AP757/Operations!AP760)</f>
        <v/>
      </c>
      <c r="AQ774" s="14">
        <f>IF(Operations!AQ760=0,0,Operations!AQ757/Operations!AQ760)</f>
        <v/>
      </c>
      <c r="AR774" s="14">
        <f>IF(Operations!AR760=0,0,Operations!AR757/Operations!AR760)</f>
        <v/>
      </c>
      <c r="AS774" s="14">
        <f>IF(Operations!AS760=0,0,Operations!AS757/Operations!AS760)</f>
        <v/>
      </c>
      <c r="AT774" s="14">
        <f>IF(Operations!AT760=0,0,Operations!AT757/Operations!AT760)</f>
        <v/>
      </c>
      <c r="AU774" s="14">
        <f>IF(Operations!AU760=0,0,Operations!AU757/Operations!AU760)</f>
        <v/>
      </c>
    </row>
    <row r="775">
      <c r="D775" t="inlineStr">
        <is>
          <t>Hedged share of Mesa revenue, a1</t>
        </is>
      </c>
      <c r="E775" t="inlineStr">
        <is>
          <t>fraction</t>
        </is>
      </c>
      <c r="J775" s="14">
        <f>IF(Operations!J760=0,0,Operations!J758/Operations!J760)</f>
        <v/>
      </c>
      <c r="K775" s="14">
        <f>IF(Operations!K760=0,0,Operations!K758/Operations!K760)</f>
        <v/>
      </c>
      <c r="L775" s="14">
        <f>IF(Operations!L760=0,0,Operations!L758/Operations!L760)</f>
        <v/>
      </c>
      <c r="M775" s="14">
        <f>IF(Operations!M760=0,0,Operations!M758/Operations!M760)</f>
        <v/>
      </c>
      <c r="N775" s="14">
        <f>IF(Operations!N760=0,0,Operations!N758/Operations!N760)</f>
        <v/>
      </c>
      <c r="O775" s="14">
        <f>IF(Operations!O760=0,0,Operations!O758/Operations!O760)</f>
        <v/>
      </c>
      <c r="P775" s="14">
        <f>IF(Operations!P760=0,0,Operations!P758/Operations!P760)</f>
        <v/>
      </c>
      <c r="Q775" s="14">
        <f>IF(Operations!Q760=0,0,Operations!Q758/Operations!Q760)</f>
        <v/>
      </c>
      <c r="R775" s="14">
        <f>IF(Operations!R760=0,0,Operations!R758/Operations!R760)</f>
        <v/>
      </c>
      <c r="S775" s="14">
        <f>IF(Operations!S760=0,0,Operations!S758/Operations!S760)</f>
        <v/>
      </c>
      <c r="T775" s="14">
        <f>IF(Operations!T760=0,0,Operations!T758/Operations!T760)</f>
        <v/>
      </c>
      <c r="U775" s="14">
        <f>IF(Operations!U760=0,0,Operations!U758/Operations!U760)</f>
        <v/>
      </c>
      <c r="V775" s="14">
        <f>IF(Operations!V760=0,0,Operations!V758/Operations!V760)</f>
        <v/>
      </c>
      <c r="W775" s="14">
        <f>IF(Operations!W760=0,0,Operations!W758/Operations!W760)</f>
        <v/>
      </c>
      <c r="X775" s="14">
        <f>IF(Operations!X760=0,0,Operations!X758/Operations!X760)</f>
        <v/>
      </c>
      <c r="Y775" s="14">
        <f>IF(Operations!Y760=0,0,Operations!Y758/Operations!Y760)</f>
        <v/>
      </c>
      <c r="Z775" s="14">
        <f>IF(Operations!Z760=0,0,Operations!Z758/Operations!Z760)</f>
        <v/>
      </c>
      <c r="AA775" s="14">
        <f>IF(Operations!AA760=0,0,Operations!AA758/Operations!AA760)</f>
        <v/>
      </c>
      <c r="AB775" s="14">
        <f>IF(Operations!AB760=0,0,Operations!AB758/Operations!AB760)</f>
        <v/>
      </c>
      <c r="AC775" s="14">
        <f>IF(Operations!AC760=0,0,Operations!AC758/Operations!AC760)</f>
        <v/>
      </c>
      <c r="AD775" s="14">
        <f>IF(Operations!AD760=0,0,Operations!AD758/Operations!AD760)</f>
        <v/>
      </c>
      <c r="AE775" s="14">
        <f>IF(Operations!AE760=0,0,Operations!AE758/Operations!AE760)</f>
        <v/>
      </c>
      <c r="AF775" s="14">
        <f>IF(Operations!AF760=0,0,Operations!AF758/Operations!AF760)</f>
        <v/>
      </c>
      <c r="AG775" s="14">
        <f>IF(Operations!AG760=0,0,Operations!AG758/Operations!AG760)</f>
        <v/>
      </c>
      <c r="AH775" s="14">
        <f>IF(Operations!AH760=0,0,Operations!AH758/Operations!AH760)</f>
        <v/>
      </c>
      <c r="AI775" s="14">
        <f>IF(Operations!AI760=0,0,Operations!AI758/Operations!AI760)</f>
        <v/>
      </c>
      <c r="AJ775" s="14">
        <f>IF(Operations!AJ760=0,0,Operations!AJ758/Operations!AJ760)</f>
        <v/>
      </c>
      <c r="AK775" s="14">
        <f>IF(Operations!AK760=0,0,Operations!AK758/Operations!AK760)</f>
        <v/>
      </c>
      <c r="AL775" s="14">
        <f>IF(Operations!AL760=0,0,Operations!AL758/Operations!AL760)</f>
        <v/>
      </c>
      <c r="AM775" s="14">
        <f>IF(Operations!AM760=0,0,Operations!AM758/Operations!AM760)</f>
        <v/>
      </c>
      <c r="AN775" s="14">
        <f>IF(Operations!AN760=0,0,Operations!AN758/Operations!AN760)</f>
        <v/>
      </c>
      <c r="AO775" s="14">
        <f>IF(Operations!AO760=0,0,Operations!AO758/Operations!AO760)</f>
        <v/>
      </c>
      <c r="AP775" s="14">
        <f>IF(Operations!AP760=0,0,Operations!AP758/Operations!AP760)</f>
        <v/>
      </c>
      <c r="AQ775" s="14">
        <f>IF(Operations!AQ760=0,0,Operations!AQ758/Operations!AQ760)</f>
        <v/>
      </c>
      <c r="AR775" s="14">
        <f>IF(Operations!AR760=0,0,Operations!AR758/Operations!AR760)</f>
        <v/>
      </c>
      <c r="AS775" s="14">
        <f>IF(Operations!AS760=0,0,Operations!AS758/Operations!AS760)</f>
        <v/>
      </c>
      <c r="AT775" s="14">
        <f>IF(Operations!AT760=0,0,Operations!AT758/Operations!AT760)</f>
        <v/>
      </c>
      <c r="AU775" s="14">
        <f>IF(Operations!AU760=0,0,Operations!AU758/Operations!AU760)</f>
        <v/>
      </c>
    </row>
    <row r="776">
      <c r="D776" t="inlineStr">
        <is>
          <t>Merchant share of Mesa revenue, a1</t>
        </is>
      </c>
      <c r="E776" t="inlineStr">
        <is>
          <t>fraction</t>
        </is>
      </c>
      <c r="J776" s="14">
        <f>1-Operations!J774-Operations!J775</f>
        <v/>
      </c>
      <c r="K776" s="14">
        <f>1-Operations!K774-Operations!K775</f>
        <v/>
      </c>
      <c r="L776" s="14">
        <f>1-Operations!L774-Operations!L775</f>
        <v/>
      </c>
      <c r="M776" s="14">
        <f>1-Operations!M774-Operations!M775</f>
        <v/>
      </c>
      <c r="N776" s="14">
        <f>1-Operations!N774-Operations!N775</f>
        <v/>
      </c>
      <c r="O776" s="14">
        <f>1-Operations!O774-Operations!O775</f>
        <v/>
      </c>
      <c r="P776" s="14">
        <f>1-Operations!P774-Operations!P775</f>
        <v/>
      </c>
      <c r="Q776" s="14">
        <f>1-Operations!Q774-Operations!Q775</f>
        <v/>
      </c>
      <c r="R776" s="14">
        <f>1-Operations!R774-Operations!R775</f>
        <v/>
      </c>
      <c r="S776" s="14">
        <f>1-Operations!S774-Operations!S775</f>
        <v/>
      </c>
      <c r="T776" s="14">
        <f>1-Operations!T774-Operations!T775</f>
        <v/>
      </c>
      <c r="U776" s="14">
        <f>1-Operations!U774-Operations!U775</f>
        <v/>
      </c>
      <c r="V776" s="14">
        <f>1-Operations!V774-Operations!V775</f>
        <v/>
      </c>
      <c r="W776" s="14">
        <f>1-Operations!W774-Operations!W775</f>
        <v/>
      </c>
      <c r="X776" s="14">
        <f>1-Operations!X774-Operations!X775</f>
        <v/>
      </c>
      <c r="Y776" s="14">
        <f>1-Operations!Y774-Operations!Y775</f>
        <v/>
      </c>
      <c r="Z776" s="14">
        <f>1-Operations!Z774-Operations!Z775</f>
        <v/>
      </c>
      <c r="AA776" s="14">
        <f>1-Operations!AA774-Operations!AA775</f>
        <v/>
      </c>
      <c r="AB776" s="14">
        <f>1-Operations!AB774-Operations!AB775</f>
        <v/>
      </c>
      <c r="AC776" s="14">
        <f>1-Operations!AC774-Operations!AC775</f>
        <v/>
      </c>
      <c r="AD776" s="14">
        <f>1-Operations!AD774-Operations!AD775</f>
        <v/>
      </c>
      <c r="AE776" s="14">
        <f>1-Operations!AE774-Operations!AE775</f>
        <v/>
      </c>
      <c r="AF776" s="14">
        <f>1-Operations!AF774-Operations!AF775</f>
        <v/>
      </c>
      <c r="AG776" s="14">
        <f>1-Operations!AG774-Operations!AG775</f>
        <v/>
      </c>
      <c r="AH776" s="14">
        <f>1-Operations!AH774-Operations!AH775</f>
        <v/>
      </c>
      <c r="AI776" s="14">
        <f>1-Operations!AI774-Operations!AI775</f>
        <v/>
      </c>
      <c r="AJ776" s="14">
        <f>1-Operations!AJ774-Operations!AJ775</f>
        <v/>
      </c>
      <c r="AK776" s="14">
        <f>1-Operations!AK774-Operations!AK775</f>
        <v/>
      </c>
      <c r="AL776" s="14">
        <f>1-Operations!AL774-Operations!AL775</f>
        <v/>
      </c>
      <c r="AM776" s="14">
        <f>1-Operations!AM774-Operations!AM775</f>
        <v/>
      </c>
      <c r="AN776" s="14">
        <f>1-Operations!AN774-Operations!AN775</f>
        <v/>
      </c>
      <c r="AO776" s="14">
        <f>1-Operations!AO774-Operations!AO775</f>
        <v/>
      </c>
      <c r="AP776" s="14">
        <f>1-Operations!AP774-Operations!AP775</f>
        <v/>
      </c>
      <c r="AQ776" s="14">
        <f>1-Operations!AQ774-Operations!AQ775</f>
        <v/>
      </c>
      <c r="AR776" s="14">
        <f>1-Operations!AR774-Operations!AR775</f>
        <v/>
      </c>
      <c r="AS776" s="14">
        <f>1-Operations!AS774-Operations!AS775</f>
        <v/>
      </c>
      <c r="AT776" s="14">
        <f>1-Operations!AT774-Operations!AT775</f>
        <v/>
      </c>
      <c r="AU776" s="14">
        <f>1-Operations!AU774-Operations!AU775</f>
        <v/>
      </c>
    </row>
    <row r="777">
      <c r="D777" t="inlineStr">
        <is>
          <t>CFADS allocated to contracted, a1</t>
        </is>
      </c>
      <c r="E777" t="inlineStr">
        <is>
          <t>USD m</t>
        </is>
      </c>
      <c r="J777" s="20">
        <f>Operations!J771*Operations!J774</f>
        <v/>
      </c>
      <c r="K777" s="20">
        <f>Operations!K771*Operations!K774</f>
        <v/>
      </c>
      <c r="L777" s="20">
        <f>Operations!L771*Operations!L774</f>
        <v/>
      </c>
      <c r="M777" s="20">
        <f>Operations!M771*Operations!M774</f>
        <v/>
      </c>
      <c r="N777" s="20">
        <f>Operations!N771*Operations!N774</f>
        <v/>
      </c>
      <c r="O777" s="20">
        <f>Operations!O771*Operations!O774</f>
        <v/>
      </c>
      <c r="P777" s="20">
        <f>Operations!P771*Operations!P774</f>
        <v/>
      </c>
      <c r="Q777" s="20">
        <f>Operations!Q771*Operations!Q774</f>
        <v/>
      </c>
      <c r="R777" s="20">
        <f>Operations!R771*Operations!R774</f>
        <v/>
      </c>
      <c r="S777" s="20">
        <f>Operations!S771*Operations!S774</f>
        <v/>
      </c>
      <c r="T777" s="20">
        <f>Operations!T771*Operations!T774</f>
        <v/>
      </c>
      <c r="U777" s="20">
        <f>Operations!U771*Operations!U774</f>
        <v/>
      </c>
      <c r="V777" s="20">
        <f>Operations!V771*Operations!V774</f>
        <v/>
      </c>
      <c r="W777" s="20">
        <f>Operations!W771*Operations!W774</f>
        <v/>
      </c>
      <c r="X777" s="20">
        <f>Operations!X771*Operations!X774</f>
        <v/>
      </c>
      <c r="Y777" s="20">
        <f>Operations!Y771*Operations!Y774</f>
        <v/>
      </c>
      <c r="Z777" s="20">
        <f>Operations!Z771*Operations!Z774</f>
        <v/>
      </c>
      <c r="AA777" s="20">
        <f>Operations!AA771*Operations!AA774</f>
        <v/>
      </c>
      <c r="AB777" s="20">
        <f>Operations!AB771*Operations!AB774</f>
        <v/>
      </c>
      <c r="AC777" s="20">
        <f>Operations!AC771*Operations!AC774</f>
        <v/>
      </c>
      <c r="AD777" s="20">
        <f>Operations!AD771*Operations!AD774</f>
        <v/>
      </c>
      <c r="AE777" s="20">
        <f>Operations!AE771*Operations!AE774</f>
        <v/>
      </c>
      <c r="AF777" s="20">
        <f>Operations!AF771*Operations!AF774</f>
        <v/>
      </c>
      <c r="AG777" s="20">
        <f>Operations!AG771*Operations!AG774</f>
        <v/>
      </c>
      <c r="AH777" s="20">
        <f>Operations!AH771*Operations!AH774</f>
        <v/>
      </c>
      <c r="AI777" s="20">
        <f>Operations!AI771*Operations!AI774</f>
        <v/>
      </c>
      <c r="AJ777" s="20">
        <f>Operations!AJ771*Operations!AJ774</f>
        <v/>
      </c>
      <c r="AK777" s="20">
        <f>Operations!AK771*Operations!AK774</f>
        <v/>
      </c>
      <c r="AL777" s="20">
        <f>Operations!AL771*Operations!AL774</f>
        <v/>
      </c>
      <c r="AM777" s="20">
        <f>Operations!AM771*Operations!AM774</f>
        <v/>
      </c>
      <c r="AN777" s="20">
        <f>Operations!AN771*Operations!AN774</f>
        <v/>
      </c>
      <c r="AO777" s="20">
        <f>Operations!AO771*Operations!AO774</f>
        <v/>
      </c>
      <c r="AP777" s="20">
        <f>Operations!AP771*Operations!AP774</f>
        <v/>
      </c>
      <c r="AQ777" s="20">
        <f>Operations!AQ771*Operations!AQ774</f>
        <v/>
      </c>
      <c r="AR777" s="20">
        <f>Operations!AR771*Operations!AR774</f>
        <v/>
      </c>
      <c r="AS777" s="20">
        <f>Operations!AS771*Operations!AS774</f>
        <v/>
      </c>
      <c r="AT777" s="20">
        <f>Operations!AT771*Operations!AT774</f>
        <v/>
      </c>
      <c r="AU777" s="20">
        <f>Operations!AU771*Operations!AU774</f>
        <v/>
      </c>
    </row>
    <row r="778">
      <c r="D778" t="inlineStr">
        <is>
          <t>CFADS allocated to hedged, a1</t>
        </is>
      </c>
      <c r="E778" t="inlineStr">
        <is>
          <t>USD m</t>
        </is>
      </c>
      <c r="J778" s="20">
        <f>Operations!J771*Operations!J775</f>
        <v/>
      </c>
      <c r="K778" s="20">
        <f>Operations!K771*Operations!K775</f>
        <v/>
      </c>
      <c r="L778" s="20">
        <f>Operations!L771*Operations!L775</f>
        <v/>
      </c>
      <c r="M778" s="20">
        <f>Operations!M771*Operations!M775</f>
        <v/>
      </c>
      <c r="N778" s="20">
        <f>Operations!N771*Operations!N775</f>
        <v/>
      </c>
      <c r="O778" s="20">
        <f>Operations!O771*Operations!O775</f>
        <v/>
      </c>
      <c r="P778" s="20">
        <f>Operations!P771*Operations!P775</f>
        <v/>
      </c>
      <c r="Q778" s="20">
        <f>Operations!Q771*Operations!Q775</f>
        <v/>
      </c>
      <c r="R778" s="20">
        <f>Operations!R771*Operations!R775</f>
        <v/>
      </c>
      <c r="S778" s="20">
        <f>Operations!S771*Operations!S775</f>
        <v/>
      </c>
      <c r="T778" s="20">
        <f>Operations!T771*Operations!T775</f>
        <v/>
      </c>
      <c r="U778" s="20">
        <f>Operations!U771*Operations!U775</f>
        <v/>
      </c>
      <c r="V778" s="20">
        <f>Operations!V771*Operations!V775</f>
        <v/>
      </c>
      <c r="W778" s="20">
        <f>Operations!W771*Operations!W775</f>
        <v/>
      </c>
      <c r="X778" s="20">
        <f>Operations!X771*Operations!X775</f>
        <v/>
      </c>
      <c r="Y778" s="20">
        <f>Operations!Y771*Operations!Y775</f>
        <v/>
      </c>
      <c r="Z778" s="20">
        <f>Operations!Z771*Operations!Z775</f>
        <v/>
      </c>
      <c r="AA778" s="20">
        <f>Operations!AA771*Operations!AA775</f>
        <v/>
      </c>
      <c r="AB778" s="20">
        <f>Operations!AB771*Operations!AB775</f>
        <v/>
      </c>
      <c r="AC778" s="20">
        <f>Operations!AC771*Operations!AC775</f>
        <v/>
      </c>
      <c r="AD778" s="20">
        <f>Operations!AD771*Operations!AD775</f>
        <v/>
      </c>
      <c r="AE778" s="20">
        <f>Operations!AE771*Operations!AE775</f>
        <v/>
      </c>
      <c r="AF778" s="20">
        <f>Operations!AF771*Operations!AF775</f>
        <v/>
      </c>
      <c r="AG778" s="20">
        <f>Operations!AG771*Operations!AG775</f>
        <v/>
      </c>
      <c r="AH778" s="20">
        <f>Operations!AH771*Operations!AH775</f>
        <v/>
      </c>
      <c r="AI778" s="20">
        <f>Operations!AI771*Operations!AI775</f>
        <v/>
      </c>
      <c r="AJ778" s="20">
        <f>Operations!AJ771*Operations!AJ775</f>
        <v/>
      </c>
      <c r="AK778" s="20">
        <f>Operations!AK771*Operations!AK775</f>
        <v/>
      </c>
      <c r="AL778" s="20">
        <f>Operations!AL771*Operations!AL775</f>
        <v/>
      </c>
      <c r="AM778" s="20">
        <f>Operations!AM771*Operations!AM775</f>
        <v/>
      </c>
      <c r="AN778" s="20">
        <f>Operations!AN771*Operations!AN775</f>
        <v/>
      </c>
      <c r="AO778" s="20">
        <f>Operations!AO771*Operations!AO775</f>
        <v/>
      </c>
      <c r="AP778" s="20">
        <f>Operations!AP771*Operations!AP775</f>
        <v/>
      </c>
      <c r="AQ778" s="20">
        <f>Operations!AQ771*Operations!AQ775</f>
        <v/>
      </c>
      <c r="AR778" s="20">
        <f>Operations!AR771*Operations!AR775</f>
        <v/>
      </c>
      <c r="AS778" s="20">
        <f>Operations!AS771*Operations!AS775</f>
        <v/>
      </c>
      <c r="AT778" s="20">
        <f>Operations!AT771*Operations!AT775</f>
        <v/>
      </c>
      <c r="AU778" s="20">
        <f>Operations!AU771*Operations!AU775</f>
        <v/>
      </c>
    </row>
    <row r="779">
      <c r="D779" t="inlineStr">
        <is>
          <t>CFADS allocated to merchant, a1</t>
        </is>
      </c>
      <c r="E779" t="inlineStr">
        <is>
          <t>USD m</t>
        </is>
      </c>
      <c r="J779" s="20">
        <f>Operations!J771*Operations!J776</f>
        <v/>
      </c>
      <c r="K779" s="20">
        <f>Operations!K771*Operations!K776</f>
        <v/>
      </c>
      <c r="L779" s="20">
        <f>Operations!L771*Operations!L776</f>
        <v/>
      </c>
      <c r="M779" s="20">
        <f>Operations!M771*Operations!M776</f>
        <v/>
      </c>
      <c r="N779" s="20">
        <f>Operations!N771*Operations!N776</f>
        <v/>
      </c>
      <c r="O779" s="20">
        <f>Operations!O771*Operations!O776</f>
        <v/>
      </c>
      <c r="P779" s="20">
        <f>Operations!P771*Operations!P776</f>
        <v/>
      </c>
      <c r="Q779" s="20">
        <f>Operations!Q771*Operations!Q776</f>
        <v/>
      </c>
      <c r="R779" s="20">
        <f>Operations!R771*Operations!R776</f>
        <v/>
      </c>
      <c r="S779" s="20">
        <f>Operations!S771*Operations!S776</f>
        <v/>
      </c>
      <c r="T779" s="20">
        <f>Operations!T771*Operations!T776</f>
        <v/>
      </c>
      <c r="U779" s="20">
        <f>Operations!U771*Operations!U776</f>
        <v/>
      </c>
      <c r="V779" s="20">
        <f>Operations!V771*Operations!V776</f>
        <v/>
      </c>
      <c r="W779" s="20">
        <f>Operations!W771*Operations!W776</f>
        <v/>
      </c>
      <c r="X779" s="20">
        <f>Operations!X771*Operations!X776</f>
        <v/>
      </c>
      <c r="Y779" s="20">
        <f>Operations!Y771*Operations!Y776</f>
        <v/>
      </c>
      <c r="Z779" s="20">
        <f>Operations!Z771*Operations!Z776</f>
        <v/>
      </c>
      <c r="AA779" s="20">
        <f>Operations!AA771*Operations!AA776</f>
        <v/>
      </c>
      <c r="AB779" s="20">
        <f>Operations!AB771*Operations!AB776</f>
        <v/>
      </c>
      <c r="AC779" s="20">
        <f>Operations!AC771*Operations!AC776</f>
        <v/>
      </c>
      <c r="AD779" s="20">
        <f>Operations!AD771*Operations!AD776</f>
        <v/>
      </c>
      <c r="AE779" s="20">
        <f>Operations!AE771*Operations!AE776</f>
        <v/>
      </c>
      <c r="AF779" s="20">
        <f>Operations!AF771*Operations!AF776</f>
        <v/>
      </c>
      <c r="AG779" s="20">
        <f>Operations!AG771*Operations!AG776</f>
        <v/>
      </c>
      <c r="AH779" s="20">
        <f>Operations!AH771*Operations!AH776</f>
        <v/>
      </c>
      <c r="AI779" s="20">
        <f>Operations!AI771*Operations!AI776</f>
        <v/>
      </c>
      <c r="AJ779" s="20">
        <f>Operations!AJ771*Operations!AJ776</f>
        <v/>
      </c>
      <c r="AK779" s="20">
        <f>Operations!AK771*Operations!AK776</f>
        <v/>
      </c>
      <c r="AL779" s="20">
        <f>Operations!AL771*Operations!AL776</f>
        <v/>
      </c>
      <c r="AM779" s="20">
        <f>Operations!AM771*Operations!AM776</f>
        <v/>
      </c>
      <c r="AN779" s="20">
        <f>Operations!AN771*Operations!AN776</f>
        <v/>
      </c>
      <c r="AO779" s="20">
        <f>Operations!AO771*Operations!AO776</f>
        <v/>
      </c>
      <c r="AP779" s="20">
        <f>Operations!AP771*Operations!AP776</f>
        <v/>
      </c>
      <c r="AQ779" s="20">
        <f>Operations!AQ771*Operations!AQ776</f>
        <v/>
      </c>
      <c r="AR779" s="20">
        <f>Operations!AR771*Operations!AR776</f>
        <v/>
      </c>
      <c r="AS779" s="20">
        <f>Operations!AS771*Operations!AS776</f>
        <v/>
      </c>
      <c r="AT779" s="20">
        <f>Operations!AT771*Operations!AT776</f>
        <v/>
      </c>
      <c r="AU779" s="20">
        <f>Operations!AU771*Operations!AU776</f>
        <v/>
      </c>
    </row>
    <row r="780">
      <c r="D780" t="inlineStr">
        <is>
          <t>Contracted share of Mesa revenue, all</t>
        </is>
      </c>
      <c r="E780" t="inlineStr">
        <is>
          <t>fraction</t>
        </is>
      </c>
      <c r="J780" s="14">
        <f>IF(Operations!J765=0,0,Operations!J762/Operations!J765)</f>
        <v/>
      </c>
      <c r="K780" s="14">
        <f>IF(Operations!K765=0,0,Operations!K762/Operations!K765)</f>
        <v/>
      </c>
      <c r="L780" s="14">
        <f>IF(Operations!L765=0,0,Operations!L762/Operations!L765)</f>
        <v/>
      </c>
      <c r="M780" s="14">
        <f>IF(Operations!M765=0,0,Operations!M762/Operations!M765)</f>
        <v/>
      </c>
      <c r="N780" s="14">
        <f>IF(Operations!N765=0,0,Operations!N762/Operations!N765)</f>
        <v/>
      </c>
      <c r="O780" s="14">
        <f>IF(Operations!O765=0,0,Operations!O762/Operations!O765)</f>
        <v/>
      </c>
      <c r="P780" s="14">
        <f>IF(Operations!P765=0,0,Operations!P762/Operations!P765)</f>
        <v/>
      </c>
      <c r="Q780" s="14">
        <f>IF(Operations!Q765=0,0,Operations!Q762/Operations!Q765)</f>
        <v/>
      </c>
      <c r="R780" s="14">
        <f>IF(Operations!R765=0,0,Operations!R762/Operations!R765)</f>
        <v/>
      </c>
      <c r="S780" s="14">
        <f>IF(Operations!S765=0,0,Operations!S762/Operations!S765)</f>
        <v/>
      </c>
      <c r="T780" s="14">
        <f>IF(Operations!T765=0,0,Operations!T762/Operations!T765)</f>
        <v/>
      </c>
      <c r="U780" s="14">
        <f>IF(Operations!U765=0,0,Operations!U762/Operations!U765)</f>
        <v/>
      </c>
      <c r="V780" s="14">
        <f>IF(Operations!V765=0,0,Operations!V762/Operations!V765)</f>
        <v/>
      </c>
      <c r="W780" s="14">
        <f>IF(Operations!W765=0,0,Operations!W762/Operations!W765)</f>
        <v/>
      </c>
      <c r="X780" s="14">
        <f>IF(Operations!X765=0,0,Operations!X762/Operations!X765)</f>
        <v/>
      </c>
      <c r="Y780" s="14">
        <f>IF(Operations!Y765=0,0,Operations!Y762/Operations!Y765)</f>
        <v/>
      </c>
      <c r="Z780" s="14">
        <f>IF(Operations!Z765=0,0,Operations!Z762/Operations!Z765)</f>
        <v/>
      </c>
      <c r="AA780" s="14">
        <f>IF(Operations!AA765=0,0,Operations!AA762/Operations!AA765)</f>
        <v/>
      </c>
      <c r="AB780" s="14">
        <f>IF(Operations!AB765=0,0,Operations!AB762/Operations!AB765)</f>
        <v/>
      </c>
      <c r="AC780" s="14">
        <f>IF(Operations!AC765=0,0,Operations!AC762/Operations!AC765)</f>
        <v/>
      </c>
      <c r="AD780" s="14">
        <f>IF(Operations!AD765=0,0,Operations!AD762/Operations!AD765)</f>
        <v/>
      </c>
      <c r="AE780" s="14">
        <f>IF(Operations!AE765=0,0,Operations!AE762/Operations!AE765)</f>
        <v/>
      </c>
      <c r="AF780" s="14">
        <f>IF(Operations!AF765=0,0,Operations!AF762/Operations!AF765)</f>
        <v/>
      </c>
      <c r="AG780" s="14">
        <f>IF(Operations!AG765=0,0,Operations!AG762/Operations!AG765)</f>
        <v/>
      </c>
      <c r="AH780" s="14">
        <f>IF(Operations!AH765=0,0,Operations!AH762/Operations!AH765)</f>
        <v/>
      </c>
      <c r="AI780" s="14">
        <f>IF(Operations!AI765=0,0,Operations!AI762/Operations!AI765)</f>
        <v/>
      </c>
      <c r="AJ780" s="14">
        <f>IF(Operations!AJ765=0,0,Operations!AJ762/Operations!AJ765)</f>
        <v/>
      </c>
      <c r="AK780" s="14">
        <f>IF(Operations!AK765=0,0,Operations!AK762/Operations!AK765)</f>
        <v/>
      </c>
      <c r="AL780" s="14">
        <f>IF(Operations!AL765=0,0,Operations!AL762/Operations!AL765)</f>
        <v/>
      </c>
      <c r="AM780" s="14">
        <f>IF(Operations!AM765=0,0,Operations!AM762/Operations!AM765)</f>
        <v/>
      </c>
      <c r="AN780" s="14">
        <f>IF(Operations!AN765=0,0,Operations!AN762/Operations!AN765)</f>
        <v/>
      </c>
      <c r="AO780" s="14">
        <f>IF(Operations!AO765=0,0,Operations!AO762/Operations!AO765)</f>
        <v/>
      </c>
      <c r="AP780" s="14">
        <f>IF(Operations!AP765=0,0,Operations!AP762/Operations!AP765)</f>
        <v/>
      </c>
      <c r="AQ780" s="14">
        <f>IF(Operations!AQ765=0,0,Operations!AQ762/Operations!AQ765)</f>
        <v/>
      </c>
      <c r="AR780" s="14">
        <f>IF(Operations!AR765=0,0,Operations!AR762/Operations!AR765)</f>
        <v/>
      </c>
      <c r="AS780" s="14">
        <f>IF(Operations!AS765=0,0,Operations!AS762/Operations!AS765)</f>
        <v/>
      </c>
      <c r="AT780" s="14">
        <f>IF(Operations!AT765=0,0,Operations!AT762/Operations!AT765)</f>
        <v/>
      </c>
      <c r="AU780" s="14">
        <f>IF(Operations!AU765=0,0,Operations!AU762/Operations!AU765)</f>
        <v/>
      </c>
    </row>
    <row r="781">
      <c r="D781" t="inlineStr">
        <is>
          <t>Hedged share of Mesa revenue, all</t>
        </is>
      </c>
      <c r="E781" t="inlineStr">
        <is>
          <t>fraction</t>
        </is>
      </c>
      <c r="J781" s="14">
        <f>IF(Operations!J765=0,0,Operations!J763/Operations!J765)</f>
        <v/>
      </c>
      <c r="K781" s="14">
        <f>IF(Operations!K765=0,0,Operations!K763/Operations!K765)</f>
        <v/>
      </c>
      <c r="L781" s="14">
        <f>IF(Operations!L765=0,0,Operations!L763/Operations!L765)</f>
        <v/>
      </c>
      <c r="M781" s="14">
        <f>IF(Operations!M765=0,0,Operations!M763/Operations!M765)</f>
        <v/>
      </c>
      <c r="N781" s="14">
        <f>IF(Operations!N765=0,0,Operations!N763/Operations!N765)</f>
        <v/>
      </c>
      <c r="O781" s="14">
        <f>IF(Operations!O765=0,0,Operations!O763/Operations!O765)</f>
        <v/>
      </c>
      <c r="P781" s="14">
        <f>IF(Operations!P765=0,0,Operations!P763/Operations!P765)</f>
        <v/>
      </c>
      <c r="Q781" s="14">
        <f>IF(Operations!Q765=0,0,Operations!Q763/Operations!Q765)</f>
        <v/>
      </c>
      <c r="R781" s="14">
        <f>IF(Operations!R765=0,0,Operations!R763/Operations!R765)</f>
        <v/>
      </c>
      <c r="S781" s="14">
        <f>IF(Operations!S765=0,0,Operations!S763/Operations!S765)</f>
        <v/>
      </c>
      <c r="T781" s="14">
        <f>IF(Operations!T765=0,0,Operations!T763/Operations!T765)</f>
        <v/>
      </c>
      <c r="U781" s="14">
        <f>IF(Operations!U765=0,0,Operations!U763/Operations!U765)</f>
        <v/>
      </c>
      <c r="V781" s="14">
        <f>IF(Operations!V765=0,0,Operations!V763/Operations!V765)</f>
        <v/>
      </c>
      <c r="W781" s="14">
        <f>IF(Operations!W765=0,0,Operations!W763/Operations!W765)</f>
        <v/>
      </c>
      <c r="X781" s="14">
        <f>IF(Operations!X765=0,0,Operations!X763/Operations!X765)</f>
        <v/>
      </c>
      <c r="Y781" s="14">
        <f>IF(Operations!Y765=0,0,Operations!Y763/Operations!Y765)</f>
        <v/>
      </c>
      <c r="Z781" s="14">
        <f>IF(Operations!Z765=0,0,Operations!Z763/Operations!Z765)</f>
        <v/>
      </c>
      <c r="AA781" s="14">
        <f>IF(Operations!AA765=0,0,Operations!AA763/Operations!AA765)</f>
        <v/>
      </c>
      <c r="AB781" s="14">
        <f>IF(Operations!AB765=0,0,Operations!AB763/Operations!AB765)</f>
        <v/>
      </c>
      <c r="AC781" s="14">
        <f>IF(Operations!AC765=0,0,Operations!AC763/Operations!AC765)</f>
        <v/>
      </c>
      <c r="AD781" s="14">
        <f>IF(Operations!AD765=0,0,Operations!AD763/Operations!AD765)</f>
        <v/>
      </c>
      <c r="AE781" s="14">
        <f>IF(Operations!AE765=0,0,Operations!AE763/Operations!AE765)</f>
        <v/>
      </c>
      <c r="AF781" s="14">
        <f>IF(Operations!AF765=0,0,Operations!AF763/Operations!AF765)</f>
        <v/>
      </c>
      <c r="AG781" s="14">
        <f>IF(Operations!AG765=0,0,Operations!AG763/Operations!AG765)</f>
        <v/>
      </c>
      <c r="AH781" s="14">
        <f>IF(Operations!AH765=0,0,Operations!AH763/Operations!AH765)</f>
        <v/>
      </c>
      <c r="AI781" s="14">
        <f>IF(Operations!AI765=0,0,Operations!AI763/Operations!AI765)</f>
        <v/>
      </c>
      <c r="AJ781" s="14">
        <f>IF(Operations!AJ765=0,0,Operations!AJ763/Operations!AJ765)</f>
        <v/>
      </c>
      <c r="AK781" s="14">
        <f>IF(Operations!AK765=0,0,Operations!AK763/Operations!AK765)</f>
        <v/>
      </c>
      <c r="AL781" s="14">
        <f>IF(Operations!AL765=0,0,Operations!AL763/Operations!AL765)</f>
        <v/>
      </c>
      <c r="AM781" s="14">
        <f>IF(Operations!AM765=0,0,Operations!AM763/Operations!AM765)</f>
        <v/>
      </c>
      <c r="AN781" s="14">
        <f>IF(Operations!AN765=0,0,Operations!AN763/Operations!AN765)</f>
        <v/>
      </c>
      <c r="AO781" s="14">
        <f>IF(Operations!AO765=0,0,Operations!AO763/Operations!AO765)</f>
        <v/>
      </c>
      <c r="AP781" s="14">
        <f>IF(Operations!AP765=0,0,Operations!AP763/Operations!AP765)</f>
        <v/>
      </c>
      <c r="AQ781" s="14">
        <f>IF(Operations!AQ765=0,0,Operations!AQ763/Operations!AQ765)</f>
        <v/>
      </c>
      <c r="AR781" s="14">
        <f>IF(Operations!AR765=0,0,Operations!AR763/Operations!AR765)</f>
        <v/>
      </c>
      <c r="AS781" s="14">
        <f>IF(Operations!AS765=0,0,Operations!AS763/Operations!AS765)</f>
        <v/>
      </c>
      <c r="AT781" s="14">
        <f>IF(Operations!AT765=0,0,Operations!AT763/Operations!AT765)</f>
        <v/>
      </c>
      <c r="AU781" s="14">
        <f>IF(Operations!AU765=0,0,Operations!AU763/Operations!AU765)</f>
        <v/>
      </c>
    </row>
    <row r="782">
      <c r="D782" t="inlineStr">
        <is>
          <t>Merchant share of Mesa revenue, all</t>
        </is>
      </c>
      <c r="E782" t="inlineStr">
        <is>
          <t>fraction</t>
        </is>
      </c>
      <c r="J782" s="14">
        <f>1-Operations!J780-Operations!J781</f>
        <v/>
      </c>
      <c r="K782" s="14">
        <f>1-Operations!K780-Operations!K781</f>
        <v/>
      </c>
      <c r="L782" s="14">
        <f>1-Operations!L780-Operations!L781</f>
        <v/>
      </c>
      <c r="M782" s="14">
        <f>1-Operations!M780-Operations!M781</f>
        <v/>
      </c>
      <c r="N782" s="14">
        <f>1-Operations!N780-Operations!N781</f>
        <v/>
      </c>
      <c r="O782" s="14">
        <f>1-Operations!O780-Operations!O781</f>
        <v/>
      </c>
      <c r="P782" s="14">
        <f>1-Operations!P780-Operations!P781</f>
        <v/>
      </c>
      <c r="Q782" s="14">
        <f>1-Operations!Q780-Operations!Q781</f>
        <v/>
      </c>
      <c r="R782" s="14">
        <f>1-Operations!R780-Operations!R781</f>
        <v/>
      </c>
      <c r="S782" s="14">
        <f>1-Operations!S780-Operations!S781</f>
        <v/>
      </c>
      <c r="T782" s="14">
        <f>1-Operations!T780-Operations!T781</f>
        <v/>
      </c>
      <c r="U782" s="14">
        <f>1-Operations!U780-Operations!U781</f>
        <v/>
      </c>
      <c r="V782" s="14">
        <f>1-Operations!V780-Operations!V781</f>
        <v/>
      </c>
      <c r="W782" s="14">
        <f>1-Operations!W780-Operations!W781</f>
        <v/>
      </c>
      <c r="X782" s="14">
        <f>1-Operations!X780-Operations!X781</f>
        <v/>
      </c>
      <c r="Y782" s="14">
        <f>1-Operations!Y780-Operations!Y781</f>
        <v/>
      </c>
      <c r="Z782" s="14">
        <f>1-Operations!Z780-Operations!Z781</f>
        <v/>
      </c>
      <c r="AA782" s="14">
        <f>1-Operations!AA780-Operations!AA781</f>
        <v/>
      </c>
      <c r="AB782" s="14">
        <f>1-Operations!AB780-Operations!AB781</f>
        <v/>
      </c>
      <c r="AC782" s="14">
        <f>1-Operations!AC780-Operations!AC781</f>
        <v/>
      </c>
      <c r="AD782" s="14">
        <f>1-Operations!AD780-Operations!AD781</f>
        <v/>
      </c>
      <c r="AE782" s="14">
        <f>1-Operations!AE780-Operations!AE781</f>
        <v/>
      </c>
      <c r="AF782" s="14">
        <f>1-Operations!AF780-Operations!AF781</f>
        <v/>
      </c>
      <c r="AG782" s="14">
        <f>1-Operations!AG780-Operations!AG781</f>
        <v/>
      </c>
      <c r="AH782" s="14">
        <f>1-Operations!AH780-Operations!AH781</f>
        <v/>
      </c>
      <c r="AI782" s="14">
        <f>1-Operations!AI780-Operations!AI781</f>
        <v/>
      </c>
      <c r="AJ782" s="14">
        <f>1-Operations!AJ780-Operations!AJ781</f>
        <v/>
      </c>
      <c r="AK782" s="14">
        <f>1-Operations!AK780-Operations!AK781</f>
        <v/>
      </c>
      <c r="AL782" s="14">
        <f>1-Operations!AL780-Operations!AL781</f>
        <v/>
      </c>
      <c r="AM782" s="14">
        <f>1-Operations!AM780-Operations!AM781</f>
        <v/>
      </c>
      <c r="AN782" s="14">
        <f>1-Operations!AN780-Operations!AN781</f>
        <v/>
      </c>
      <c r="AO782" s="14">
        <f>1-Operations!AO780-Operations!AO781</f>
        <v/>
      </c>
      <c r="AP782" s="14">
        <f>1-Operations!AP780-Operations!AP781</f>
        <v/>
      </c>
      <c r="AQ782" s="14">
        <f>1-Operations!AQ780-Operations!AQ781</f>
        <v/>
      </c>
      <c r="AR782" s="14">
        <f>1-Operations!AR780-Operations!AR781</f>
        <v/>
      </c>
      <c r="AS782" s="14">
        <f>1-Operations!AS780-Operations!AS781</f>
        <v/>
      </c>
      <c r="AT782" s="14">
        <f>1-Operations!AT780-Operations!AT781</f>
        <v/>
      </c>
      <c r="AU782" s="14">
        <f>1-Operations!AU780-Operations!AU781</f>
        <v/>
      </c>
    </row>
    <row r="783">
      <c r="D783" t="inlineStr">
        <is>
          <t>CFADS allocated to contracted, all</t>
        </is>
      </c>
      <c r="E783" t="inlineStr">
        <is>
          <t>USD m</t>
        </is>
      </c>
      <c r="J783" s="20">
        <f>Operations!J772*Operations!J780</f>
        <v/>
      </c>
      <c r="K783" s="20">
        <f>Operations!K772*Operations!K780</f>
        <v/>
      </c>
      <c r="L783" s="20">
        <f>Operations!L772*Operations!L780</f>
        <v/>
      </c>
      <c r="M783" s="20">
        <f>Operations!M772*Operations!M780</f>
        <v/>
      </c>
      <c r="N783" s="20">
        <f>Operations!N772*Operations!N780</f>
        <v/>
      </c>
      <c r="O783" s="20">
        <f>Operations!O772*Operations!O780</f>
        <v/>
      </c>
      <c r="P783" s="20">
        <f>Operations!P772*Operations!P780</f>
        <v/>
      </c>
      <c r="Q783" s="20">
        <f>Operations!Q772*Operations!Q780</f>
        <v/>
      </c>
      <c r="R783" s="20">
        <f>Operations!R772*Operations!R780</f>
        <v/>
      </c>
      <c r="S783" s="20">
        <f>Operations!S772*Operations!S780</f>
        <v/>
      </c>
      <c r="T783" s="20">
        <f>Operations!T772*Operations!T780</f>
        <v/>
      </c>
      <c r="U783" s="20">
        <f>Operations!U772*Operations!U780</f>
        <v/>
      </c>
      <c r="V783" s="20">
        <f>Operations!V772*Operations!V780</f>
        <v/>
      </c>
      <c r="W783" s="20">
        <f>Operations!W772*Operations!W780</f>
        <v/>
      </c>
      <c r="X783" s="20">
        <f>Operations!X772*Operations!X780</f>
        <v/>
      </c>
      <c r="Y783" s="20">
        <f>Operations!Y772*Operations!Y780</f>
        <v/>
      </c>
      <c r="Z783" s="20">
        <f>Operations!Z772*Operations!Z780</f>
        <v/>
      </c>
      <c r="AA783" s="20">
        <f>Operations!AA772*Operations!AA780</f>
        <v/>
      </c>
      <c r="AB783" s="20">
        <f>Operations!AB772*Operations!AB780</f>
        <v/>
      </c>
      <c r="AC783" s="20">
        <f>Operations!AC772*Operations!AC780</f>
        <v/>
      </c>
      <c r="AD783" s="20">
        <f>Operations!AD772*Operations!AD780</f>
        <v/>
      </c>
      <c r="AE783" s="20">
        <f>Operations!AE772*Operations!AE780</f>
        <v/>
      </c>
      <c r="AF783" s="20">
        <f>Operations!AF772*Operations!AF780</f>
        <v/>
      </c>
      <c r="AG783" s="20">
        <f>Operations!AG772*Operations!AG780</f>
        <v/>
      </c>
      <c r="AH783" s="20">
        <f>Operations!AH772*Operations!AH780</f>
        <v/>
      </c>
      <c r="AI783" s="20">
        <f>Operations!AI772*Operations!AI780</f>
        <v/>
      </c>
      <c r="AJ783" s="20">
        <f>Operations!AJ772*Operations!AJ780</f>
        <v/>
      </c>
      <c r="AK783" s="20">
        <f>Operations!AK772*Operations!AK780</f>
        <v/>
      </c>
      <c r="AL783" s="20">
        <f>Operations!AL772*Operations!AL780</f>
        <v/>
      </c>
      <c r="AM783" s="20">
        <f>Operations!AM772*Operations!AM780</f>
        <v/>
      </c>
      <c r="AN783" s="20">
        <f>Operations!AN772*Operations!AN780</f>
        <v/>
      </c>
      <c r="AO783" s="20">
        <f>Operations!AO772*Operations!AO780</f>
        <v/>
      </c>
      <c r="AP783" s="20">
        <f>Operations!AP772*Operations!AP780</f>
        <v/>
      </c>
      <c r="AQ783" s="20">
        <f>Operations!AQ772*Operations!AQ780</f>
        <v/>
      </c>
      <c r="AR783" s="20">
        <f>Operations!AR772*Operations!AR780</f>
        <v/>
      </c>
      <c r="AS783" s="20">
        <f>Operations!AS772*Operations!AS780</f>
        <v/>
      </c>
      <c r="AT783" s="20">
        <f>Operations!AT772*Operations!AT780</f>
        <v/>
      </c>
      <c r="AU783" s="20">
        <f>Operations!AU772*Operations!AU780</f>
        <v/>
      </c>
    </row>
    <row r="784">
      <c r="D784" t="inlineStr">
        <is>
          <t>CFADS allocated to hedged, all</t>
        </is>
      </c>
      <c r="E784" t="inlineStr">
        <is>
          <t>USD m</t>
        </is>
      </c>
      <c r="J784" s="20">
        <f>Operations!J772*Operations!J781</f>
        <v/>
      </c>
      <c r="K784" s="20">
        <f>Operations!K772*Operations!K781</f>
        <v/>
      </c>
      <c r="L784" s="20">
        <f>Operations!L772*Operations!L781</f>
        <v/>
      </c>
      <c r="M784" s="20">
        <f>Operations!M772*Operations!M781</f>
        <v/>
      </c>
      <c r="N784" s="20">
        <f>Operations!N772*Operations!N781</f>
        <v/>
      </c>
      <c r="O784" s="20">
        <f>Operations!O772*Operations!O781</f>
        <v/>
      </c>
      <c r="P784" s="20">
        <f>Operations!P772*Operations!P781</f>
        <v/>
      </c>
      <c r="Q784" s="20">
        <f>Operations!Q772*Operations!Q781</f>
        <v/>
      </c>
      <c r="R784" s="20">
        <f>Operations!R772*Operations!R781</f>
        <v/>
      </c>
      <c r="S784" s="20">
        <f>Operations!S772*Operations!S781</f>
        <v/>
      </c>
      <c r="T784" s="20">
        <f>Operations!T772*Operations!T781</f>
        <v/>
      </c>
      <c r="U784" s="20">
        <f>Operations!U772*Operations!U781</f>
        <v/>
      </c>
      <c r="V784" s="20">
        <f>Operations!V772*Operations!V781</f>
        <v/>
      </c>
      <c r="W784" s="20">
        <f>Operations!W772*Operations!W781</f>
        <v/>
      </c>
      <c r="X784" s="20">
        <f>Operations!X772*Operations!X781</f>
        <v/>
      </c>
      <c r="Y784" s="20">
        <f>Operations!Y772*Operations!Y781</f>
        <v/>
      </c>
      <c r="Z784" s="20">
        <f>Operations!Z772*Operations!Z781</f>
        <v/>
      </c>
      <c r="AA784" s="20">
        <f>Operations!AA772*Operations!AA781</f>
        <v/>
      </c>
      <c r="AB784" s="20">
        <f>Operations!AB772*Operations!AB781</f>
        <v/>
      </c>
      <c r="AC784" s="20">
        <f>Operations!AC772*Operations!AC781</f>
        <v/>
      </c>
      <c r="AD784" s="20">
        <f>Operations!AD772*Operations!AD781</f>
        <v/>
      </c>
      <c r="AE784" s="20">
        <f>Operations!AE772*Operations!AE781</f>
        <v/>
      </c>
      <c r="AF784" s="20">
        <f>Operations!AF772*Operations!AF781</f>
        <v/>
      </c>
      <c r="AG784" s="20">
        <f>Operations!AG772*Operations!AG781</f>
        <v/>
      </c>
      <c r="AH784" s="20">
        <f>Operations!AH772*Operations!AH781</f>
        <v/>
      </c>
      <c r="AI784" s="20">
        <f>Operations!AI772*Operations!AI781</f>
        <v/>
      </c>
      <c r="AJ784" s="20">
        <f>Operations!AJ772*Operations!AJ781</f>
        <v/>
      </c>
      <c r="AK784" s="20">
        <f>Operations!AK772*Operations!AK781</f>
        <v/>
      </c>
      <c r="AL784" s="20">
        <f>Operations!AL772*Operations!AL781</f>
        <v/>
      </c>
      <c r="AM784" s="20">
        <f>Operations!AM772*Operations!AM781</f>
        <v/>
      </c>
      <c r="AN784" s="20">
        <f>Operations!AN772*Operations!AN781</f>
        <v/>
      </c>
      <c r="AO784" s="20">
        <f>Operations!AO772*Operations!AO781</f>
        <v/>
      </c>
      <c r="AP784" s="20">
        <f>Operations!AP772*Operations!AP781</f>
        <v/>
      </c>
      <c r="AQ784" s="20">
        <f>Operations!AQ772*Operations!AQ781</f>
        <v/>
      </c>
      <c r="AR784" s="20">
        <f>Operations!AR772*Operations!AR781</f>
        <v/>
      </c>
      <c r="AS784" s="20">
        <f>Operations!AS772*Operations!AS781</f>
        <v/>
      </c>
      <c r="AT784" s="20">
        <f>Operations!AT772*Operations!AT781</f>
        <v/>
      </c>
      <c r="AU784" s="20">
        <f>Operations!AU772*Operations!AU781</f>
        <v/>
      </c>
    </row>
    <row r="785">
      <c r="D785" t="inlineStr">
        <is>
          <t>CFADS allocated to merchant, all</t>
        </is>
      </c>
      <c r="E785" t="inlineStr">
        <is>
          <t>USD m</t>
        </is>
      </c>
      <c r="J785" s="20">
        <f>Operations!J772*Operations!J782</f>
        <v/>
      </c>
      <c r="K785" s="20">
        <f>Operations!K772*Operations!K782</f>
        <v/>
      </c>
      <c r="L785" s="20">
        <f>Operations!L772*Operations!L782</f>
        <v/>
      </c>
      <c r="M785" s="20">
        <f>Operations!M772*Operations!M782</f>
        <v/>
      </c>
      <c r="N785" s="20">
        <f>Operations!N772*Operations!N782</f>
        <v/>
      </c>
      <c r="O785" s="20">
        <f>Operations!O772*Operations!O782</f>
        <v/>
      </c>
      <c r="P785" s="20">
        <f>Operations!P772*Operations!P782</f>
        <v/>
      </c>
      <c r="Q785" s="20">
        <f>Operations!Q772*Operations!Q782</f>
        <v/>
      </c>
      <c r="R785" s="20">
        <f>Operations!R772*Operations!R782</f>
        <v/>
      </c>
      <c r="S785" s="20">
        <f>Operations!S772*Operations!S782</f>
        <v/>
      </c>
      <c r="T785" s="20">
        <f>Operations!T772*Operations!T782</f>
        <v/>
      </c>
      <c r="U785" s="20">
        <f>Operations!U772*Operations!U782</f>
        <v/>
      </c>
      <c r="V785" s="20">
        <f>Operations!V772*Operations!V782</f>
        <v/>
      </c>
      <c r="W785" s="20">
        <f>Operations!W772*Operations!W782</f>
        <v/>
      </c>
      <c r="X785" s="20">
        <f>Operations!X772*Operations!X782</f>
        <v/>
      </c>
      <c r="Y785" s="20">
        <f>Operations!Y772*Operations!Y782</f>
        <v/>
      </c>
      <c r="Z785" s="20">
        <f>Operations!Z772*Operations!Z782</f>
        <v/>
      </c>
      <c r="AA785" s="20">
        <f>Operations!AA772*Operations!AA782</f>
        <v/>
      </c>
      <c r="AB785" s="20">
        <f>Operations!AB772*Operations!AB782</f>
        <v/>
      </c>
      <c r="AC785" s="20">
        <f>Operations!AC772*Operations!AC782</f>
        <v/>
      </c>
      <c r="AD785" s="20">
        <f>Operations!AD772*Operations!AD782</f>
        <v/>
      </c>
      <c r="AE785" s="20">
        <f>Operations!AE772*Operations!AE782</f>
        <v/>
      </c>
      <c r="AF785" s="20">
        <f>Operations!AF772*Operations!AF782</f>
        <v/>
      </c>
      <c r="AG785" s="20">
        <f>Operations!AG772*Operations!AG782</f>
        <v/>
      </c>
      <c r="AH785" s="20">
        <f>Operations!AH772*Operations!AH782</f>
        <v/>
      </c>
      <c r="AI785" s="20">
        <f>Operations!AI772*Operations!AI782</f>
        <v/>
      </c>
      <c r="AJ785" s="20">
        <f>Operations!AJ772*Operations!AJ782</f>
        <v/>
      </c>
      <c r="AK785" s="20">
        <f>Operations!AK772*Operations!AK782</f>
        <v/>
      </c>
      <c r="AL785" s="20">
        <f>Operations!AL772*Operations!AL782</f>
        <v/>
      </c>
      <c r="AM785" s="20">
        <f>Operations!AM772*Operations!AM782</f>
        <v/>
      </c>
      <c r="AN785" s="20">
        <f>Operations!AN772*Operations!AN782</f>
        <v/>
      </c>
      <c r="AO785" s="20">
        <f>Operations!AO772*Operations!AO782</f>
        <v/>
      </c>
      <c r="AP785" s="20">
        <f>Operations!AP772*Operations!AP782</f>
        <v/>
      </c>
      <c r="AQ785" s="20">
        <f>Operations!AQ772*Operations!AQ782</f>
        <v/>
      </c>
      <c r="AR785" s="20">
        <f>Operations!AR772*Operations!AR782</f>
        <v/>
      </c>
      <c r="AS785" s="20">
        <f>Operations!AS772*Operations!AS782</f>
        <v/>
      </c>
      <c r="AT785" s="20">
        <f>Operations!AT772*Operations!AT782</f>
        <v/>
      </c>
      <c r="AU785" s="20">
        <f>Operations!AU772*Operations!AU782</f>
        <v/>
      </c>
    </row>
    <row r="787">
      <c r="A787" s="4" t="inlineStr">
        <is>
          <t>Block Q: Sizing test: base prices, P99 one-year volumes</t>
        </is>
      </c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</row>
    <row r="788">
      <c r="D788" t="inlineStr">
        <is>
          <t>Price scenario index</t>
        </is>
      </c>
      <c r="E788" t="inlineStr">
        <is>
          <t>index</t>
        </is>
      </c>
      <c r="F788" s="16">
        <f>Inputs!$F$16</f>
        <v/>
      </c>
    </row>
    <row r="789">
      <c r="D789" t="inlineStr">
        <is>
          <t>Volume case index</t>
        </is>
      </c>
      <c r="E789" t="inlineStr">
        <is>
          <t>index</t>
        </is>
      </c>
      <c r="F789" s="16">
        <f>Inputs!$F$18</f>
        <v/>
      </c>
    </row>
    <row r="790">
      <c r="D790" t="inlineStr">
        <is>
          <t>West solar capture shift</t>
        </is>
      </c>
      <c r="E790" t="inlineStr">
        <is>
          <t>points</t>
        </is>
      </c>
      <c r="F790" s="17">
        <f>Inputs!$F$19</f>
        <v/>
      </c>
    </row>
    <row r="791">
      <c r="D791" t="inlineStr">
        <is>
          <t>Curtailment added</t>
        </is>
      </c>
      <c r="E791" t="inlineStr">
        <is>
          <t>% points</t>
        </is>
      </c>
      <c r="F791" s="17">
        <f>Inputs!$F$19</f>
        <v/>
      </c>
    </row>
    <row r="792">
      <c r="D792" t="inlineStr">
        <is>
          <t>Opex factor</t>
        </is>
      </c>
      <c r="E792" t="inlineStr">
        <is>
          <t>factor</t>
        </is>
      </c>
      <c r="F792" s="17">
        <f>Inputs!$F$20</f>
        <v/>
      </c>
    </row>
    <row r="793">
      <c r="D793" t="inlineStr">
        <is>
          <t>Battery revenue curve index</t>
        </is>
      </c>
      <c r="E793" t="inlineStr">
        <is>
          <t>index</t>
        </is>
      </c>
      <c r="F793" s="12">
        <f>IF(Inputs!$F$19=1,2,Operations!$F$788)</f>
        <v/>
      </c>
    </row>
    <row r="794">
      <c r="D794" t="inlineStr">
        <is>
          <t>North Hub ATC</t>
        </is>
      </c>
      <c r="E794" t="inlineStr">
        <is>
          <t>USD/MWh</t>
        </is>
      </c>
      <c r="J794" s="18">
        <f>CHOOSE(Operations!$F$788,Inputs!J74,Inputs!J75,Inputs!J76)</f>
        <v/>
      </c>
      <c r="K794" s="18">
        <f>CHOOSE(Operations!$F$788,Inputs!K74,Inputs!K75,Inputs!K76)</f>
        <v/>
      </c>
      <c r="L794" s="18">
        <f>CHOOSE(Operations!$F$788,Inputs!L74,Inputs!L75,Inputs!L76)</f>
        <v/>
      </c>
      <c r="M794" s="18">
        <f>CHOOSE(Operations!$F$788,Inputs!M74,Inputs!M75,Inputs!M76)</f>
        <v/>
      </c>
      <c r="N794" s="18">
        <f>CHOOSE(Operations!$F$788,Inputs!N74,Inputs!N75,Inputs!N76)</f>
        <v/>
      </c>
      <c r="O794" s="18">
        <f>CHOOSE(Operations!$F$788,Inputs!O74,Inputs!O75,Inputs!O76)</f>
        <v/>
      </c>
      <c r="P794" s="18">
        <f>CHOOSE(Operations!$F$788,Inputs!P74,Inputs!P75,Inputs!P76)</f>
        <v/>
      </c>
      <c r="Q794" s="18">
        <f>CHOOSE(Operations!$F$788,Inputs!Q74,Inputs!Q75,Inputs!Q76)</f>
        <v/>
      </c>
      <c r="R794" s="18">
        <f>CHOOSE(Operations!$F$788,Inputs!R74,Inputs!R75,Inputs!R76)</f>
        <v/>
      </c>
      <c r="S794" s="18">
        <f>CHOOSE(Operations!$F$788,Inputs!S74,Inputs!S75,Inputs!S76)</f>
        <v/>
      </c>
      <c r="T794" s="18">
        <f>CHOOSE(Operations!$F$788,Inputs!T74,Inputs!T75,Inputs!T76)</f>
        <v/>
      </c>
      <c r="U794" s="18">
        <f>CHOOSE(Operations!$F$788,Inputs!U74,Inputs!U75,Inputs!U76)</f>
        <v/>
      </c>
      <c r="V794" s="18">
        <f>CHOOSE(Operations!$F$788,Inputs!V74,Inputs!V75,Inputs!V76)</f>
        <v/>
      </c>
      <c r="W794" s="18">
        <f>CHOOSE(Operations!$F$788,Inputs!W74,Inputs!W75,Inputs!W76)</f>
        <v/>
      </c>
      <c r="X794" s="18">
        <f>CHOOSE(Operations!$F$788,Inputs!X74,Inputs!X75,Inputs!X76)</f>
        <v/>
      </c>
      <c r="Y794" s="18">
        <f>CHOOSE(Operations!$F$788,Inputs!Y74,Inputs!Y75,Inputs!Y76)</f>
        <v/>
      </c>
      <c r="Z794" s="18">
        <f>CHOOSE(Operations!$F$788,Inputs!Z74,Inputs!Z75,Inputs!Z76)</f>
        <v/>
      </c>
      <c r="AA794" s="18">
        <f>CHOOSE(Operations!$F$788,Inputs!AA74,Inputs!AA75,Inputs!AA76)</f>
        <v/>
      </c>
      <c r="AB794" s="18">
        <f>CHOOSE(Operations!$F$788,Inputs!AB74,Inputs!AB75,Inputs!AB76)</f>
        <v/>
      </c>
      <c r="AC794" s="18">
        <f>CHOOSE(Operations!$F$788,Inputs!AC74,Inputs!AC75,Inputs!AC76)</f>
        <v/>
      </c>
      <c r="AD794" s="18">
        <f>CHOOSE(Operations!$F$788,Inputs!AD74,Inputs!AD75,Inputs!AD76)</f>
        <v/>
      </c>
      <c r="AE794" s="18">
        <f>CHOOSE(Operations!$F$788,Inputs!AE74,Inputs!AE75,Inputs!AE76)</f>
        <v/>
      </c>
      <c r="AF794" s="18">
        <f>CHOOSE(Operations!$F$788,Inputs!AF74,Inputs!AF75,Inputs!AF76)</f>
        <v/>
      </c>
      <c r="AG794" s="18">
        <f>CHOOSE(Operations!$F$788,Inputs!AG74,Inputs!AG75,Inputs!AG76)</f>
        <v/>
      </c>
      <c r="AH794" s="18">
        <f>CHOOSE(Operations!$F$788,Inputs!AH74,Inputs!AH75,Inputs!AH76)</f>
        <v/>
      </c>
      <c r="AI794" s="18">
        <f>CHOOSE(Operations!$F$788,Inputs!AI74,Inputs!AI75,Inputs!AI76)</f>
        <v/>
      </c>
      <c r="AJ794" s="18">
        <f>CHOOSE(Operations!$F$788,Inputs!AJ74,Inputs!AJ75,Inputs!AJ76)</f>
        <v/>
      </c>
      <c r="AK794" s="18">
        <f>CHOOSE(Operations!$F$788,Inputs!AK74,Inputs!AK75,Inputs!AK76)</f>
        <v/>
      </c>
      <c r="AL794" s="18">
        <f>CHOOSE(Operations!$F$788,Inputs!AL74,Inputs!AL75,Inputs!AL76)</f>
        <v/>
      </c>
      <c r="AM794" s="18">
        <f>CHOOSE(Operations!$F$788,Inputs!AM74,Inputs!AM75,Inputs!AM76)</f>
        <v/>
      </c>
      <c r="AN794" s="18">
        <f>CHOOSE(Operations!$F$788,Inputs!AN74,Inputs!AN75,Inputs!AN76)</f>
        <v/>
      </c>
      <c r="AO794" s="18">
        <f>CHOOSE(Operations!$F$788,Inputs!AO74,Inputs!AO75,Inputs!AO76)</f>
        <v/>
      </c>
      <c r="AP794" s="18">
        <f>CHOOSE(Operations!$F$788,Inputs!AP74,Inputs!AP75,Inputs!AP76)</f>
        <v/>
      </c>
      <c r="AQ794" s="18">
        <f>CHOOSE(Operations!$F$788,Inputs!AQ74,Inputs!AQ75,Inputs!AQ76)</f>
        <v/>
      </c>
      <c r="AR794" s="18">
        <f>CHOOSE(Operations!$F$788,Inputs!AR74,Inputs!AR75,Inputs!AR76)</f>
        <v/>
      </c>
      <c r="AS794" s="18">
        <f>CHOOSE(Operations!$F$788,Inputs!AS74,Inputs!AS75,Inputs!AS76)</f>
        <v/>
      </c>
      <c r="AT794" s="18">
        <f>CHOOSE(Operations!$F$788,Inputs!AT74,Inputs!AT75,Inputs!AT76)</f>
        <v/>
      </c>
      <c r="AU794" s="18">
        <f>CHOOSE(Operations!$F$788,Inputs!AU74,Inputs!AU75,Inputs!AU76)</f>
        <v/>
      </c>
    </row>
    <row r="795">
      <c r="D795" t="inlineStr">
        <is>
          <t>West Hub ATC</t>
        </is>
      </c>
      <c r="E795" t="inlineStr">
        <is>
          <t>USD/MWh</t>
        </is>
      </c>
      <c r="J795" s="18">
        <f>Operations!J794*Inputs!$F$35</f>
        <v/>
      </c>
      <c r="K795" s="18">
        <f>Operations!K794*Inputs!$F$35</f>
        <v/>
      </c>
      <c r="L795" s="18">
        <f>Operations!L794*Inputs!$F$35</f>
        <v/>
      </c>
      <c r="M795" s="18">
        <f>Operations!M794*Inputs!$F$35</f>
        <v/>
      </c>
      <c r="N795" s="18">
        <f>Operations!N794*Inputs!$F$35</f>
        <v/>
      </c>
      <c r="O795" s="18">
        <f>Operations!O794*Inputs!$F$35</f>
        <v/>
      </c>
      <c r="P795" s="18">
        <f>Operations!P794*Inputs!$F$35</f>
        <v/>
      </c>
      <c r="Q795" s="18">
        <f>Operations!Q794*Inputs!$F$35</f>
        <v/>
      </c>
      <c r="R795" s="18">
        <f>Operations!R794*Inputs!$F$35</f>
        <v/>
      </c>
      <c r="S795" s="18">
        <f>Operations!S794*Inputs!$F$35</f>
        <v/>
      </c>
      <c r="T795" s="18">
        <f>Operations!T794*Inputs!$F$35</f>
        <v/>
      </c>
      <c r="U795" s="18">
        <f>Operations!U794*Inputs!$F$35</f>
        <v/>
      </c>
      <c r="V795" s="18">
        <f>Operations!V794*Inputs!$F$35</f>
        <v/>
      </c>
      <c r="W795" s="18">
        <f>Operations!W794*Inputs!$F$35</f>
        <v/>
      </c>
      <c r="X795" s="18">
        <f>Operations!X794*Inputs!$F$35</f>
        <v/>
      </c>
      <c r="Y795" s="18">
        <f>Operations!Y794*Inputs!$F$35</f>
        <v/>
      </c>
      <c r="Z795" s="18">
        <f>Operations!Z794*Inputs!$F$35</f>
        <v/>
      </c>
      <c r="AA795" s="18">
        <f>Operations!AA794*Inputs!$F$35</f>
        <v/>
      </c>
      <c r="AB795" s="18">
        <f>Operations!AB794*Inputs!$F$35</f>
        <v/>
      </c>
      <c r="AC795" s="18">
        <f>Operations!AC794*Inputs!$F$35</f>
        <v/>
      </c>
      <c r="AD795" s="18">
        <f>Operations!AD794*Inputs!$F$35</f>
        <v/>
      </c>
      <c r="AE795" s="18">
        <f>Operations!AE794*Inputs!$F$35</f>
        <v/>
      </c>
      <c r="AF795" s="18">
        <f>Operations!AF794*Inputs!$F$35</f>
        <v/>
      </c>
      <c r="AG795" s="18">
        <f>Operations!AG794*Inputs!$F$35</f>
        <v/>
      </c>
      <c r="AH795" s="18">
        <f>Operations!AH794*Inputs!$F$35</f>
        <v/>
      </c>
      <c r="AI795" s="18">
        <f>Operations!AI794*Inputs!$F$35</f>
        <v/>
      </c>
      <c r="AJ795" s="18">
        <f>Operations!AJ794*Inputs!$F$35</f>
        <v/>
      </c>
      <c r="AK795" s="18">
        <f>Operations!AK794*Inputs!$F$35</f>
        <v/>
      </c>
      <c r="AL795" s="18">
        <f>Operations!AL794*Inputs!$F$35</f>
        <v/>
      </c>
      <c r="AM795" s="18">
        <f>Operations!AM794*Inputs!$F$35</f>
        <v/>
      </c>
      <c r="AN795" s="18">
        <f>Operations!AN794*Inputs!$F$35</f>
        <v/>
      </c>
      <c r="AO795" s="18">
        <f>Operations!AO794*Inputs!$F$35</f>
        <v/>
      </c>
      <c r="AP795" s="18">
        <f>Operations!AP794*Inputs!$F$35</f>
        <v/>
      </c>
      <c r="AQ795" s="18">
        <f>Operations!AQ794*Inputs!$F$35</f>
        <v/>
      </c>
      <c r="AR795" s="18">
        <f>Operations!AR794*Inputs!$F$35</f>
        <v/>
      </c>
      <c r="AS795" s="18">
        <f>Operations!AS794*Inputs!$F$35</f>
        <v/>
      </c>
      <c r="AT795" s="18">
        <f>Operations!AT794*Inputs!$F$35</f>
        <v/>
      </c>
      <c r="AU795" s="18">
        <f>Operations!AU794*Inputs!$F$35</f>
        <v/>
      </c>
    </row>
    <row r="796">
      <c r="D796" t="inlineStr">
        <is>
          <t>South Hub ATC</t>
        </is>
      </c>
      <c r="E796" t="inlineStr">
        <is>
          <t>USD/MWh</t>
        </is>
      </c>
      <c r="J796" s="18">
        <f>Operations!J794*Inputs!$F$36</f>
        <v/>
      </c>
      <c r="K796" s="18">
        <f>Operations!K794*Inputs!$F$36</f>
        <v/>
      </c>
      <c r="L796" s="18">
        <f>Operations!L794*Inputs!$F$36</f>
        <v/>
      </c>
      <c r="M796" s="18">
        <f>Operations!M794*Inputs!$F$36</f>
        <v/>
      </c>
      <c r="N796" s="18">
        <f>Operations!N794*Inputs!$F$36</f>
        <v/>
      </c>
      <c r="O796" s="18">
        <f>Operations!O794*Inputs!$F$36</f>
        <v/>
      </c>
      <c r="P796" s="18">
        <f>Operations!P794*Inputs!$F$36</f>
        <v/>
      </c>
      <c r="Q796" s="18">
        <f>Operations!Q794*Inputs!$F$36</f>
        <v/>
      </c>
      <c r="R796" s="18">
        <f>Operations!R794*Inputs!$F$36</f>
        <v/>
      </c>
      <c r="S796" s="18">
        <f>Operations!S794*Inputs!$F$36</f>
        <v/>
      </c>
      <c r="T796" s="18">
        <f>Operations!T794*Inputs!$F$36</f>
        <v/>
      </c>
      <c r="U796" s="18">
        <f>Operations!U794*Inputs!$F$36</f>
        <v/>
      </c>
      <c r="V796" s="18">
        <f>Operations!V794*Inputs!$F$36</f>
        <v/>
      </c>
      <c r="W796" s="18">
        <f>Operations!W794*Inputs!$F$36</f>
        <v/>
      </c>
      <c r="X796" s="18">
        <f>Operations!X794*Inputs!$F$36</f>
        <v/>
      </c>
      <c r="Y796" s="18">
        <f>Operations!Y794*Inputs!$F$36</f>
        <v/>
      </c>
      <c r="Z796" s="18">
        <f>Operations!Z794*Inputs!$F$36</f>
        <v/>
      </c>
      <c r="AA796" s="18">
        <f>Operations!AA794*Inputs!$F$36</f>
        <v/>
      </c>
      <c r="AB796" s="18">
        <f>Operations!AB794*Inputs!$F$36</f>
        <v/>
      </c>
      <c r="AC796" s="18">
        <f>Operations!AC794*Inputs!$F$36</f>
        <v/>
      </c>
      <c r="AD796" s="18">
        <f>Operations!AD794*Inputs!$F$36</f>
        <v/>
      </c>
      <c r="AE796" s="18">
        <f>Operations!AE794*Inputs!$F$36</f>
        <v/>
      </c>
      <c r="AF796" s="18">
        <f>Operations!AF794*Inputs!$F$36</f>
        <v/>
      </c>
      <c r="AG796" s="18">
        <f>Operations!AG794*Inputs!$F$36</f>
        <v/>
      </c>
      <c r="AH796" s="18">
        <f>Operations!AH794*Inputs!$F$36</f>
        <v/>
      </c>
      <c r="AI796" s="18">
        <f>Operations!AI794*Inputs!$F$36</f>
        <v/>
      </c>
      <c r="AJ796" s="18">
        <f>Operations!AJ794*Inputs!$F$36</f>
        <v/>
      </c>
      <c r="AK796" s="18">
        <f>Operations!AK794*Inputs!$F$36</f>
        <v/>
      </c>
      <c r="AL796" s="18">
        <f>Operations!AL794*Inputs!$F$36</f>
        <v/>
      </c>
      <c r="AM796" s="18">
        <f>Operations!AM794*Inputs!$F$36</f>
        <v/>
      </c>
      <c r="AN796" s="18">
        <f>Operations!AN794*Inputs!$F$36</f>
        <v/>
      </c>
      <c r="AO796" s="18">
        <f>Operations!AO794*Inputs!$F$36</f>
        <v/>
      </c>
      <c r="AP796" s="18">
        <f>Operations!AP794*Inputs!$F$36</f>
        <v/>
      </c>
      <c r="AQ796" s="18">
        <f>Operations!AQ794*Inputs!$F$36</f>
        <v/>
      </c>
      <c r="AR796" s="18">
        <f>Operations!AR794*Inputs!$F$36</f>
        <v/>
      </c>
      <c r="AS796" s="18">
        <f>Operations!AS794*Inputs!$F$36</f>
        <v/>
      </c>
      <c r="AT796" s="18">
        <f>Operations!AT794*Inputs!$F$36</f>
        <v/>
      </c>
      <c r="AU796" s="18">
        <f>Operations!AU794*Inputs!$F$36</f>
        <v/>
      </c>
    </row>
    <row r="797">
      <c r="D797" t="inlineStr">
        <is>
          <t>Houston Hub ATC</t>
        </is>
      </c>
      <c r="E797" t="inlineStr">
        <is>
          <t>USD/MWh</t>
        </is>
      </c>
      <c r="J797" s="18">
        <f>Operations!J794*Inputs!$F$37</f>
        <v/>
      </c>
      <c r="K797" s="18">
        <f>Operations!K794*Inputs!$F$37</f>
        <v/>
      </c>
      <c r="L797" s="18">
        <f>Operations!L794*Inputs!$F$37</f>
        <v/>
      </c>
      <c r="M797" s="18">
        <f>Operations!M794*Inputs!$F$37</f>
        <v/>
      </c>
      <c r="N797" s="18">
        <f>Operations!N794*Inputs!$F$37</f>
        <v/>
      </c>
      <c r="O797" s="18">
        <f>Operations!O794*Inputs!$F$37</f>
        <v/>
      </c>
      <c r="P797" s="18">
        <f>Operations!P794*Inputs!$F$37</f>
        <v/>
      </c>
      <c r="Q797" s="18">
        <f>Operations!Q794*Inputs!$F$37</f>
        <v/>
      </c>
      <c r="R797" s="18">
        <f>Operations!R794*Inputs!$F$37</f>
        <v/>
      </c>
      <c r="S797" s="18">
        <f>Operations!S794*Inputs!$F$37</f>
        <v/>
      </c>
      <c r="T797" s="18">
        <f>Operations!T794*Inputs!$F$37</f>
        <v/>
      </c>
      <c r="U797" s="18">
        <f>Operations!U794*Inputs!$F$37</f>
        <v/>
      </c>
      <c r="V797" s="18">
        <f>Operations!V794*Inputs!$F$37</f>
        <v/>
      </c>
      <c r="W797" s="18">
        <f>Operations!W794*Inputs!$F$37</f>
        <v/>
      </c>
      <c r="X797" s="18">
        <f>Operations!X794*Inputs!$F$37</f>
        <v/>
      </c>
      <c r="Y797" s="18">
        <f>Operations!Y794*Inputs!$F$37</f>
        <v/>
      </c>
      <c r="Z797" s="18">
        <f>Operations!Z794*Inputs!$F$37</f>
        <v/>
      </c>
      <c r="AA797" s="18">
        <f>Operations!AA794*Inputs!$F$37</f>
        <v/>
      </c>
      <c r="AB797" s="18">
        <f>Operations!AB794*Inputs!$F$37</f>
        <v/>
      </c>
      <c r="AC797" s="18">
        <f>Operations!AC794*Inputs!$F$37</f>
        <v/>
      </c>
      <c r="AD797" s="18">
        <f>Operations!AD794*Inputs!$F$37</f>
        <v/>
      </c>
      <c r="AE797" s="18">
        <f>Operations!AE794*Inputs!$F$37</f>
        <v/>
      </c>
      <c r="AF797" s="18">
        <f>Operations!AF794*Inputs!$F$37</f>
        <v/>
      </c>
      <c r="AG797" s="18">
        <f>Operations!AG794*Inputs!$F$37</f>
        <v/>
      </c>
      <c r="AH797" s="18">
        <f>Operations!AH794*Inputs!$F$37</f>
        <v/>
      </c>
      <c r="AI797" s="18">
        <f>Operations!AI794*Inputs!$F$37</f>
        <v/>
      </c>
      <c r="AJ797" s="18">
        <f>Operations!AJ794*Inputs!$F$37</f>
        <v/>
      </c>
      <c r="AK797" s="18">
        <f>Operations!AK794*Inputs!$F$37</f>
        <v/>
      </c>
      <c r="AL797" s="18">
        <f>Operations!AL794*Inputs!$F$37</f>
        <v/>
      </c>
      <c r="AM797" s="18">
        <f>Operations!AM794*Inputs!$F$37</f>
        <v/>
      </c>
      <c r="AN797" s="18">
        <f>Operations!AN794*Inputs!$F$37</f>
        <v/>
      </c>
      <c r="AO797" s="18">
        <f>Operations!AO794*Inputs!$F$37</f>
        <v/>
      </c>
      <c r="AP797" s="18">
        <f>Operations!AP794*Inputs!$F$37</f>
        <v/>
      </c>
      <c r="AQ797" s="18">
        <f>Operations!AQ794*Inputs!$F$37</f>
        <v/>
      </c>
      <c r="AR797" s="18">
        <f>Operations!AR794*Inputs!$F$37</f>
        <v/>
      </c>
      <c r="AS797" s="18">
        <f>Operations!AS794*Inputs!$F$37</f>
        <v/>
      </c>
      <c r="AT797" s="18">
        <f>Operations!AT794*Inputs!$F$37</f>
        <v/>
      </c>
      <c r="AU797" s="18">
        <f>Operations!AU794*Inputs!$F$37</f>
        <v/>
      </c>
    </row>
    <row r="798">
      <c r="D798" t="inlineStr">
        <is>
          <t>Battery merchant revenue</t>
        </is>
      </c>
      <c r="E798" t="inlineStr">
        <is>
          <t>USD/kW-yr</t>
        </is>
      </c>
      <c r="J798" s="18">
        <f>CHOOSE(Operations!$F$793,Inputs!J77,Inputs!J78,Inputs!J79)</f>
        <v/>
      </c>
      <c r="K798" s="18">
        <f>CHOOSE(Operations!$F$793,Inputs!K77,Inputs!K78,Inputs!K79)</f>
        <v/>
      </c>
      <c r="L798" s="18">
        <f>CHOOSE(Operations!$F$793,Inputs!L77,Inputs!L78,Inputs!L79)</f>
        <v/>
      </c>
      <c r="M798" s="18">
        <f>CHOOSE(Operations!$F$793,Inputs!M77,Inputs!M78,Inputs!M79)</f>
        <v/>
      </c>
      <c r="N798" s="18">
        <f>CHOOSE(Operations!$F$793,Inputs!N77,Inputs!N78,Inputs!N79)</f>
        <v/>
      </c>
      <c r="O798" s="18">
        <f>CHOOSE(Operations!$F$793,Inputs!O77,Inputs!O78,Inputs!O79)</f>
        <v/>
      </c>
      <c r="P798" s="18">
        <f>CHOOSE(Operations!$F$793,Inputs!P77,Inputs!P78,Inputs!P79)</f>
        <v/>
      </c>
      <c r="Q798" s="18">
        <f>CHOOSE(Operations!$F$793,Inputs!Q77,Inputs!Q78,Inputs!Q79)</f>
        <v/>
      </c>
      <c r="R798" s="18">
        <f>CHOOSE(Operations!$F$793,Inputs!R77,Inputs!R78,Inputs!R79)</f>
        <v/>
      </c>
      <c r="S798" s="18">
        <f>CHOOSE(Operations!$F$793,Inputs!S77,Inputs!S78,Inputs!S79)</f>
        <v/>
      </c>
      <c r="T798" s="18">
        <f>CHOOSE(Operations!$F$793,Inputs!T77,Inputs!T78,Inputs!T79)</f>
        <v/>
      </c>
      <c r="U798" s="18">
        <f>CHOOSE(Operations!$F$793,Inputs!U77,Inputs!U78,Inputs!U79)</f>
        <v/>
      </c>
      <c r="V798" s="18">
        <f>CHOOSE(Operations!$F$793,Inputs!V77,Inputs!V78,Inputs!V79)</f>
        <v/>
      </c>
      <c r="W798" s="18">
        <f>CHOOSE(Operations!$F$793,Inputs!W77,Inputs!W78,Inputs!W79)</f>
        <v/>
      </c>
      <c r="X798" s="18">
        <f>CHOOSE(Operations!$F$793,Inputs!X77,Inputs!X78,Inputs!X79)</f>
        <v/>
      </c>
      <c r="Y798" s="18">
        <f>CHOOSE(Operations!$F$793,Inputs!Y77,Inputs!Y78,Inputs!Y79)</f>
        <v/>
      </c>
      <c r="Z798" s="18">
        <f>CHOOSE(Operations!$F$793,Inputs!Z77,Inputs!Z78,Inputs!Z79)</f>
        <v/>
      </c>
      <c r="AA798" s="18">
        <f>CHOOSE(Operations!$F$793,Inputs!AA77,Inputs!AA78,Inputs!AA79)</f>
        <v/>
      </c>
      <c r="AB798" s="18">
        <f>CHOOSE(Operations!$F$793,Inputs!AB77,Inputs!AB78,Inputs!AB79)</f>
        <v/>
      </c>
      <c r="AC798" s="18">
        <f>CHOOSE(Operations!$F$793,Inputs!AC77,Inputs!AC78,Inputs!AC79)</f>
        <v/>
      </c>
      <c r="AD798" s="18">
        <f>CHOOSE(Operations!$F$793,Inputs!AD77,Inputs!AD78,Inputs!AD79)</f>
        <v/>
      </c>
      <c r="AE798" s="18">
        <f>CHOOSE(Operations!$F$793,Inputs!AE77,Inputs!AE78,Inputs!AE79)</f>
        <v/>
      </c>
      <c r="AF798" s="18">
        <f>CHOOSE(Operations!$F$793,Inputs!AF77,Inputs!AF78,Inputs!AF79)</f>
        <v/>
      </c>
      <c r="AG798" s="18">
        <f>CHOOSE(Operations!$F$793,Inputs!AG77,Inputs!AG78,Inputs!AG79)</f>
        <v/>
      </c>
      <c r="AH798" s="18">
        <f>CHOOSE(Operations!$F$793,Inputs!AH77,Inputs!AH78,Inputs!AH79)</f>
        <v/>
      </c>
      <c r="AI798" s="18">
        <f>CHOOSE(Operations!$F$793,Inputs!AI77,Inputs!AI78,Inputs!AI79)</f>
        <v/>
      </c>
      <c r="AJ798" s="18">
        <f>CHOOSE(Operations!$F$793,Inputs!AJ77,Inputs!AJ78,Inputs!AJ79)</f>
        <v/>
      </c>
      <c r="AK798" s="18">
        <f>CHOOSE(Operations!$F$793,Inputs!AK77,Inputs!AK78,Inputs!AK79)</f>
        <v/>
      </c>
      <c r="AL798" s="18">
        <f>CHOOSE(Operations!$F$793,Inputs!AL77,Inputs!AL78,Inputs!AL79)</f>
        <v/>
      </c>
      <c r="AM798" s="18">
        <f>CHOOSE(Operations!$F$793,Inputs!AM77,Inputs!AM78,Inputs!AM79)</f>
        <v/>
      </c>
      <c r="AN798" s="18">
        <f>CHOOSE(Operations!$F$793,Inputs!AN77,Inputs!AN78,Inputs!AN79)</f>
        <v/>
      </c>
      <c r="AO798" s="18">
        <f>CHOOSE(Operations!$F$793,Inputs!AO77,Inputs!AO78,Inputs!AO79)</f>
        <v/>
      </c>
      <c r="AP798" s="18">
        <f>CHOOSE(Operations!$F$793,Inputs!AP77,Inputs!AP78,Inputs!AP79)</f>
        <v/>
      </c>
      <c r="AQ798" s="18">
        <f>CHOOSE(Operations!$F$793,Inputs!AQ77,Inputs!AQ78,Inputs!AQ79)</f>
        <v/>
      </c>
      <c r="AR798" s="18">
        <f>CHOOSE(Operations!$F$793,Inputs!AR77,Inputs!AR78,Inputs!AR79)</f>
        <v/>
      </c>
      <c r="AS798" s="18">
        <f>CHOOSE(Operations!$F$793,Inputs!AS77,Inputs!AS78,Inputs!AS79)</f>
        <v/>
      </c>
      <c r="AT798" s="18">
        <f>CHOOSE(Operations!$F$793,Inputs!AT77,Inputs!AT78,Inputs!AT79)</f>
        <v/>
      </c>
      <c r="AU798" s="18">
        <f>CHOOSE(Operations!$F$793,Inputs!AU77,Inputs!AU78,Inputs!AU79)</f>
        <v/>
      </c>
    </row>
    <row r="799">
      <c r="D799" t="inlineStr">
        <is>
          <t>Hub capture ratio: west_wind</t>
        </is>
      </c>
      <c r="E799" t="inlineStr">
        <is>
          <t>ratio</t>
        </is>
      </c>
      <c r="J799" s="14">
        <f>MAX(Inputs!$F$43+CHOOSE(Operations!$F$788,0,Inputs!$F$39,0),Inputs!$F$41-Inputs!$F$42/100*CHOOSE(Operations!$F$788,1,Inputs!$F$38,Inputs!$F$40)*Time!J$8)</f>
        <v/>
      </c>
      <c r="K799" s="14">
        <f>MAX(Inputs!$F$43+CHOOSE(Operations!$F$788,0,Inputs!$F$39,0),Inputs!$F$41-Inputs!$F$42/100*CHOOSE(Operations!$F$788,1,Inputs!$F$38,Inputs!$F$40)*Time!K$8)</f>
        <v/>
      </c>
      <c r="L799" s="14">
        <f>MAX(Inputs!$F$43+CHOOSE(Operations!$F$788,0,Inputs!$F$39,0),Inputs!$F$41-Inputs!$F$42/100*CHOOSE(Operations!$F$788,1,Inputs!$F$38,Inputs!$F$40)*Time!L$8)</f>
        <v/>
      </c>
      <c r="M799" s="14">
        <f>MAX(Inputs!$F$43+CHOOSE(Operations!$F$788,0,Inputs!$F$39,0),Inputs!$F$41-Inputs!$F$42/100*CHOOSE(Operations!$F$788,1,Inputs!$F$38,Inputs!$F$40)*Time!M$8)</f>
        <v/>
      </c>
      <c r="N799" s="14">
        <f>MAX(Inputs!$F$43+CHOOSE(Operations!$F$788,0,Inputs!$F$39,0),Inputs!$F$41-Inputs!$F$42/100*CHOOSE(Operations!$F$788,1,Inputs!$F$38,Inputs!$F$40)*Time!N$8)</f>
        <v/>
      </c>
      <c r="O799" s="14">
        <f>MAX(Inputs!$F$43+CHOOSE(Operations!$F$788,0,Inputs!$F$39,0),Inputs!$F$41-Inputs!$F$42/100*CHOOSE(Operations!$F$788,1,Inputs!$F$38,Inputs!$F$40)*Time!O$8)</f>
        <v/>
      </c>
      <c r="P799" s="14">
        <f>MAX(Inputs!$F$43+CHOOSE(Operations!$F$788,0,Inputs!$F$39,0),Inputs!$F$41-Inputs!$F$42/100*CHOOSE(Operations!$F$788,1,Inputs!$F$38,Inputs!$F$40)*Time!P$8)</f>
        <v/>
      </c>
      <c r="Q799" s="14">
        <f>MAX(Inputs!$F$43+CHOOSE(Operations!$F$788,0,Inputs!$F$39,0),Inputs!$F$41-Inputs!$F$42/100*CHOOSE(Operations!$F$788,1,Inputs!$F$38,Inputs!$F$40)*Time!Q$8)</f>
        <v/>
      </c>
      <c r="R799" s="14">
        <f>MAX(Inputs!$F$43+CHOOSE(Operations!$F$788,0,Inputs!$F$39,0),Inputs!$F$41-Inputs!$F$42/100*CHOOSE(Operations!$F$788,1,Inputs!$F$38,Inputs!$F$40)*Time!R$8)</f>
        <v/>
      </c>
      <c r="S799" s="14">
        <f>MAX(Inputs!$F$43+CHOOSE(Operations!$F$788,0,Inputs!$F$39,0),Inputs!$F$41-Inputs!$F$42/100*CHOOSE(Operations!$F$788,1,Inputs!$F$38,Inputs!$F$40)*Time!S$8)</f>
        <v/>
      </c>
      <c r="T799" s="14">
        <f>MAX(Inputs!$F$43+CHOOSE(Operations!$F$788,0,Inputs!$F$39,0),Inputs!$F$41-Inputs!$F$42/100*CHOOSE(Operations!$F$788,1,Inputs!$F$38,Inputs!$F$40)*Time!T$8)</f>
        <v/>
      </c>
      <c r="U799" s="14">
        <f>MAX(Inputs!$F$43+CHOOSE(Operations!$F$788,0,Inputs!$F$39,0),Inputs!$F$41-Inputs!$F$42/100*CHOOSE(Operations!$F$788,1,Inputs!$F$38,Inputs!$F$40)*Time!U$8)</f>
        <v/>
      </c>
      <c r="V799" s="14">
        <f>MAX(Inputs!$F$43+CHOOSE(Operations!$F$788,0,Inputs!$F$39,0),Inputs!$F$41-Inputs!$F$42/100*CHOOSE(Operations!$F$788,1,Inputs!$F$38,Inputs!$F$40)*Time!V$8)</f>
        <v/>
      </c>
      <c r="W799" s="14">
        <f>MAX(Inputs!$F$43+CHOOSE(Operations!$F$788,0,Inputs!$F$39,0),Inputs!$F$41-Inputs!$F$42/100*CHOOSE(Operations!$F$788,1,Inputs!$F$38,Inputs!$F$40)*Time!W$8)</f>
        <v/>
      </c>
      <c r="X799" s="14">
        <f>MAX(Inputs!$F$43+CHOOSE(Operations!$F$788,0,Inputs!$F$39,0),Inputs!$F$41-Inputs!$F$42/100*CHOOSE(Operations!$F$788,1,Inputs!$F$38,Inputs!$F$40)*Time!X$8)</f>
        <v/>
      </c>
      <c r="Y799" s="14">
        <f>MAX(Inputs!$F$43+CHOOSE(Operations!$F$788,0,Inputs!$F$39,0),Inputs!$F$41-Inputs!$F$42/100*CHOOSE(Operations!$F$788,1,Inputs!$F$38,Inputs!$F$40)*Time!Y$8)</f>
        <v/>
      </c>
      <c r="Z799" s="14">
        <f>MAX(Inputs!$F$43+CHOOSE(Operations!$F$788,0,Inputs!$F$39,0),Inputs!$F$41-Inputs!$F$42/100*CHOOSE(Operations!$F$788,1,Inputs!$F$38,Inputs!$F$40)*Time!Z$8)</f>
        <v/>
      </c>
      <c r="AA799" s="14">
        <f>MAX(Inputs!$F$43+CHOOSE(Operations!$F$788,0,Inputs!$F$39,0),Inputs!$F$41-Inputs!$F$42/100*CHOOSE(Operations!$F$788,1,Inputs!$F$38,Inputs!$F$40)*Time!AA$8)</f>
        <v/>
      </c>
      <c r="AB799" s="14">
        <f>MAX(Inputs!$F$43+CHOOSE(Operations!$F$788,0,Inputs!$F$39,0),Inputs!$F$41-Inputs!$F$42/100*CHOOSE(Operations!$F$788,1,Inputs!$F$38,Inputs!$F$40)*Time!AB$8)</f>
        <v/>
      </c>
      <c r="AC799" s="14">
        <f>MAX(Inputs!$F$43+CHOOSE(Operations!$F$788,0,Inputs!$F$39,0),Inputs!$F$41-Inputs!$F$42/100*CHOOSE(Operations!$F$788,1,Inputs!$F$38,Inputs!$F$40)*Time!AC$8)</f>
        <v/>
      </c>
      <c r="AD799" s="14">
        <f>MAX(Inputs!$F$43+CHOOSE(Operations!$F$788,0,Inputs!$F$39,0),Inputs!$F$41-Inputs!$F$42/100*CHOOSE(Operations!$F$788,1,Inputs!$F$38,Inputs!$F$40)*Time!AD$8)</f>
        <v/>
      </c>
      <c r="AE799" s="14">
        <f>MAX(Inputs!$F$43+CHOOSE(Operations!$F$788,0,Inputs!$F$39,0),Inputs!$F$41-Inputs!$F$42/100*CHOOSE(Operations!$F$788,1,Inputs!$F$38,Inputs!$F$40)*Time!AE$8)</f>
        <v/>
      </c>
      <c r="AF799" s="14">
        <f>MAX(Inputs!$F$43+CHOOSE(Operations!$F$788,0,Inputs!$F$39,0),Inputs!$F$41-Inputs!$F$42/100*CHOOSE(Operations!$F$788,1,Inputs!$F$38,Inputs!$F$40)*Time!AF$8)</f>
        <v/>
      </c>
      <c r="AG799" s="14">
        <f>MAX(Inputs!$F$43+CHOOSE(Operations!$F$788,0,Inputs!$F$39,0),Inputs!$F$41-Inputs!$F$42/100*CHOOSE(Operations!$F$788,1,Inputs!$F$38,Inputs!$F$40)*Time!AG$8)</f>
        <v/>
      </c>
      <c r="AH799" s="14">
        <f>MAX(Inputs!$F$43+CHOOSE(Operations!$F$788,0,Inputs!$F$39,0),Inputs!$F$41-Inputs!$F$42/100*CHOOSE(Operations!$F$788,1,Inputs!$F$38,Inputs!$F$40)*Time!AH$8)</f>
        <v/>
      </c>
      <c r="AI799" s="14">
        <f>MAX(Inputs!$F$43+CHOOSE(Operations!$F$788,0,Inputs!$F$39,0),Inputs!$F$41-Inputs!$F$42/100*CHOOSE(Operations!$F$788,1,Inputs!$F$38,Inputs!$F$40)*Time!AI$8)</f>
        <v/>
      </c>
      <c r="AJ799" s="14">
        <f>MAX(Inputs!$F$43+CHOOSE(Operations!$F$788,0,Inputs!$F$39,0),Inputs!$F$41-Inputs!$F$42/100*CHOOSE(Operations!$F$788,1,Inputs!$F$38,Inputs!$F$40)*Time!AJ$8)</f>
        <v/>
      </c>
      <c r="AK799" s="14">
        <f>MAX(Inputs!$F$43+CHOOSE(Operations!$F$788,0,Inputs!$F$39,0),Inputs!$F$41-Inputs!$F$42/100*CHOOSE(Operations!$F$788,1,Inputs!$F$38,Inputs!$F$40)*Time!AK$8)</f>
        <v/>
      </c>
      <c r="AL799" s="14">
        <f>MAX(Inputs!$F$43+CHOOSE(Operations!$F$788,0,Inputs!$F$39,0),Inputs!$F$41-Inputs!$F$42/100*CHOOSE(Operations!$F$788,1,Inputs!$F$38,Inputs!$F$40)*Time!AL$8)</f>
        <v/>
      </c>
      <c r="AM799" s="14">
        <f>MAX(Inputs!$F$43+CHOOSE(Operations!$F$788,0,Inputs!$F$39,0),Inputs!$F$41-Inputs!$F$42/100*CHOOSE(Operations!$F$788,1,Inputs!$F$38,Inputs!$F$40)*Time!AM$8)</f>
        <v/>
      </c>
      <c r="AN799" s="14">
        <f>MAX(Inputs!$F$43+CHOOSE(Operations!$F$788,0,Inputs!$F$39,0),Inputs!$F$41-Inputs!$F$42/100*CHOOSE(Operations!$F$788,1,Inputs!$F$38,Inputs!$F$40)*Time!AN$8)</f>
        <v/>
      </c>
      <c r="AO799" s="14">
        <f>MAX(Inputs!$F$43+CHOOSE(Operations!$F$788,0,Inputs!$F$39,0),Inputs!$F$41-Inputs!$F$42/100*CHOOSE(Operations!$F$788,1,Inputs!$F$38,Inputs!$F$40)*Time!AO$8)</f>
        <v/>
      </c>
      <c r="AP799" s="14">
        <f>MAX(Inputs!$F$43+CHOOSE(Operations!$F$788,0,Inputs!$F$39,0),Inputs!$F$41-Inputs!$F$42/100*CHOOSE(Operations!$F$788,1,Inputs!$F$38,Inputs!$F$40)*Time!AP$8)</f>
        <v/>
      </c>
      <c r="AQ799" s="14">
        <f>MAX(Inputs!$F$43+CHOOSE(Operations!$F$788,0,Inputs!$F$39,0),Inputs!$F$41-Inputs!$F$42/100*CHOOSE(Operations!$F$788,1,Inputs!$F$38,Inputs!$F$40)*Time!AQ$8)</f>
        <v/>
      </c>
      <c r="AR799" s="14">
        <f>MAX(Inputs!$F$43+CHOOSE(Operations!$F$788,0,Inputs!$F$39,0),Inputs!$F$41-Inputs!$F$42/100*CHOOSE(Operations!$F$788,1,Inputs!$F$38,Inputs!$F$40)*Time!AR$8)</f>
        <v/>
      </c>
      <c r="AS799" s="14">
        <f>MAX(Inputs!$F$43+CHOOSE(Operations!$F$788,0,Inputs!$F$39,0),Inputs!$F$41-Inputs!$F$42/100*CHOOSE(Operations!$F$788,1,Inputs!$F$38,Inputs!$F$40)*Time!AS$8)</f>
        <v/>
      </c>
      <c r="AT799" s="14">
        <f>MAX(Inputs!$F$43+CHOOSE(Operations!$F$788,0,Inputs!$F$39,0),Inputs!$F$41-Inputs!$F$42/100*CHOOSE(Operations!$F$788,1,Inputs!$F$38,Inputs!$F$40)*Time!AT$8)</f>
        <v/>
      </c>
      <c r="AU799" s="14">
        <f>MAX(Inputs!$F$43+CHOOSE(Operations!$F$788,0,Inputs!$F$39,0),Inputs!$F$41-Inputs!$F$42/100*CHOOSE(Operations!$F$788,1,Inputs!$F$38,Inputs!$F$40)*Time!AU$8)</f>
        <v/>
      </c>
    </row>
    <row r="800">
      <c r="D800" t="inlineStr">
        <is>
          <t>Hub capture ratio: panhandle_wind</t>
        </is>
      </c>
      <c r="E800" t="inlineStr">
        <is>
          <t>ratio</t>
        </is>
      </c>
      <c r="J800" s="14">
        <f>MAX(Inputs!$F$47+CHOOSE(Operations!$F$788,0,Inputs!$F$39,0),Inputs!$F$45-Inputs!$F$46/100*CHOOSE(Operations!$F$788,1,Inputs!$F$38,Inputs!$F$40)*Time!J$8)</f>
        <v/>
      </c>
      <c r="K800" s="14">
        <f>MAX(Inputs!$F$47+CHOOSE(Operations!$F$788,0,Inputs!$F$39,0),Inputs!$F$45-Inputs!$F$46/100*CHOOSE(Operations!$F$788,1,Inputs!$F$38,Inputs!$F$40)*Time!K$8)</f>
        <v/>
      </c>
      <c r="L800" s="14">
        <f>MAX(Inputs!$F$47+CHOOSE(Operations!$F$788,0,Inputs!$F$39,0),Inputs!$F$45-Inputs!$F$46/100*CHOOSE(Operations!$F$788,1,Inputs!$F$38,Inputs!$F$40)*Time!L$8)</f>
        <v/>
      </c>
      <c r="M800" s="14">
        <f>MAX(Inputs!$F$47+CHOOSE(Operations!$F$788,0,Inputs!$F$39,0),Inputs!$F$45-Inputs!$F$46/100*CHOOSE(Operations!$F$788,1,Inputs!$F$38,Inputs!$F$40)*Time!M$8)</f>
        <v/>
      </c>
      <c r="N800" s="14">
        <f>MAX(Inputs!$F$47+CHOOSE(Operations!$F$788,0,Inputs!$F$39,0),Inputs!$F$45-Inputs!$F$46/100*CHOOSE(Operations!$F$788,1,Inputs!$F$38,Inputs!$F$40)*Time!N$8)</f>
        <v/>
      </c>
      <c r="O800" s="14">
        <f>MAX(Inputs!$F$47+CHOOSE(Operations!$F$788,0,Inputs!$F$39,0),Inputs!$F$45-Inputs!$F$46/100*CHOOSE(Operations!$F$788,1,Inputs!$F$38,Inputs!$F$40)*Time!O$8)</f>
        <v/>
      </c>
      <c r="P800" s="14">
        <f>MAX(Inputs!$F$47+CHOOSE(Operations!$F$788,0,Inputs!$F$39,0),Inputs!$F$45-Inputs!$F$46/100*CHOOSE(Operations!$F$788,1,Inputs!$F$38,Inputs!$F$40)*Time!P$8)</f>
        <v/>
      </c>
      <c r="Q800" s="14">
        <f>MAX(Inputs!$F$47+CHOOSE(Operations!$F$788,0,Inputs!$F$39,0),Inputs!$F$45-Inputs!$F$46/100*CHOOSE(Operations!$F$788,1,Inputs!$F$38,Inputs!$F$40)*Time!Q$8)</f>
        <v/>
      </c>
      <c r="R800" s="14">
        <f>MAX(Inputs!$F$47+CHOOSE(Operations!$F$788,0,Inputs!$F$39,0),Inputs!$F$45-Inputs!$F$46/100*CHOOSE(Operations!$F$788,1,Inputs!$F$38,Inputs!$F$40)*Time!R$8)</f>
        <v/>
      </c>
      <c r="S800" s="14">
        <f>MAX(Inputs!$F$47+CHOOSE(Operations!$F$788,0,Inputs!$F$39,0),Inputs!$F$45-Inputs!$F$46/100*CHOOSE(Operations!$F$788,1,Inputs!$F$38,Inputs!$F$40)*Time!S$8)</f>
        <v/>
      </c>
      <c r="T800" s="14">
        <f>MAX(Inputs!$F$47+CHOOSE(Operations!$F$788,0,Inputs!$F$39,0),Inputs!$F$45-Inputs!$F$46/100*CHOOSE(Operations!$F$788,1,Inputs!$F$38,Inputs!$F$40)*Time!T$8)</f>
        <v/>
      </c>
      <c r="U800" s="14">
        <f>MAX(Inputs!$F$47+CHOOSE(Operations!$F$788,0,Inputs!$F$39,0),Inputs!$F$45-Inputs!$F$46/100*CHOOSE(Operations!$F$788,1,Inputs!$F$38,Inputs!$F$40)*Time!U$8)</f>
        <v/>
      </c>
      <c r="V800" s="14">
        <f>MAX(Inputs!$F$47+CHOOSE(Operations!$F$788,0,Inputs!$F$39,0),Inputs!$F$45-Inputs!$F$46/100*CHOOSE(Operations!$F$788,1,Inputs!$F$38,Inputs!$F$40)*Time!V$8)</f>
        <v/>
      </c>
      <c r="W800" s="14">
        <f>MAX(Inputs!$F$47+CHOOSE(Operations!$F$788,0,Inputs!$F$39,0),Inputs!$F$45-Inputs!$F$46/100*CHOOSE(Operations!$F$788,1,Inputs!$F$38,Inputs!$F$40)*Time!W$8)</f>
        <v/>
      </c>
      <c r="X800" s="14">
        <f>MAX(Inputs!$F$47+CHOOSE(Operations!$F$788,0,Inputs!$F$39,0),Inputs!$F$45-Inputs!$F$46/100*CHOOSE(Operations!$F$788,1,Inputs!$F$38,Inputs!$F$40)*Time!X$8)</f>
        <v/>
      </c>
      <c r="Y800" s="14">
        <f>MAX(Inputs!$F$47+CHOOSE(Operations!$F$788,0,Inputs!$F$39,0),Inputs!$F$45-Inputs!$F$46/100*CHOOSE(Operations!$F$788,1,Inputs!$F$38,Inputs!$F$40)*Time!Y$8)</f>
        <v/>
      </c>
      <c r="Z800" s="14">
        <f>MAX(Inputs!$F$47+CHOOSE(Operations!$F$788,0,Inputs!$F$39,0),Inputs!$F$45-Inputs!$F$46/100*CHOOSE(Operations!$F$788,1,Inputs!$F$38,Inputs!$F$40)*Time!Z$8)</f>
        <v/>
      </c>
      <c r="AA800" s="14">
        <f>MAX(Inputs!$F$47+CHOOSE(Operations!$F$788,0,Inputs!$F$39,0),Inputs!$F$45-Inputs!$F$46/100*CHOOSE(Operations!$F$788,1,Inputs!$F$38,Inputs!$F$40)*Time!AA$8)</f>
        <v/>
      </c>
      <c r="AB800" s="14">
        <f>MAX(Inputs!$F$47+CHOOSE(Operations!$F$788,0,Inputs!$F$39,0),Inputs!$F$45-Inputs!$F$46/100*CHOOSE(Operations!$F$788,1,Inputs!$F$38,Inputs!$F$40)*Time!AB$8)</f>
        <v/>
      </c>
      <c r="AC800" s="14">
        <f>MAX(Inputs!$F$47+CHOOSE(Operations!$F$788,0,Inputs!$F$39,0),Inputs!$F$45-Inputs!$F$46/100*CHOOSE(Operations!$F$788,1,Inputs!$F$38,Inputs!$F$40)*Time!AC$8)</f>
        <v/>
      </c>
      <c r="AD800" s="14">
        <f>MAX(Inputs!$F$47+CHOOSE(Operations!$F$788,0,Inputs!$F$39,0),Inputs!$F$45-Inputs!$F$46/100*CHOOSE(Operations!$F$788,1,Inputs!$F$38,Inputs!$F$40)*Time!AD$8)</f>
        <v/>
      </c>
      <c r="AE800" s="14">
        <f>MAX(Inputs!$F$47+CHOOSE(Operations!$F$788,0,Inputs!$F$39,0),Inputs!$F$45-Inputs!$F$46/100*CHOOSE(Operations!$F$788,1,Inputs!$F$38,Inputs!$F$40)*Time!AE$8)</f>
        <v/>
      </c>
      <c r="AF800" s="14">
        <f>MAX(Inputs!$F$47+CHOOSE(Operations!$F$788,0,Inputs!$F$39,0),Inputs!$F$45-Inputs!$F$46/100*CHOOSE(Operations!$F$788,1,Inputs!$F$38,Inputs!$F$40)*Time!AF$8)</f>
        <v/>
      </c>
      <c r="AG800" s="14">
        <f>MAX(Inputs!$F$47+CHOOSE(Operations!$F$788,0,Inputs!$F$39,0),Inputs!$F$45-Inputs!$F$46/100*CHOOSE(Operations!$F$788,1,Inputs!$F$38,Inputs!$F$40)*Time!AG$8)</f>
        <v/>
      </c>
      <c r="AH800" s="14">
        <f>MAX(Inputs!$F$47+CHOOSE(Operations!$F$788,0,Inputs!$F$39,0),Inputs!$F$45-Inputs!$F$46/100*CHOOSE(Operations!$F$788,1,Inputs!$F$38,Inputs!$F$40)*Time!AH$8)</f>
        <v/>
      </c>
      <c r="AI800" s="14">
        <f>MAX(Inputs!$F$47+CHOOSE(Operations!$F$788,0,Inputs!$F$39,0),Inputs!$F$45-Inputs!$F$46/100*CHOOSE(Operations!$F$788,1,Inputs!$F$38,Inputs!$F$40)*Time!AI$8)</f>
        <v/>
      </c>
      <c r="AJ800" s="14">
        <f>MAX(Inputs!$F$47+CHOOSE(Operations!$F$788,0,Inputs!$F$39,0),Inputs!$F$45-Inputs!$F$46/100*CHOOSE(Operations!$F$788,1,Inputs!$F$38,Inputs!$F$40)*Time!AJ$8)</f>
        <v/>
      </c>
      <c r="AK800" s="14">
        <f>MAX(Inputs!$F$47+CHOOSE(Operations!$F$788,0,Inputs!$F$39,0),Inputs!$F$45-Inputs!$F$46/100*CHOOSE(Operations!$F$788,1,Inputs!$F$38,Inputs!$F$40)*Time!AK$8)</f>
        <v/>
      </c>
      <c r="AL800" s="14">
        <f>MAX(Inputs!$F$47+CHOOSE(Operations!$F$788,0,Inputs!$F$39,0),Inputs!$F$45-Inputs!$F$46/100*CHOOSE(Operations!$F$788,1,Inputs!$F$38,Inputs!$F$40)*Time!AL$8)</f>
        <v/>
      </c>
      <c r="AM800" s="14">
        <f>MAX(Inputs!$F$47+CHOOSE(Operations!$F$788,0,Inputs!$F$39,0),Inputs!$F$45-Inputs!$F$46/100*CHOOSE(Operations!$F$788,1,Inputs!$F$38,Inputs!$F$40)*Time!AM$8)</f>
        <v/>
      </c>
      <c r="AN800" s="14">
        <f>MAX(Inputs!$F$47+CHOOSE(Operations!$F$788,0,Inputs!$F$39,0),Inputs!$F$45-Inputs!$F$46/100*CHOOSE(Operations!$F$788,1,Inputs!$F$38,Inputs!$F$40)*Time!AN$8)</f>
        <v/>
      </c>
      <c r="AO800" s="14">
        <f>MAX(Inputs!$F$47+CHOOSE(Operations!$F$788,0,Inputs!$F$39,0),Inputs!$F$45-Inputs!$F$46/100*CHOOSE(Operations!$F$788,1,Inputs!$F$38,Inputs!$F$40)*Time!AO$8)</f>
        <v/>
      </c>
      <c r="AP800" s="14">
        <f>MAX(Inputs!$F$47+CHOOSE(Operations!$F$788,0,Inputs!$F$39,0),Inputs!$F$45-Inputs!$F$46/100*CHOOSE(Operations!$F$788,1,Inputs!$F$38,Inputs!$F$40)*Time!AP$8)</f>
        <v/>
      </c>
      <c r="AQ800" s="14">
        <f>MAX(Inputs!$F$47+CHOOSE(Operations!$F$788,0,Inputs!$F$39,0),Inputs!$F$45-Inputs!$F$46/100*CHOOSE(Operations!$F$788,1,Inputs!$F$38,Inputs!$F$40)*Time!AQ$8)</f>
        <v/>
      </c>
      <c r="AR800" s="14">
        <f>MAX(Inputs!$F$47+CHOOSE(Operations!$F$788,0,Inputs!$F$39,0),Inputs!$F$45-Inputs!$F$46/100*CHOOSE(Operations!$F$788,1,Inputs!$F$38,Inputs!$F$40)*Time!AR$8)</f>
        <v/>
      </c>
      <c r="AS800" s="14">
        <f>MAX(Inputs!$F$47+CHOOSE(Operations!$F$788,0,Inputs!$F$39,0),Inputs!$F$45-Inputs!$F$46/100*CHOOSE(Operations!$F$788,1,Inputs!$F$38,Inputs!$F$40)*Time!AS$8)</f>
        <v/>
      </c>
      <c r="AT800" s="14">
        <f>MAX(Inputs!$F$47+CHOOSE(Operations!$F$788,0,Inputs!$F$39,0),Inputs!$F$45-Inputs!$F$46/100*CHOOSE(Operations!$F$788,1,Inputs!$F$38,Inputs!$F$40)*Time!AT$8)</f>
        <v/>
      </c>
      <c r="AU800" s="14">
        <f>MAX(Inputs!$F$47+CHOOSE(Operations!$F$788,0,Inputs!$F$39,0),Inputs!$F$45-Inputs!$F$46/100*CHOOSE(Operations!$F$788,1,Inputs!$F$38,Inputs!$F$40)*Time!AU$8)</f>
        <v/>
      </c>
    </row>
    <row r="801">
      <c r="D801" t="inlineStr">
        <is>
          <t>Hub capture ratio: west_solar</t>
        </is>
      </c>
      <c r="E801" t="inlineStr">
        <is>
          <t>ratio</t>
        </is>
      </c>
      <c r="J801" s="14">
        <f>MAX(Inputs!$F$51+CHOOSE(Operations!$F$788,0,Inputs!$F$39,0),Inputs!$F$49-Inputs!$F$50/100*CHOOSE(Operations!$F$788,1,Inputs!$F$38,Inputs!$F$40)*Time!J$8)+Operations!$F$790/100</f>
        <v/>
      </c>
      <c r="K801" s="14">
        <f>MAX(Inputs!$F$51+CHOOSE(Operations!$F$788,0,Inputs!$F$39,0),Inputs!$F$49-Inputs!$F$50/100*CHOOSE(Operations!$F$788,1,Inputs!$F$38,Inputs!$F$40)*Time!K$8)+Operations!$F$790/100</f>
        <v/>
      </c>
      <c r="L801" s="14">
        <f>MAX(Inputs!$F$51+CHOOSE(Operations!$F$788,0,Inputs!$F$39,0),Inputs!$F$49-Inputs!$F$50/100*CHOOSE(Operations!$F$788,1,Inputs!$F$38,Inputs!$F$40)*Time!L$8)+Operations!$F$790/100</f>
        <v/>
      </c>
      <c r="M801" s="14">
        <f>MAX(Inputs!$F$51+CHOOSE(Operations!$F$788,0,Inputs!$F$39,0),Inputs!$F$49-Inputs!$F$50/100*CHOOSE(Operations!$F$788,1,Inputs!$F$38,Inputs!$F$40)*Time!M$8)+Operations!$F$790/100</f>
        <v/>
      </c>
      <c r="N801" s="14">
        <f>MAX(Inputs!$F$51+CHOOSE(Operations!$F$788,0,Inputs!$F$39,0),Inputs!$F$49-Inputs!$F$50/100*CHOOSE(Operations!$F$788,1,Inputs!$F$38,Inputs!$F$40)*Time!N$8)+Operations!$F$790/100</f>
        <v/>
      </c>
      <c r="O801" s="14">
        <f>MAX(Inputs!$F$51+CHOOSE(Operations!$F$788,0,Inputs!$F$39,0),Inputs!$F$49-Inputs!$F$50/100*CHOOSE(Operations!$F$788,1,Inputs!$F$38,Inputs!$F$40)*Time!O$8)+Operations!$F$790/100</f>
        <v/>
      </c>
      <c r="P801" s="14">
        <f>MAX(Inputs!$F$51+CHOOSE(Operations!$F$788,0,Inputs!$F$39,0),Inputs!$F$49-Inputs!$F$50/100*CHOOSE(Operations!$F$788,1,Inputs!$F$38,Inputs!$F$40)*Time!P$8)+Operations!$F$790/100</f>
        <v/>
      </c>
      <c r="Q801" s="14">
        <f>MAX(Inputs!$F$51+CHOOSE(Operations!$F$788,0,Inputs!$F$39,0),Inputs!$F$49-Inputs!$F$50/100*CHOOSE(Operations!$F$788,1,Inputs!$F$38,Inputs!$F$40)*Time!Q$8)+Operations!$F$790/100</f>
        <v/>
      </c>
      <c r="R801" s="14">
        <f>MAX(Inputs!$F$51+CHOOSE(Operations!$F$788,0,Inputs!$F$39,0),Inputs!$F$49-Inputs!$F$50/100*CHOOSE(Operations!$F$788,1,Inputs!$F$38,Inputs!$F$40)*Time!R$8)+Operations!$F$790/100</f>
        <v/>
      </c>
      <c r="S801" s="14">
        <f>MAX(Inputs!$F$51+CHOOSE(Operations!$F$788,0,Inputs!$F$39,0),Inputs!$F$49-Inputs!$F$50/100*CHOOSE(Operations!$F$788,1,Inputs!$F$38,Inputs!$F$40)*Time!S$8)+Operations!$F$790/100</f>
        <v/>
      </c>
      <c r="T801" s="14">
        <f>MAX(Inputs!$F$51+CHOOSE(Operations!$F$788,0,Inputs!$F$39,0),Inputs!$F$49-Inputs!$F$50/100*CHOOSE(Operations!$F$788,1,Inputs!$F$38,Inputs!$F$40)*Time!T$8)+Operations!$F$790/100</f>
        <v/>
      </c>
      <c r="U801" s="14">
        <f>MAX(Inputs!$F$51+CHOOSE(Operations!$F$788,0,Inputs!$F$39,0),Inputs!$F$49-Inputs!$F$50/100*CHOOSE(Operations!$F$788,1,Inputs!$F$38,Inputs!$F$40)*Time!U$8)+Operations!$F$790/100</f>
        <v/>
      </c>
      <c r="V801" s="14">
        <f>MAX(Inputs!$F$51+CHOOSE(Operations!$F$788,0,Inputs!$F$39,0),Inputs!$F$49-Inputs!$F$50/100*CHOOSE(Operations!$F$788,1,Inputs!$F$38,Inputs!$F$40)*Time!V$8)+Operations!$F$790/100</f>
        <v/>
      </c>
      <c r="W801" s="14">
        <f>MAX(Inputs!$F$51+CHOOSE(Operations!$F$788,0,Inputs!$F$39,0),Inputs!$F$49-Inputs!$F$50/100*CHOOSE(Operations!$F$788,1,Inputs!$F$38,Inputs!$F$40)*Time!W$8)+Operations!$F$790/100</f>
        <v/>
      </c>
      <c r="X801" s="14">
        <f>MAX(Inputs!$F$51+CHOOSE(Operations!$F$788,0,Inputs!$F$39,0),Inputs!$F$49-Inputs!$F$50/100*CHOOSE(Operations!$F$788,1,Inputs!$F$38,Inputs!$F$40)*Time!X$8)+Operations!$F$790/100</f>
        <v/>
      </c>
      <c r="Y801" s="14">
        <f>MAX(Inputs!$F$51+CHOOSE(Operations!$F$788,0,Inputs!$F$39,0),Inputs!$F$49-Inputs!$F$50/100*CHOOSE(Operations!$F$788,1,Inputs!$F$38,Inputs!$F$40)*Time!Y$8)+Operations!$F$790/100</f>
        <v/>
      </c>
      <c r="Z801" s="14">
        <f>MAX(Inputs!$F$51+CHOOSE(Operations!$F$788,0,Inputs!$F$39,0),Inputs!$F$49-Inputs!$F$50/100*CHOOSE(Operations!$F$788,1,Inputs!$F$38,Inputs!$F$40)*Time!Z$8)+Operations!$F$790/100</f>
        <v/>
      </c>
      <c r="AA801" s="14">
        <f>MAX(Inputs!$F$51+CHOOSE(Operations!$F$788,0,Inputs!$F$39,0),Inputs!$F$49-Inputs!$F$50/100*CHOOSE(Operations!$F$788,1,Inputs!$F$38,Inputs!$F$40)*Time!AA$8)+Operations!$F$790/100</f>
        <v/>
      </c>
      <c r="AB801" s="14">
        <f>MAX(Inputs!$F$51+CHOOSE(Operations!$F$788,0,Inputs!$F$39,0),Inputs!$F$49-Inputs!$F$50/100*CHOOSE(Operations!$F$788,1,Inputs!$F$38,Inputs!$F$40)*Time!AB$8)+Operations!$F$790/100</f>
        <v/>
      </c>
      <c r="AC801" s="14">
        <f>MAX(Inputs!$F$51+CHOOSE(Operations!$F$788,0,Inputs!$F$39,0),Inputs!$F$49-Inputs!$F$50/100*CHOOSE(Operations!$F$788,1,Inputs!$F$38,Inputs!$F$40)*Time!AC$8)+Operations!$F$790/100</f>
        <v/>
      </c>
      <c r="AD801" s="14">
        <f>MAX(Inputs!$F$51+CHOOSE(Operations!$F$788,0,Inputs!$F$39,0),Inputs!$F$49-Inputs!$F$50/100*CHOOSE(Operations!$F$788,1,Inputs!$F$38,Inputs!$F$40)*Time!AD$8)+Operations!$F$790/100</f>
        <v/>
      </c>
      <c r="AE801" s="14">
        <f>MAX(Inputs!$F$51+CHOOSE(Operations!$F$788,0,Inputs!$F$39,0),Inputs!$F$49-Inputs!$F$50/100*CHOOSE(Operations!$F$788,1,Inputs!$F$38,Inputs!$F$40)*Time!AE$8)+Operations!$F$790/100</f>
        <v/>
      </c>
      <c r="AF801" s="14">
        <f>MAX(Inputs!$F$51+CHOOSE(Operations!$F$788,0,Inputs!$F$39,0),Inputs!$F$49-Inputs!$F$50/100*CHOOSE(Operations!$F$788,1,Inputs!$F$38,Inputs!$F$40)*Time!AF$8)+Operations!$F$790/100</f>
        <v/>
      </c>
      <c r="AG801" s="14">
        <f>MAX(Inputs!$F$51+CHOOSE(Operations!$F$788,0,Inputs!$F$39,0),Inputs!$F$49-Inputs!$F$50/100*CHOOSE(Operations!$F$788,1,Inputs!$F$38,Inputs!$F$40)*Time!AG$8)+Operations!$F$790/100</f>
        <v/>
      </c>
      <c r="AH801" s="14">
        <f>MAX(Inputs!$F$51+CHOOSE(Operations!$F$788,0,Inputs!$F$39,0),Inputs!$F$49-Inputs!$F$50/100*CHOOSE(Operations!$F$788,1,Inputs!$F$38,Inputs!$F$40)*Time!AH$8)+Operations!$F$790/100</f>
        <v/>
      </c>
      <c r="AI801" s="14">
        <f>MAX(Inputs!$F$51+CHOOSE(Operations!$F$788,0,Inputs!$F$39,0),Inputs!$F$49-Inputs!$F$50/100*CHOOSE(Operations!$F$788,1,Inputs!$F$38,Inputs!$F$40)*Time!AI$8)+Operations!$F$790/100</f>
        <v/>
      </c>
      <c r="AJ801" s="14">
        <f>MAX(Inputs!$F$51+CHOOSE(Operations!$F$788,0,Inputs!$F$39,0),Inputs!$F$49-Inputs!$F$50/100*CHOOSE(Operations!$F$788,1,Inputs!$F$38,Inputs!$F$40)*Time!AJ$8)+Operations!$F$790/100</f>
        <v/>
      </c>
      <c r="AK801" s="14">
        <f>MAX(Inputs!$F$51+CHOOSE(Operations!$F$788,0,Inputs!$F$39,0),Inputs!$F$49-Inputs!$F$50/100*CHOOSE(Operations!$F$788,1,Inputs!$F$38,Inputs!$F$40)*Time!AK$8)+Operations!$F$790/100</f>
        <v/>
      </c>
      <c r="AL801" s="14">
        <f>MAX(Inputs!$F$51+CHOOSE(Operations!$F$788,0,Inputs!$F$39,0),Inputs!$F$49-Inputs!$F$50/100*CHOOSE(Operations!$F$788,1,Inputs!$F$38,Inputs!$F$40)*Time!AL$8)+Operations!$F$790/100</f>
        <v/>
      </c>
      <c r="AM801" s="14">
        <f>MAX(Inputs!$F$51+CHOOSE(Operations!$F$788,0,Inputs!$F$39,0),Inputs!$F$49-Inputs!$F$50/100*CHOOSE(Operations!$F$788,1,Inputs!$F$38,Inputs!$F$40)*Time!AM$8)+Operations!$F$790/100</f>
        <v/>
      </c>
      <c r="AN801" s="14">
        <f>MAX(Inputs!$F$51+CHOOSE(Operations!$F$788,0,Inputs!$F$39,0),Inputs!$F$49-Inputs!$F$50/100*CHOOSE(Operations!$F$788,1,Inputs!$F$38,Inputs!$F$40)*Time!AN$8)+Operations!$F$790/100</f>
        <v/>
      </c>
      <c r="AO801" s="14">
        <f>MAX(Inputs!$F$51+CHOOSE(Operations!$F$788,0,Inputs!$F$39,0),Inputs!$F$49-Inputs!$F$50/100*CHOOSE(Operations!$F$788,1,Inputs!$F$38,Inputs!$F$40)*Time!AO$8)+Operations!$F$790/100</f>
        <v/>
      </c>
      <c r="AP801" s="14">
        <f>MAX(Inputs!$F$51+CHOOSE(Operations!$F$788,0,Inputs!$F$39,0),Inputs!$F$49-Inputs!$F$50/100*CHOOSE(Operations!$F$788,1,Inputs!$F$38,Inputs!$F$40)*Time!AP$8)+Operations!$F$790/100</f>
        <v/>
      </c>
      <c r="AQ801" s="14">
        <f>MAX(Inputs!$F$51+CHOOSE(Operations!$F$788,0,Inputs!$F$39,0),Inputs!$F$49-Inputs!$F$50/100*CHOOSE(Operations!$F$788,1,Inputs!$F$38,Inputs!$F$40)*Time!AQ$8)+Operations!$F$790/100</f>
        <v/>
      </c>
      <c r="AR801" s="14">
        <f>MAX(Inputs!$F$51+CHOOSE(Operations!$F$788,0,Inputs!$F$39,0),Inputs!$F$49-Inputs!$F$50/100*CHOOSE(Operations!$F$788,1,Inputs!$F$38,Inputs!$F$40)*Time!AR$8)+Operations!$F$790/100</f>
        <v/>
      </c>
      <c r="AS801" s="14">
        <f>MAX(Inputs!$F$51+CHOOSE(Operations!$F$788,0,Inputs!$F$39,0),Inputs!$F$49-Inputs!$F$50/100*CHOOSE(Operations!$F$788,1,Inputs!$F$38,Inputs!$F$40)*Time!AS$8)+Operations!$F$790/100</f>
        <v/>
      </c>
      <c r="AT801" s="14">
        <f>MAX(Inputs!$F$51+CHOOSE(Operations!$F$788,0,Inputs!$F$39,0),Inputs!$F$49-Inputs!$F$50/100*CHOOSE(Operations!$F$788,1,Inputs!$F$38,Inputs!$F$40)*Time!AT$8)+Operations!$F$790/100</f>
        <v/>
      </c>
      <c r="AU801" s="14">
        <f>MAX(Inputs!$F$51+CHOOSE(Operations!$F$788,0,Inputs!$F$39,0),Inputs!$F$49-Inputs!$F$50/100*CHOOSE(Operations!$F$788,1,Inputs!$F$38,Inputs!$F$40)*Time!AU$8)+Operations!$F$790/100</f>
        <v/>
      </c>
    </row>
    <row r="802">
      <c r="D802" t="inlineStr">
        <is>
          <t>Hub capture ratio: south_solar</t>
        </is>
      </c>
      <c r="E802" t="inlineStr">
        <is>
          <t>ratio</t>
        </is>
      </c>
      <c r="J802" s="14">
        <f>MAX(Inputs!$F$55+CHOOSE(Operations!$F$788,0,Inputs!$F$39,0),Inputs!$F$53-Inputs!$F$54/100*CHOOSE(Operations!$F$788,1,Inputs!$F$38,Inputs!$F$40)*Time!J$8)</f>
        <v/>
      </c>
      <c r="K802" s="14">
        <f>MAX(Inputs!$F$55+CHOOSE(Operations!$F$788,0,Inputs!$F$39,0),Inputs!$F$53-Inputs!$F$54/100*CHOOSE(Operations!$F$788,1,Inputs!$F$38,Inputs!$F$40)*Time!K$8)</f>
        <v/>
      </c>
      <c r="L802" s="14">
        <f>MAX(Inputs!$F$55+CHOOSE(Operations!$F$788,0,Inputs!$F$39,0),Inputs!$F$53-Inputs!$F$54/100*CHOOSE(Operations!$F$788,1,Inputs!$F$38,Inputs!$F$40)*Time!L$8)</f>
        <v/>
      </c>
      <c r="M802" s="14">
        <f>MAX(Inputs!$F$55+CHOOSE(Operations!$F$788,0,Inputs!$F$39,0),Inputs!$F$53-Inputs!$F$54/100*CHOOSE(Operations!$F$788,1,Inputs!$F$38,Inputs!$F$40)*Time!M$8)</f>
        <v/>
      </c>
      <c r="N802" s="14">
        <f>MAX(Inputs!$F$55+CHOOSE(Operations!$F$788,0,Inputs!$F$39,0),Inputs!$F$53-Inputs!$F$54/100*CHOOSE(Operations!$F$788,1,Inputs!$F$38,Inputs!$F$40)*Time!N$8)</f>
        <v/>
      </c>
      <c r="O802" s="14">
        <f>MAX(Inputs!$F$55+CHOOSE(Operations!$F$788,0,Inputs!$F$39,0),Inputs!$F$53-Inputs!$F$54/100*CHOOSE(Operations!$F$788,1,Inputs!$F$38,Inputs!$F$40)*Time!O$8)</f>
        <v/>
      </c>
      <c r="P802" s="14">
        <f>MAX(Inputs!$F$55+CHOOSE(Operations!$F$788,0,Inputs!$F$39,0),Inputs!$F$53-Inputs!$F$54/100*CHOOSE(Operations!$F$788,1,Inputs!$F$38,Inputs!$F$40)*Time!P$8)</f>
        <v/>
      </c>
      <c r="Q802" s="14">
        <f>MAX(Inputs!$F$55+CHOOSE(Operations!$F$788,0,Inputs!$F$39,0),Inputs!$F$53-Inputs!$F$54/100*CHOOSE(Operations!$F$788,1,Inputs!$F$38,Inputs!$F$40)*Time!Q$8)</f>
        <v/>
      </c>
      <c r="R802" s="14">
        <f>MAX(Inputs!$F$55+CHOOSE(Operations!$F$788,0,Inputs!$F$39,0),Inputs!$F$53-Inputs!$F$54/100*CHOOSE(Operations!$F$788,1,Inputs!$F$38,Inputs!$F$40)*Time!R$8)</f>
        <v/>
      </c>
      <c r="S802" s="14">
        <f>MAX(Inputs!$F$55+CHOOSE(Operations!$F$788,0,Inputs!$F$39,0),Inputs!$F$53-Inputs!$F$54/100*CHOOSE(Operations!$F$788,1,Inputs!$F$38,Inputs!$F$40)*Time!S$8)</f>
        <v/>
      </c>
      <c r="T802" s="14">
        <f>MAX(Inputs!$F$55+CHOOSE(Operations!$F$788,0,Inputs!$F$39,0),Inputs!$F$53-Inputs!$F$54/100*CHOOSE(Operations!$F$788,1,Inputs!$F$38,Inputs!$F$40)*Time!T$8)</f>
        <v/>
      </c>
      <c r="U802" s="14">
        <f>MAX(Inputs!$F$55+CHOOSE(Operations!$F$788,0,Inputs!$F$39,0),Inputs!$F$53-Inputs!$F$54/100*CHOOSE(Operations!$F$788,1,Inputs!$F$38,Inputs!$F$40)*Time!U$8)</f>
        <v/>
      </c>
      <c r="V802" s="14">
        <f>MAX(Inputs!$F$55+CHOOSE(Operations!$F$788,0,Inputs!$F$39,0),Inputs!$F$53-Inputs!$F$54/100*CHOOSE(Operations!$F$788,1,Inputs!$F$38,Inputs!$F$40)*Time!V$8)</f>
        <v/>
      </c>
      <c r="W802" s="14">
        <f>MAX(Inputs!$F$55+CHOOSE(Operations!$F$788,0,Inputs!$F$39,0),Inputs!$F$53-Inputs!$F$54/100*CHOOSE(Operations!$F$788,1,Inputs!$F$38,Inputs!$F$40)*Time!W$8)</f>
        <v/>
      </c>
      <c r="X802" s="14">
        <f>MAX(Inputs!$F$55+CHOOSE(Operations!$F$788,0,Inputs!$F$39,0),Inputs!$F$53-Inputs!$F$54/100*CHOOSE(Operations!$F$788,1,Inputs!$F$38,Inputs!$F$40)*Time!X$8)</f>
        <v/>
      </c>
      <c r="Y802" s="14">
        <f>MAX(Inputs!$F$55+CHOOSE(Operations!$F$788,0,Inputs!$F$39,0),Inputs!$F$53-Inputs!$F$54/100*CHOOSE(Operations!$F$788,1,Inputs!$F$38,Inputs!$F$40)*Time!Y$8)</f>
        <v/>
      </c>
      <c r="Z802" s="14">
        <f>MAX(Inputs!$F$55+CHOOSE(Operations!$F$788,0,Inputs!$F$39,0),Inputs!$F$53-Inputs!$F$54/100*CHOOSE(Operations!$F$788,1,Inputs!$F$38,Inputs!$F$40)*Time!Z$8)</f>
        <v/>
      </c>
      <c r="AA802" s="14">
        <f>MAX(Inputs!$F$55+CHOOSE(Operations!$F$788,0,Inputs!$F$39,0),Inputs!$F$53-Inputs!$F$54/100*CHOOSE(Operations!$F$788,1,Inputs!$F$38,Inputs!$F$40)*Time!AA$8)</f>
        <v/>
      </c>
      <c r="AB802" s="14">
        <f>MAX(Inputs!$F$55+CHOOSE(Operations!$F$788,0,Inputs!$F$39,0),Inputs!$F$53-Inputs!$F$54/100*CHOOSE(Operations!$F$788,1,Inputs!$F$38,Inputs!$F$40)*Time!AB$8)</f>
        <v/>
      </c>
      <c r="AC802" s="14">
        <f>MAX(Inputs!$F$55+CHOOSE(Operations!$F$788,0,Inputs!$F$39,0),Inputs!$F$53-Inputs!$F$54/100*CHOOSE(Operations!$F$788,1,Inputs!$F$38,Inputs!$F$40)*Time!AC$8)</f>
        <v/>
      </c>
      <c r="AD802" s="14">
        <f>MAX(Inputs!$F$55+CHOOSE(Operations!$F$788,0,Inputs!$F$39,0),Inputs!$F$53-Inputs!$F$54/100*CHOOSE(Operations!$F$788,1,Inputs!$F$38,Inputs!$F$40)*Time!AD$8)</f>
        <v/>
      </c>
      <c r="AE802" s="14">
        <f>MAX(Inputs!$F$55+CHOOSE(Operations!$F$788,0,Inputs!$F$39,0),Inputs!$F$53-Inputs!$F$54/100*CHOOSE(Operations!$F$788,1,Inputs!$F$38,Inputs!$F$40)*Time!AE$8)</f>
        <v/>
      </c>
      <c r="AF802" s="14">
        <f>MAX(Inputs!$F$55+CHOOSE(Operations!$F$788,0,Inputs!$F$39,0),Inputs!$F$53-Inputs!$F$54/100*CHOOSE(Operations!$F$788,1,Inputs!$F$38,Inputs!$F$40)*Time!AF$8)</f>
        <v/>
      </c>
      <c r="AG802" s="14">
        <f>MAX(Inputs!$F$55+CHOOSE(Operations!$F$788,0,Inputs!$F$39,0),Inputs!$F$53-Inputs!$F$54/100*CHOOSE(Operations!$F$788,1,Inputs!$F$38,Inputs!$F$40)*Time!AG$8)</f>
        <v/>
      </c>
      <c r="AH802" s="14">
        <f>MAX(Inputs!$F$55+CHOOSE(Operations!$F$788,0,Inputs!$F$39,0),Inputs!$F$53-Inputs!$F$54/100*CHOOSE(Operations!$F$788,1,Inputs!$F$38,Inputs!$F$40)*Time!AH$8)</f>
        <v/>
      </c>
      <c r="AI802" s="14">
        <f>MAX(Inputs!$F$55+CHOOSE(Operations!$F$788,0,Inputs!$F$39,0),Inputs!$F$53-Inputs!$F$54/100*CHOOSE(Operations!$F$788,1,Inputs!$F$38,Inputs!$F$40)*Time!AI$8)</f>
        <v/>
      </c>
      <c r="AJ802" s="14">
        <f>MAX(Inputs!$F$55+CHOOSE(Operations!$F$788,0,Inputs!$F$39,0),Inputs!$F$53-Inputs!$F$54/100*CHOOSE(Operations!$F$788,1,Inputs!$F$38,Inputs!$F$40)*Time!AJ$8)</f>
        <v/>
      </c>
      <c r="AK802" s="14">
        <f>MAX(Inputs!$F$55+CHOOSE(Operations!$F$788,0,Inputs!$F$39,0),Inputs!$F$53-Inputs!$F$54/100*CHOOSE(Operations!$F$788,1,Inputs!$F$38,Inputs!$F$40)*Time!AK$8)</f>
        <v/>
      </c>
      <c r="AL802" s="14">
        <f>MAX(Inputs!$F$55+CHOOSE(Operations!$F$788,0,Inputs!$F$39,0),Inputs!$F$53-Inputs!$F$54/100*CHOOSE(Operations!$F$788,1,Inputs!$F$38,Inputs!$F$40)*Time!AL$8)</f>
        <v/>
      </c>
      <c r="AM802" s="14">
        <f>MAX(Inputs!$F$55+CHOOSE(Operations!$F$788,0,Inputs!$F$39,0),Inputs!$F$53-Inputs!$F$54/100*CHOOSE(Operations!$F$788,1,Inputs!$F$38,Inputs!$F$40)*Time!AM$8)</f>
        <v/>
      </c>
      <c r="AN802" s="14">
        <f>MAX(Inputs!$F$55+CHOOSE(Operations!$F$788,0,Inputs!$F$39,0),Inputs!$F$53-Inputs!$F$54/100*CHOOSE(Operations!$F$788,1,Inputs!$F$38,Inputs!$F$40)*Time!AN$8)</f>
        <v/>
      </c>
      <c r="AO802" s="14">
        <f>MAX(Inputs!$F$55+CHOOSE(Operations!$F$788,0,Inputs!$F$39,0),Inputs!$F$53-Inputs!$F$54/100*CHOOSE(Operations!$F$788,1,Inputs!$F$38,Inputs!$F$40)*Time!AO$8)</f>
        <v/>
      </c>
      <c r="AP802" s="14">
        <f>MAX(Inputs!$F$55+CHOOSE(Operations!$F$788,0,Inputs!$F$39,0),Inputs!$F$53-Inputs!$F$54/100*CHOOSE(Operations!$F$788,1,Inputs!$F$38,Inputs!$F$40)*Time!AP$8)</f>
        <v/>
      </c>
      <c r="AQ802" s="14">
        <f>MAX(Inputs!$F$55+CHOOSE(Operations!$F$788,0,Inputs!$F$39,0),Inputs!$F$53-Inputs!$F$54/100*CHOOSE(Operations!$F$788,1,Inputs!$F$38,Inputs!$F$40)*Time!AQ$8)</f>
        <v/>
      </c>
      <c r="AR802" s="14">
        <f>MAX(Inputs!$F$55+CHOOSE(Operations!$F$788,0,Inputs!$F$39,0),Inputs!$F$53-Inputs!$F$54/100*CHOOSE(Operations!$F$788,1,Inputs!$F$38,Inputs!$F$40)*Time!AR$8)</f>
        <v/>
      </c>
      <c r="AS802" s="14">
        <f>MAX(Inputs!$F$55+CHOOSE(Operations!$F$788,0,Inputs!$F$39,0),Inputs!$F$53-Inputs!$F$54/100*CHOOSE(Operations!$F$788,1,Inputs!$F$38,Inputs!$F$40)*Time!AS$8)</f>
        <v/>
      </c>
      <c r="AT802" s="14">
        <f>MAX(Inputs!$F$55+CHOOSE(Operations!$F$788,0,Inputs!$F$39,0),Inputs!$F$53-Inputs!$F$54/100*CHOOSE(Operations!$F$788,1,Inputs!$F$38,Inputs!$F$40)*Time!AT$8)</f>
        <v/>
      </c>
      <c r="AU802" s="14">
        <f>MAX(Inputs!$F$55+CHOOSE(Operations!$F$788,0,Inputs!$F$39,0),Inputs!$F$53-Inputs!$F$54/100*CHOOSE(Operations!$F$788,1,Inputs!$F$38,Inputs!$F$40)*Time!AU$8)</f>
        <v/>
      </c>
    </row>
    <row r="803">
      <c r="D803" t="inlineStr">
        <is>
          <t>Hub capture ratio: coastal_wind</t>
        </is>
      </c>
      <c r="E803" t="inlineStr">
        <is>
          <t>ratio</t>
        </is>
      </c>
      <c r="J803" s="14">
        <f>MAX(Inputs!$F$59+CHOOSE(Operations!$F$788,0,Inputs!$F$39,0),Inputs!$F$57-Inputs!$F$58/100*CHOOSE(Operations!$F$788,1,Inputs!$F$38,Inputs!$F$40)*Time!J$8)</f>
        <v/>
      </c>
      <c r="K803" s="14">
        <f>MAX(Inputs!$F$59+CHOOSE(Operations!$F$788,0,Inputs!$F$39,0),Inputs!$F$57-Inputs!$F$58/100*CHOOSE(Operations!$F$788,1,Inputs!$F$38,Inputs!$F$40)*Time!K$8)</f>
        <v/>
      </c>
      <c r="L803" s="14">
        <f>MAX(Inputs!$F$59+CHOOSE(Operations!$F$788,0,Inputs!$F$39,0),Inputs!$F$57-Inputs!$F$58/100*CHOOSE(Operations!$F$788,1,Inputs!$F$38,Inputs!$F$40)*Time!L$8)</f>
        <v/>
      </c>
      <c r="M803" s="14">
        <f>MAX(Inputs!$F$59+CHOOSE(Operations!$F$788,0,Inputs!$F$39,0),Inputs!$F$57-Inputs!$F$58/100*CHOOSE(Operations!$F$788,1,Inputs!$F$38,Inputs!$F$40)*Time!M$8)</f>
        <v/>
      </c>
      <c r="N803" s="14">
        <f>MAX(Inputs!$F$59+CHOOSE(Operations!$F$788,0,Inputs!$F$39,0),Inputs!$F$57-Inputs!$F$58/100*CHOOSE(Operations!$F$788,1,Inputs!$F$38,Inputs!$F$40)*Time!N$8)</f>
        <v/>
      </c>
      <c r="O803" s="14">
        <f>MAX(Inputs!$F$59+CHOOSE(Operations!$F$788,0,Inputs!$F$39,0),Inputs!$F$57-Inputs!$F$58/100*CHOOSE(Operations!$F$788,1,Inputs!$F$38,Inputs!$F$40)*Time!O$8)</f>
        <v/>
      </c>
      <c r="P803" s="14">
        <f>MAX(Inputs!$F$59+CHOOSE(Operations!$F$788,0,Inputs!$F$39,0),Inputs!$F$57-Inputs!$F$58/100*CHOOSE(Operations!$F$788,1,Inputs!$F$38,Inputs!$F$40)*Time!P$8)</f>
        <v/>
      </c>
      <c r="Q803" s="14">
        <f>MAX(Inputs!$F$59+CHOOSE(Operations!$F$788,0,Inputs!$F$39,0),Inputs!$F$57-Inputs!$F$58/100*CHOOSE(Operations!$F$788,1,Inputs!$F$38,Inputs!$F$40)*Time!Q$8)</f>
        <v/>
      </c>
      <c r="R803" s="14">
        <f>MAX(Inputs!$F$59+CHOOSE(Operations!$F$788,0,Inputs!$F$39,0),Inputs!$F$57-Inputs!$F$58/100*CHOOSE(Operations!$F$788,1,Inputs!$F$38,Inputs!$F$40)*Time!R$8)</f>
        <v/>
      </c>
      <c r="S803" s="14">
        <f>MAX(Inputs!$F$59+CHOOSE(Operations!$F$788,0,Inputs!$F$39,0),Inputs!$F$57-Inputs!$F$58/100*CHOOSE(Operations!$F$788,1,Inputs!$F$38,Inputs!$F$40)*Time!S$8)</f>
        <v/>
      </c>
      <c r="T803" s="14">
        <f>MAX(Inputs!$F$59+CHOOSE(Operations!$F$788,0,Inputs!$F$39,0),Inputs!$F$57-Inputs!$F$58/100*CHOOSE(Operations!$F$788,1,Inputs!$F$38,Inputs!$F$40)*Time!T$8)</f>
        <v/>
      </c>
      <c r="U803" s="14">
        <f>MAX(Inputs!$F$59+CHOOSE(Operations!$F$788,0,Inputs!$F$39,0),Inputs!$F$57-Inputs!$F$58/100*CHOOSE(Operations!$F$788,1,Inputs!$F$38,Inputs!$F$40)*Time!U$8)</f>
        <v/>
      </c>
      <c r="V803" s="14">
        <f>MAX(Inputs!$F$59+CHOOSE(Operations!$F$788,0,Inputs!$F$39,0),Inputs!$F$57-Inputs!$F$58/100*CHOOSE(Operations!$F$788,1,Inputs!$F$38,Inputs!$F$40)*Time!V$8)</f>
        <v/>
      </c>
      <c r="W803" s="14">
        <f>MAX(Inputs!$F$59+CHOOSE(Operations!$F$788,0,Inputs!$F$39,0),Inputs!$F$57-Inputs!$F$58/100*CHOOSE(Operations!$F$788,1,Inputs!$F$38,Inputs!$F$40)*Time!W$8)</f>
        <v/>
      </c>
      <c r="X803" s="14">
        <f>MAX(Inputs!$F$59+CHOOSE(Operations!$F$788,0,Inputs!$F$39,0),Inputs!$F$57-Inputs!$F$58/100*CHOOSE(Operations!$F$788,1,Inputs!$F$38,Inputs!$F$40)*Time!X$8)</f>
        <v/>
      </c>
      <c r="Y803" s="14">
        <f>MAX(Inputs!$F$59+CHOOSE(Operations!$F$788,0,Inputs!$F$39,0),Inputs!$F$57-Inputs!$F$58/100*CHOOSE(Operations!$F$788,1,Inputs!$F$38,Inputs!$F$40)*Time!Y$8)</f>
        <v/>
      </c>
      <c r="Z803" s="14">
        <f>MAX(Inputs!$F$59+CHOOSE(Operations!$F$788,0,Inputs!$F$39,0),Inputs!$F$57-Inputs!$F$58/100*CHOOSE(Operations!$F$788,1,Inputs!$F$38,Inputs!$F$40)*Time!Z$8)</f>
        <v/>
      </c>
      <c r="AA803" s="14">
        <f>MAX(Inputs!$F$59+CHOOSE(Operations!$F$788,0,Inputs!$F$39,0),Inputs!$F$57-Inputs!$F$58/100*CHOOSE(Operations!$F$788,1,Inputs!$F$38,Inputs!$F$40)*Time!AA$8)</f>
        <v/>
      </c>
      <c r="AB803" s="14">
        <f>MAX(Inputs!$F$59+CHOOSE(Operations!$F$788,0,Inputs!$F$39,0),Inputs!$F$57-Inputs!$F$58/100*CHOOSE(Operations!$F$788,1,Inputs!$F$38,Inputs!$F$40)*Time!AB$8)</f>
        <v/>
      </c>
      <c r="AC803" s="14">
        <f>MAX(Inputs!$F$59+CHOOSE(Operations!$F$788,0,Inputs!$F$39,0),Inputs!$F$57-Inputs!$F$58/100*CHOOSE(Operations!$F$788,1,Inputs!$F$38,Inputs!$F$40)*Time!AC$8)</f>
        <v/>
      </c>
      <c r="AD803" s="14">
        <f>MAX(Inputs!$F$59+CHOOSE(Operations!$F$788,0,Inputs!$F$39,0),Inputs!$F$57-Inputs!$F$58/100*CHOOSE(Operations!$F$788,1,Inputs!$F$38,Inputs!$F$40)*Time!AD$8)</f>
        <v/>
      </c>
      <c r="AE803" s="14">
        <f>MAX(Inputs!$F$59+CHOOSE(Operations!$F$788,0,Inputs!$F$39,0),Inputs!$F$57-Inputs!$F$58/100*CHOOSE(Operations!$F$788,1,Inputs!$F$38,Inputs!$F$40)*Time!AE$8)</f>
        <v/>
      </c>
      <c r="AF803" s="14">
        <f>MAX(Inputs!$F$59+CHOOSE(Operations!$F$788,0,Inputs!$F$39,0),Inputs!$F$57-Inputs!$F$58/100*CHOOSE(Operations!$F$788,1,Inputs!$F$38,Inputs!$F$40)*Time!AF$8)</f>
        <v/>
      </c>
      <c r="AG803" s="14">
        <f>MAX(Inputs!$F$59+CHOOSE(Operations!$F$788,0,Inputs!$F$39,0),Inputs!$F$57-Inputs!$F$58/100*CHOOSE(Operations!$F$788,1,Inputs!$F$38,Inputs!$F$40)*Time!AG$8)</f>
        <v/>
      </c>
      <c r="AH803" s="14">
        <f>MAX(Inputs!$F$59+CHOOSE(Operations!$F$788,0,Inputs!$F$39,0),Inputs!$F$57-Inputs!$F$58/100*CHOOSE(Operations!$F$788,1,Inputs!$F$38,Inputs!$F$40)*Time!AH$8)</f>
        <v/>
      </c>
      <c r="AI803" s="14">
        <f>MAX(Inputs!$F$59+CHOOSE(Operations!$F$788,0,Inputs!$F$39,0),Inputs!$F$57-Inputs!$F$58/100*CHOOSE(Operations!$F$788,1,Inputs!$F$38,Inputs!$F$40)*Time!AI$8)</f>
        <v/>
      </c>
      <c r="AJ803" s="14">
        <f>MAX(Inputs!$F$59+CHOOSE(Operations!$F$788,0,Inputs!$F$39,0),Inputs!$F$57-Inputs!$F$58/100*CHOOSE(Operations!$F$788,1,Inputs!$F$38,Inputs!$F$40)*Time!AJ$8)</f>
        <v/>
      </c>
      <c r="AK803" s="14">
        <f>MAX(Inputs!$F$59+CHOOSE(Operations!$F$788,0,Inputs!$F$39,0),Inputs!$F$57-Inputs!$F$58/100*CHOOSE(Operations!$F$788,1,Inputs!$F$38,Inputs!$F$40)*Time!AK$8)</f>
        <v/>
      </c>
      <c r="AL803" s="14">
        <f>MAX(Inputs!$F$59+CHOOSE(Operations!$F$788,0,Inputs!$F$39,0),Inputs!$F$57-Inputs!$F$58/100*CHOOSE(Operations!$F$788,1,Inputs!$F$38,Inputs!$F$40)*Time!AL$8)</f>
        <v/>
      </c>
      <c r="AM803" s="14">
        <f>MAX(Inputs!$F$59+CHOOSE(Operations!$F$788,0,Inputs!$F$39,0),Inputs!$F$57-Inputs!$F$58/100*CHOOSE(Operations!$F$788,1,Inputs!$F$38,Inputs!$F$40)*Time!AM$8)</f>
        <v/>
      </c>
      <c r="AN803" s="14">
        <f>MAX(Inputs!$F$59+CHOOSE(Operations!$F$788,0,Inputs!$F$39,0),Inputs!$F$57-Inputs!$F$58/100*CHOOSE(Operations!$F$788,1,Inputs!$F$38,Inputs!$F$40)*Time!AN$8)</f>
        <v/>
      </c>
      <c r="AO803" s="14">
        <f>MAX(Inputs!$F$59+CHOOSE(Operations!$F$788,0,Inputs!$F$39,0),Inputs!$F$57-Inputs!$F$58/100*CHOOSE(Operations!$F$788,1,Inputs!$F$38,Inputs!$F$40)*Time!AO$8)</f>
        <v/>
      </c>
      <c r="AP803" s="14">
        <f>MAX(Inputs!$F$59+CHOOSE(Operations!$F$788,0,Inputs!$F$39,0),Inputs!$F$57-Inputs!$F$58/100*CHOOSE(Operations!$F$788,1,Inputs!$F$38,Inputs!$F$40)*Time!AP$8)</f>
        <v/>
      </c>
      <c r="AQ803" s="14">
        <f>MAX(Inputs!$F$59+CHOOSE(Operations!$F$788,0,Inputs!$F$39,0),Inputs!$F$57-Inputs!$F$58/100*CHOOSE(Operations!$F$788,1,Inputs!$F$38,Inputs!$F$40)*Time!AQ$8)</f>
        <v/>
      </c>
      <c r="AR803" s="14">
        <f>MAX(Inputs!$F$59+CHOOSE(Operations!$F$788,0,Inputs!$F$39,0),Inputs!$F$57-Inputs!$F$58/100*CHOOSE(Operations!$F$788,1,Inputs!$F$38,Inputs!$F$40)*Time!AR$8)</f>
        <v/>
      </c>
      <c r="AS803" s="14">
        <f>MAX(Inputs!$F$59+CHOOSE(Operations!$F$788,0,Inputs!$F$39,0),Inputs!$F$57-Inputs!$F$58/100*CHOOSE(Operations!$F$788,1,Inputs!$F$38,Inputs!$F$40)*Time!AS$8)</f>
        <v/>
      </c>
      <c r="AT803" s="14">
        <f>MAX(Inputs!$F$59+CHOOSE(Operations!$F$788,0,Inputs!$F$39,0),Inputs!$F$57-Inputs!$F$58/100*CHOOSE(Operations!$F$788,1,Inputs!$F$38,Inputs!$F$40)*Time!AT$8)</f>
        <v/>
      </c>
      <c r="AU803" s="14">
        <f>MAX(Inputs!$F$59+CHOOSE(Operations!$F$788,0,Inputs!$F$39,0),Inputs!$F$57-Inputs!$F$58/100*CHOOSE(Operations!$F$788,1,Inputs!$F$38,Inputs!$F$40)*Time!AU$8)</f>
        <v/>
      </c>
    </row>
    <row r="804">
      <c r="D804" s="19" t="inlineStr">
        <is>
          <t>R1 Thatcher Flats Wind (onshore wind)</t>
        </is>
      </c>
    </row>
    <row r="805">
      <c r="D805" t="inlineStr">
        <is>
          <t>R1 operating fraction</t>
        </is>
      </c>
      <c r="E805" t="inlineStr">
        <is>
          <t>fraction</t>
        </is>
      </c>
      <c r="J805" s="14">
        <f>MAX(0,MIN(Inputs!$F$90,Time!J$6)-MAX(Inputs!$F$89,Time!J$5))/Time!J$7</f>
        <v/>
      </c>
      <c r="K805" s="14">
        <f>MAX(0,MIN(Inputs!$F$90,Time!K$6)-MAX(Inputs!$F$89,Time!K$5))/Time!K$7</f>
        <v/>
      </c>
      <c r="L805" s="14">
        <f>MAX(0,MIN(Inputs!$F$90,Time!L$6)-MAX(Inputs!$F$89,Time!L$5))/Time!L$7</f>
        <v/>
      </c>
      <c r="M805" s="14">
        <f>MAX(0,MIN(Inputs!$F$90,Time!M$6)-MAX(Inputs!$F$89,Time!M$5))/Time!M$7</f>
        <v/>
      </c>
      <c r="N805" s="14">
        <f>MAX(0,MIN(Inputs!$F$90,Time!N$6)-MAX(Inputs!$F$89,Time!N$5))/Time!N$7</f>
        <v/>
      </c>
      <c r="O805" s="14">
        <f>MAX(0,MIN(Inputs!$F$90,Time!O$6)-MAX(Inputs!$F$89,Time!O$5))/Time!O$7</f>
        <v/>
      </c>
      <c r="P805" s="14">
        <f>MAX(0,MIN(Inputs!$F$90,Time!P$6)-MAX(Inputs!$F$89,Time!P$5))/Time!P$7</f>
        <v/>
      </c>
      <c r="Q805" s="14">
        <f>MAX(0,MIN(Inputs!$F$90,Time!Q$6)-MAX(Inputs!$F$89,Time!Q$5))/Time!Q$7</f>
        <v/>
      </c>
      <c r="R805" s="14">
        <f>MAX(0,MIN(Inputs!$F$90,Time!R$6)-MAX(Inputs!$F$89,Time!R$5))/Time!R$7</f>
        <v/>
      </c>
      <c r="S805" s="14">
        <f>MAX(0,MIN(Inputs!$F$90,Time!S$6)-MAX(Inputs!$F$89,Time!S$5))/Time!S$7</f>
        <v/>
      </c>
      <c r="T805" s="14">
        <f>MAX(0,MIN(Inputs!$F$90,Time!T$6)-MAX(Inputs!$F$89,Time!T$5))/Time!T$7</f>
        <v/>
      </c>
      <c r="U805" s="14">
        <f>MAX(0,MIN(Inputs!$F$90,Time!U$6)-MAX(Inputs!$F$89,Time!U$5))/Time!U$7</f>
        <v/>
      </c>
      <c r="V805" s="14">
        <f>MAX(0,MIN(Inputs!$F$90,Time!V$6)-MAX(Inputs!$F$89,Time!V$5))/Time!V$7</f>
        <v/>
      </c>
      <c r="W805" s="14">
        <f>MAX(0,MIN(Inputs!$F$90,Time!W$6)-MAX(Inputs!$F$89,Time!W$5))/Time!W$7</f>
        <v/>
      </c>
      <c r="X805" s="14">
        <f>MAX(0,MIN(Inputs!$F$90,Time!X$6)-MAX(Inputs!$F$89,Time!X$5))/Time!X$7</f>
        <v/>
      </c>
      <c r="Y805" s="14">
        <f>MAX(0,MIN(Inputs!$F$90,Time!Y$6)-MAX(Inputs!$F$89,Time!Y$5))/Time!Y$7</f>
        <v/>
      </c>
      <c r="Z805" s="14">
        <f>MAX(0,MIN(Inputs!$F$90,Time!Z$6)-MAX(Inputs!$F$89,Time!Z$5))/Time!Z$7</f>
        <v/>
      </c>
      <c r="AA805" s="14">
        <f>MAX(0,MIN(Inputs!$F$90,Time!AA$6)-MAX(Inputs!$F$89,Time!AA$5))/Time!AA$7</f>
        <v/>
      </c>
      <c r="AB805" s="14">
        <f>MAX(0,MIN(Inputs!$F$90,Time!AB$6)-MAX(Inputs!$F$89,Time!AB$5))/Time!AB$7</f>
        <v/>
      </c>
      <c r="AC805" s="14">
        <f>MAX(0,MIN(Inputs!$F$90,Time!AC$6)-MAX(Inputs!$F$89,Time!AC$5))/Time!AC$7</f>
        <v/>
      </c>
      <c r="AD805" s="14">
        <f>MAX(0,MIN(Inputs!$F$90,Time!AD$6)-MAX(Inputs!$F$89,Time!AD$5))/Time!AD$7</f>
        <v/>
      </c>
      <c r="AE805" s="14">
        <f>MAX(0,MIN(Inputs!$F$90,Time!AE$6)-MAX(Inputs!$F$89,Time!AE$5))/Time!AE$7</f>
        <v/>
      </c>
      <c r="AF805" s="14">
        <f>MAX(0,MIN(Inputs!$F$90,Time!AF$6)-MAX(Inputs!$F$89,Time!AF$5))/Time!AF$7</f>
        <v/>
      </c>
      <c r="AG805" s="14">
        <f>MAX(0,MIN(Inputs!$F$90,Time!AG$6)-MAX(Inputs!$F$89,Time!AG$5))/Time!AG$7</f>
        <v/>
      </c>
      <c r="AH805" s="14">
        <f>MAX(0,MIN(Inputs!$F$90,Time!AH$6)-MAX(Inputs!$F$89,Time!AH$5))/Time!AH$7</f>
        <v/>
      </c>
      <c r="AI805" s="14">
        <f>MAX(0,MIN(Inputs!$F$90,Time!AI$6)-MAX(Inputs!$F$89,Time!AI$5))/Time!AI$7</f>
        <v/>
      </c>
      <c r="AJ805" s="14">
        <f>MAX(0,MIN(Inputs!$F$90,Time!AJ$6)-MAX(Inputs!$F$89,Time!AJ$5))/Time!AJ$7</f>
        <v/>
      </c>
      <c r="AK805" s="14">
        <f>MAX(0,MIN(Inputs!$F$90,Time!AK$6)-MAX(Inputs!$F$89,Time!AK$5))/Time!AK$7</f>
        <v/>
      </c>
      <c r="AL805" s="14">
        <f>MAX(0,MIN(Inputs!$F$90,Time!AL$6)-MAX(Inputs!$F$89,Time!AL$5))/Time!AL$7</f>
        <v/>
      </c>
      <c r="AM805" s="14">
        <f>MAX(0,MIN(Inputs!$F$90,Time!AM$6)-MAX(Inputs!$F$89,Time!AM$5))/Time!AM$7</f>
        <v/>
      </c>
      <c r="AN805" s="14">
        <f>MAX(0,MIN(Inputs!$F$90,Time!AN$6)-MAX(Inputs!$F$89,Time!AN$5))/Time!AN$7</f>
        <v/>
      </c>
      <c r="AO805" s="14">
        <f>MAX(0,MIN(Inputs!$F$90,Time!AO$6)-MAX(Inputs!$F$89,Time!AO$5))/Time!AO$7</f>
        <v/>
      </c>
      <c r="AP805" s="14">
        <f>MAX(0,MIN(Inputs!$F$90,Time!AP$6)-MAX(Inputs!$F$89,Time!AP$5))/Time!AP$7</f>
        <v/>
      </c>
      <c r="AQ805" s="14">
        <f>MAX(0,MIN(Inputs!$F$90,Time!AQ$6)-MAX(Inputs!$F$89,Time!AQ$5))/Time!AQ$7</f>
        <v/>
      </c>
      <c r="AR805" s="14">
        <f>MAX(0,MIN(Inputs!$F$90,Time!AR$6)-MAX(Inputs!$F$89,Time!AR$5))/Time!AR$7</f>
        <v/>
      </c>
      <c r="AS805" s="14">
        <f>MAX(0,MIN(Inputs!$F$90,Time!AS$6)-MAX(Inputs!$F$89,Time!AS$5))/Time!AS$7</f>
        <v/>
      </c>
      <c r="AT805" s="14">
        <f>MAX(0,MIN(Inputs!$F$90,Time!AT$6)-MAX(Inputs!$F$89,Time!AT$5))/Time!AT$7</f>
        <v/>
      </c>
      <c r="AU805" s="14">
        <f>MAX(0,MIN(Inputs!$F$90,Time!AU$6)-MAX(Inputs!$F$89,Time!AU$5))/Time!AU$7</f>
        <v/>
      </c>
    </row>
    <row r="806">
      <c r="D806" t="inlineStr">
        <is>
          <t>R1 owned fraction</t>
        </is>
      </c>
      <c r="E806" t="inlineStr">
        <is>
          <t>fraction</t>
        </is>
      </c>
      <c r="J806" s="14">
        <f>MAX(0,MIN(Inputs!$F$90,Time!J$6)-MAX(MAX(Inputs!$F$91,Inputs!$F$89),Time!J$5))/Time!J$7</f>
        <v/>
      </c>
      <c r="K806" s="14">
        <f>MAX(0,MIN(Inputs!$F$90,Time!K$6)-MAX(MAX(Inputs!$F$91,Inputs!$F$89),Time!K$5))/Time!K$7</f>
        <v/>
      </c>
      <c r="L806" s="14">
        <f>MAX(0,MIN(Inputs!$F$90,Time!L$6)-MAX(MAX(Inputs!$F$91,Inputs!$F$89),Time!L$5))/Time!L$7</f>
        <v/>
      </c>
      <c r="M806" s="14">
        <f>MAX(0,MIN(Inputs!$F$90,Time!M$6)-MAX(MAX(Inputs!$F$91,Inputs!$F$89),Time!M$5))/Time!M$7</f>
        <v/>
      </c>
      <c r="N806" s="14">
        <f>MAX(0,MIN(Inputs!$F$90,Time!N$6)-MAX(MAX(Inputs!$F$91,Inputs!$F$89),Time!N$5))/Time!N$7</f>
        <v/>
      </c>
      <c r="O806" s="14">
        <f>MAX(0,MIN(Inputs!$F$90,Time!O$6)-MAX(MAX(Inputs!$F$91,Inputs!$F$89),Time!O$5))/Time!O$7</f>
        <v/>
      </c>
      <c r="P806" s="14">
        <f>MAX(0,MIN(Inputs!$F$90,Time!P$6)-MAX(MAX(Inputs!$F$91,Inputs!$F$89),Time!P$5))/Time!P$7</f>
        <v/>
      </c>
      <c r="Q806" s="14">
        <f>MAX(0,MIN(Inputs!$F$90,Time!Q$6)-MAX(MAX(Inputs!$F$91,Inputs!$F$89),Time!Q$5))/Time!Q$7</f>
        <v/>
      </c>
      <c r="R806" s="14">
        <f>MAX(0,MIN(Inputs!$F$90,Time!R$6)-MAX(MAX(Inputs!$F$91,Inputs!$F$89),Time!R$5))/Time!R$7</f>
        <v/>
      </c>
      <c r="S806" s="14">
        <f>MAX(0,MIN(Inputs!$F$90,Time!S$6)-MAX(MAX(Inputs!$F$91,Inputs!$F$89),Time!S$5))/Time!S$7</f>
        <v/>
      </c>
      <c r="T806" s="14">
        <f>MAX(0,MIN(Inputs!$F$90,Time!T$6)-MAX(MAX(Inputs!$F$91,Inputs!$F$89),Time!T$5))/Time!T$7</f>
        <v/>
      </c>
      <c r="U806" s="14">
        <f>MAX(0,MIN(Inputs!$F$90,Time!U$6)-MAX(MAX(Inputs!$F$91,Inputs!$F$89),Time!U$5))/Time!U$7</f>
        <v/>
      </c>
      <c r="V806" s="14">
        <f>MAX(0,MIN(Inputs!$F$90,Time!V$6)-MAX(MAX(Inputs!$F$91,Inputs!$F$89),Time!V$5))/Time!V$7</f>
        <v/>
      </c>
      <c r="W806" s="14">
        <f>MAX(0,MIN(Inputs!$F$90,Time!W$6)-MAX(MAX(Inputs!$F$91,Inputs!$F$89),Time!W$5))/Time!W$7</f>
        <v/>
      </c>
      <c r="X806" s="14">
        <f>MAX(0,MIN(Inputs!$F$90,Time!X$6)-MAX(MAX(Inputs!$F$91,Inputs!$F$89),Time!X$5))/Time!X$7</f>
        <v/>
      </c>
      <c r="Y806" s="14">
        <f>MAX(0,MIN(Inputs!$F$90,Time!Y$6)-MAX(MAX(Inputs!$F$91,Inputs!$F$89),Time!Y$5))/Time!Y$7</f>
        <v/>
      </c>
      <c r="Z806" s="14">
        <f>MAX(0,MIN(Inputs!$F$90,Time!Z$6)-MAX(MAX(Inputs!$F$91,Inputs!$F$89),Time!Z$5))/Time!Z$7</f>
        <v/>
      </c>
      <c r="AA806" s="14">
        <f>MAX(0,MIN(Inputs!$F$90,Time!AA$6)-MAX(MAX(Inputs!$F$91,Inputs!$F$89),Time!AA$5))/Time!AA$7</f>
        <v/>
      </c>
      <c r="AB806" s="14">
        <f>MAX(0,MIN(Inputs!$F$90,Time!AB$6)-MAX(MAX(Inputs!$F$91,Inputs!$F$89),Time!AB$5))/Time!AB$7</f>
        <v/>
      </c>
      <c r="AC806" s="14">
        <f>MAX(0,MIN(Inputs!$F$90,Time!AC$6)-MAX(MAX(Inputs!$F$91,Inputs!$F$89),Time!AC$5))/Time!AC$7</f>
        <v/>
      </c>
      <c r="AD806" s="14">
        <f>MAX(0,MIN(Inputs!$F$90,Time!AD$6)-MAX(MAX(Inputs!$F$91,Inputs!$F$89),Time!AD$5))/Time!AD$7</f>
        <v/>
      </c>
      <c r="AE806" s="14">
        <f>MAX(0,MIN(Inputs!$F$90,Time!AE$6)-MAX(MAX(Inputs!$F$91,Inputs!$F$89),Time!AE$5))/Time!AE$7</f>
        <v/>
      </c>
      <c r="AF806" s="14">
        <f>MAX(0,MIN(Inputs!$F$90,Time!AF$6)-MAX(MAX(Inputs!$F$91,Inputs!$F$89),Time!AF$5))/Time!AF$7</f>
        <v/>
      </c>
      <c r="AG806" s="14">
        <f>MAX(0,MIN(Inputs!$F$90,Time!AG$6)-MAX(MAX(Inputs!$F$91,Inputs!$F$89),Time!AG$5))/Time!AG$7</f>
        <v/>
      </c>
      <c r="AH806" s="14">
        <f>MAX(0,MIN(Inputs!$F$90,Time!AH$6)-MAX(MAX(Inputs!$F$91,Inputs!$F$89),Time!AH$5))/Time!AH$7</f>
        <v/>
      </c>
      <c r="AI806" s="14">
        <f>MAX(0,MIN(Inputs!$F$90,Time!AI$6)-MAX(MAX(Inputs!$F$91,Inputs!$F$89),Time!AI$5))/Time!AI$7</f>
        <v/>
      </c>
      <c r="AJ806" s="14">
        <f>MAX(0,MIN(Inputs!$F$90,Time!AJ$6)-MAX(MAX(Inputs!$F$91,Inputs!$F$89),Time!AJ$5))/Time!AJ$7</f>
        <v/>
      </c>
      <c r="AK806" s="14">
        <f>MAX(0,MIN(Inputs!$F$90,Time!AK$6)-MAX(MAX(Inputs!$F$91,Inputs!$F$89),Time!AK$5))/Time!AK$7</f>
        <v/>
      </c>
      <c r="AL806" s="14">
        <f>MAX(0,MIN(Inputs!$F$90,Time!AL$6)-MAX(MAX(Inputs!$F$91,Inputs!$F$89),Time!AL$5))/Time!AL$7</f>
        <v/>
      </c>
      <c r="AM806" s="14">
        <f>MAX(0,MIN(Inputs!$F$90,Time!AM$6)-MAX(MAX(Inputs!$F$91,Inputs!$F$89),Time!AM$5))/Time!AM$7</f>
        <v/>
      </c>
      <c r="AN806" s="14">
        <f>MAX(0,MIN(Inputs!$F$90,Time!AN$6)-MAX(MAX(Inputs!$F$91,Inputs!$F$89),Time!AN$5))/Time!AN$7</f>
        <v/>
      </c>
      <c r="AO806" s="14">
        <f>MAX(0,MIN(Inputs!$F$90,Time!AO$6)-MAX(MAX(Inputs!$F$91,Inputs!$F$89),Time!AO$5))/Time!AO$7</f>
        <v/>
      </c>
      <c r="AP806" s="14">
        <f>MAX(0,MIN(Inputs!$F$90,Time!AP$6)-MAX(MAX(Inputs!$F$91,Inputs!$F$89),Time!AP$5))/Time!AP$7</f>
        <v/>
      </c>
      <c r="AQ806" s="14">
        <f>MAX(0,MIN(Inputs!$F$90,Time!AQ$6)-MAX(MAX(Inputs!$F$91,Inputs!$F$89),Time!AQ$5))/Time!AQ$7</f>
        <v/>
      </c>
      <c r="AR806" s="14">
        <f>MAX(0,MIN(Inputs!$F$90,Time!AR$6)-MAX(MAX(Inputs!$F$91,Inputs!$F$89),Time!AR$5))/Time!AR$7</f>
        <v/>
      </c>
      <c r="AS806" s="14">
        <f>MAX(0,MIN(Inputs!$F$90,Time!AS$6)-MAX(MAX(Inputs!$F$91,Inputs!$F$89),Time!AS$5))/Time!AS$7</f>
        <v/>
      </c>
      <c r="AT806" s="14">
        <f>MAX(0,MIN(Inputs!$F$90,Time!AT$6)-MAX(MAX(Inputs!$F$91,Inputs!$F$89),Time!AT$5))/Time!AT$7</f>
        <v/>
      </c>
      <c r="AU806" s="14">
        <f>MAX(0,MIN(Inputs!$F$90,Time!AU$6)-MAX(MAX(Inputs!$F$91,Inputs!$F$89),Time!AU$5))/Time!AU$7</f>
        <v/>
      </c>
    </row>
    <row r="807">
      <c r="D807" t="inlineStr">
        <is>
          <t>R1 owned share of operating period</t>
        </is>
      </c>
      <c r="E807" t="inlineStr">
        <is>
          <t>fraction</t>
        </is>
      </c>
      <c r="J807" s="14">
        <f>IF(Operations!J805&gt;0,Operations!J806/Operations!J805,0)</f>
        <v/>
      </c>
      <c r="K807" s="14">
        <f>IF(Operations!K805&gt;0,Operations!K806/Operations!K805,0)</f>
        <v/>
      </c>
      <c r="L807" s="14">
        <f>IF(Operations!L805&gt;0,Operations!L806/Operations!L805,0)</f>
        <v/>
      </c>
      <c r="M807" s="14">
        <f>IF(Operations!M805&gt;0,Operations!M806/Operations!M805,0)</f>
        <v/>
      </c>
      <c r="N807" s="14">
        <f>IF(Operations!N805&gt;0,Operations!N806/Operations!N805,0)</f>
        <v/>
      </c>
      <c r="O807" s="14">
        <f>IF(Operations!O805&gt;0,Operations!O806/Operations!O805,0)</f>
        <v/>
      </c>
      <c r="P807" s="14">
        <f>IF(Operations!P805&gt;0,Operations!P806/Operations!P805,0)</f>
        <v/>
      </c>
      <c r="Q807" s="14">
        <f>IF(Operations!Q805&gt;0,Operations!Q806/Operations!Q805,0)</f>
        <v/>
      </c>
      <c r="R807" s="14">
        <f>IF(Operations!R805&gt;0,Operations!R806/Operations!R805,0)</f>
        <v/>
      </c>
      <c r="S807" s="14">
        <f>IF(Operations!S805&gt;0,Operations!S806/Operations!S805,0)</f>
        <v/>
      </c>
      <c r="T807" s="14">
        <f>IF(Operations!T805&gt;0,Operations!T806/Operations!T805,0)</f>
        <v/>
      </c>
      <c r="U807" s="14">
        <f>IF(Operations!U805&gt;0,Operations!U806/Operations!U805,0)</f>
        <v/>
      </c>
      <c r="V807" s="14">
        <f>IF(Operations!V805&gt;0,Operations!V806/Operations!V805,0)</f>
        <v/>
      </c>
      <c r="W807" s="14">
        <f>IF(Operations!W805&gt;0,Operations!W806/Operations!W805,0)</f>
        <v/>
      </c>
      <c r="X807" s="14">
        <f>IF(Operations!X805&gt;0,Operations!X806/Operations!X805,0)</f>
        <v/>
      </c>
      <c r="Y807" s="14">
        <f>IF(Operations!Y805&gt;0,Operations!Y806/Operations!Y805,0)</f>
        <v/>
      </c>
      <c r="Z807" s="14">
        <f>IF(Operations!Z805&gt;0,Operations!Z806/Operations!Z805,0)</f>
        <v/>
      </c>
      <c r="AA807" s="14">
        <f>IF(Operations!AA805&gt;0,Operations!AA806/Operations!AA805,0)</f>
        <v/>
      </c>
      <c r="AB807" s="14">
        <f>IF(Operations!AB805&gt;0,Operations!AB806/Operations!AB805,0)</f>
        <v/>
      </c>
      <c r="AC807" s="14">
        <f>IF(Operations!AC805&gt;0,Operations!AC806/Operations!AC805,0)</f>
        <v/>
      </c>
      <c r="AD807" s="14">
        <f>IF(Operations!AD805&gt;0,Operations!AD806/Operations!AD805,0)</f>
        <v/>
      </c>
      <c r="AE807" s="14">
        <f>IF(Operations!AE805&gt;0,Operations!AE806/Operations!AE805,0)</f>
        <v/>
      </c>
      <c r="AF807" s="14">
        <f>IF(Operations!AF805&gt;0,Operations!AF806/Operations!AF805,0)</f>
        <v/>
      </c>
      <c r="AG807" s="14">
        <f>IF(Operations!AG805&gt;0,Operations!AG806/Operations!AG805,0)</f>
        <v/>
      </c>
      <c r="AH807" s="14">
        <f>IF(Operations!AH805&gt;0,Operations!AH806/Operations!AH805,0)</f>
        <v/>
      </c>
      <c r="AI807" s="14">
        <f>IF(Operations!AI805&gt;0,Operations!AI806/Operations!AI805,0)</f>
        <v/>
      </c>
      <c r="AJ807" s="14">
        <f>IF(Operations!AJ805&gt;0,Operations!AJ806/Operations!AJ805,0)</f>
        <v/>
      </c>
      <c r="AK807" s="14">
        <f>IF(Operations!AK805&gt;0,Operations!AK806/Operations!AK805,0)</f>
        <v/>
      </c>
      <c r="AL807" s="14">
        <f>IF(Operations!AL805&gt;0,Operations!AL806/Operations!AL805,0)</f>
        <v/>
      </c>
      <c r="AM807" s="14">
        <f>IF(Operations!AM805&gt;0,Operations!AM806/Operations!AM805,0)</f>
        <v/>
      </c>
      <c r="AN807" s="14">
        <f>IF(Operations!AN805&gt;0,Operations!AN806/Operations!AN805,0)</f>
        <v/>
      </c>
      <c r="AO807" s="14">
        <f>IF(Operations!AO805&gt;0,Operations!AO806/Operations!AO805,0)</f>
        <v/>
      </c>
      <c r="AP807" s="14">
        <f>IF(Operations!AP805&gt;0,Operations!AP806/Operations!AP805,0)</f>
        <v/>
      </c>
      <c r="AQ807" s="14">
        <f>IF(Operations!AQ805&gt;0,Operations!AQ806/Operations!AQ805,0)</f>
        <v/>
      </c>
      <c r="AR807" s="14">
        <f>IF(Operations!AR805&gt;0,Operations!AR806/Operations!AR805,0)</f>
        <v/>
      </c>
      <c r="AS807" s="14">
        <f>IF(Operations!AS805&gt;0,Operations!AS806/Operations!AS805,0)</f>
        <v/>
      </c>
      <c r="AT807" s="14">
        <f>IF(Operations!AT805&gt;0,Operations!AT806/Operations!AT805,0)</f>
        <v/>
      </c>
      <c r="AU807" s="14">
        <f>IF(Operations!AU805&gt;0,Operations!AU806/Operations!AU805,0)</f>
        <v/>
      </c>
    </row>
    <row r="808">
      <c r="D808" t="inlineStr">
        <is>
          <t>R1 own hub ATC</t>
        </is>
      </c>
      <c r="E808" t="inlineStr">
        <is>
          <t>USD/MWh</t>
        </is>
      </c>
      <c r="J808" s="18">
        <f>Operations!J795</f>
        <v/>
      </c>
      <c r="K808" s="18">
        <f>Operations!K795</f>
        <v/>
      </c>
      <c r="L808" s="18">
        <f>Operations!L795</f>
        <v/>
      </c>
      <c r="M808" s="18">
        <f>Operations!M795</f>
        <v/>
      </c>
      <c r="N808" s="18">
        <f>Operations!N795</f>
        <v/>
      </c>
      <c r="O808" s="18">
        <f>Operations!O795</f>
        <v/>
      </c>
      <c r="P808" s="18">
        <f>Operations!P795</f>
        <v/>
      </c>
      <c r="Q808" s="18">
        <f>Operations!Q795</f>
        <v/>
      </c>
      <c r="R808" s="18">
        <f>Operations!R795</f>
        <v/>
      </c>
      <c r="S808" s="18">
        <f>Operations!S795</f>
        <v/>
      </c>
      <c r="T808" s="18">
        <f>Operations!T795</f>
        <v/>
      </c>
      <c r="U808" s="18">
        <f>Operations!U795</f>
        <v/>
      </c>
      <c r="V808" s="18">
        <f>Operations!V795</f>
        <v/>
      </c>
      <c r="W808" s="18">
        <f>Operations!W795</f>
        <v/>
      </c>
      <c r="X808" s="18">
        <f>Operations!X795</f>
        <v/>
      </c>
      <c r="Y808" s="18">
        <f>Operations!Y795</f>
        <v/>
      </c>
      <c r="Z808" s="18">
        <f>Operations!Z795</f>
        <v/>
      </c>
      <c r="AA808" s="18">
        <f>Operations!AA795</f>
        <v/>
      </c>
      <c r="AB808" s="18">
        <f>Operations!AB795</f>
        <v/>
      </c>
      <c r="AC808" s="18">
        <f>Operations!AC795</f>
        <v/>
      </c>
      <c r="AD808" s="18">
        <f>Operations!AD795</f>
        <v/>
      </c>
      <c r="AE808" s="18">
        <f>Operations!AE795</f>
        <v/>
      </c>
      <c r="AF808" s="18">
        <f>Operations!AF795</f>
        <v/>
      </c>
      <c r="AG808" s="18">
        <f>Operations!AG795</f>
        <v/>
      </c>
      <c r="AH808" s="18">
        <f>Operations!AH795</f>
        <v/>
      </c>
      <c r="AI808" s="18">
        <f>Operations!AI795</f>
        <v/>
      </c>
      <c r="AJ808" s="18">
        <f>Operations!AJ795</f>
        <v/>
      </c>
      <c r="AK808" s="18">
        <f>Operations!AK795</f>
        <v/>
      </c>
      <c r="AL808" s="18">
        <f>Operations!AL795</f>
        <v/>
      </c>
      <c r="AM808" s="18">
        <f>Operations!AM795</f>
        <v/>
      </c>
      <c r="AN808" s="18">
        <f>Operations!AN795</f>
        <v/>
      </c>
      <c r="AO808" s="18">
        <f>Operations!AO795</f>
        <v/>
      </c>
      <c r="AP808" s="18">
        <f>Operations!AP795</f>
        <v/>
      </c>
      <c r="AQ808" s="18">
        <f>Operations!AQ795</f>
        <v/>
      </c>
      <c r="AR808" s="18">
        <f>Operations!AR795</f>
        <v/>
      </c>
      <c r="AS808" s="18">
        <f>Operations!AS795</f>
        <v/>
      </c>
      <c r="AT808" s="18">
        <f>Operations!AT795</f>
        <v/>
      </c>
      <c r="AU808" s="18">
        <f>Operations!AU795</f>
        <v/>
      </c>
    </row>
    <row r="809">
      <c r="D809" t="inlineStr">
        <is>
          <t>R1 volume factor</t>
        </is>
      </c>
      <c r="E809" t="inlineStr">
        <is>
          <t>factor</t>
        </is>
      </c>
      <c r="J809" s="14">
        <f>CHOOSE(Operations!$F$789,1,Inputs!$F$95/100,Inputs!$F$96/100,Operations!$F$12/100)</f>
        <v/>
      </c>
      <c r="K809" s="14">
        <f>CHOOSE(Operations!$F$789,1,Inputs!$F$95/100,Inputs!$F$96/100,Operations!$F$12/100)</f>
        <v/>
      </c>
      <c r="L809" s="14">
        <f>CHOOSE(Operations!$F$789,1,Inputs!$F$95/100,Inputs!$F$96/100,Operations!$F$12/100)</f>
        <v/>
      </c>
      <c r="M809" s="14">
        <f>CHOOSE(Operations!$F$789,1,Inputs!$F$95/100,Inputs!$F$96/100,Operations!$F$12/100)</f>
        <v/>
      </c>
      <c r="N809" s="14">
        <f>CHOOSE(Operations!$F$789,1,Inputs!$F$95/100,Inputs!$F$96/100,Operations!$F$12/100)</f>
        <v/>
      </c>
      <c r="O809" s="14">
        <f>CHOOSE(Operations!$F$789,1,Inputs!$F$95/100,Inputs!$F$96/100,Operations!$F$12/100)</f>
        <v/>
      </c>
      <c r="P809" s="14">
        <f>CHOOSE(Operations!$F$789,1,Inputs!$F$95/100,Inputs!$F$96/100,Operations!$F$12/100)</f>
        <v/>
      </c>
      <c r="Q809" s="14">
        <f>CHOOSE(Operations!$F$789,1,Inputs!$F$95/100,Inputs!$F$96/100,Operations!$F$12/100)</f>
        <v/>
      </c>
      <c r="R809" s="14">
        <f>CHOOSE(Operations!$F$789,1,Inputs!$F$95/100,Inputs!$F$96/100,Operations!$F$12/100)</f>
        <v/>
      </c>
      <c r="S809" s="14">
        <f>CHOOSE(Operations!$F$789,1,Inputs!$F$95/100,Inputs!$F$96/100,Operations!$F$12/100)</f>
        <v/>
      </c>
      <c r="T809" s="14">
        <f>CHOOSE(Operations!$F$789,1,Inputs!$F$95/100,Inputs!$F$96/100,Operations!$F$12/100)</f>
        <v/>
      </c>
      <c r="U809" s="14">
        <f>CHOOSE(Operations!$F$789,1,Inputs!$F$95/100,Inputs!$F$96/100,Operations!$F$12/100)</f>
        <v/>
      </c>
      <c r="V809" s="14">
        <f>CHOOSE(Operations!$F$789,1,Inputs!$F$95/100,Inputs!$F$96/100,Operations!$F$12/100)</f>
        <v/>
      </c>
      <c r="W809" s="14">
        <f>CHOOSE(Operations!$F$789,1,Inputs!$F$95/100,Inputs!$F$96/100,Operations!$F$12/100)</f>
        <v/>
      </c>
      <c r="X809" s="14">
        <f>CHOOSE(Operations!$F$789,1,Inputs!$F$95/100,Inputs!$F$96/100,Operations!$F$12/100)</f>
        <v/>
      </c>
      <c r="Y809" s="14">
        <f>CHOOSE(Operations!$F$789,1,Inputs!$F$95/100,Inputs!$F$96/100,Operations!$F$12/100)</f>
        <v/>
      </c>
      <c r="Z809" s="14">
        <f>CHOOSE(Operations!$F$789,1,Inputs!$F$95/100,Inputs!$F$96/100,Operations!$F$12/100)</f>
        <v/>
      </c>
      <c r="AA809" s="14">
        <f>CHOOSE(Operations!$F$789,1,Inputs!$F$95/100,Inputs!$F$96/100,Operations!$F$12/100)</f>
        <v/>
      </c>
      <c r="AB809" s="14">
        <f>CHOOSE(Operations!$F$789,1,Inputs!$F$95/100,Inputs!$F$96/100,Operations!$F$12/100)</f>
        <v/>
      </c>
      <c r="AC809" s="14">
        <f>CHOOSE(Operations!$F$789,1,Inputs!$F$95/100,Inputs!$F$96/100,Operations!$F$12/100)</f>
        <v/>
      </c>
      <c r="AD809" s="14">
        <f>CHOOSE(Operations!$F$789,1,Inputs!$F$95/100,Inputs!$F$96/100,Operations!$F$12/100)</f>
        <v/>
      </c>
      <c r="AE809" s="14">
        <f>CHOOSE(Operations!$F$789,1,Inputs!$F$95/100,Inputs!$F$96/100,Operations!$F$12/100)</f>
        <v/>
      </c>
      <c r="AF809" s="14">
        <f>CHOOSE(Operations!$F$789,1,Inputs!$F$95/100,Inputs!$F$96/100,Operations!$F$12/100)</f>
        <v/>
      </c>
      <c r="AG809" s="14">
        <f>CHOOSE(Operations!$F$789,1,Inputs!$F$95/100,Inputs!$F$96/100,Operations!$F$12/100)</f>
        <v/>
      </c>
      <c r="AH809" s="14">
        <f>CHOOSE(Operations!$F$789,1,Inputs!$F$95/100,Inputs!$F$96/100,Operations!$F$12/100)</f>
        <v/>
      </c>
      <c r="AI809" s="14">
        <f>CHOOSE(Operations!$F$789,1,Inputs!$F$95/100,Inputs!$F$96/100,Operations!$F$12/100)</f>
        <v/>
      </c>
      <c r="AJ809" s="14">
        <f>CHOOSE(Operations!$F$789,1,Inputs!$F$95/100,Inputs!$F$96/100,Operations!$F$12/100)</f>
        <v/>
      </c>
      <c r="AK809" s="14">
        <f>CHOOSE(Operations!$F$789,1,Inputs!$F$95/100,Inputs!$F$96/100,Operations!$F$12/100)</f>
        <v/>
      </c>
      <c r="AL809" s="14">
        <f>CHOOSE(Operations!$F$789,1,Inputs!$F$95/100,Inputs!$F$96/100,Operations!$F$12/100)</f>
        <v/>
      </c>
      <c r="AM809" s="14">
        <f>CHOOSE(Operations!$F$789,1,Inputs!$F$95/100,Inputs!$F$96/100,Operations!$F$12/100)</f>
        <v/>
      </c>
      <c r="AN809" s="14">
        <f>CHOOSE(Operations!$F$789,1,Inputs!$F$95/100,Inputs!$F$96/100,Operations!$F$12/100)</f>
        <v/>
      </c>
      <c r="AO809" s="14">
        <f>CHOOSE(Operations!$F$789,1,Inputs!$F$95/100,Inputs!$F$96/100,Operations!$F$12/100)</f>
        <v/>
      </c>
      <c r="AP809" s="14">
        <f>CHOOSE(Operations!$F$789,1,Inputs!$F$95/100,Inputs!$F$96/100,Operations!$F$12/100)</f>
        <v/>
      </c>
      <c r="AQ809" s="14">
        <f>CHOOSE(Operations!$F$789,1,Inputs!$F$95/100,Inputs!$F$96/100,Operations!$F$12/100)</f>
        <v/>
      </c>
      <c r="AR809" s="14">
        <f>CHOOSE(Operations!$F$789,1,Inputs!$F$95/100,Inputs!$F$96/100,Operations!$F$12/100)</f>
        <v/>
      </c>
      <c r="AS809" s="14">
        <f>CHOOSE(Operations!$F$789,1,Inputs!$F$95/100,Inputs!$F$96/100,Operations!$F$12/100)</f>
        <v/>
      </c>
      <c r="AT809" s="14">
        <f>CHOOSE(Operations!$F$789,1,Inputs!$F$95/100,Inputs!$F$96/100,Operations!$F$12/100)</f>
        <v/>
      </c>
      <c r="AU809" s="14">
        <f>CHOOSE(Operations!$F$789,1,Inputs!$F$95/100,Inputs!$F$96/100,Operations!$F$12/100)</f>
        <v/>
      </c>
    </row>
    <row r="810">
      <c r="D810" t="inlineStr">
        <is>
          <t>R1 degradation factor</t>
        </is>
      </c>
      <c r="E810" t="inlineStr">
        <is>
          <t>factor</t>
        </is>
      </c>
      <c r="J810" s="14">
        <f>(1-Inputs!$F$97/100)^MAX(0,Time!J$4-Inputs!$F$98)</f>
        <v/>
      </c>
      <c r="K810" s="14">
        <f>(1-Inputs!$F$97/100)^MAX(0,Time!K$4-Inputs!$F$98)</f>
        <v/>
      </c>
      <c r="L810" s="14">
        <f>(1-Inputs!$F$97/100)^MAX(0,Time!L$4-Inputs!$F$98)</f>
        <v/>
      </c>
      <c r="M810" s="14">
        <f>(1-Inputs!$F$97/100)^MAX(0,Time!M$4-Inputs!$F$98)</f>
        <v/>
      </c>
      <c r="N810" s="14">
        <f>(1-Inputs!$F$97/100)^MAX(0,Time!N$4-Inputs!$F$98)</f>
        <v/>
      </c>
      <c r="O810" s="14">
        <f>(1-Inputs!$F$97/100)^MAX(0,Time!O$4-Inputs!$F$98)</f>
        <v/>
      </c>
      <c r="P810" s="14">
        <f>(1-Inputs!$F$97/100)^MAX(0,Time!P$4-Inputs!$F$98)</f>
        <v/>
      </c>
      <c r="Q810" s="14">
        <f>(1-Inputs!$F$97/100)^MAX(0,Time!Q$4-Inputs!$F$98)</f>
        <v/>
      </c>
      <c r="R810" s="14">
        <f>(1-Inputs!$F$97/100)^MAX(0,Time!R$4-Inputs!$F$98)</f>
        <v/>
      </c>
      <c r="S810" s="14">
        <f>(1-Inputs!$F$97/100)^MAX(0,Time!S$4-Inputs!$F$98)</f>
        <v/>
      </c>
      <c r="T810" s="14">
        <f>(1-Inputs!$F$97/100)^MAX(0,Time!T$4-Inputs!$F$98)</f>
        <v/>
      </c>
      <c r="U810" s="14">
        <f>(1-Inputs!$F$97/100)^MAX(0,Time!U$4-Inputs!$F$98)</f>
        <v/>
      </c>
      <c r="V810" s="14">
        <f>(1-Inputs!$F$97/100)^MAX(0,Time!V$4-Inputs!$F$98)</f>
        <v/>
      </c>
      <c r="W810" s="14">
        <f>(1-Inputs!$F$97/100)^MAX(0,Time!W$4-Inputs!$F$98)</f>
        <v/>
      </c>
      <c r="X810" s="14">
        <f>(1-Inputs!$F$97/100)^MAX(0,Time!X$4-Inputs!$F$98)</f>
        <v/>
      </c>
      <c r="Y810" s="14">
        <f>(1-Inputs!$F$97/100)^MAX(0,Time!Y$4-Inputs!$F$98)</f>
        <v/>
      </c>
      <c r="Z810" s="14">
        <f>(1-Inputs!$F$97/100)^MAX(0,Time!Z$4-Inputs!$F$98)</f>
        <v/>
      </c>
      <c r="AA810" s="14">
        <f>(1-Inputs!$F$97/100)^MAX(0,Time!AA$4-Inputs!$F$98)</f>
        <v/>
      </c>
      <c r="AB810" s="14">
        <f>(1-Inputs!$F$97/100)^MAX(0,Time!AB$4-Inputs!$F$98)</f>
        <v/>
      </c>
      <c r="AC810" s="14">
        <f>(1-Inputs!$F$97/100)^MAX(0,Time!AC$4-Inputs!$F$98)</f>
        <v/>
      </c>
      <c r="AD810" s="14">
        <f>(1-Inputs!$F$97/100)^MAX(0,Time!AD$4-Inputs!$F$98)</f>
        <v/>
      </c>
      <c r="AE810" s="14">
        <f>(1-Inputs!$F$97/100)^MAX(0,Time!AE$4-Inputs!$F$98)</f>
        <v/>
      </c>
      <c r="AF810" s="14">
        <f>(1-Inputs!$F$97/100)^MAX(0,Time!AF$4-Inputs!$F$98)</f>
        <v/>
      </c>
      <c r="AG810" s="14">
        <f>(1-Inputs!$F$97/100)^MAX(0,Time!AG$4-Inputs!$F$98)</f>
        <v/>
      </c>
      <c r="AH810" s="14">
        <f>(1-Inputs!$F$97/100)^MAX(0,Time!AH$4-Inputs!$F$98)</f>
        <v/>
      </c>
      <c r="AI810" s="14">
        <f>(1-Inputs!$F$97/100)^MAX(0,Time!AI$4-Inputs!$F$98)</f>
        <v/>
      </c>
      <c r="AJ810" s="14">
        <f>(1-Inputs!$F$97/100)^MAX(0,Time!AJ$4-Inputs!$F$98)</f>
        <v/>
      </c>
      <c r="AK810" s="14">
        <f>(1-Inputs!$F$97/100)^MAX(0,Time!AK$4-Inputs!$F$98)</f>
        <v/>
      </c>
      <c r="AL810" s="14">
        <f>(1-Inputs!$F$97/100)^MAX(0,Time!AL$4-Inputs!$F$98)</f>
        <v/>
      </c>
      <c r="AM810" s="14">
        <f>(1-Inputs!$F$97/100)^MAX(0,Time!AM$4-Inputs!$F$98)</f>
        <v/>
      </c>
      <c r="AN810" s="14">
        <f>(1-Inputs!$F$97/100)^MAX(0,Time!AN$4-Inputs!$F$98)</f>
        <v/>
      </c>
      <c r="AO810" s="14">
        <f>(1-Inputs!$F$97/100)^MAX(0,Time!AO$4-Inputs!$F$98)</f>
        <v/>
      </c>
      <c r="AP810" s="14">
        <f>(1-Inputs!$F$97/100)^MAX(0,Time!AP$4-Inputs!$F$98)</f>
        <v/>
      </c>
      <c r="AQ810" s="14">
        <f>(1-Inputs!$F$97/100)^MAX(0,Time!AQ$4-Inputs!$F$98)</f>
        <v/>
      </c>
      <c r="AR810" s="14">
        <f>(1-Inputs!$F$97/100)^MAX(0,Time!AR$4-Inputs!$F$98)</f>
        <v/>
      </c>
      <c r="AS810" s="14">
        <f>(1-Inputs!$F$97/100)^MAX(0,Time!AS$4-Inputs!$F$98)</f>
        <v/>
      </c>
      <c r="AT810" s="14">
        <f>(1-Inputs!$F$97/100)^MAX(0,Time!AT$4-Inputs!$F$98)</f>
        <v/>
      </c>
      <c r="AU810" s="14">
        <f>(1-Inputs!$F$97/100)^MAX(0,Time!AU$4-Inputs!$F$98)</f>
        <v/>
      </c>
    </row>
    <row r="811">
      <c r="D811" t="inlineStr">
        <is>
          <t>R1 curtailment</t>
        </is>
      </c>
      <c r="E811" t="inlineStr">
        <is>
          <t>fraction</t>
        </is>
      </c>
      <c r="J811" s="14">
        <f>(IF(Time!J$4&gt;=Inputs!$F$61,Inputs!$F$63,Inputs!$F$62+(Inputs!$F$63-Inputs!$F$62)*(Time!J$4-Inputs!$F$23)/(Inputs!$F$61-Inputs!$F$23))+Operations!$F$791)/100</f>
        <v/>
      </c>
      <c r="K811" s="14">
        <f>(IF(Time!K$4&gt;=Inputs!$F$61,Inputs!$F$63,Inputs!$F$62+(Inputs!$F$63-Inputs!$F$62)*(Time!K$4-Inputs!$F$23)/(Inputs!$F$61-Inputs!$F$23))+Operations!$F$791)/100</f>
        <v/>
      </c>
      <c r="L811" s="14">
        <f>(IF(Time!L$4&gt;=Inputs!$F$61,Inputs!$F$63,Inputs!$F$62+(Inputs!$F$63-Inputs!$F$62)*(Time!L$4-Inputs!$F$23)/(Inputs!$F$61-Inputs!$F$23))+Operations!$F$791)/100</f>
        <v/>
      </c>
      <c r="M811" s="14">
        <f>(IF(Time!M$4&gt;=Inputs!$F$61,Inputs!$F$63,Inputs!$F$62+(Inputs!$F$63-Inputs!$F$62)*(Time!M$4-Inputs!$F$23)/(Inputs!$F$61-Inputs!$F$23))+Operations!$F$791)/100</f>
        <v/>
      </c>
      <c r="N811" s="14">
        <f>(IF(Time!N$4&gt;=Inputs!$F$61,Inputs!$F$63,Inputs!$F$62+(Inputs!$F$63-Inputs!$F$62)*(Time!N$4-Inputs!$F$23)/(Inputs!$F$61-Inputs!$F$23))+Operations!$F$791)/100</f>
        <v/>
      </c>
      <c r="O811" s="14">
        <f>(IF(Time!O$4&gt;=Inputs!$F$61,Inputs!$F$63,Inputs!$F$62+(Inputs!$F$63-Inputs!$F$62)*(Time!O$4-Inputs!$F$23)/(Inputs!$F$61-Inputs!$F$23))+Operations!$F$791)/100</f>
        <v/>
      </c>
      <c r="P811" s="14">
        <f>(IF(Time!P$4&gt;=Inputs!$F$61,Inputs!$F$63,Inputs!$F$62+(Inputs!$F$63-Inputs!$F$62)*(Time!P$4-Inputs!$F$23)/(Inputs!$F$61-Inputs!$F$23))+Operations!$F$791)/100</f>
        <v/>
      </c>
      <c r="Q811" s="14">
        <f>(IF(Time!Q$4&gt;=Inputs!$F$61,Inputs!$F$63,Inputs!$F$62+(Inputs!$F$63-Inputs!$F$62)*(Time!Q$4-Inputs!$F$23)/(Inputs!$F$61-Inputs!$F$23))+Operations!$F$791)/100</f>
        <v/>
      </c>
      <c r="R811" s="14">
        <f>(IF(Time!R$4&gt;=Inputs!$F$61,Inputs!$F$63,Inputs!$F$62+(Inputs!$F$63-Inputs!$F$62)*(Time!R$4-Inputs!$F$23)/(Inputs!$F$61-Inputs!$F$23))+Operations!$F$791)/100</f>
        <v/>
      </c>
      <c r="S811" s="14">
        <f>(IF(Time!S$4&gt;=Inputs!$F$61,Inputs!$F$63,Inputs!$F$62+(Inputs!$F$63-Inputs!$F$62)*(Time!S$4-Inputs!$F$23)/(Inputs!$F$61-Inputs!$F$23))+Operations!$F$791)/100</f>
        <v/>
      </c>
      <c r="T811" s="14">
        <f>(IF(Time!T$4&gt;=Inputs!$F$61,Inputs!$F$63,Inputs!$F$62+(Inputs!$F$63-Inputs!$F$62)*(Time!T$4-Inputs!$F$23)/(Inputs!$F$61-Inputs!$F$23))+Operations!$F$791)/100</f>
        <v/>
      </c>
      <c r="U811" s="14">
        <f>(IF(Time!U$4&gt;=Inputs!$F$61,Inputs!$F$63,Inputs!$F$62+(Inputs!$F$63-Inputs!$F$62)*(Time!U$4-Inputs!$F$23)/(Inputs!$F$61-Inputs!$F$23))+Operations!$F$791)/100</f>
        <v/>
      </c>
      <c r="V811" s="14">
        <f>(IF(Time!V$4&gt;=Inputs!$F$61,Inputs!$F$63,Inputs!$F$62+(Inputs!$F$63-Inputs!$F$62)*(Time!V$4-Inputs!$F$23)/(Inputs!$F$61-Inputs!$F$23))+Operations!$F$791)/100</f>
        <v/>
      </c>
      <c r="W811" s="14">
        <f>(IF(Time!W$4&gt;=Inputs!$F$61,Inputs!$F$63,Inputs!$F$62+(Inputs!$F$63-Inputs!$F$62)*(Time!W$4-Inputs!$F$23)/(Inputs!$F$61-Inputs!$F$23))+Operations!$F$791)/100</f>
        <v/>
      </c>
      <c r="X811" s="14">
        <f>(IF(Time!X$4&gt;=Inputs!$F$61,Inputs!$F$63,Inputs!$F$62+(Inputs!$F$63-Inputs!$F$62)*(Time!X$4-Inputs!$F$23)/(Inputs!$F$61-Inputs!$F$23))+Operations!$F$791)/100</f>
        <v/>
      </c>
      <c r="Y811" s="14">
        <f>(IF(Time!Y$4&gt;=Inputs!$F$61,Inputs!$F$63,Inputs!$F$62+(Inputs!$F$63-Inputs!$F$62)*(Time!Y$4-Inputs!$F$23)/(Inputs!$F$61-Inputs!$F$23))+Operations!$F$791)/100</f>
        <v/>
      </c>
      <c r="Z811" s="14">
        <f>(IF(Time!Z$4&gt;=Inputs!$F$61,Inputs!$F$63,Inputs!$F$62+(Inputs!$F$63-Inputs!$F$62)*(Time!Z$4-Inputs!$F$23)/(Inputs!$F$61-Inputs!$F$23))+Operations!$F$791)/100</f>
        <v/>
      </c>
      <c r="AA811" s="14">
        <f>(IF(Time!AA$4&gt;=Inputs!$F$61,Inputs!$F$63,Inputs!$F$62+(Inputs!$F$63-Inputs!$F$62)*(Time!AA$4-Inputs!$F$23)/(Inputs!$F$61-Inputs!$F$23))+Operations!$F$791)/100</f>
        <v/>
      </c>
      <c r="AB811" s="14">
        <f>(IF(Time!AB$4&gt;=Inputs!$F$61,Inputs!$F$63,Inputs!$F$62+(Inputs!$F$63-Inputs!$F$62)*(Time!AB$4-Inputs!$F$23)/(Inputs!$F$61-Inputs!$F$23))+Operations!$F$791)/100</f>
        <v/>
      </c>
      <c r="AC811" s="14">
        <f>(IF(Time!AC$4&gt;=Inputs!$F$61,Inputs!$F$63,Inputs!$F$62+(Inputs!$F$63-Inputs!$F$62)*(Time!AC$4-Inputs!$F$23)/(Inputs!$F$61-Inputs!$F$23))+Operations!$F$791)/100</f>
        <v/>
      </c>
      <c r="AD811" s="14">
        <f>(IF(Time!AD$4&gt;=Inputs!$F$61,Inputs!$F$63,Inputs!$F$62+(Inputs!$F$63-Inputs!$F$62)*(Time!AD$4-Inputs!$F$23)/(Inputs!$F$61-Inputs!$F$23))+Operations!$F$791)/100</f>
        <v/>
      </c>
      <c r="AE811" s="14">
        <f>(IF(Time!AE$4&gt;=Inputs!$F$61,Inputs!$F$63,Inputs!$F$62+(Inputs!$F$63-Inputs!$F$62)*(Time!AE$4-Inputs!$F$23)/(Inputs!$F$61-Inputs!$F$23))+Operations!$F$791)/100</f>
        <v/>
      </c>
      <c r="AF811" s="14">
        <f>(IF(Time!AF$4&gt;=Inputs!$F$61,Inputs!$F$63,Inputs!$F$62+(Inputs!$F$63-Inputs!$F$62)*(Time!AF$4-Inputs!$F$23)/(Inputs!$F$61-Inputs!$F$23))+Operations!$F$791)/100</f>
        <v/>
      </c>
      <c r="AG811" s="14">
        <f>(IF(Time!AG$4&gt;=Inputs!$F$61,Inputs!$F$63,Inputs!$F$62+(Inputs!$F$63-Inputs!$F$62)*(Time!AG$4-Inputs!$F$23)/(Inputs!$F$61-Inputs!$F$23))+Operations!$F$791)/100</f>
        <v/>
      </c>
      <c r="AH811" s="14">
        <f>(IF(Time!AH$4&gt;=Inputs!$F$61,Inputs!$F$63,Inputs!$F$62+(Inputs!$F$63-Inputs!$F$62)*(Time!AH$4-Inputs!$F$23)/(Inputs!$F$61-Inputs!$F$23))+Operations!$F$791)/100</f>
        <v/>
      </c>
      <c r="AI811" s="14">
        <f>(IF(Time!AI$4&gt;=Inputs!$F$61,Inputs!$F$63,Inputs!$F$62+(Inputs!$F$63-Inputs!$F$62)*(Time!AI$4-Inputs!$F$23)/(Inputs!$F$61-Inputs!$F$23))+Operations!$F$791)/100</f>
        <v/>
      </c>
      <c r="AJ811" s="14">
        <f>(IF(Time!AJ$4&gt;=Inputs!$F$61,Inputs!$F$63,Inputs!$F$62+(Inputs!$F$63-Inputs!$F$62)*(Time!AJ$4-Inputs!$F$23)/(Inputs!$F$61-Inputs!$F$23))+Operations!$F$791)/100</f>
        <v/>
      </c>
      <c r="AK811" s="14">
        <f>(IF(Time!AK$4&gt;=Inputs!$F$61,Inputs!$F$63,Inputs!$F$62+(Inputs!$F$63-Inputs!$F$62)*(Time!AK$4-Inputs!$F$23)/(Inputs!$F$61-Inputs!$F$23))+Operations!$F$791)/100</f>
        <v/>
      </c>
      <c r="AL811" s="14">
        <f>(IF(Time!AL$4&gt;=Inputs!$F$61,Inputs!$F$63,Inputs!$F$62+(Inputs!$F$63-Inputs!$F$62)*(Time!AL$4-Inputs!$F$23)/(Inputs!$F$61-Inputs!$F$23))+Operations!$F$791)/100</f>
        <v/>
      </c>
      <c r="AM811" s="14">
        <f>(IF(Time!AM$4&gt;=Inputs!$F$61,Inputs!$F$63,Inputs!$F$62+(Inputs!$F$63-Inputs!$F$62)*(Time!AM$4-Inputs!$F$23)/(Inputs!$F$61-Inputs!$F$23))+Operations!$F$791)/100</f>
        <v/>
      </c>
      <c r="AN811" s="14">
        <f>(IF(Time!AN$4&gt;=Inputs!$F$61,Inputs!$F$63,Inputs!$F$62+(Inputs!$F$63-Inputs!$F$62)*(Time!AN$4-Inputs!$F$23)/(Inputs!$F$61-Inputs!$F$23))+Operations!$F$791)/100</f>
        <v/>
      </c>
      <c r="AO811" s="14">
        <f>(IF(Time!AO$4&gt;=Inputs!$F$61,Inputs!$F$63,Inputs!$F$62+(Inputs!$F$63-Inputs!$F$62)*(Time!AO$4-Inputs!$F$23)/(Inputs!$F$61-Inputs!$F$23))+Operations!$F$791)/100</f>
        <v/>
      </c>
      <c r="AP811" s="14">
        <f>(IF(Time!AP$4&gt;=Inputs!$F$61,Inputs!$F$63,Inputs!$F$62+(Inputs!$F$63-Inputs!$F$62)*(Time!AP$4-Inputs!$F$23)/(Inputs!$F$61-Inputs!$F$23))+Operations!$F$791)/100</f>
        <v/>
      </c>
      <c r="AQ811" s="14">
        <f>(IF(Time!AQ$4&gt;=Inputs!$F$61,Inputs!$F$63,Inputs!$F$62+(Inputs!$F$63-Inputs!$F$62)*(Time!AQ$4-Inputs!$F$23)/(Inputs!$F$61-Inputs!$F$23))+Operations!$F$791)/100</f>
        <v/>
      </c>
      <c r="AR811" s="14">
        <f>(IF(Time!AR$4&gt;=Inputs!$F$61,Inputs!$F$63,Inputs!$F$62+(Inputs!$F$63-Inputs!$F$62)*(Time!AR$4-Inputs!$F$23)/(Inputs!$F$61-Inputs!$F$23))+Operations!$F$791)/100</f>
        <v/>
      </c>
      <c r="AS811" s="14">
        <f>(IF(Time!AS$4&gt;=Inputs!$F$61,Inputs!$F$63,Inputs!$F$62+(Inputs!$F$63-Inputs!$F$62)*(Time!AS$4-Inputs!$F$23)/(Inputs!$F$61-Inputs!$F$23))+Operations!$F$791)/100</f>
        <v/>
      </c>
      <c r="AT811" s="14">
        <f>(IF(Time!AT$4&gt;=Inputs!$F$61,Inputs!$F$63,Inputs!$F$62+(Inputs!$F$63-Inputs!$F$62)*(Time!AT$4-Inputs!$F$23)/(Inputs!$F$61-Inputs!$F$23))+Operations!$F$791)/100</f>
        <v/>
      </c>
      <c r="AU811" s="14">
        <f>(IF(Time!AU$4&gt;=Inputs!$F$61,Inputs!$F$63,Inputs!$F$62+(Inputs!$F$63-Inputs!$F$62)*(Time!AU$4-Inputs!$F$23)/(Inputs!$F$61-Inputs!$F$23))+Operations!$F$791)/100</f>
        <v/>
      </c>
    </row>
    <row r="812">
      <c r="D812" t="inlineStr">
        <is>
          <t>R1 net generation, full year</t>
        </is>
      </c>
      <c r="E812" t="inlineStr">
        <is>
          <t>GWh</t>
        </is>
      </c>
      <c r="J812" s="20">
        <f>Inputs!$F$94*Operations!J809*Inputs!$F$185/100*Operations!J810*(1-Operations!J811)</f>
        <v/>
      </c>
      <c r="K812" s="20">
        <f>Inputs!$F$94*Operations!K809*Inputs!$F$185/100*Operations!K810*(1-Operations!K811)</f>
        <v/>
      </c>
      <c r="L812" s="20">
        <f>Inputs!$F$94*Operations!L809*Inputs!$F$185/100*Operations!L810*(1-Operations!L811)</f>
        <v/>
      </c>
      <c r="M812" s="20">
        <f>Inputs!$F$94*Operations!M809*Inputs!$F$185/100*Operations!M810*(1-Operations!M811)</f>
        <v/>
      </c>
      <c r="N812" s="20">
        <f>Inputs!$F$94*Operations!N809*Inputs!$F$185/100*Operations!N810*(1-Operations!N811)</f>
        <v/>
      </c>
      <c r="O812" s="20">
        <f>Inputs!$F$94*Operations!O809*Inputs!$F$185/100*Operations!O810*(1-Operations!O811)</f>
        <v/>
      </c>
      <c r="P812" s="20">
        <f>Inputs!$F$94*Operations!P809*Inputs!$F$185/100*Operations!P810*(1-Operations!P811)</f>
        <v/>
      </c>
      <c r="Q812" s="20">
        <f>Inputs!$F$94*Operations!Q809*Inputs!$F$185/100*Operations!Q810*(1-Operations!Q811)</f>
        <v/>
      </c>
      <c r="R812" s="20">
        <f>Inputs!$F$94*Operations!R809*Inputs!$F$185/100*Operations!R810*(1-Operations!R811)</f>
        <v/>
      </c>
      <c r="S812" s="20">
        <f>Inputs!$F$94*Operations!S809*Inputs!$F$185/100*Operations!S810*(1-Operations!S811)</f>
        <v/>
      </c>
      <c r="T812" s="20">
        <f>Inputs!$F$94*Operations!T809*Inputs!$F$185/100*Operations!T810*(1-Operations!T811)</f>
        <v/>
      </c>
      <c r="U812" s="20">
        <f>Inputs!$F$94*Operations!U809*Inputs!$F$185/100*Operations!U810*(1-Operations!U811)</f>
        <v/>
      </c>
      <c r="V812" s="20">
        <f>Inputs!$F$94*Operations!V809*Inputs!$F$185/100*Operations!V810*(1-Operations!V811)</f>
        <v/>
      </c>
      <c r="W812" s="20">
        <f>Inputs!$F$94*Operations!W809*Inputs!$F$185/100*Operations!W810*(1-Operations!W811)</f>
        <v/>
      </c>
      <c r="X812" s="20">
        <f>Inputs!$F$94*Operations!X809*Inputs!$F$185/100*Operations!X810*(1-Operations!X811)</f>
        <v/>
      </c>
      <c r="Y812" s="20">
        <f>Inputs!$F$94*Operations!Y809*Inputs!$F$185/100*Operations!Y810*(1-Operations!Y811)</f>
        <v/>
      </c>
      <c r="Z812" s="20">
        <f>Inputs!$F$94*Operations!Z809*Inputs!$F$185/100*Operations!Z810*(1-Operations!Z811)</f>
        <v/>
      </c>
      <c r="AA812" s="20">
        <f>Inputs!$F$94*Operations!AA809*Inputs!$F$185/100*Operations!AA810*(1-Operations!AA811)</f>
        <v/>
      </c>
      <c r="AB812" s="20">
        <f>Inputs!$F$94*Operations!AB809*Inputs!$F$185/100*Operations!AB810*(1-Operations!AB811)</f>
        <v/>
      </c>
      <c r="AC812" s="20">
        <f>Inputs!$F$94*Operations!AC809*Inputs!$F$185/100*Operations!AC810*(1-Operations!AC811)</f>
        <v/>
      </c>
      <c r="AD812" s="20">
        <f>Inputs!$F$94*Operations!AD809*Inputs!$F$185/100*Operations!AD810*(1-Operations!AD811)</f>
        <v/>
      </c>
      <c r="AE812" s="20">
        <f>Inputs!$F$94*Operations!AE809*Inputs!$F$185/100*Operations!AE810*(1-Operations!AE811)</f>
        <v/>
      </c>
      <c r="AF812" s="20">
        <f>Inputs!$F$94*Operations!AF809*Inputs!$F$185/100*Operations!AF810*(1-Operations!AF811)</f>
        <v/>
      </c>
      <c r="AG812" s="20">
        <f>Inputs!$F$94*Operations!AG809*Inputs!$F$185/100*Operations!AG810*(1-Operations!AG811)</f>
        <v/>
      </c>
      <c r="AH812" s="20">
        <f>Inputs!$F$94*Operations!AH809*Inputs!$F$185/100*Operations!AH810*(1-Operations!AH811)</f>
        <v/>
      </c>
      <c r="AI812" s="20">
        <f>Inputs!$F$94*Operations!AI809*Inputs!$F$185/100*Operations!AI810*(1-Operations!AI811)</f>
        <v/>
      </c>
      <c r="AJ812" s="20">
        <f>Inputs!$F$94*Operations!AJ809*Inputs!$F$185/100*Operations!AJ810*(1-Operations!AJ811)</f>
        <v/>
      </c>
      <c r="AK812" s="20">
        <f>Inputs!$F$94*Operations!AK809*Inputs!$F$185/100*Operations!AK810*(1-Operations!AK811)</f>
        <v/>
      </c>
      <c r="AL812" s="20">
        <f>Inputs!$F$94*Operations!AL809*Inputs!$F$185/100*Operations!AL810*(1-Operations!AL811)</f>
        <v/>
      </c>
      <c r="AM812" s="20">
        <f>Inputs!$F$94*Operations!AM809*Inputs!$F$185/100*Operations!AM810*(1-Operations!AM811)</f>
        <v/>
      </c>
      <c r="AN812" s="20">
        <f>Inputs!$F$94*Operations!AN809*Inputs!$F$185/100*Operations!AN810*(1-Operations!AN811)</f>
        <v/>
      </c>
      <c r="AO812" s="20">
        <f>Inputs!$F$94*Operations!AO809*Inputs!$F$185/100*Operations!AO810*(1-Operations!AO811)</f>
        <v/>
      </c>
      <c r="AP812" s="20">
        <f>Inputs!$F$94*Operations!AP809*Inputs!$F$185/100*Operations!AP810*(1-Operations!AP811)</f>
        <v/>
      </c>
      <c r="AQ812" s="20">
        <f>Inputs!$F$94*Operations!AQ809*Inputs!$F$185/100*Operations!AQ810*(1-Operations!AQ811)</f>
        <v/>
      </c>
      <c r="AR812" s="20">
        <f>Inputs!$F$94*Operations!AR809*Inputs!$F$185/100*Operations!AR810*(1-Operations!AR811)</f>
        <v/>
      </c>
      <c r="AS812" s="20">
        <f>Inputs!$F$94*Operations!AS809*Inputs!$F$185/100*Operations!AS810*(1-Operations!AS811)</f>
        <v/>
      </c>
      <c r="AT812" s="20">
        <f>Inputs!$F$94*Operations!AT809*Inputs!$F$185/100*Operations!AT810*(1-Operations!AT811)</f>
        <v/>
      </c>
      <c r="AU812" s="20">
        <f>Inputs!$F$94*Operations!AU809*Inputs!$F$185/100*Operations!AU810*(1-Operations!AU811)</f>
        <v/>
      </c>
    </row>
    <row r="813">
      <c r="D813" t="inlineStr">
        <is>
          <t>R1 net generation</t>
        </is>
      </c>
      <c r="E813" t="inlineStr">
        <is>
          <t>GWh</t>
        </is>
      </c>
      <c r="G813" s="20">
        <f>SUM(J813:AU813)</f>
        <v/>
      </c>
      <c r="J813" s="20">
        <f>Operations!J812*Operations!J805</f>
        <v/>
      </c>
      <c r="K813" s="20">
        <f>Operations!K812*Operations!K805</f>
        <v/>
      </c>
      <c r="L813" s="20">
        <f>Operations!L812*Operations!L805</f>
        <v/>
      </c>
      <c r="M813" s="20">
        <f>Operations!M812*Operations!M805</f>
        <v/>
      </c>
      <c r="N813" s="20">
        <f>Operations!N812*Operations!N805</f>
        <v/>
      </c>
      <c r="O813" s="20">
        <f>Operations!O812*Operations!O805</f>
        <v/>
      </c>
      <c r="P813" s="20">
        <f>Operations!P812*Operations!P805</f>
        <v/>
      </c>
      <c r="Q813" s="20">
        <f>Operations!Q812*Operations!Q805</f>
        <v/>
      </c>
      <c r="R813" s="20">
        <f>Operations!R812*Operations!R805</f>
        <v/>
      </c>
      <c r="S813" s="20">
        <f>Operations!S812*Operations!S805</f>
        <v/>
      </c>
      <c r="T813" s="20">
        <f>Operations!T812*Operations!T805</f>
        <v/>
      </c>
      <c r="U813" s="20">
        <f>Operations!U812*Operations!U805</f>
        <v/>
      </c>
      <c r="V813" s="20">
        <f>Operations!V812*Operations!V805</f>
        <v/>
      </c>
      <c r="W813" s="20">
        <f>Operations!W812*Operations!W805</f>
        <v/>
      </c>
      <c r="X813" s="20">
        <f>Operations!X812*Operations!X805</f>
        <v/>
      </c>
      <c r="Y813" s="20">
        <f>Operations!Y812*Operations!Y805</f>
        <v/>
      </c>
      <c r="Z813" s="20">
        <f>Operations!Z812*Operations!Z805</f>
        <v/>
      </c>
      <c r="AA813" s="20">
        <f>Operations!AA812*Operations!AA805</f>
        <v/>
      </c>
      <c r="AB813" s="20">
        <f>Operations!AB812*Operations!AB805</f>
        <v/>
      </c>
      <c r="AC813" s="20">
        <f>Operations!AC812*Operations!AC805</f>
        <v/>
      </c>
      <c r="AD813" s="20">
        <f>Operations!AD812*Operations!AD805</f>
        <v/>
      </c>
      <c r="AE813" s="20">
        <f>Operations!AE812*Operations!AE805</f>
        <v/>
      </c>
      <c r="AF813" s="20">
        <f>Operations!AF812*Operations!AF805</f>
        <v/>
      </c>
      <c r="AG813" s="20">
        <f>Operations!AG812*Operations!AG805</f>
        <v/>
      </c>
      <c r="AH813" s="20">
        <f>Operations!AH812*Operations!AH805</f>
        <v/>
      </c>
      <c r="AI813" s="20">
        <f>Operations!AI812*Operations!AI805</f>
        <v/>
      </c>
      <c r="AJ813" s="20">
        <f>Operations!AJ812*Operations!AJ805</f>
        <v/>
      </c>
      <c r="AK813" s="20">
        <f>Operations!AK812*Operations!AK805</f>
        <v/>
      </c>
      <c r="AL813" s="20">
        <f>Operations!AL812*Operations!AL805</f>
        <v/>
      </c>
      <c r="AM813" s="20">
        <f>Operations!AM812*Operations!AM805</f>
        <v/>
      </c>
      <c r="AN813" s="20">
        <f>Operations!AN812*Operations!AN805</f>
        <v/>
      </c>
      <c r="AO813" s="20">
        <f>Operations!AO812*Operations!AO805</f>
        <v/>
      </c>
      <c r="AP813" s="20">
        <f>Operations!AP812*Operations!AP805</f>
        <v/>
      </c>
      <c r="AQ813" s="20">
        <f>Operations!AQ812*Operations!AQ805</f>
        <v/>
      </c>
      <c r="AR813" s="20">
        <f>Operations!AR812*Operations!AR805</f>
        <v/>
      </c>
      <c r="AS813" s="20">
        <f>Operations!AS812*Operations!AS805</f>
        <v/>
      </c>
      <c r="AT813" s="20">
        <f>Operations!AT812*Operations!AT805</f>
        <v/>
      </c>
      <c r="AU813" s="20">
        <f>Operations!AU812*Operations!AU805</f>
        <v/>
      </c>
    </row>
    <row r="814">
      <c r="D814" t="inlineStr">
        <is>
          <t>R1 hub capture ratio</t>
        </is>
      </c>
      <c r="E814" t="inlineStr">
        <is>
          <t>ratio</t>
        </is>
      </c>
      <c r="J814" s="14">
        <f>Operations!J799</f>
        <v/>
      </c>
      <c r="K814" s="14">
        <f>Operations!K799</f>
        <v/>
      </c>
      <c r="L814" s="14">
        <f>Operations!L799</f>
        <v/>
      </c>
      <c r="M814" s="14">
        <f>Operations!M799</f>
        <v/>
      </c>
      <c r="N814" s="14">
        <f>Operations!N799</f>
        <v/>
      </c>
      <c r="O814" s="14">
        <f>Operations!O799</f>
        <v/>
      </c>
      <c r="P814" s="14">
        <f>Operations!P799</f>
        <v/>
      </c>
      <c r="Q814" s="14">
        <f>Operations!Q799</f>
        <v/>
      </c>
      <c r="R814" s="14">
        <f>Operations!R799</f>
        <v/>
      </c>
      <c r="S814" s="14">
        <f>Operations!S799</f>
        <v/>
      </c>
      <c r="T814" s="14">
        <f>Operations!T799</f>
        <v/>
      </c>
      <c r="U814" s="14">
        <f>Operations!U799</f>
        <v/>
      </c>
      <c r="V814" s="14">
        <f>Operations!V799</f>
        <v/>
      </c>
      <c r="W814" s="14">
        <f>Operations!W799</f>
        <v/>
      </c>
      <c r="X814" s="14">
        <f>Operations!X799</f>
        <v/>
      </c>
      <c r="Y814" s="14">
        <f>Operations!Y799</f>
        <v/>
      </c>
      <c r="Z814" s="14">
        <f>Operations!Z799</f>
        <v/>
      </c>
      <c r="AA814" s="14">
        <f>Operations!AA799</f>
        <v/>
      </c>
      <c r="AB814" s="14">
        <f>Operations!AB799</f>
        <v/>
      </c>
      <c r="AC814" s="14">
        <f>Operations!AC799</f>
        <v/>
      </c>
      <c r="AD814" s="14">
        <f>Operations!AD799</f>
        <v/>
      </c>
      <c r="AE814" s="14">
        <f>Operations!AE799</f>
        <v/>
      </c>
      <c r="AF814" s="14">
        <f>Operations!AF799</f>
        <v/>
      </c>
      <c r="AG814" s="14">
        <f>Operations!AG799</f>
        <v/>
      </c>
      <c r="AH814" s="14">
        <f>Operations!AH799</f>
        <v/>
      </c>
      <c r="AI814" s="14">
        <f>Operations!AI799</f>
        <v/>
      </c>
      <c r="AJ814" s="14">
        <f>Operations!AJ799</f>
        <v/>
      </c>
      <c r="AK814" s="14">
        <f>Operations!AK799</f>
        <v/>
      </c>
      <c r="AL814" s="14">
        <f>Operations!AL799</f>
        <v/>
      </c>
      <c r="AM814" s="14">
        <f>Operations!AM799</f>
        <v/>
      </c>
      <c r="AN814" s="14">
        <f>Operations!AN799</f>
        <v/>
      </c>
      <c r="AO814" s="14">
        <f>Operations!AO799</f>
        <v/>
      </c>
      <c r="AP814" s="14">
        <f>Operations!AP799</f>
        <v/>
      </c>
      <c r="AQ814" s="14">
        <f>Operations!AQ799</f>
        <v/>
      </c>
      <c r="AR814" s="14">
        <f>Operations!AR799</f>
        <v/>
      </c>
      <c r="AS814" s="14">
        <f>Operations!AS799</f>
        <v/>
      </c>
      <c r="AT814" s="14">
        <f>Operations!AT799</f>
        <v/>
      </c>
      <c r="AU814" s="14">
        <f>Operations!AU799</f>
        <v/>
      </c>
    </row>
    <row r="815">
      <c r="D815" t="inlineStr">
        <is>
          <t>R1 node capture ratio</t>
        </is>
      </c>
      <c r="E815" t="inlineStr">
        <is>
          <t>ratio</t>
        </is>
      </c>
      <c r="J815" s="14">
        <f>Operations!J814-Inputs!$F$44</f>
        <v/>
      </c>
      <c r="K815" s="14">
        <f>Operations!K814-Inputs!$F$44</f>
        <v/>
      </c>
      <c r="L815" s="14">
        <f>Operations!L814-Inputs!$F$44</f>
        <v/>
      </c>
      <c r="M815" s="14">
        <f>Operations!M814-Inputs!$F$44</f>
        <v/>
      </c>
      <c r="N815" s="14">
        <f>Operations!N814-Inputs!$F$44</f>
        <v/>
      </c>
      <c r="O815" s="14">
        <f>Operations!O814-Inputs!$F$44</f>
        <v/>
      </c>
      <c r="P815" s="14">
        <f>Operations!P814-Inputs!$F$44</f>
        <v/>
      </c>
      <c r="Q815" s="14">
        <f>Operations!Q814-Inputs!$F$44</f>
        <v/>
      </c>
      <c r="R815" s="14">
        <f>Operations!R814-Inputs!$F$44</f>
        <v/>
      </c>
      <c r="S815" s="14">
        <f>Operations!S814-Inputs!$F$44</f>
        <v/>
      </c>
      <c r="T815" s="14">
        <f>Operations!T814-Inputs!$F$44</f>
        <v/>
      </c>
      <c r="U815" s="14">
        <f>Operations!U814-Inputs!$F$44</f>
        <v/>
      </c>
      <c r="V815" s="14">
        <f>Operations!V814-Inputs!$F$44</f>
        <v/>
      </c>
      <c r="W815" s="14">
        <f>Operations!W814-Inputs!$F$44</f>
        <v/>
      </c>
      <c r="X815" s="14">
        <f>Operations!X814-Inputs!$F$44</f>
        <v/>
      </c>
      <c r="Y815" s="14">
        <f>Operations!Y814-Inputs!$F$44</f>
        <v/>
      </c>
      <c r="Z815" s="14">
        <f>Operations!Z814-Inputs!$F$44</f>
        <v/>
      </c>
      <c r="AA815" s="14">
        <f>Operations!AA814-Inputs!$F$44</f>
        <v/>
      </c>
      <c r="AB815" s="14">
        <f>Operations!AB814-Inputs!$F$44</f>
        <v/>
      </c>
      <c r="AC815" s="14">
        <f>Operations!AC814-Inputs!$F$44</f>
        <v/>
      </c>
      <c r="AD815" s="14">
        <f>Operations!AD814-Inputs!$F$44</f>
        <v/>
      </c>
      <c r="AE815" s="14">
        <f>Operations!AE814-Inputs!$F$44</f>
        <v/>
      </c>
      <c r="AF815" s="14">
        <f>Operations!AF814-Inputs!$F$44</f>
        <v/>
      </c>
      <c r="AG815" s="14">
        <f>Operations!AG814-Inputs!$F$44</f>
        <v/>
      </c>
      <c r="AH815" s="14">
        <f>Operations!AH814-Inputs!$F$44</f>
        <v/>
      </c>
      <c r="AI815" s="14">
        <f>Operations!AI814-Inputs!$F$44</f>
        <v/>
      </c>
      <c r="AJ815" s="14">
        <f>Operations!AJ814-Inputs!$F$44</f>
        <v/>
      </c>
      <c r="AK815" s="14">
        <f>Operations!AK814-Inputs!$F$44</f>
        <v/>
      </c>
      <c r="AL815" s="14">
        <f>Operations!AL814-Inputs!$F$44</f>
        <v/>
      </c>
      <c r="AM815" s="14">
        <f>Operations!AM814-Inputs!$F$44</f>
        <v/>
      </c>
      <c r="AN815" s="14">
        <f>Operations!AN814-Inputs!$F$44</f>
        <v/>
      </c>
      <c r="AO815" s="14">
        <f>Operations!AO814-Inputs!$F$44</f>
        <v/>
      </c>
      <c r="AP815" s="14">
        <f>Operations!AP814-Inputs!$F$44</f>
        <v/>
      </c>
      <c r="AQ815" s="14">
        <f>Operations!AQ814-Inputs!$F$44</f>
        <v/>
      </c>
      <c r="AR815" s="14">
        <f>Operations!AR814-Inputs!$F$44</f>
        <v/>
      </c>
      <c r="AS815" s="14">
        <f>Operations!AS814-Inputs!$F$44</f>
        <v/>
      </c>
      <c r="AT815" s="14">
        <f>Operations!AT814-Inputs!$F$44</f>
        <v/>
      </c>
      <c r="AU815" s="14">
        <f>Operations!AU814-Inputs!$F$44</f>
        <v/>
      </c>
    </row>
    <row r="816">
      <c r="D816" t="inlineStr">
        <is>
          <t>R1 realized node price</t>
        </is>
      </c>
      <c r="E816" t="inlineStr">
        <is>
          <t>USD/MWh</t>
        </is>
      </c>
      <c r="J816" s="18">
        <f>Operations!J808*Operations!J815</f>
        <v/>
      </c>
      <c r="K816" s="18">
        <f>Operations!K808*Operations!K815</f>
        <v/>
      </c>
      <c r="L816" s="18">
        <f>Operations!L808*Operations!L815</f>
        <v/>
      </c>
      <c r="M816" s="18">
        <f>Operations!M808*Operations!M815</f>
        <v/>
      </c>
      <c r="N816" s="18">
        <f>Operations!N808*Operations!N815</f>
        <v/>
      </c>
      <c r="O816" s="18">
        <f>Operations!O808*Operations!O815</f>
        <v/>
      </c>
      <c r="P816" s="18">
        <f>Operations!P808*Operations!P815</f>
        <v/>
      </c>
      <c r="Q816" s="18">
        <f>Operations!Q808*Operations!Q815</f>
        <v/>
      </c>
      <c r="R816" s="18">
        <f>Operations!R808*Operations!R815</f>
        <v/>
      </c>
      <c r="S816" s="18">
        <f>Operations!S808*Operations!S815</f>
        <v/>
      </c>
      <c r="T816" s="18">
        <f>Operations!T808*Operations!T815</f>
        <v/>
      </c>
      <c r="U816" s="18">
        <f>Operations!U808*Operations!U815</f>
        <v/>
      </c>
      <c r="V816" s="18">
        <f>Operations!V808*Operations!V815</f>
        <v/>
      </c>
      <c r="W816" s="18">
        <f>Operations!W808*Operations!W815</f>
        <v/>
      </c>
      <c r="X816" s="18">
        <f>Operations!X808*Operations!X815</f>
        <v/>
      </c>
      <c r="Y816" s="18">
        <f>Operations!Y808*Operations!Y815</f>
        <v/>
      </c>
      <c r="Z816" s="18">
        <f>Operations!Z808*Operations!Z815</f>
        <v/>
      </c>
      <c r="AA816" s="18">
        <f>Operations!AA808*Operations!AA815</f>
        <v/>
      </c>
      <c r="AB816" s="18">
        <f>Operations!AB808*Operations!AB815</f>
        <v/>
      </c>
      <c r="AC816" s="18">
        <f>Operations!AC808*Operations!AC815</f>
        <v/>
      </c>
      <c r="AD816" s="18">
        <f>Operations!AD808*Operations!AD815</f>
        <v/>
      </c>
      <c r="AE816" s="18">
        <f>Operations!AE808*Operations!AE815</f>
        <v/>
      </c>
      <c r="AF816" s="18">
        <f>Operations!AF808*Operations!AF815</f>
        <v/>
      </c>
      <c r="AG816" s="18">
        <f>Operations!AG808*Operations!AG815</f>
        <v/>
      </c>
      <c r="AH816" s="18">
        <f>Operations!AH808*Operations!AH815</f>
        <v/>
      </c>
      <c r="AI816" s="18">
        <f>Operations!AI808*Operations!AI815</f>
        <v/>
      </c>
      <c r="AJ816" s="18">
        <f>Operations!AJ808*Operations!AJ815</f>
        <v/>
      </c>
      <c r="AK816" s="18">
        <f>Operations!AK808*Operations!AK815</f>
        <v/>
      </c>
      <c r="AL816" s="18">
        <f>Operations!AL808*Operations!AL815</f>
        <v/>
      </c>
      <c r="AM816" s="18">
        <f>Operations!AM808*Operations!AM815</f>
        <v/>
      </c>
      <c r="AN816" s="18">
        <f>Operations!AN808*Operations!AN815</f>
        <v/>
      </c>
      <c r="AO816" s="18">
        <f>Operations!AO808*Operations!AO815</f>
        <v/>
      </c>
      <c r="AP816" s="18">
        <f>Operations!AP808*Operations!AP815</f>
        <v/>
      </c>
      <c r="AQ816" s="18">
        <f>Operations!AQ808*Operations!AQ815</f>
        <v/>
      </c>
      <c r="AR816" s="18">
        <f>Operations!AR808*Operations!AR815</f>
        <v/>
      </c>
      <c r="AS816" s="18">
        <f>Operations!AS808*Operations!AS815</f>
        <v/>
      </c>
      <c r="AT816" s="18">
        <f>Operations!AT808*Operations!AT815</f>
        <v/>
      </c>
      <c r="AU816" s="18">
        <f>Operations!AU808*Operations!AU815</f>
        <v/>
      </c>
    </row>
    <row r="817">
      <c r="D817" t="inlineStr">
        <is>
          <t>R1 swap term fraction</t>
        </is>
      </c>
      <c r="E817" t="inlineStr">
        <is>
          <t>fraction</t>
        </is>
      </c>
      <c r="J817" s="14">
        <f>MAX(0,MIN(Inputs!$F$193,Time!J$6)-MAX(Inputs!$F$192-1,Time!J$5))/Time!J$7</f>
        <v/>
      </c>
      <c r="K817" s="14">
        <f>MAX(0,MIN(Inputs!$F$193,Time!K$6)-MAX(Inputs!$F$192-1,Time!K$5))/Time!K$7</f>
        <v/>
      </c>
      <c r="L817" s="14">
        <f>MAX(0,MIN(Inputs!$F$193,Time!L$6)-MAX(Inputs!$F$192-1,Time!L$5))/Time!L$7</f>
        <v/>
      </c>
      <c r="M817" s="14">
        <f>MAX(0,MIN(Inputs!$F$193,Time!M$6)-MAX(Inputs!$F$192-1,Time!M$5))/Time!M$7</f>
        <v/>
      </c>
      <c r="N817" s="14">
        <f>MAX(0,MIN(Inputs!$F$193,Time!N$6)-MAX(Inputs!$F$192-1,Time!N$5))/Time!N$7</f>
        <v/>
      </c>
      <c r="O817" s="14">
        <f>MAX(0,MIN(Inputs!$F$193,Time!O$6)-MAX(Inputs!$F$192-1,Time!O$5))/Time!O$7</f>
        <v/>
      </c>
      <c r="P817" s="14">
        <f>MAX(0,MIN(Inputs!$F$193,Time!P$6)-MAX(Inputs!$F$192-1,Time!P$5))/Time!P$7</f>
        <v/>
      </c>
      <c r="Q817" s="14">
        <f>MAX(0,MIN(Inputs!$F$193,Time!Q$6)-MAX(Inputs!$F$192-1,Time!Q$5))/Time!Q$7</f>
        <v/>
      </c>
      <c r="R817" s="14">
        <f>MAX(0,MIN(Inputs!$F$193,Time!R$6)-MAX(Inputs!$F$192-1,Time!R$5))/Time!R$7</f>
        <v/>
      </c>
      <c r="S817" s="14">
        <f>MAX(0,MIN(Inputs!$F$193,Time!S$6)-MAX(Inputs!$F$192-1,Time!S$5))/Time!S$7</f>
        <v/>
      </c>
      <c r="T817" s="14">
        <f>MAX(0,MIN(Inputs!$F$193,Time!T$6)-MAX(Inputs!$F$192-1,Time!T$5))/Time!T$7</f>
        <v/>
      </c>
      <c r="U817" s="14">
        <f>MAX(0,MIN(Inputs!$F$193,Time!U$6)-MAX(Inputs!$F$192-1,Time!U$5))/Time!U$7</f>
        <v/>
      </c>
      <c r="V817" s="14">
        <f>MAX(0,MIN(Inputs!$F$193,Time!V$6)-MAX(Inputs!$F$192-1,Time!V$5))/Time!V$7</f>
        <v/>
      </c>
      <c r="W817" s="14">
        <f>MAX(0,MIN(Inputs!$F$193,Time!W$6)-MAX(Inputs!$F$192-1,Time!W$5))/Time!W$7</f>
        <v/>
      </c>
      <c r="X817" s="14">
        <f>MAX(0,MIN(Inputs!$F$193,Time!X$6)-MAX(Inputs!$F$192-1,Time!X$5))/Time!X$7</f>
        <v/>
      </c>
      <c r="Y817" s="14">
        <f>MAX(0,MIN(Inputs!$F$193,Time!Y$6)-MAX(Inputs!$F$192-1,Time!Y$5))/Time!Y$7</f>
        <v/>
      </c>
      <c r="Z817" s="14">
        <f>MAX(0,MIN(Inputs!$F$193,Time!Z$6)-MAX(Inputs!$F$192-1,Time!Z$5))/Time!Z$7</f>
        <v/>
      </c>
      <c r="AA817" s="14">
        <f>MAX(0,MIN(Inputs!$F$193,Time!AA$6)-MAX(Inputs!$F$192-1,Time!AA$5))/Time!AA$7</f>
        <v/>
      </c>
      <c r="AB817" s="14">
        <f>MAX(0,MIN(Inputs!$F$193,Time!AB$6)-MAX(Inputs!$F$192-1,Time!AB$5))/Time!AB$7</f>
        <v/>
      </c>
      <c r="AC817" s="14">
        <f>MAX(0,MIN(Inputs!$F$193,Time!AC$6)-MAX(Inputs!$F$192-1,Time!AC$5))/Time!AC$7</f>
        <v/>
      </c>
      <c r="AD817" s="14">
        <f>MAX(0,MIN(Inputs!$F$193,Time!AD$6)-MAX(Inputs!$F$192-1,Time!AD$5))/Time!AD$7</f>
        <v/>
      </c>
      <c r="AE817" s="14">
        <f>MAX(0,MIN(Inputs!$F$193,Time!AE$6)-MAX(Inputs!$F$192-1,Time!AE$5))/Time!AE$7</f>
        <v/>
      </c>
      <c r="AF817" s="14">
        <f>MAX(0,MIN(Inputs!$F$193,Time!AF$6)-MAX(Inputs!$F$192-1,Time!AF$5))/Time!AF$7</f>
        <v/>
      </c>
      <c r="AG817" s="14">
        <f>MAX(0,MIN(Inputs!$F$193,Time!AG$6)-MAX(Inputs!$F$192-1,Time!AG$5))/Time!AG$7</f>
        <v/>
      </c>
      <c r="AH817" s="14">
        <f>MAX(0,MIN(Inputs!$F$193,Time!AH$6)-MAX(Inputs!$F$192-1,Time!AH$5))/Time!AH$7</f>
        <v/>
      </c>
      <c r="AI817" s="14">
        <f>MAX(0,MIN(Inputs!$F$193,Time!AI$6)-MAX(Inputs!$F$192-1,Time!AI$5))/Time!AI$7</f>
        <v/>
      </c>
      <c r="AJ817" s="14">
        <f>MAX(0,MIN(Inputs!$F$193,Time!AJ$6)-MAX(Inputs!$F$192-1,Time!AJ$5))/Time!AJ$7</f>
        <v/>
      </c>
      <c r="AK817" s="14">
        <f>MAX(0,MIN(Inputs!$F$193,Time!AK$6)-MAX(Inputs!$F$192-1,Time!AK$5))/Time!AK$7</f>
        <v/>
      </c>
      <c r="AL817" s="14">
        <f>MAX(0,MIN(Inputs!$F$193,Time!AL$6)-MAX(Inputs!$F$192-1,Time!AL$5))/Time!AL$7</f>
        <v/>
      </c>
      <c r="AM817" s="14">
        <f>MAX(0,MIN(Inputs!$F$193,Time!AM$6)-MAX(Inputs!$F$192-1,Time!AM$5))/Time!AM$7</f>
        <v/>
      </c>
      <c r="AN817" s="14">
        <f>MAX(0,MIN(Inputs!$F$193,Time!AN$6)-MAX(Inputs!$F$192-1,Time!AN$5))/Time!AN$7</f>
        <v/>
      </c>
      <c r="AO817" s="14">
        <f>MAX(0,MIN(Inputs!$F$193,Time!AO$6)-MAX(Inputs!$F$192-1,Time!AO$5))/Time!AO$7</f>
        <v/>
      </c>
      <c r="AP817" s="14">
        <f>MAX(0,MIN(Inputs!$F$193,Time!AP$6)-MAX(Inputs!$F$192-1,Time!AP$5))/Time!AP$7</f>
        <v/>
      </c>
      <c r="AQ817" s="14">
        <f>MAX(0,MIN(Inputs!$F$193,Time!AQ$6)-MAX(Inputs!$F$192-1,Time!AQ$5))/Time!AQ$7</f>
        <v/>
      </c>
      <c r="AR817" s="14">
        <f>MAX(0,MIN(Inputs!$F$193,Time!AR$6)-MAX(Inputs!$F$192-1,Time!AR$5))/Time!AR$7</f>
        <v/>
      </c>
      <c r="AS817" s="14">
        <f>MAX(0,MIN(Inputs!$F$193,Time!AS$6)-MAX(Inputs!$F$192-1,Time!AS$5))/Time!AS$7</f>
        <v/>
      </c>
      <c r="AT817" s="14">
        <f>MAX(0,MIN(Inputs!$F$193,Time!AT$6)-MAX(Inputs!$F$192-1,Time!AT$5))/Time!AT$7</f>
        <v/>
      </c>
      <c r="AU817" s="14">
        <f>MAX(0,MIN(Inputs!$F$193,Time!AU$6)-MAX(Inputs!$F$192-1,Time!AU$5))/Time!AU$7</f>
        <v/>
      </c>
    </row>
    <row r="818">
      <c r="D818" t="inlineStr">
        <is>
          <t>R1 swap volume</t>
        </is>
      </c>
      <c r="E818" t="inlineStr">
        <is>
          <t>GWh</t>
        </is>
      </c>
      <c r="J818" s="20">
        <f>Inputs!$F$190*Time!J$7*Inputs!$F$194/1000*Operations!J817</f>
        <v/>
      </c>
      <c r="K818" s="20">
        <f>Inputs!$F$190*Time!K$7*Inputs!$F$194/1000*Operations!K817</f>
        <v/>
      </c>
      <c r="L818" s="20">
        <f>Inputs!$F$190*Time!L$7*Inputs!$F$194/1000*Operations!L817</f>
        <v/>
      </c>
      <c r="M818" s="20">
        <f>Inputs!$F$190*Time!M$7*Inputs!$F$194/1000*Operations!M817</f>
        <v/>
      </c>
      <c r="N818" s="20">
        <f>Inputs!$F$190*Time!N$7*Inputs!$F$194/1000*Operations!N817</f>
        <v/>
      </c>
      <c r="O818" s="20">
        <f>Inputs!$F$190*Time!O$7*Inputs!$F$194/1000*Operations!O817</f>
        <v/>
      </c>
      <c r="P818" s="20">
        <f>Inputs!$F$190*Time!P$7*Inputs!$F$194/1000*Operations!P817</f>
        <v/>
      </c>
      <c r="Q818" s="20">
        <f>Inputs!$F$190*Time!Q$7*Inputs!$F$194/1000*Operations!Q817</f>
        <v/>
      </c>
      <c r="R818" s="20">
        <f>Inputs!$F$190*Time!R$7*Inputs!$F$194/1000*Operations!R817</f>
        <v/>
      </c>
      <c r="S818" s="20">
        <f>Inputs!$F$190*Time!S$7*Inputs!$F$194/1000*Operations!S817</f>
        <v/>
      </c>
      <c r="T818" s="20">
        <f>Inputs!$F$190*Time!T$7*Inputs!$F$194/1000*Operations!T817</f>
        <v/>
      </c>
      <c r="U818" s="20">
        <f>Inputs!$F$190*Time!U$7*Inputs!$F$194/1000*Operations!U817</f>
        <v/>
      </c>
      <c r="V818" s="20">
        <f>Inputs!$F$190*Time!V$7*Inputs!$F$194/1000*Operations!V817</f>
        <v/>
      </c>
      <c r="W818" s="20">
        <f>Inputs!$F$190*Time!W$7*Inputs!$F$194/1000*Operations!W817</f>
        <v/>
      </c>
      <c r="X818" s="20">
        <f>Inputs!$F$190*Time!X$7*Inputs!$F$194/1000*Operations!X817</f>
        <v/>
      </c>
      <c r="Y818" s="20">
        <f>Inputs!$F$190*Time!Y$7*Inputs!$F$194/1000*Operations!Y817</f>
        <v/>
      </c>
      <c r="Z818" s="20">
        <f>Inputs!$F$190*Time!Z$7*Inputs!$F$194/1000*Operations!Z817</f>
        <v/>
      </c>
      <c r="AA818" s="20">
        <f>Inputs!$F$190*Time!AA$7*Inputs!$F$194/1000*Operations!AA817</f>
        <v/>
      </c>
      <c r="AB818" s="20">
        <f>Inputs!$F$190*Time!AB$7*Inputs!$F$194/1000*Operations!AB817</f>
        <v/>
      </c>
      <c r="AC818" s="20">
        <f>Inputs!$F$190*Time!AC$7*Inputs!$F$194/1000*Operations!AC817</f>
        <v/>
      </c>
      <c r="AD818" s="20">
        <f>Inputs!$F$190*Time!AD$7*Inputs!$F$194/1000*Operations!AD817</f>
        <v/>
      </c>
      <c r="AE818" s="20">
        <f>Inputs!$F$190*Time!AE$7*Inputs!$F$194/1000*Operations!AE817</f>
        <v/>
      </c>
      <c r="AF818" s="20">
        <f>Inputs!$F$190*Time!AF$7*Inputs!$F$194/1000*Operations!AF817</f>
        <v/>
      </c>
      <c r="AG818" s="20">
        <f>Inputs!$F$190*Time!AG$7*Inputs!$F$194/1000*Operations!AG817</f>
        <v/>
      </c>
      <c r="AH818" s="20">
        <f>Inputs!$F$190*Time!AH$7*Inputs!$F$194/1000*Operations!AH817</f>
        <v/>
      </c>
      <c r="AI818" s="20">
        <f>Inputs!$F$190*Time!AI$7*Inputs!$F$194/1000*Operations!AI817</f>
        <v/>
      </c>
      <c r="AJ818" s="20">
        <f>Inputs!$F$190*Time!AJ$7*Inputs!$F$194/1000*Operations!AJ817</f>
        <v/>
      </c>
      <c r="AK818" s="20">
        <f>Inputs!$F$190*Time!AK$7*Inputs!$F$194/1000*Operations!AK817</f>
        <v/>
      </c>
      <c r="AL818" s="20">
        <f>Inputs!$F$190*Time!AL$7*Inputs!$F$194/1000*Operations!AL817</f>
        <v/>
      </c>
      <c r="AM818" s="20">
        <f>Inputs!$F$190*Time!AM$7*Inputs!$F$194/1000*Operations!AM817</f>
        <v/>
      </c>
      <c r="AN818" s="20">
        <f>Inputs!$F$190*Time!AN$7*Inputs!$F$194/1000*Operations!AN817</f>
        <v/>
      </c>
      <c r="AO818" s="20">
        <f>Inputs!$F$190*Time!AO$7*Inputs!$F$194/1000*Operations!AO817</f>
        <v/>
      </c>
      <c r="AP818" s="20">
        <f>Inputs!$F$190*Time!AP$7*Inputs!$F$194/1000*Operations!AP817</f>
        <v/>
      </c>
      <c r="AQ818" s="20">
        <f>Inputs!$F$190*Time!AQ$7*Inputs!$F$194/1000*Operations!AQ817</f>
        <v/>
      </c>
      <c r="AR818" s="20">
        <f>Inputs!$F$190*Time!AR$7*Inputs!$F$194/1000*Operations!AR817</f>
        <v/>
      </c>
      <c r="AS818" s="20">
        <f>Inputs!$F$190*Time!AS$7*Inputs!$F$194/1000*Operations!AS817</f>
        <v/>
      </c>
      <c r="AT818" s="20">
        <f>Inputs!$F$190*Time!AT$7*Inputs!$F$194/1000*Operations!AT817</f>
        <v/>
      </c>
      <c r="AU818" s="20">
        <f>Inputs!$F$190*Time!AU$7*Inputs!$F$194/1000*Operations!AU817</f>
        <v/>
      </c>
    </row>
    <row r="819">
      <c r="D819" t="inlineStr">
        <is>
          <t>R1 swap settlement (receive fixed, pay West Hub)</t>
        </is>
      </c>
      <c r="E819" t="inlineStr">
        <is>
          <t>USD m</t>
        </is>
      </c>
      <c r="G819" s="20">
        <f>SUM(J819:AU819)</f>
        <v/>
      </c>
      <c r="J819" s="20">
        <f>Operations!J818*(Inputs!$F$191-Operations!J808)/1000</f>
        <v/>
      </c>
      <c r="K819" s="20">
        <f>Operations!K818*(Inputs!$F$191-Operations!K808)/1000</f>
        <v/>
      </c>
      <c r="L819" s="20">
        <f>Operations!L818*(Inputs!$F$191-Operations!L808)/1000</f>
        <v/>
      </c>
      <c r="M819" s="20">
        <f>Operations!M818*(Inputs!$F$191-Operations!M808)/1000</f>
        <v/>
      </c>
      <c r="N819" s="20">
        <f>Operations!N818*(Inputs!$F$191-Operations!N808)/1000</f>
        <v/>
      </c>
      <c r="O819" s="20">
        <f>Operations!O818*(Inputs!$F$191-Operations!O808)/1000</f>
        <v/>
      </c>
      <c r="P819" s="20">
        <f>Operations!P818*(Inputs!$F$191-Operations!P808)/1000</f>
        <v/>
      </c>
      <c r="Q819" s="20">
        <f>Operations!Q818*(Inputs!$F$191-Operations!Q808)/1000</f>
        <v/>
      </c>
      <c r="R819" s="20">
        <f>Operations!R818*(Inputs!$F$191-Operations!R808)/1000</f>
        <v/>
      </c>
      <c r="S819" s="20">
        <f>Operations!S818*(Inputs!$F$191-Operations!S808)/1000</f>
        <v/>
      </c>
      <c r="T819" s="20">
        <f>Operations!T818*(Inputs!$F$191-Operations!T808)/1000</f>
        <v/>
      </c>
      <c r="U819" s="20">
        <f>Operations!U818*(Inputs!$F$191-Operations!U808)/1000</f>
        <v/>
      </c>
      <c r="V819" s="20">
        <f>Operations!V818*(Inputs!$F$191-Operations!V808)/1000</f>
        <v/>
      </c>
      <c r="W819" s="20">
        <f>Operations!W818*(Inputs!$F$191-Operations!W808)/1000</f>
        <v/>
      </c>
      <c r="X819" s="20">
        <f>Operations!X818*(Inputs!$F$191-Operations!X808)/1000</f>
        <v/>
      </c>
      <c r="Y819" s="20">
        <f>Operations!Y818*(Inputs!$F$191-Operations!Y808)/1000</f>
        <v/>
      </c>
      <c r="Z819" s="20">
        <f>Operations!Z818*(Inputs!$F$191-Operations!Z808)/1000</f>
        <v/>
      </c>
      <c r="AA819" s="20">
        <f>Operations!AA818*(Inputs!$F$191-Operations!AA808)/1000</f>
        <v/>
      </c>
      <c r="AB819" s="20">
        <f>Operations!AB818*(Inputs!$F$191-Operations!AB808)/1000</f>
        <v/>
      </c>
      <c r="AC819" s="20">
        <f>Operations!AC818*(Inputs!$F$191-Operations!AC808)/1000</f>
        <v/>
      </c>
      <c r="AD819" s="20">
        <f>Operations!AD818*(Inputs!$F$191-Operations!AD808)/1000</f>
        <v/>
      </c>
      <c r="AE819" s="20">
        <f>Operations!AE818*(Inputs!$F$191-Operations!AE808)/1000</f>
        <v/>
      </c>
      <c r="AF819" s="20">
        <f>Operations!AF818*(Inputs!$F$191-Operations!AF808)/1000</f>
        <v/>
      </c>
      <c r="AG819" s="20">
        <f>Operations!AG818*(Inputs!$F$191-Operations!AG808)/1000</f>
        <v/>
      </c>
      <c r="AH819" s="20">
        <f>Operations!AH818*(Inputs!$F$191-Operations!AH808)/1000</f>
        <v/>
      </c>
      <c r="AI819" s="20">
        <f>Operations!AI818*(Inputs!$F$191-Operations!AI808)/1000</f>
        <v/>
      </c>
      <c r="AJ819" s="20">
        <f>Operations!AJ818*(Inputs!$F$191-Operations!AJ808)/1000</f>
        <v/>
      </c>
      <c r="AK819" s="20">
        <f>Operations!AK818*(Inputs!$F$191-Operations!AK808)/1000</f>
        <v/>
      </c>
      <c r="AL819" s="20">
        <f>Operations!AL818*(Inputs!$F$191-Operations!AL808)/1000</f>
        <v/>
      </c>
      <c r="AM819" s="20">
        <f>Operations!AM818*(Inputs!$F$191-Operations!AM808)/1000</f>
        <v/>
      </c>
      <c r="AN819" s="20">
        <f>Operations!AN818*(Inputs!$F$191-Operations!AN808)/1000</f>
        <v/>
      </c>
      <c r="AO819" s="20">
        <f>Operations!AO818*(Inputs!$F$191-Operations!AO808)/1000</f>
        <v/>
      </c>
      <c r="AP819" s="20">
        <f>Operations!AP818*(Inputs!$F$191-Operations!AP808)/1000</f>
        <v/>
      </c>
      <c r="AQ819" s="20">
        <f>Operations!AQ818*(Inputs!$F$191-Operations!AQ808)/1000</f>
        <v/>
      </c>
      <c r="AR819" s="20">
        <f>Operations!AR818*(Inputs!$F$191-Operations!AR808)/1000</f>
        <v/>
      </c>
      <c r="AS819" s="20">
        <f>Operations!AS818*(Inputs!$F$191-Operations!AS808)/1000</f>
        <v/>
      </c>
      <c r="AT819" s="20">
        <f>Operations!AT818*(Inputs!$F$191-Operations!AT808)/1000</f>
        <v/>
      </c>
      <c r="AU819" s="20">
        <f>Operations!AU818*(Inputs!$F$191-Operations!AU808)/1000</f>
        <v/>
      </c>
    </row>
    <row r="820">
      <c r="D820" t="inlineStr">
        <is>
          <t>R1 generation sold at node</t>
        </is>
      </c>
      <c r="E820" t="inlineStr">
        <is>
          <t>GWh</t>
        </is>
      </c>
      <c r="J820" s="20">
        <f>Operations!J813</f>
        <v/>
      </c>
      <c r="K820" s="20">
        <f>Operations!K813</f>
        <v/>
      </c>
      <c r="L820" s="20">
        <f>Operations!L813</f>
        <v/>
      </c>
      <c r="M820" s="20">
        <f>Operations!M813</f>
        <v/>
      </c>
      <c r="N820" s="20">
        <f>Operations!N813</f>
        <v/>
      </c>
      <c r="O820" s="20">
        <f>Operations!O813</f>
        <v/>
      </c>
      <c r="P820" s="20">
        <f>Operations!P813</f>
        <v/>
      </c>
      <c r="Q820" s="20">
        <f>Operations!Q813</f>
        <v/>
      </c>
      <c r="R820" s="20">
        <f>Operations!R813</f>
        <v/>
      </c>
      <c r="S820" s="20">
        <f>Operations!S813</f>
        <v/>
      </c>
      <c r="T820" s="20">
        <f>Operations!T813</f>
        <v/>
      </c>
      <c r="U820" s="20">
        <f>Operations!U813</f>
        <v/>
      </c>
      <c r="V820" s="20">
        <f>Operations!V813</f>
        <v/>
      </c>
      <c r="W820" s="20">
        <f>Operations!W813</f>
        <v/>
      </c>
      <c r="X820" s="20">
        <f>Operations!X813</f>
        <v/>
      </c>
      <c r="Y820" s="20">
        <f>Operations!Y813</f>
        <v/>
      </c>
      <c r="Z820" s="20">
        <f>Operations!Z813</f>
        <v/>
      </c>
      <c r="AA820" s="20">
        <f>Operations!AA813</f>
        <v/>
      </c>
      <c r="AB820" s="20">
        <f>Operations!AB813</f>
        <v/>
      </c>
      <c r="AC820" s="20">
        <f>Operations!AC813</f>
        <v/>
      </c>
      <c r="AD820" s="20">
        <f>Operations!AD813</f>
        <v/>
      </c>
      <c r="AE820" s="20">
        <f>Operations!AE813</f>
        <v/>
      </c>
      <c r="AF820" s="20">
        <f>Operations!AF813</f>
        <v/>
      </c>
      <c r="AG820" s="20">
        <f>Operations!AG813</f>
        <v/>
      </c>
      <c r="AH820" s="20">
        <f>Operations!AH813</f>
        <v/>
      </c>
      <c r="AI820" s="20">
        <f>Operations!AI813</f>
        <v/>
      </c>
      <c r="AJ820" s="20">
        <f>Operations!AJ813</f>
        <v/>
      </c>
      <c r="AK820" s="20">
        <f>Operations!AK813</f>
        <v/>
      </c>
      <c r="AL820" s="20">
        <f>Operations!AL813</f>
        <v/>
      </c>
      <c r="AM820" s="20">
        <f>Operations!AM813</f>
        <v/>
      </c>
      <c r="AN820" s="20">
        <f>Operations!AN813</f>
        <v/>
      </c>
      <c r="AO820" s="20">
        <f>Operations!AO813</f>
        <v/>
      </c>
      <c r="AP820" s="20">
        <f>Operations!AP813</f>
        <v/>
      </c>
      <c r="AQ820" s="20">
        <f>Operations!AQ813</f>
        <v/>
      </c>
      <c r="AR820" s="20">
        <f>Operations!AR813</f>
        <v/>
      </c>
      <c r="AS820" s="20">
        <f>Operations!AS813</f>
        <v/>
      </c>
      <c r="AT820" s="20">
        <f>Operations!AT813</f>
        <v/>
      </c>
      <c r="AU820" s="20">
        <f>Operations!AU813</f>
        <v/>
      </c>
    </row>
    <row r="821">
      <c r="D821" t="inlineStr">
        <is>
          <t>R1 contracted revenue</t>
        </is>
      </c>
      <c r="E821" t="inlineStr">
        <is>
          <t>USD m</t>
        </is>
      </c>
      <c r="J821" s="20">
        <f>0</f>
        <v/>
      </c>
      <c r="K821" s="20">
        <f>0</f>
        <v/>
      </c>
      <c r="L821" s="20">
        <f>0</f>
        <v/>
      </c>
      <c r="M821" s="20">
        <f>0</f>
        <v/>
      </c>
      <c r="N821" s="20">
        <f>0</f>
        <v/>
      </c>
      <c r="O821" s="20">
        <f>0</f>
        <v/>
      </c>
      <c r="P821" s="20">
        <f>0</f>
        <v/>
      </c>
      <c r="Q821" s="20">
        <f>0</f>
        <v/>
      </c>
      <c r="R821" s="20">
        <f>0</f>
        <v/>
      </c>
      <c r="S821" s="20">
        <f>0</f>
        <v/>
      </c>
      <c r="T821" s="20">
        <f>0</f>
        <v/>
      </c>
      <c r="U821" s="20">
        <f>0</f>
        <v/>
      </c>
      <c r="V821" s="20">
        <f>0</f>
        <v/>
      </c>
      <c r="W821" s="20">
        <f>0</f>
        <v/>
      </c>
      <c r="X821" s="20">
        <f>0</f>
        <v/>
      </c>
      <c r="Y821" s="20">
        <f>0</f>
        <v/>
      </c>
      <c r="Z821" s="20">
        <f>0</f>
        <v/>
      </c>
      <c r="AA821" s="20">
        <f>0</f>
        <v/>
      </c>
      <c r="AB821" s="20">
        <f>0</f>
        <v/>
      </c>
      <c r="AC821" s="20">
        <f>0</f>
        <v/>
      </c>
      <c r="AD821" s="20">
        <f>0</f>
        <v/>
      </c>
      <c r="AE821" s="20">
        <f>0</f>
        <v/>
      </c>
      <c r="AF821" s="20">
        <f>0</f>
        <v/>
      </c>
      <c r="AG821" s="20">
        <f>0</f>
        <v/>
      </c>
      <c r="AH821" s="20">
        <f>0</f>
        <v/>
      </c>
      <c r="AI821" s="20">
        <f>0</f>
        <v/>
      </c>
      <c r="AJ821" s="20">
        <f>0</f>
        <v/>
      </c>
      <c r="AK821" s="20">
        <f>0</f>
        <v/>
      </c>
      <c r="AL821" s="20">
        <f>0</f>
        <v/>
      </c>
      <c r="AM821" s="20">
        <f>0</f>
        <v/>
      </c>
      <c r="AN821" s="20">
        <f>0</f>
        <v/>
      </c>
      <c r="AO821" s="20">
        <f>0</f>
        <v/>
      </c>
      <c r="AP821" s="20">
        <f>0</f>
        <v/>
      </c>
      <c r="AQ821" s="20">
        <f>0</f>
        <v/>
      </c>
      <c r="AR821" s="20">
        <f>0</f>
        <v/>
      </c>
      <c r="AS821" s="20">
        <f>0</f>
        <v/>
      </c>
      <c r="AT821" s="20">
        <f>0</f>
        <v/>
      </c>
      <c r="AU821" s="20">
        <f>0</f>
        <v/>
      </c>
    </row>
    <row r="822">
      <c r="D822" t="inlineStr">
        <is>
          <t>R1 hedged revenue (swap volume x price)</t>
        </is>
      </c>
      <c r="E822" t="inlineStr">
        <is>
          <t>USD m</t>
        </is>
      </c>
      <c r="J822" s="20">
        <f>Operations!J818*Inputs!$F$191/1000</f>
        <v/>
      </c>
      <c r="K822" s="20">
        <f>Operations!K818*Inputs!$F$191/1000</f>
        <v/>
      </c>
      <c r="L822" s="20">
        <f>Operations!L818*Inputs!$F$191/1000</f>
        <v/>
      </c>
      <c r="M822" s="20">
        <f>Operations!M818*Inputs!$F$191/1000</f>
        <v/>
      </c>
      <c r="N822" s="20">
        <f>Operations!N818*Inputs!$F$191/1000</f>
        <v/>
      </c>
      <c r="O822" s="20">
        <f>Operations!O818*Inputs!$F$191/1000</f>
        <v/>
      </c>
      <c r="P822" s="20">
        <f>Operations!P818*Inputs!$F$191/1000</f>
        <v/>
      </c>
      <c r="Q822" s="20">
        <f>Operations!Q818*Inputs!$F$191/1000</f>
        <v/>
      </c>
      <c r="R822" s="20">
        <f>Operations!R818*Inputs!$F$191/1000</f>
        <v/>
      </c>
      <c r="S822" s="20">
        <f>Operations!S818*Inputs!$F$191/1000</f>
        <v/>
      </c>
      <c r="T822" s="20">
        <f>Operations!T818*Inputs!$F$191/1000</f>
        <v/>
      </c>
      <c r="U822" s="20">
        <f>Operations!U818*Inputs!$F$191/1000</f>
        <v/>
      </c>
      <c r="V822" s="20">
        <f>Operations!V818*Inputs!$F$191/1000</f>
        <v/>
      </c>
      <c r="W822" s="20">
        <f>Operations!W818*Inputs!$F$191/1000</f>
        <v/>
      </c>
      <c r="X822" s="20">
        <f>Operations!X818*Inputs!$F$191/1000</f>
        <v/>
      </c>
      <c r="Y822" s="20">
        <f>Operations!Y818*Inputs!$F$191/1000</f>
        <v/>
      </c>
      <c r="Z822" s="20">
        <f>Operations!Z818*Inputs!$F$191/1000</f>
        <v/>
      </c>
      <c r="AA822" s="20">
        <f>Operations!AA818*Inputs!$F$191/1000</f>
        <v/>
      </c>
      <c r="AB822" s="20">
        <f>Operations!AB818*Inputs!$F$191/1000</f>
        <v/>
      </c>
      <c r="AC822" s="20">
        <f>Operations!AC818*Inputs!$F$191/1000</f>
        <v/>
      </c>
      <c r="AD822" s="20">
        <f>Operations!AD818*Inputs!$F$191/1000</f>
        <v/>
      </c>
      <c r="AE822" s="20">
        <f>Operations!AE818*Inputs!$F$191/1000</f>
        <v/>
      </c>
      <c r="AF822" s="20">
        <f>Operations!AF818*Inputs!$F$191/1000</f>
        <v/>
      </c>
      <c r="AG822" s="20">
        <f>Operations!AG818*Inputs!$F$191/1000</f>
        <v/>
      </c>
      <c r="AH822" s="20">
        <f>Operations!AH818*Inputs!$F$191/1000</f>
        <v/>
      </c>
      <c r="AI822" s="20">
        <f>Operations!AI818*Inputs!$F$191/1000</f>
        <v/>
      </c>
      <c r="AJ822" s="20">
        <f>Operations!AJ818*Inputs!$F$191/1000</f>
        <v/>
      </c>
      <c r="AK822" s="20">
        <f>Operations!AK818*Inputs!$F$191/1000</f>
        <v/>
      </c>
      <c r="AL822" s="20">
        <f>Operations!AL818*Inputs!$F$191/1000</f>
        <v/>
      </c>
      <c r="AM822" s="20">
        <f>Operations!AM818*Inputs!$F$191/1000</f>
        <v/>
      </c>
      <c r="AN822" s="20">
        <f>Operations!AN818*Inputs!$F$191/1000</f>
        <v/>
      </c>
      <c r="AO822" s="20">
        <f>Operations!AO818*Inputs!$F$191/1000</f>
        <v/>
      </c>
      <c r="AP822" s="20">
        <f>Operations!AP818*Inputs!$F$191/1000</f>
        <v/>
      </c>
      <c r="AQ822" s="20">
        <f>Operations!AQ818*Inputs!$F$191/1000</f>
        <v/>
      </c>
      <c r="AR822" s="20">
        <f>Operations!AR818*Inputs!$F$191/1000</f>
        <v/>
      </c>
      <c r="AS822" s="20">
        <f>Operations!AS818*Inputs!$F$191/1000</f>
        <v/>
      </c>
      <c r="AT822" s="20">
        <f>Operations!AT818*Inputs!$F$191/1000</f>
        <v/>
      </c>
      <c r="AU822" s="20">
        <f>Operations!AU818*Inputs!$F$191/1000</f>
        <v/>
      </c>
    </row>
    <row r="823">
      <c r="D823" t="inlineStr">
        <is>
          <t>R1 market revenue at node</t>
        </is>
      </c>
      <c r="E823" t="inlineStr">
        <is>
          <t>USD m</t>
        </is>
      </c>
      <c r="G823" s="20">
        <f>SUM(J823:AU823)</f>
        <v/>
      </c>
      <c r="J823" s="20">
        <f>Operations!J820*Operations!J816/1000</f>
        <v/>
      </c>
      <c r="K823" s="20">
        <f>Operations!K820*Operations!K816/1000</f>
        <v/>
      </c>
      <c r="L823" s="20">
        <f>Operations!L820*Operations!L816/1000</f>
        <v/>
      </c>
      <c r="M823" s="20">
        <f>Operations!M820*Operations!M816/1000</f>
        <v/>
      </c>
      <c r="N823" s="20">
        <f>Operations!N820*Operations!N816/1000</f>
        <v/>
      </c>
      <c r="O823" s="20">
        <f>Operations!O820*Operations!O816/1000</f>
        <v/>
      </c>
      <c r="P823" s="20">
        <f>Operations!P820*Operations!P816/1000</f>
        <v/>
      </c>
      <c r="Q823" s="20">
        <f>Operations!Q820*Operations!Q816/1000</f>
        <v/>
      </c>
      <c r="R823" s="20">
        <f>Operations!R820*Operations!R816/1000</f>
        <v/>
      </c>
      <c r="S823" s="20">
        <f>Operations!S820*Operations!S816/1000</f>
        <v/>
      </c>
      <c r="T823" s="20">
        <f>Operations!T820*Operations!T816/1000</f>
        <v/>
      </c>
      <c r="U823" s="20">
        <f>Operations!U820*Operations!U816/1000</f>
        <v/>
      </c>
      <c r="V823" s="20">
        <f>Operations!V820*Operations!V816/1000</f>
        <v/>
      </c>
      <c r="W823" s="20">
        <f>Operations!W820*Operations!W816/1000</f>
        <v/>
      </c>
      <c r="X823" s="20">
        <f>Operations!X820*Operations!X816/1000</f>
        <v/>
      </c>
      <c r="Y823" s="20">
        <f>Operations!Y820*Operations!Y816/1000</f>
        <v/>
      </c>
      <c r="Z823" s="20">
        <f>Operations!Z820*Operations!Z816/1000</f>
        <v/>
      </c>
      <c r="AA823" s="20">
        <f>Operations!AA820*Operations!AA816/1000</f>
        <v/>
      </c>
      <c r="AB823" s="20">
        <f>Operations!AB820*Operations!AB816/1000</f>
        <v/>
      </c>
      <c r="AC823" s="20">
        <f>Operations!AC820*Operations!AC816/1000</f>
        <v/>
      </c>
      <c r="AD823" s="20">
        <f>Operations!AD820*Operations!AD816/1000</f>
        <v/>
      </c>
      <c r="AE823" s="20">
        <f>Operations!AE820*Operations!AE816/1000</f>
        <v/>
      </c>
      <c r="AF823" s="20">
        <f>Operations!AF820*Operations!AF816/1000</f>
        <v/>
      </c>
      <c r="AG823" s="20">
        <f>Operations!AG820*Operations!AG816/1000</f>
        <v/>
      </c>
      <c r="AH823" s="20">
        <f>Operations!AH820*Operations!AH816/1000</f>
        <v/>
      </c>
      <c r="AI823" s="20">
        <f>Operations!AI820*Operations!AI816/1000</f>
        <v/>
      </c>
      <c r="AJ823" s="20">
        <f>Operations!AJ820*Operations!AJ816/1000</f>
        <v/>
      </c>
      <c r="AK823" s="20">
        <f>Operations!AK820*Operations!AK816/1000</f>
        <v/>
      </c>
      <c r="AL823" s="20">
        <f>Operations!AL820*Operations!AL816/1000</f>
        <v/>
      </c>
      <c r="AM823" s="20">
        <f>Operations!AM820*Operations!AM816/1000</f>
        <v/>
      </c>
      <c r="AN823" s="20">
        <f>Operations!AN820*Operations!AN816/1000</f>
        <v/>
      </c>
      <c r="AO823" s="20">
        <f>Operations!AO820*Operations!AO816/1000</f>
        <v/>
      </c>
      <c r="AP823" s="20">
        <f>Operations!AP820*Operations!AP816/1000</f>
        <v/>
      </c>
      <c r="AQ823" s="20">
        <f>Operations!AQ820*Operations!AQ816/1000</f>
        <v/>
      </c>
      <c r="AR823" s="20">
        <f>Operations!AR820*Operations!AR816/1000</f>
        <v/>
      </c>
      <c r="AS823" s="20">
        <f>Operations!AS820*Operations!AS816/1000</f>
        <v/>
      </c>
      <c r="AT823" s="20">
        <f>Operations!AT820*Operations!AT816/1000</f>
        <v/>
      </c>
      <c r="AU823" s="20">
        <f>Operations!AU820*Operations!AU816/1000</f>
        <v/>
      </c>
    </row>
    <row r="824">
      <c r="D824" t="inlineStr">
        <is>
          <t>R1 total revenue</t>
        </is>
      </c>
      <c r="E824" t="inlineStr">
        <is>
          <t>USD m</t>
        </is>
      </c>
      <c r="G824" s="20">
        <f>SUM(J824:AU824)</f>
        <v/>
      </c>
      <c r="J824" s="20">
        <f>Operations!J823+Operations!J819</f>
        <v/>
      </c>
      <c r="K824" s="20">
        <f>Operations!K823+Operations!K819</f>
        <v/>
      </c>
      <c r="L824" s="20">
        <f>Operations!L823+Operations!L819</f>
        <v/>
      </c>
      <c r="M824" s="20">
        <f>Operations!M823+Operations!M819</f>
        <v/>
      </c>
      <c r="N824" s="20">
        <f>Operations!N823+Operations!N819</f>
        <v/>
      </c>
      <c r="O824" s="20">
        <f>Operations!O823+Operations!O819</f>
        <v/>
      </c>
      <c r="P824" s="20">
        <f>Operations!P823+Operations!P819</f>
        <v/>
      </c>
      <c r="Q824" s="20">
        <f>Operations!Q823+Operations!Q819</f>
        <v/>
      </c>
      <c r="R824" s="20">
        <f>Operations!R823+Operations!R819</f>
        <v/>
      </c>
      <c r="S824" s="20">
        <f>Operations!S823+Operations!S819</f>
        <v/>
      </c>
      <c r="T824" s="20">
        <f>Operations!T823+Operations!T819</f>
        <v/>
      </c>
      <c r="U824" s="20">
        <f>Operations!U823+Operations!U819</f>
        <v/>
      </c>
      <c r="V824" s="20">
        <f>Operations!V823+Operations!V819</f>
        <v/>
      </c>
      <c r="W824" s="20">
        <f>Operations!W823+Operations!W819</f>
        <v/>
      </c>
      <c r="X824" s="20">
        <f>Operations!X823+Operations!X819</f>
        <v/>
      </c>
      <c r="Y824" s="20">
        <f>Operations!Y823+Operations!Y819</f>
        <v/>
      </c>
      <c r="Z824" s="20">
        <f>Operations!Z823+Operations!Z819</f>
        <v/>
      </c>
      <c r="AA824" s="20">
        <f>Operations!AA823+Operations!AA819</f>
        <v/>
      </c>
      <c r="AB824" s="20">
        <f>Operations!AB823+Operations!AB819</f>
        <v/>
      </c>
      <c r="AC824" s="20">
        <f>Operations!AC823+Operations!AC819</f>
        <v/>
      </c>
      <c r="AD824" s="20">
        <f>Operations!AD823+Operations!AD819</f>
        <v/>
      </c>
      <c r="AE824" s="20">
        <f>Operations!AE823+Operations!AE819</f>
        <v/>
      </c>
      <c r="AF824" s="20">
        <f>Operations!AF823+Operations!AF819</f>
        <v/>
      </c>
      <c r="AG824" s="20">
        <f>Operations!AG823+Operations!AG819</f>
        <v/>
      </c>
      <c r="AH824" s="20">
        <f>Operations!AH823+Operations!AH819</f>
        <v/>
      </c>
      <c r="AI824" s="20">
        <f>Operations!AI823+Operations!AI819</f>
        <v/>
      </c>
      <c r="AJ824" s="20">
        <f>Operations!AJ823+Operations!AJ819</f>
        <v/>
      </c>
      <c r="AK824" s="20">
        <f>Operations!AK823+Operations!AK819</f>
        <v/>
      </c>
      <c r="AL824" s="20">
        <f>Operations!AL823+Operations!AL819</f>
        <v/>
      </c>
      <c r="AM824" s="20">
        <f>Operations!AM823+Operations!AM819</f>
        <v/>
      </c>
      <c r="AN824" s="20">
        <f>Operations!AN823+Operations!AN819</f>
        <v/>
      </c>
      <c r="AO824" s="20">
        <f>Operations!AO823+Operations!AO819</f>
        <v/>
      </c>
      <c r="AP824" s="20">
        <f>Operations!AP823+Operations!AP819</f>
        <v/>
      </c>
      <c r="AQ824" s="20">
        <f>Operations!AQ823+Operations!AQ819</f>
        <v/>
      </c>
      <c r="AR824" s="20">
        <f>Operations!AR823+Operations!AR819</f>
        <v/>
      </c>
      <c r="AS824" s="20">
        <f>Operations!AS823+Operations!AS819</f>
        <v/>
      </c>
      <c r="AT824" s="20">
        <f>Operations!AT823+Operations!AT819</f>
        <v/>
      </c>
      <c r="AU824" s="20">
        <f>Operations!AU823+Operations!AU819</f>
        <v/>
      </c>
    </row>
    <row r="825">
      <c r="D825" t="inlineStr">
        <is>
          <t>R1 merchant revenue (total less contracted and hedged)</t>
        </is>
      </c>
      <c r="E825" t="inlineStr">
        <is>
          <t>USD m</t>
        </is>
      </c>
      <c r="J825" s="20">
        <f>Operations!J824-Operations!J821-Operations!J822</f>
        <v/>
      </c>
      <c r="K825" s="20">
        <f>Operations!K824-Operations!K821-Operations!K822</f>
        <v/>
      </c>
      <c r="L825" s="20">
        <f>Operations!L824-Operations!L821-Operations!L822</f>
        <v/>
      </c>
      <c r="M825" s="20">
        <f>Operations!M824-Operations!M821-Operations!M822</f>
        <v/>
      </c>
      <c r="N825" s="20">
        <f>Operations!N824-Operations!N821-Operations!N822</f>
        <v/>
      </c>
      <c r="O825" s="20">
        <f>Operations!O824-Operations!O821-Operations!O822</f>
        <v/>
      </c>
      <c r="P825" s="20">
        <f>Operations!P824-Operations!P821-Operations!P822</f>
        <v/>
      </c>
      <c r="Q825" s="20">
        <f>Operations!Q824-Operations!Q821-Operations!Q822</f>
        <v/>
      </c>
      <c r="R825" s="20">
        <f>Operations!R824-Operations!R821-Operations!R822</f>
        <v/>
      </c>
      <c r="S825" s="20">
        <f>Operations!S824-Operations!S821-Operations!S822</f>
        <v/>
      </c>
      <c r="T825" s="20">
        <f>Operations!T824-Operations!T821-Operations!T822</f>
        <v/>
      </c>
      <c r="U825" s="20">
        <f>Operations!U824-Operations!U821-Operations!U822</f>
        <v/>
      </c>
      <c r="V825" s="20">
        <f>Operations!V824-Operations!V821-Operations!V822</f>
        <v/>
      </c>
      <c r="W825" s="20">
        <f>Operations!W824-Operations!W821-Operations!W822</f>
        <v/>
      </c>
      <c r="X825" s="20">
        <f>Operations!X824-Operations!X821-Operations!X822</f>
        <v/>
      </c>
      <c r="Y825" s="20">
        <f>Operations!Y824-Operations!Y821-Operations!Y822</f>
        <v/>
      </c>
      <c r="Z825" s="20">
        <f>Operations!Z824-Operations!Z821-Operations!Z822</f>
        <v/>
      </c>
      <c r="AA825" s="20">
        <f>Operations!AA824-Operations!AA821-Operations!AA822</f>
        <v/>
      </c>
      <c r="AB825" s="20">
        <f>Operations!AB824-Operations!AB821-Operations!AB822</f>
        <v/>
      </c>
      <c r="AC825" s="20">
        <f>Operations!AC824-Operations!AC821-Operations!AC822</f>
        <v/>
      </c>
      <c r="AD825" s="20">
        <f>Operations!AD824-Operations!AD821-Operations!AD822</f>
        <v/>
      </c>
      <c r="AE825" s="20">
        <f>Operations!AE824-Operations!AE821-Operations!AE822</f>
        <v/>
      </c>
      <c r="AF825" s="20">
        <f>Operations!AF824-Operations!AF821-Operations!AF822</f>
        <v/>
      </c>
      <c r="AG825" s="20">
        <f>Operations!AG824-Operations!AG821-Operations!AG822</f>
        <v/>
      </c>
      <c r="AH825" s="20">
        <f>Operations!AH824-Operations!AH821-Operations!AH822</f>
        <v/>
      </c>
      <c r="AI825" s="20">
        <f>Operations!AI824-Operations!AI821-Operations!AI822</f>
        <v/>
      </c>
      <c r="AJ825" s="20">
        <f>Operations!AJ824-Operations!AJ821-Operations!AJ822</f>
        <v/>
      </c>
      <c r="AK825" s="20">
        <f>Operations!AK824-Operations!AK821-Operations!AK822</f>
        <v/>
      </c>
      <c r="AL825" s="20">
        <f>Operations!AL824-Operations!AL821-Operations!AL822</f>
        <v/>
      </c>
      <c r="AM825" s="20">
        <f>Operations!AM824-Operations!AM821-Operations!AM822</f>
        <v/>
      </c>
      <c r="AN825" s="20">
        <f>Operations!AN824-Operations!AN821-Operations!AN822</f>
        <v/>
      </c>
      <c r="AO825" s="20">
        <f>Operations!AO824-Operations!AO821-Operations!AO822</f>
        <v/>
      </c>
      <c r="AP825" s="20">
        <f>Operations!AP824-Operations!AP821-Operations!AP822</f>
        <v/>
      </c>
      <c r="AQ825" s="20">
        <f>Operations!AQ824-Operations!AQ821-Operations!AQ822</f>
        <v/>
      </c>
      <c r="AR825" s="20">
        <f>Operations!AR824-Operations!AR821-Operations!AR822</f>
        <v/>
      </c>
      <c r="AS825" s="20">
        <f>Operations!AS824-Operations!AS821-Operations!AS822</f>
        <v/>
      </c>
      <c r="AT825" s="20">
        <f>Operations!AT824-Operations!AT821-Operations!AT822</f>
        <v/>
      </c>
      <c r="AU825" s="20">
        <f>Operations!AU824-Operations!AU821-Operations!AU822</f>
        <v/>
      </c>
    </row>
    <row r="826">
      <c r="D826" t="inlineStr">
        <is>
          <t>R1 opex (O&amp;M, land, insurance, property tax, site)</t>
        </is>
      </c>
      <c r="E826" t="inlineStr">
        <is>
          <t>USD m</t>
        </is>
      </c>
      <c r="J826" s="20">
        <f>Inputs!$F$92*Inputs!$F$88/1000*Time!J$9*Time!J$10*Operations!J805*Operations!$F$792</f>
        <v/>
      </c>
      <c r="K826" s="20">
        <f>Inputs!$F$92*Inputs!$F$88/1000*Time!K$9*Time!K$10*Operations!K805*Operations!$F$792</f>
        <v/>
      </c>
      <c r="L826" s="20">
        <f>Inputs!$F$92*Inputs!$F$88/1000*Time!L$9*Time!L$10*Operations!L805*Operations!$F$792</f>
        <v/>
      </c>
      <c r="M826" s="20">
        <f>Inputs!$F$92*Inputs!$F$88/1000*Time!M$9*Time!M$10*Operations!M805*Operations!$F$792</f>
        <v/>
      </c>
      <c r="N826" s="20">
        <f>Inputs!$F$92*Inputs!$F$88/1000*Time!N$9*Time!N$10*Operations!N805*Operations!$F$792</f>
        <v/>
      </c>
      <c r="O826" s="20">
        <f>Inputs!$F$92*Inputs!$F$88/1000*Time!O$9*Time!O$10*Operations!O805*Operations!$F$792</f>
        <v/>
      </c>
      <c r="P826" s="20">
        <f>Inputs!$F$92*Inputs!$F$88/1000*Time!P$9*Time!P$10*Operations!P805*Operations!$F$792</f>
        <v/>
      </c>
      <c r="Q826" s="20">
        <f>Inputs!$F$92*Inputs!$F$88/1000*Time!Q$9*Time!Q$10*Operations!Q805*Operations!$F$792</f>
        <v/>
      </c>
      <c r="R826" s="20">
        <f>Inputs!$F$92*Inputs!$F$88/1000*Time!R$9*Time!R$10*Operations!R805*Operations!$F$792</f>
        <v/>
      </c>
      <c r="S826" s="20">
        <f>Inputs!$F$92*Inputs!$F$88/1000*Time!S$9*Time!S$10*Operations!S805*Operations!$F$792</f>
        <v/>
      </c>
      <c r="T826" s="20">
        <f>Inputs!$F$92*Inputs!$F$88/1000*Time!T$9*Time!T$10*Operations!T805*Operations!$F$792</f>
        <v/>
      </c>
      <c r="U826" s="20">
        <f>Inputs!$F$92*Inputs!$F$88/1000*Time!U$9*Time!U$10*Operations!U805*Operations!$F$792</f>
        <v/>
      </c>
      <c r="V826" s="20">
        <f>Inputs!$F$92*Inputs!$F$88/1000*Time!V$9*Time!V$10*Operations!V805*Operations!$F$792</f>
        <v/>
      </c>
      <c r="W826" s="20">
        <f>Inputs!$F$92*Inputs!$F$88/1000*Time!W$9*Time!W$10*Operations!W805*Operations!$F$792</f>
        <v/>
      </c>
      <c r="X826" s="20">
        <f>Inputs!$F$92*Inputs!$F$88/1000*Time!X$9*Time!X$10*Operations!X805*Operations!$F$792</f>
        <v/>
      </c>
      <c r="Y826" s="20">
        <f>Inputs!$F$92*Inputs!$F$88/1000*Time!Y$9*Time!Y$10*Operations!Y805*Operations!$F$792</f>
        <v/>
      </c>
      <c r="Z826" s="20">
        <f>Inputs!$F$92*Inputs!$F$88/1000*Time!Z$9*Time!Z$10*Operations!Z805*Operations!$F$792</f>
        <v/>
      </c>
      <c r="AA826" s="20">
        <f>Inputs!$F$92*Inputs!$F$88/1000*Time!AA$9*Time!AA$10*Operations!AA805*Operations!$F$792</f>
        <v/>
      </c>
      <c r="AB826" s="20">
        <f>Inputs!$F$92*Inputs!$F$88/1000*Time!AB$9*Time!AB$10*Operations!AB805*Operations!$F$792</f>
        <v/>
      </c>
      <c r="AC826" s="20">
        <f>Inputs!$F$92*Inputs!$F$88/1000*Time!AC$9*Time!AC$10*Operations!AC805*Operations!$F$792</f>
        <v/>
      </c>
      <c r="AD826" s="20">
        <f>Inputs!$F$92*Inputs!$F$88/1000*Time!AD$9*Time!AD$10*Operations!AD805*Operations!$F$792</f>
        <v/>
      </c>
      <c r="AE826" s="20">
        <f>Inputs!$F$92*Inputs!$F$88/1000*Time!AE$9*Time!AE$10*Operations!AE805*Operations!$F$792</f>
        <v/>
      </c>
      <c r="AF826" s="20">
        <f>Inputs!$F$92*Inputs!$F$88/1000*Time!AF$9*Time!AF$10*Operations!AF805*Operations!$F$792</f>
        <v/>
      </c>
      <c r="AG826" s="20">
        <f>Inputs!$F$92*Inputs!$F$88/1000*Time!AG$9*Time!AG$10*Operations!AG805*Operations!$F$792</f>
        <v/>
      </c>
      <c r="AH826" s="20">
        <f>Inputs!$F$92*Inputs!$F$88/1000*Time!AH$9*Time!AH$10*Operations!AH805*Operations!$F$792</f>
        <v/>
      </c>
      <c r="AI826" s="20">
        <f>Inputs!$F$92*Inputs!$F$88/1000*Time!AI$9*Time!AI$10*Operations!AI805*Operations!$F$792</f>
        <v/>
      </c>
      <c r="AJ826" s="20">
        <f>Inputs!$F$92*Inputs!$F$88/1000*Time!AJ$9*Time!AJ$10*Operations!AJ805*Operations!$F$792</f>
        <v/>
      </c>
      <c r="AK826" s="20">
        <f>Inputs!$F$92*Inputs!$F$88/1000*Time!AK$9*Time!AK$10*Operations!AK805*Operations!$F$792</f>
        <v/>
      </c>
      <c r="AL826" s="20">
        <f>Inputs!$F$92*Inputs!$F$88/1000*Time!AL$9*Time!AL$10*Operations!AL805*Operations!$F$792</f>
        <v/>
      </c>
      <c r="AM826" s="20">
        <f>Inputs!$F$92*Inputs!$F$88/1000*Time!AM$9*Time!AM$10*Operations!AM805*Operations!$F$792</f>
        <v/>
      </c>
      <c r="AN826" s="20">
        <f>Inputs!$F$92*Inputs!$F$88/1000*Time!AN$9*Time!AN$10*Operations!AN805*Operations!$F$792</f>
        <v/>
      </c>
      <c r="AO826" s="20">
        <f>Inputs!$F$92*Inputs!$F$88/1000*Time!AO$9*Time!AO$10*Operations!AO805*Operations!$F$792</f>
        <v/>
      </c>
      <c r="AP826" s="20">
        <f>Inputs!$F$92*Inputs!$F$88/1000*Time!AP$9*Time!AP$10*Operations!AP805*Operations!$F$792</f>
        <v/>
      </c>
      <c r="AQ826" s="20">
        <f>Inputs!$F$92*Inputs!$F$88/1000*Time!AQ$9*Time!AQ$10*Operations!AQ805*Operations!$F$792</f>
        <v/>
      </c>
      <c r="AR826" s="20">
        <f>Inputs!$F$92*Inputs!$F$88/1000*Time!AR$9*Time!AR$10*Operations!AR805*Operations!$F$792</f>
        <v/>
      </c>
      <c r="AS826" s="20">
        <f>Inputs!$F$92*Inputs!$F$88/1000*Time!AS$9*Time!AS$10*Operations!AS805*Operations!$F$792</f>
        <v/>
      </c>
      <c r="AT826" s="20">
        <f>Inputs!$F$92*Inputs!$F$88/1000*Time!AT$9*Time!AT$10*Operations!AT805*Operations!$F$792</f>
        <v/>
      </c>
      <c r="AU826" s="20">
        <f>Inputs!$F$92*Inputs!$F$88/1000*Time!AU$9*Time!AU$10*Operations!AU805*Operations!$F$792</f>
        <v/>
      </c>
    </row>
    <row r="827">
      <c r="D827" t="inlineStr">
        <is>
          <t>R1 wind land lease</t>
        </is>
      </c>
      <c r="E827" t="inlineStr">
        <is>
          <t>USD m</t>
        </is>
      </c>
      <c r="J827" s="20">
        <f>Inputs!$F$232/100*Operations!J824</f>
        <v/>
      </c>
      <c r="K827" s="20">
        <f>Inputs!$F$232/100*Operations!K824</f>
        <v/>
      </c>
      <c r="L827" s="20">
        <f>Inputs!$F$232/100*Operations!L824</f>
        <v/>
      </c>
      <c r="M827" s="20">
        <f>Inputs!$F$232/100*Operations!M824</f>
        <v/>
      </c>
      <c r="N827" s="20">
        <f>Inputs!$F$232/100*Operations!N824</f>
        <v/>
      </c>
      <c r="O827" s="20">
        <f>Inputs!$F$232/100*Operations!O824</f>
        <v/>
      </c>
      <c r="P827" s="20">
        <f>Inputs!$F$232/100*Operations!P824</f>
        <v/>
      </c>
      <c r="Q827" s="20">
        <f>Inputs!$F$232/100*Operations!Q824</f>
        <v/>
      </c>
      <c r="R827" s="20">
        <f>Inputs!$F$232/100*Operations!R824</f>
        <v/>
      </c>
      <c r="S827" s="20">
        <f>Inputs!$F$232/100*Operations!S824</f>
        <v/>
      </c>
      <c r="T827" s="20">
        <f>Inputs!$F$232/100*Operations!T824</f>
        <v/>
      </c>
      <c r="U827" s="20">
        <f>Inputs!$F$232/100*Operations!U824</f>
        <v/>
      </c>
      <c r="V827" s="20">
        <f>Inputs!$F$232/100*Operations!V824</f>
        <v/>
      </c>
      <c r="W827" s="20">
        <f>Inputs!$F$232/100*Operations!W824</f>
        <v/>
      </c>
      <c r="X827" s="20">
        <f>Inputs!$F$232/100*Operations!X824</f>
        <v/>
      </c>
      <c r="Y827" s="20">
        <f>Inputs!$F$232/100*Operations!Y824</f>
        <v/>
      </c>
      <c r="Z827" s="20">
        <f>Inputs!$F$232/100*Operations!Z824</f>
        <v/>
      </c>
      <c r="AA827" s="20">
        <f>Inputs!$F$232/100*Operations!AA824</f>
        <v/>
      </c>
      <c r="AB827" s="20">
        <f>Inputs!$F$232/100*Operations!AB824</f>
        <v/>
      </c>
      <c r="AC827" s="20">
        <f>Inputs!$F$232/100*Operations!AC824</f>
        <v/>
      </c>
      <c r="AD827" s="20">
        <f>Inputs!$F$232/100*Operations!AD824</f>
        <v/>
      </c>
      <c r="AE827" s="20">
        <f>Inputs!$F$232/100*Operations!AE824</f>
        <v/>
      </c>
      <c r="AF827" s="20">
        <f>Inputs!$F$232/100*Operations!AF824</f>
        <v/>
      </c>
      <c r="AG827" s="20">
        <f>Inputs!$F$232/100*Operations!AG824</f>
        <v/>
      </c>
      <c r="AH827" s="20">
        <f>Inputs!$F$232/100*Operations!AH824</f>
        <v/>
      </c>
      <c r="AI827" s="20">
        <f>Inputs!$F$232/100*Operations!AI824</f>
        <v/>
      </c>
      <c r="AJ827" s="20">
        <f>Inputs!$F$232/100*Operations!AJ824</f>
        <v/>
      </c>
      <c r="AK827" s="20">
        <f>Inputs!$F$232/100*Operations!AK824</f>
        <v/>
      </c>
      <c r="AL827" s="20">
        <f>Inputs!$F$232/100*Operations!AL824</f>
        <v/>
      </c>
      <c r="AM827" s="20">
        <f>Inputs!$F$232/100*Operations!AM824</f>
        <v/>
      </c>
      <c r="AN827" s="20">
        <f>Inputs!$F$232/100*Operations!AN824</f>
        <v/>
      </c>
      <c r="AO827" s="20">
        <f>Inputs!$F$232/100*Operations!AO824</f>
        <v/>
      </c>
      <c r="AP827" s="20">
        <f>Inputs!$F$232/100*Operations!AP824</f>
        <v/>
      </c>
      <c r="AQ827" s="20">
        <f>Inputs!$F$232/100*Operations!AQ824</f>
        <v/>
      </c>
      <c r="AR827" s="20">
        <f>Inputs!$F$232/100*Operations!AR824</f>
        <v/>
      </c>
      <c r="AS827" s="20">
        <f>Inputs!$F$232/100*Operations!AS824</f>
        <v/>
      </c>
      <c r="AT827" s="20">
        <f>Inputs!$F$232/100*Operations!AT824</f>
        <v/>
      </c>
      <c r="AU827" s="20">
        <f>Inputs!$F$232/100*Operations!AU824</f>
        <v/>
      </c>
    </row>
    <row r="828">
      <c r="D828" t="inlineStr">
        <is>
          <t>R1 decommissioning surety cost</t>
        </is>
      </c>
      <c r="E828" t="inlineStr">
        <is>
          <t>USD m</t>
        </is>
      </c>
      <c r="J828" s="20">
        <f>Inputs!$F$236/100*Inputs!$F$93*Inputs!$F$88/1000*Time!J$9*Operations!J805</f>
        <v/>
      </c>
      <c r="K828" s="20">
        <f>Inputs!$F$236/100*Inputs!$F$93*Inputs!$F$88/1000*Time!K$9*Operations!K805</f>
        <v/>
      </c>
      <c r="L828" s="20">
        <f>Inputs!$F$236/100*Inputs!$F$93*Inputs!$F$88/1000*Time!L$9*Operations!L805</f>
        <v/>
      </c>
      <c r="M828" s="20">
        <f>Inputs!$F$236/100*Inputs!$F$93*Inputs!$F$88/1000*Time!M$9*Operations!M805</f>
        <v/>
      </c>
      <c r="N828" s="20">
        <f>Inputs!$F$236/100*Inputs!$F$93*Inputs!$F$88/1000*Time!N$9*Operations!N805</f>
        <v/>
      </c>
      <c r="O828" s="20">
        <f>Inputs!$F$236/100*Inputs!$F$93*Inputs!$F$88/1000*Time!O$9*Operations!O805</f>
        <v/>
      </c>
      <c r="P828" s="20">
        <f>Inputs!$F$236/100*Inputs!$F$93*Inputs!$F$88/1000*Time!P$9*Operations!P805</f>
        <v/>
      </c>
      <c r="Q828" s="20">
        <f>Inputs!$F$236/100*Inputs!$F$93*Inputs!$F$88/1000*Time!Q$9*Operations!Q805</f>
        <v/>
      </c>
      <c r="R828" s="20">
        <f>Inputs!$F$236/100*Inputs!$F$93*Inputs!$F$88/1000*Time!R$9*Operations!R805</f>
        <v/>
      </c>
      <c r="S828" s="20">
        <f>Inputs!$F$236/100*Inputs!$F$93*Inputs!$F$88/1000*Time!S$9*Operations!S805</f>
        <v/>
      </c>
      <c r="T828" s="20">
        <f>Inputs!$F$236/100*Inputs!$F$93*Inputs!$F$88/1000*Time!T$9*Operations!T805</f>
        <v/>
      </c>
      <c r="U828" s="20">
        <f>Inputs!$F$236/100*Inputs!$F$93*Inputs!$F$88/1000*Time!U$9*Operations!U805</f>
        <v/>
      </c>
      <c r="V828" s="20">
        <f>Inputs!$F$236/100*Inputs!$F$93*Inputs!$F$88/1000*Time!V$9*Operations!V805</f>
        <v/>
      </c>
      <c r="W828" s="20">
        <f>Inputs!$F$236/100*Inputs!$F$93*Inputs!$F$88/1000*Time!W$9*Operations!W805</f>
        <v/>
      </c>
      <c r="X828" s="20">
        <f>Inputs!$F$236/100*Inputs!$F$93*Inputs!$F$88/1000*Time!X$9*Operations!X805</f>
        <v/>
      </c>
      <c r="Y828" s="20">
        <f>Inputs!$F$236/100*Inputs!$F$93*Inputs!$F$88/1000*Time!Y$9*Operations!Y805</f>
        <v/>
      </c>
      <c r="Z828" s="20">
        <f>Inputs!$F$236/100*Inputs!$F$93*Inputs!$F$88/1000*Time!Z$9*Operations!Z805</f>
        <v/>
      </c>
      <c r="AA828" s="20">
        <f>Inputs!$F$236/100*Inputs!$F$93*Inputs!$F$88/1000*Time!AA$9*Operations!AA805</f>
        <v/>
      </c>
      <c r="AB828" s="20">
        <f>Inputs!$F$236/100*Inputs!$F$93*Inputs!$F$88/1000*Time!AB$9*Operations!AB805</f>
        <v/>
      </c>
      <c r="AC828" s="20">
        <f>Inputs!$F$236/100*Inputs!$F$93*Inputs!$F$88/1000*Time!AC$9*Operations!AC805</f>
        <v/>
      </c>
      <c r="AD828" s="20">
        <f>Inputs!$F$236/100*Inputs!$F$93*Inputs!$F$88/1000*Time!AD$9*Operations!AD805</f>
        <v/>
      </c>
      <c r="AE828" s="20">
        <f>Inputs!$F$236/100*Inputs!$F$93*Inputs!$F$88/1000*Time!AE$9*Operations!AE805</f>
        <v/>
      </c>
      <c r="AF828" s="20">
        <f>Inputs!$F$236/100*Inputs!$F$93*Inputs!$F$88/1000*Time!AF$9*Operations!AF805</f>
        <v/>
      </c>
      <c r="AG828" s="20">
        <f>Inputs!$F$236/100*Inputs!$F$93*Inputs!$F$88/1000*Time!AG$9*Operations!AG805</f>
        <v/>
      </c>
      <c r="AH828" s="20">
        <f>Inputs!$F$236/100*Inputs!$F$93*Inputs!$F$88/1000*Time!AH$9*Operations!AH805</f>
        <v/>
      </c>
      <c r="AI828" s="20">
        <f>Inputs!$F$236/100*Inputs!$F$93*Inputs!$F$88/1000*Time!AI$9*Operations!AI805</f>
        <v/>
      </c>
      <c r="AJ828" s="20">
        <f>Inputs!$F$236/100*Inputs!$F$93*Inputs!$F$88/1000*Time!AJ$9*Operations!AJ805</f>
        <v/>
      </c>
      <c r="AK828" s="20">
        <f>Inputs!$F$236/100*Inputs!$F$93*Inputs!$F$88/1000*Time!AK$9*Operations!AK805</f>
        <v/>
      </c>
      <c r="AL828" s="20">
        <f>Inputs!$F$236/100*Inputs!$F$93*Inputs!$F$88/1000*Time!AL$9*Operations!AL805</f>
        <v/>
      </c>
      <c r="AM828" s="20">
        <f>Inputs!$F$236/100*Inputs!$F$93*Inputs!$F$88/1000*Time!AM$9*Operations!AM805</f>
        <v/>
      </c>
      <c r="AN828" s="20">
        <f>Inputs!$F$236/100*Inputs!$F$93*Inputs!$F$88/1000*Time!AN$9*Operations!AN805</f>
        <v/>
      </c>
      <c r="AO828" s="20">
        <f>Inputs!$F$236/100*Inputs!$F$93*Inputs!$F$88/1000*Time!AO$9*Operations!AO805</f>
        <v/>
      </c>
      <c r="AP828" s="20">
        <f>Inputs!$F$236/100*Inputs!$F$93*Inputs!$F$88/1000*Time!AP$9*Operations!AP805</f>
        <v/>
      </c>
      <c r="AQ828" s="20">
        <f>Inputs!$F$236/100*Inputs!$F$93*Inputs!$F$88/1000*Time!AQ$9*Operations!AQ805</f>
        <v/>
      </c>
      <c r="AR828" s="20">
        <f>Inputs!$F$236/100*Inputs!$F$93*Inputs!$F$88/1000*Time!AR$9*Operations!AR805</f>
        <v/>
      </c>
      <c r="AS828" s="20">
        <f>Inputs!$F$236/100*Inputs!$F$93*Inputs!$F$88/1000*Time!AS$9*Operations!AS805</f>
        <v/>
      </c>
      <c r="AT828" s="20">
        <f>Inputs!$F$236/100*Inputs!$F$93*Inputs!$F$88/1000*Time!AT$9*Operations!AT805</f>
        <v/>
      </c>
      <c r="AU828" s="20">
        <f>Inputs!$F$236/100*Inputs!$F$93*Inputs!$F$88/1000*Time!AU$9*Operations!AU805</f>
        <v/>
      </c>
    </row>
    <row r="829">
      <c r="D829" t="inlineStr">
        <is>
          <t>R1 Texas margin tax</t>
        </is>
      </c>
      <c r="E829" t="inlineStr">
        <is>
          <t>USD m</t>
        </is>
      </c>
      <c r="J829" s="20">
        <f>Inputs!$F$237/100*Inputs!$F$238/100*Operations!J824</f>
        <v/>
      </c>
      <c r="K829" s="20">
        <f>Inputs!$F$237/100*Inputs!$F$238/100*Operations!K824</f>
        <v/>
      </c>
      <c r="L829" s="20">
        <f>Inputs!$F$237/100*Inputs!$F$238/100*Operations!L824</f>
        <v/>
      </c>
      <c r="M829" s="20">
        <f>Inputs!$F$237/100*Inputs!$F$238/100*Operations!M824</f>
        <v/>
      </c>
      <c r="N829" s="20">
        <f>Inputs!$F$237/100*Inputs!$F$238/100*Operations!N824</f>
        <v/>
      </c>
      <c r="O829" s="20">
        <f>Inputs!$F$237/100*Inputs!$F$238/100*Operations!O824</f>
        <v/>
      </c>
      <c r="P829" s="20">
        <f>Inputs!$F$237/100*Inputs!$F$238/100*Operations!P824</f>
        <v/>
      </c>
      <c r="Q829" s="20">
        <f>Inputs!$F$237/100*Inputs!$F$238/100*Operations!Q824</f>
        <v/>
      </c>
      <c r="R829" s="20">
        <f>Inputs!$F$237/100*Inputs!$F$238/100*Operations!R824</f>
        <v/>
      </c>
      <c r="S829" s="20">
        <f>Inputs!$F$237/100*Inputs!$F$238/100*Operations!S824</f>
        <v/>
      </c>
      <c r="T829" s="20">
        <f>Inputs!$F$237/100*Inputs!$F$238/100*Operations!T824</f>
        <v/>
      </c>
      <c r="U829" s="20">
        <f>Inputs!$F$237/100*Inputs!$F$238/100*Operations!U824</f>
        <v/>
      </c>
      <c r="V829" s="20">
        <f>Inputs!$F$237/100*Inputs!$F$238/100*Operations!V824</f>
        <v/>
      </c>
      <c r="W829" s="20">
        <f>Inputs!$F$237/100*Inputs!$F$238/100*Operations!W824</f>
        <v/>
      </c>
      <c r="X829" s="20">
        <f>Inputs!$F$237/100*Inputs!$F$238/100*Operations!X824</f>
        <v/>
      </c>
      <c r="Y829" s="20">
        <f>Inputs!$F$237/100*Inputs!$F$238/100*Operations!Y824</f>
        <v/>
      </c>
      <c r="Z829" s="20">
        <f>Inputs!$F$237/100*Inputs!$F$238/100*Operations!Z824</f>
        <v/>
      </c>
      <c r="AA829" s="20">
        <f>Inputs!$F$237/100*Inputs!$F$238/100*Operations!AA824</f>
        <v/>
      </c>
      <c r="AB829" s="20">
        <f>Inputs!$F$237/100*Inputs!$F$238/100*Operations!AB824</f>
        <v/>
      </c>
      <c r="AC829" s="20">
        <f>Inputs!$F$237/100*Inputs!$F$238/100*Operations!AC824</f>
        <v/>
      </c>
      <c r="AD829" s="20">
        <f>Inputs!$F$237/100*Inputs!$F$238/100*Operations!AD824</f>
        <v/>
      </c>
      <c r="AE829" s="20">
        <f>Inputs!$F$237/100*Inputs!$F$238/100*Operations!AE824</f>
        <v/>
      </c>
      <c r="AF829" s="20">
        <f>Inputs!$F$237/100*Inputs!$F$238/100*Operations!AF824</f>
        <v/>
      </c>
      <c r="AG829" s="20">
        <f>Inputs!$F$237/100*Inputs!$F$238/100*Operations!AG824</f>
        <v/>
      </c>
      <c r="AH829" s="20">
        <f>Inputs!$F$237/100*Inputs!$F$238/100*Operations!AH824</f>
        <v/>
      </c>
      <c r="AI829" s="20">
        <f>Inputs!$F$237/100*Inputs!$F$238/100*Operations!AI824</f>
        <v/>
      </c>
      <c r="AJ829" s="20">
        <f>Inputs!$F$237/100*Inputs!$F$238/100*Operations!AJ824</f>
        <v/>
      </c>
      <c r="AK829" s="20">
        <f>Inputs!$F$237/100*Inputs!$F$238/100*Operations!AK824</f>
        <v/>
      </c>
      <c r="AL829" s="20">
        <f>Inputs!$F$237/100*Inputs!$F$238/100*Operations!AL824</f>
        <v/>
      </c>
      <c r="AM829" s="20">
        <f>Inputs!$F$237/100*Inputs!$F$238/100*Operations!AM824</f>
        <v/>
      </c>
      <c r="AN829" s="20">
        <f>Inputs!$F$237/100*Inputs!$F$238/100*Operations!AN824</f>
        <v/>
      </c>
      <c r="AO829" s="20">
        <f>Inputs!$F$237/100*Inputs!$F$238/100*Operations!AO824</f>
        <v/>
      </c>
      <c r="AP829" s="20">
        <f>Inputs!$F$237/100*Inputs!$F$238/100*Operations!AP824</f>
        <v/>
      </c>
      <c r="AQ829" s="20">
        <f>Inputs!$F$237/100*Inputs!$F$238/100*Operations!AQ824</f>
        <v/>
      </c>
      <c r="AR829" s="20">
        <f>Inputs!$F$237/100*Inputs!$F$238/100*Operations!AR824</f>
        <v/>
      </c>
      <c r="AS829" s="20">
        <f>Inputs!$F$237/100*Inputs!$F$238/100*Operations!AS824</f>
        <v/>
      </c>
      <c r="AT829" s="20">
        <f>Inputs!$F$237/100*Inputs!$F$238/100*Operations!AT824</f>
        <v/>
      </c>
      <c r="AU829" s="20">
        <f>Inputs!$F$237/100*Inputs!$F$238/100*Operations!AU824</f>
        <v/>
      </c>
    </row>
    <row r="830">
      <c r="D830" t="inlineStr">
        <is>
          <t>R1 EBITDA</t>
        </is>
      </c>
      <c r="E830" t="inlineStr">
        <is>
          <t>USD m</t>
        </is>
      </c>
      <c r="G830" s="20">
        <f>SUM(J830:AU830)</f>
        <v/>
      </c>
      <c r="J830" s="20">
        <f>Operations!J824-Operations!J826-Operations!J827-Operations!J828-Operations!J829</f>
        <v/>
      </c>
      <c r="K830" s="20">
        <f>Operations!K824-Operations!K826-Operations!K827-Operations!K828-Operations!K829</f>
        <v/>
      </c>
      <c r="L830" s="20">
        <f>Operations!L824-Operations!L826-Operations!L827-Operations!L828-Operations!L829</f>
        <v/>
      </c>
      <c r="M830" s="20">
        <f>Operations!M824-Operations!M826-Operations!M827-Operations!M828-Operations!M829</f>
        <v/>
      </c>
      <c r="N830" s="20">
        <f>Operations!N824-Operations!N826-Operations!N827-Operations!N828-Operations!N829</f>
        <v/>
      </c>
      <c r="O830" s="20">
        <f>Operations!O824-Operations!O826-Operations!O827-Operations!O828-Operations!O829</f>
        <v/>
      </c>
      <c r="P830" s="20">
        <f>Operations!P824-Operations!P826-Operations!P827-Operations!P828-Operations!P829</f>
        <v/>
      </c>
      <c r="Q830" s="20">
        <f>Operations!Q824-Operations!Q826-Operations!Q827-Operations!Q828-Operations!Q829</f>
        <v/>
      </c>
      <c r="R830" s="20">
        <f>Operations!R824-Operations!R826-Operations!R827-Operations!R828-Operations!R829</f>
        <v/>
      </c>
      <c r="S830" s="20">
        <f>Operations!S824-Operations!S826-Operations!S827-Operations!S828-Operations!S829</f>
        <v/>
      </c>
      <c r="T830" s="20">
        <f>Operations!T824-Operations!T826-Operations!T827-Operations!T828-Operations!T829</f>
        <v/>
      </c>
      <c r="U830" s="20">
        <f>Operations!U824-Operations!U826-Operations!U827-Operations!U828-Operations!U829</f>
        <v/>
      </c>
      <c r="V830" s="20">
        <f>Operations!V824-Operations!V826-Operations!V827-Operations!V828-Operations!V829</f>
        <v/>
      </c>
      <c r="W830" s="20">
        <f>Operations!W824-Operations!W826-Operations!W827-Operations!W828-Operations!W829</f>
        <v/>
      </c>
      <c r="X830" s="20">
        <f>Operations!X824-Operations!X826-Operations!X827-Operations!X828-Operations!X829</f>
        <v/>
      </c>
      <c r="Y830" s="20">
        <f>Operations!Y824-Operations!Y826-Operations!Y827-Operations!Y828-Operations!Y829</f>
        <v/>
      </c>
      <c r="Z830" s="20">
        <f>Operations!Z824-Operations!Z826-Operations!Z827-Operations!Z828-Operations!Z829</f>
        <v/>
      </c>
      <c r="AA830" s="20">
        <f>Operations!AA824-Operations!AA826-Operations!AA827-Operations!AA828-Operations!AA829</f>
        <v/>
      </c>
      <c r="AB830" s="20">
        <f>Operations!AB824-Operations!AB826-Operations!AB827-Operations!AB828-Operations!AB829</f>
        <v/>
      </c>
      <c r="AC830" s="20">
        <f>Operations!AC824-Operations!AC826-Operations!AC827-Operations!AC828-Operations!AC829</f>
        <v/>
      </c>
      <c r="AD830" s="20">
        <f>Operations!AD824-Operations!AD826-Operations!AD827-Operations!AD828-Operations!AD829</f>
        <v/>
      </c>
      <c r="AE830" s="20">
        <f>Operations!AE824-Operations!AE826-Operations!AE827-Operations!AE828-Operations!AE829</f>
        <v/>
      </c>
      <c r="AF830" s="20">
        <f>Operations!AF824-Operations!AF826-Operations!AF827-Operations!AF828-Operations!AF829</f>
        <v/>
      </c>
      <c r="AG830" s="20">
        <f>Operations!AG824-Operations!AG826-Operations!AG827-Operations!AG828-Operations!AG829</f>
        <v/>
      </c>
      <c r="AH830" s="20">
        <f>Operations!AH824-Operations!AH826-Operations!AH827-Operations!AH828-Operations!AH829</f>
        <v/>
      </c>
      <c r="AI830" s="20">
        <f>Operations!AI824-Operations!AI826-Operations!AI827-Operations!AI828-Operations!AI829</f>
        <v/>
      </c>
      <c r="AJ830" s="20">
        <f>Operations!AJ824-Operations!AJ826-Operations!AJ827-Operations!AJ828-Operations!AJ829</f>
        <v/>
      </c>
      <c r="AK830" s="20">
        <f>Operations!AK824-Operations!AK826-Operations!AK827-Operations!AK828-Operations!AK829</f>
        <v/>
      </c>
      <c r="AL830" s="20">
        <f>Operations!AL824-Operations!AL826-Operations!AL827-Operations!AL828-Operations!AL829</f>
        <v/>
      </c>
      <c r="AM830" s="20">
        <f>Operations!AM824-Operations!AM826-Operations!AM827-Operations!AM828-Operations!AM829</f>
        <v/>
      </c>
      <c r="AN830" s="20">
        <f>Operations!AN824-Operations!AN826-Operations!AN827-Operations!AN828-Operations!AN829</f>
        <v/>
      </c>
      <c r="AO830" s="20">
        <f>Operations!AO824-Operations!AO826-Operations!AO827-Operations!AO828-Operations!AO829</f>
        <v/>
      </c>
      <c r="AP830" s="20">
        <f>Operations!AP824-Operations!AP826-Operations!AP827-Operations!AP828-Operations!AP829</f>
        <v/>
      </c>
      <c r="AQ830" s="20">
        <f>Operations!AQ824-Operations!AQ826-Operations!AQ827-Operations!AQ828-Operations!AQ829</f>
        <v/>
      </c>
      <c r="AR830" s="20">
        <f>Operations!AR824-Operations!AR826-Operations!AR827-Operations!AR828-Operations!AR829</f>
        <v/>
      </c>
      <c r="AS830" s="20">
        <f>Operations!AS824-Operations!AS826-Operations!AS827-Operations!AS828-Operations!AS829</f>
        <v/>
      </c>
      <c r="AT830" s="20">
        <f>Operations!AT824-Operations!AT826-Operations!AT827-Operations!AT828-Operations!AT829</f>
        <v/>
      </c>
      <c r="AU830" s="20">
        <f>Operations!AU824-Operations!AU826-Operations!AU827-Operations!AU828-Operations!AU829</f>
        <v/>
      </c>
    </row>
    <row r="831">
      <c r="D831" t="inlineStr">
        <is>
          <t>R1 capex</t>
        </is>
      </c>
      <c r="E831" t="inlineStr">
        <is>
          <t>USD m</t>
        </is>
      </c>
      <c r="J831" s="20">
        <f>0</f>
        <v/>
      </c>
      <c r="K831" s="20">
        <f>0</f>
        <v/>
      </c>
      <c r="L831" s="20">
        <f>0</f>
        <v/>
      </c>
      <c r="M831" s="20">
        <f>0</f>
        <v/>
      </c>
      <c r="N831" s="20">
        <f>0</f>
        <v/>
      </c>
      <c r="O831" s="20">
        <f>0</f>
        <v/>
      </c>
      <c r="P831" s="20">
        <f>0</f>
        <v/>
      </c>
      <c r="Q831" s="20">
        <f>0</f>
        <v/>
      </c>
      <c r="R831" s="20">
        <f>0</f>
        <v/>
      </c>
      <c r="S831" s="20">
        <f>0</f>
        <v/>
      </c>
      <c r="T831" s="20">
        <f>0</f>
        <v/>
      </c>
      <c r="U831" s="20">
        <f>0</f>
        <v/>
      </c>
      <c r="V831" s="20">
        <f>0</f>
        <v/>
      </c>
      <c r="W831" s="20">
        <f>0</f>
        <v/>
      </c>
      <c r="X831" s="20">
        <f>0</f>
        <v/>
      </c>
      <c r="Y831" s="20">
        <f>0</f>
        <v/>
      </c>
      <c r="Z831" s="20">
        <f>0</f>
        <v/>
      </c>
      <c r="AA831" s="20">
        <f>0</f>
        <v/>
      </c>
      <c r="AB831" s="20">
        <f>0</f>
        <v/>
      </c>
      <c r="AC831" s="20">
        <f>0</f>
        <v/>
      </c>
      <c r="AD831" s="20">
        <f>0</f>
        <v/>
      </c>
      <c r="AE831" s="20">
        <f>0</f>
        <v/>
      </c>
      <c r="AF831" s="20">
        <f>0</f>
        <v/>
      </c>
      <c r="AG831" s="20">
        <f>0</f>
        <v/>
      </c>
      <c r="AH831" s="20">
        <f>0</f>
        <v/>
      </c>
      <c r="AI831" s="20">
        <f>0</f>
        <v/>
      </c>
      <c r="AJ831" s="20">
        <f>0</f>
        <v/>
      </c>
      <c r="AK831" s="20">
        <f>0</f>
        <v/>
      </c>
      <c r="AL831" s="20">
        <f>0</f>
        <v/>
      </c>
      <c r="AM831" s="20">
        <f>0</f>
        <v/>
      </c>
      <c r="AN831" s="20">
        <f>0</f>
        <v/>
      </c>
      <c r="AO831" s="20">
        <f>0</f>
        <v/>
      </c>
      <c r="AP831" s="20">
        <f>0</f>
        <v/>
      </c>
      <c r="AQ831" s="20">
        <f>0</f>
        <v/>
      </c>
      <c r="AR831" s="20">
        <f>0</f>
        <v/>
      </c>
      <c r="AS831" s="20">
        <f>0</f>
        <v/>
      </c>
      <c r="AT831" s="20">
        <f>0</f>
        <v/>
      </c>
      <c r="AU831" s="20">
        <f>0</f>
        <v/>
      </c>
    </row>
    <row r="832">
      <c r="D832" t="inlineStr">
        <is>
          <t>R1 decommissioning at end of life</t>
        </is>
      </c>
      <c r="E832" t="inlineStr">
        <is>
          <t>USD m</t>
        </is>
      </c>
      <c r="J832" s="20">
        <f>IF(Time!J$4=YEAR(Inputs!$F$90),Inputs!$F$93*Inputs!$F$88/1000*Time!J$9,0)</f>
        <v/>
      </c>
      <c r="K832" s="20">
        <f>IF(Time!K$4=YEAR(Inputs!$F$90),Inputs!$F$93*Inputs!$F$88/1000*Time!K$9,0)</f>
        <v/>
      </c>
      <c r="L832" s="20">
        <f>IF(Time!L$4=YEAR(Inputs!$F$90),Inputs!$F$93*Inputs!$F$88/1000*Time!L$9,0)</f>
        <v/>
      </c>
      <c r="M832" s="20">
        <f>IF(Time!M$4=YEAR(Inputs!$F$90),Inputs!$F$93*Inputs!$F$88/1000*Time!M$9,0)</f>
        <v/>
      </c>
      <c r="N832" s="20">
        <f>IF(Time!N$4=YEAR(Inputs!$F$90),Inputs!$F$93*Inputs!$F$88/1000*Time!N$9,0)</f>
        <v/>
      </c>
      <c r="O832" s="20">
        <f>IF(Time!O$4=YEAR(Inputs!$F$90),Inputs!$F$93*Inputs!$F$88/1000*Time!O$9,0)</f>
        <v/>
      </c>
      <c r="P832" s="20">
        <f>IF(Time!P$4=YEAR(Inputs!$F$90),Inputs!$F$93*Inputs!$F$88/1000*Time!P$9,0)</f>
        <v/>
      </c>
      <c r="Q832" s="20">
        <f>IF(Time!Q$4=YEAR(Inputs!$F$90),Inputs!$F$93*Inputs!$F$88/1000*Time!Q$9,0)</f>
        <v/>
      </c>
      <c r="R832" s="20">
        <f>IF(Time!R$4=YEAR(Inputs!$F$90),Inputs!$F$93*Inputs!$F$88/1000*Time!R$9,0)</f>
        <v/>
      </c>
      <c r="S832" s="20">
        <f>IF(Time!S$4=YEAR(Inputs!$F$90),Inputs!$F$93*Inputs!$F$88/1000*Time!S$9,0)</f>
        <v/>
      </c>
      <c r="T832" s="20">
        <f>IF(Time!T$4=YEAR(Inputs!$F$90),Inputs!$F$93*Inputs!$F$88/1000*Time!T$9,0)</f>
        <v/>
      </c>
      <c r="U832" s="20">
        <f>IF(Time!U$4=YEAR(Inputs!$F$90),Inputs!$F$93*Inputs!$F$88/1000*Time!U$9,0)</f>
        <v/>
      </c>
      <c r="V832" s="20">
        <f>IF(Time!V$4=YEAR(Inputs!$F$90),Inputs!$F$93*Inputs!$F$88/1000*Time!V$9,0)</f>
        <v/>
      </c>
      <c r="W832" s="20">
        <f>IF(Time!W$4=YEAR(Inputs!$F$90),Inputs!$F$93*Inputs!$F$88/1000*Time!W$9,0)</f>
        <v/>
      </c>
      <c r="X832" s="20">
        <f>IF(Time!X$4=YEAR(Inputs!$F$90),Inputs!$F$93*Inputs!$F$88/1000*Time!X$9,0)</f>
        <v/>
      </c>
      <c r="Y832" s="20">
        <f>IF(Time!Y$4=YEAR(Inputs!$F$90),Inputs!$F$93*Inputs!$F$88/1000*Time!Y$9,0)</f>
        <v/>
      </c>
      <c r="Z832" s="20">
        <f>IF(Time!Z$4=YEAR(Inputs!$F$90),Inputs!$F$93*Inputs!$F$88/1000*Time!Z$9,0)</f>
        <v/>
      </c>
      <c r="AA832" s="20">
        <f>IF(Time!AA$4=YEAR(Inputs!$F$90),Inputs!$F$93*Inputs!$F$88/1000*Time!AA$9,0)</f>
        <v/>
      </c>
      <c r="AB832" s="20">
        <f>IF(Time!AB$4=YEAR(Inputs!$F$90),Inputs!$F$93*Inputs!$F$88/1000*Time!AB$9,0)</f>
        <v/>
      </c>
      <c r="AC832" s="20">
        <f>IF(Time!AC$4=YEAR(Inputs!$F$90),Inputs!$F$93*Inputs!$F$88/1000*Time!AC$9,0)</f>
        <v/>
      </c>
      <c r="AD832" s="20">
        <f>IF(Time!AD$4=YEAR(Inputs!$F$90),Inputs!$F$93*Inputs!$F$88/1000*Time!AD$9,0)</f>
        <v/>
      </c>
      <c r="AE832" s="20">
        <f>IF(Time!AE$4=YEAR(Inputs!$F$90),Inputs!$F$93*Inputs!$F$88/1000*Time!AE$9,0)</f>
        <v/>
      </c>
      <c r="AF832" s="20">
        <f>IF(Time!AF$4=YEAR(Inputs!$F$90),Inputs!$F$93*Inputs!$F$88/1000*Time!AF$9,0)</f>
        <v/>
      </c>
      <c r="AG832" s="20">
        <f>IF(Time!AG$4=YEAR(Inputs!$F$90),Inputs!$F$93*Inputs!$F$88/1000*Time!AG$9,0)</f>
        <v/>
      </c>
      <c r="AH832" s="20">
        <f>IF(Time!AH$4=YEAR(Inputs!$F$90),Inputs!$F$93*Inputs!$F$88/1000*Time!AH$9,0)</f>
        <v/>
      </c>
      <c r="AI832" s="20">
        <f>IF(Time!AI$4=YEAR(Inputs!$F$90),Inputs!$F$93*Inputs!$F$88/1000*Time!AI$9,0)</f>
        <v/>
      </c>
      <c r="AJ832" s="20">
        <f>IF(Time!AJ$4=YEAR(Inputs!$F$90),Inputs!$F$93*Inputs!$F$88/1000*Time!AJ$9,0)</f>
        <v/>
      </c>
      <c r="AK832" s="20">
        <f>IF(Time!AK$4=YEAR(Inputs!$F$90),Inputs!$F$93*Inputs!$F$88/1000*Time!AK$9,0)</f>
        <v/>
      </c>
      <c r="AL832" s="20">
        <f>IF(Time!AL$4=YEAR(Inputs!$F$90),Inputs!$F$93*Inputs!$F$88/1000*Time!AL$9,0)</f>
        <v/>
      </c>
      <c r="AM832" s="20">
        <f>IF(Time!AM$4=YEAR(Inputs!$F$90),Inputs!$F$93*Inputs!$F$88/1000*Time!AM$9,0)</f>
        <v/>
      </c>
      <c r="AN832" s="20">
        <f>IF(Time!AN$4=YEAR(Inputs!$F$90),Inputs!$F$93*Inputs!$F$88/1000*Time!AN$9,0)</f>
        <v/>
      </c>
      <c r="AO832" s="20">
        <f>IF(Time!AO$4=YEAR(Inputs!$F$90),Inputs!$F$93*Inputs!$F$88/1000*Time!AO$9,0)</f>
        <v/>
      </c>
      <c r="AP832" s="20">
        <f>IF(Time!AP$4=YEAR(Inputs!$F$90),Inputs!$F$93*Inputs!$F$88/1000*Time!AP$9,0)</f>
        <v/>
      </c>
      <c r="AQ832" s="20">
        <f>IF(Time!AQ$4=YEAR(Inputs!$F$90),Inputs!$F$93*Inputs!$F$88/1000*Time!AQ$9,0)</f>
        <v/>
      </c>
      <c r="AR832" s="20">
        <f>IF(Time!AR$4=YEAR(Inputs!$F$90),Inputs!$F$93*Inputs!$F$88/1000*Time!AR$9,0)</f>
        <v/>
      </c>
      <c r="AS832" s="20">
        <f>IF(Time!AS$4=YEAR(Inputs!$F$90),Inputs!$F$93*Inputs!$F$88/1000*Time!AS$9,0)</f>
        <v/>
      </c>
      <c r="AT832" s="20">
        <f>IF(Time!AT$4=YEAR(Inputs!$F$90),Inputs!$F$93*Inputs!$F$88/1000*Time!AT$9,0)</f>
        <v/>
      </c>
      <c r="AU832" s="20">
        <f>IF(Time!AU$4=YEAR(Inputs!$F$90),Inputs!$F$93*Inputs!$F$88/1000*Time!AU$9,0)</f>
        <v/>
      </c>
    </row>
    <row r="833">
      <c r="D833" t="inlineStr">
        <is>
          <t>R1 pre-tax cash flow, 100% of asset</t>
        </is>
      </c>
      <c r="E833" t="inlineStr">
        <is>
          <t>USD m</t>
        </is>
      </c>
      <c r="G833" s="20">
        <f>SUM(J833:AU833)</f>
        <v/>
      </c>
      <c r="J833" s="20">
        <f>Operations!J830-Operations!J831-Operations!J832</f>
        <v/>
      </c>
      <c r="K833" s="20">
        <f>Operations!K830-Operations!K831-Operations!K832</f>
        <v/>
      </c>
      <c r="L833" s="20">
        <f>Operations!L830-Operations!L831-Operations!L832</f>
        <v/>
      </c>
      <c r="M833" s="20">
        <f>Operations!M830-Operations!M831-Operations!M832</f>
        <v/>
      </c>
      <c r="N833" s="20">
        <f>Operations!N830-Operations!N831-Operations!N832</f>
        <v/>
      </c>
      <c r="O833" s="20">
        <f>Operations!O830-Operations!O831-Operations!O832</f>
        <v/>
      </c>
      <c r="P833" s="20">
        <f>Operations!P830-Operations!P831-Operations!P832</f>
        <v/>
      </c>
      <c r="Q833" s="20">
        <f>Operations!Q830-Operations!Q831-Operations!Q832</f>
        <v/>
      </c>
      <c r="R833" s="20">
        <f>Operations!R830-Operations!R831-Operations!R832</f>
        <v/>
      </c>
      <c r="S833" s="20">
        <f>Operations!S830-Operations!S831-Operations!S832</f>
        <v/>
      </c>
      <c r="T833" s="20">
        <f>Operations!T830-Operations!T831-Operations!T832</f>
        <v/>
      </c>
      <c r="U833" s="20">
        <f>Operations!U830-Operations!U831-Operations!U832</f>
        <v/>
      </c>
      <c r="V833" s="20">
        <f>Operations!V830-Operations!V831-Operations!V832</f>
        <v/>
      </c>
      <c r="W833" s="20">
        <f>Operations!W830-Operations!W831-Operations!W832</f>
        <v/>
      </c>
      <c r="X833" s="20">
        <f>Operations!X830-Operations!X831-Operations!X832</f>
        <v/>
      </c>
      <c r="Y833" s="20">
        <f>Operations!Y830-Operations!Y831-Operations!Y832</f>
        <v/>
      </c>
      <c r="Z833" s="20">
        <f>Operations!Z830-Operations!Z831-Operations!Z832</f>
        <v/>
      </c>
      <c r="AA833" s="20">
        <f>Operations!AA830-Operations!AA831-Operations!AA832</f>
        <v/>
      </c>
      <c r="AB833" s="20">
        <f>Operations!AB830-Operations!AB831-Operations!AB832</f>
        <v/>
      </c>
      <c r="AC833" s="20">
        <f>Operations!AC830-Operations!AC831-Operations!AC832</f>
        <v/>
      </c>
      <c r="AD833" s="20">
        <f>Operations!AD830-Operations!AD831-Operations!AD832</f>
        <v/>
      </c>
      <c r="AE833" s="20">
        <f>Operations!AE830-Operations!AE831-Operations!AE832</f>
        <v/>
      </c>
      <c r="AF833" s="20">
        <f>Operations!AF830-Operations!AF831-Operations!AF832</f>
        <v/>
      </c>
      <c r="AG833" s="20">
        <f>Operations!AG830-Operations!AG831-Operations!AG832</f>
        <v/>
      </c>
      <c r="AH833" s="20">
        <f>Operations!AH830-Operations!AH831-Operations!AH832</f>
        <v/>
      </c>
      <c r="AI833" s="20">
        <f>Operations!AI830-Operations!AI831-Operations!AI832</f>
        <v/>
      </c>
      <c r="AJ833" s="20">
        <f>Operations!AJ830-Operations!AJ831-Operations!AJ832</f>
        <v/>
      </c>
      <c r="AK833" s="20">
        <f>Operations!AK830-Operations!AK831-Operations!AK832</f>
        <v/>
      </c>
      <c r="AL833" s="20">
        <f>Operations!AL830-Operations!AL831-Operations!AL832</f>
        <v/>
      </c>
      <c r="AM833" s="20">
        <f>Operations!AM830-Operations!AM831-Operations!AM832</f>
        <v/>
      </c>
      <c r="AN833" s="20">
        <f>Operations!AN830-Operations!AN831-Operations!AN832</f>
        <v/>
      </c>
      <c r="AO833" s="20">
        <f>Operations!AO830-Operations!AO831-Operations!AO832</f>
        <v/>
      </c>
      <c r="AP833" s="20">
        <f>Operations!AP830-Operations!AP831-Operations!AP832</f>
        <v/>
      </c>
      <c r="AQ833" s="20">
        <f>Operations!AQ830-Operations!AQ831-Operations!AQ832</f>
        <v/>
      </c>
      <c r="AR833" s="20">
        <f>Operations!AR830-Operations!AR831-Operations!AR832</f>
        <v/>
      </c>
      <c r="AS833" s="20">
        <f>Operations!AS830-Operations!AS831-Operations!AS832</f>
        <v/>
      </c>
      <c r="AT833" s="20">
        <f>Operations!AT830-Operations!AT831-Operations!AT832</f>
        <v/>
      </c>
      <c r="AU833" s="20">
        <f>Operations!AU830-Operations!AU831-Operations!AU832</f>
        <v/>
      </c>
    </row>
    <row r="834">
      <c r="D834" t="inlineStr">
        <is>
          <t>R1 tax equity cash share</t>
        </is>
      </c>
      <c r="E834" t="inlineStr">
        <is>
          <t>fraction</t>
        </is>
      </c>
      <c r="J834" s="14">
        <f>0</f>
        <v/>
      </c>
      <c r="K834" s="14">
        <f>0</f>
        <v/>
      </c>
      <c r="L834" s="14">
        <f>0</f>
        <v/>
      </c>
      <c r="M834" s="14">
        <f>0</f>
        <v/>
      </c>
      <c r="N834" s="14">
        <f>0</f>
        <v/>
      </c>
      <c r="O834" s="14">
        <f>0</f>
        <v/>
      </c>
      <c r="P834" s="14">
        <f>0</f>
        <v/>
      </c>
      <c r="Q834" s="14">
        <f>0</f>
        <v/>
      </c>
      <c r="R834" s="14">
        <f>0</f>
        <v/>
      </c>
      <c r="S834" s="14">
        <f>0</f>
        <v/>
      </c>
      <c r="T834" s="14">
        <f>0</f>
        <v/>
      </c>
      <c r="U834" s="14">
        <f>0</f>
        <v/>
      </c>
      <c r="V834" s="14">
        <f>0</f>
        <v/>
      </c>
      <c r="W834" s="14">
        <f>0</f>
        <v/>
      </c>
      <c r="X834" s="14">
        <f>0</f>
        <v/>
      </c>
      <c r="Y834" s="14">
        <f>0</f>
        <v/>
      </c>
      <c r="Z834" s="14">
        <f>0</f>
        <v/>
      </c>
      <c r="AA834" s="14">
        <f>0</f>
        <v/>
      </c>
      <c r="AB834" s="14">
        <f>0</f>
        <v/>
      </c>
      <c r="AC834" s="14">
        <f>0</f>
        <v/>
      </c>
      <c r="AD834" s="14">
        <f>0</f>
        <v/>
      </c>
      <c r="AE834" s="14">
        <f>0</f>
        <v/>
      </c>
      <c r="AF834" s="14">
        <f>0</f>
        <v/>
      </c>
      <c r="AG834" s="14">
        <f>0</f>
        <v/>
      </c>
      <c r="AH834" s="14">
        <f>0</f>
        <v/>
      </c>
      <c r="AI834" s="14">
        <f>0</f>
        <v/>
      </c>
      <c r="AJ834" s="14">
        <f>0</f>
        <v/>
      </c>
      <c r="AK834" s="14">
        <f>0</f>
        <v/>
      </c>
      <c r="AL834" s="14">
        <f>0</f>
        <v/>
      </c>
      <c r="AM834" s="14">
        <f>0</f>
        <v/>
      </c>
      <c r="AN834" s="14">
        <f>0</f>
        <v/>
      </c>
      <c r="AO834" s="14">
        <f>0</f>
        <v/>
      </c>
      <c r="AP834" s="14">
        <f>0</f>
        <v/>
      </c>
      <c r="AQ834" s="14">
        <f>0</f>
        <v/>
      </c>
      <c r="AR834" s="14">
        <f>0</f>
        <v/>
      </c>
      <c r="AS834" s="14">
        <f>0</f>
        <v/>
      </c>
      <c r="AT834" s="14">
        <f>0</f>
        <v/>
      </c>
      <c r="AU834" s="14">
        <f>0</f>
        <v/>
      </c>
    </row>
    <row r="835">
      <c r="D835" t="inlineStr">
        <is>
          <t>R1 Mesa share of taxable income</t>
        </is>
      </c>
      <c r="E835" t="inlineStr">
        <is>
          <t>fraction</t>
        </is>
      </c>
      <c r="J835" s="14">
        <f>1</f>
        <v/>
      </c>
      <c r="K835" s="14">
        <f>1</f>
        <v/>
      </c>
      <c r="L835" s="14">
        <f>1</f>
        <v/>
      </c>
      <c r="M835" s="14">
        <f>1</f>
        <v/>
      </c>
      <c r="N835" s="14">
        <f>1</f>
        <v/>
      </c>
      <c r="O835" s="14">
        <f>1</f>
        <v/>
      </c>
      <c r="P835" s="14">
        <f>1</f>
        <v/>
      </c>
      <c r="Q835" s="14">
        <f>1</f>
        <v/>
      </c>
      <c r="R835" s="14">
        <f>1</f>
        <v/>
      </c>
      <c r="S835" s="14">
        <f>1</f>
        <v/>
      </c>
      <c r="T835" s="14">
        <f>1</f>
        <v/>
      </c>
      <c r="U835" s="14">
        <f>1</f>
        <v/>
      </c>
      <c r="V835" s="14">
        <f>1</f>
        <v/>
      </c>
      <c r="W835" s="14">
        <f>1</f>
        <v/>
      </c>
      <c r="X835" s="14">
        <f>1</f>
        <v/>
      </c>
      <c r="Y835" s="14">
        <f>1</f>
        <v/>
      </c>
      <c r="Z835" s="14">
        <f>1</f>
        <v/>
      </c>
      <c r="AA835" s="14">
        <f>1</f>
        <v/>
      </c>
      <c r="AB835" s="14">
        <f>1</f>
        <v/>
      </c>
      <c r="AC835" s="14">
        <f>1</f>
        <v/>
      </c>
      <c r="AD835" s="14">
        <f>1</f>
        <v/>
      </c>
      <c r="AE835" s="14">
        <f>1</f>
        <v/>
      </c>
      <c r="AF835" s="14">
        <f>1</f>
        <v/>
      </c>
      <c r="AG835" s="14">
        <f>1</f>
        <v/>
      </c>
      <c r="AH835" s="14">
        <f>1</f>
        <v/>
      </c>
      <c r="AI835" s="14">
        <f>1</f>
        <v/>
      </c>
      <c r="AJ835" s="14">
        <f>1</f>
        <v/>
      </c>
      <c r="AK835" s="14">
        <f>1</f>
        <v/>
      </c>
      <c r="AL835" s="14">
        <f>1</f>
        <v/>
      </c>
      <c r="AM835" s="14">
        <f>1</f>
        <v/>
      </c>
      <c r="AN835" s="14">
        <f>1</f>
        <v/>
      </c>
      <c r="AO835" s="14">
        <f>1</f>
        <v/>
      </c>
      <c r="AP835" s="14">
        <f>1</f>
        <v/>
      </c>
      <c r="AQ835" s="14">
        <f>1</f>
        <v/>
      </c>
      <c r="AR835" s="14">
        <f>1</f>
        <v/>
      </c>
      <c r="AS835" s="14">
        <f>1</f>
        <v/>
      </c>
      <c r="AT835" s="14">
        <f>1</f>
        <v/>
      </c>
      <c r="AU835" s="14">
        <f>1</f>
        <v/>
      </c>
    </row>
    <row r="836">
      <c r="D836" t="inlineStr">
        <is>
          <t>R1 Mesa share of cash flow</t>
        </is>
      </c>
      <c r="E836" t="inlineStr">
        <is>
          <t>USD m</t>
        </is>
      </c>
      <c r="G836" s="20">
        <f>SUM(J836:AU836)</f>
        <v/>
      </c>
      <c r="J836" s="20">
        <f>Operations!J833*(1-Operations!J834)*Operations!J807</f>
        <v/>
      </c>
      <c r="K836" s="20">
        <f>Operations!K833*(1-Operations!K834)*Operations!K807</f>
        <v/>
      </c>
      <c r="L836" s="20">
        <f>Operations!L833*(1-Operations!L834)*Operations!L807</f>
        <v/>
      </c>
      <c r="M836" s="20">
        <f>Operations!M833*(1-Operations!M834)*Operations!M807</f>
        <v/>
      </c>
      <c r="N836" s="20">
        <f>Operations!N833*(1-Operations!N834)*Operations!N807</f>
        <v/>
      </c>
      <c r="O836" s="20">
        <f>Operations!O833*(1-Operations!O834)*Operations!O807</f>
        <v/>
      </c>
      <c r="P836" s="20">
        <f>Operations!P833*(1-Operations!P834)*Operations!P807</f>
        <v/>
      </c>
      <c r="Q836" s="20">
        <f>Operations!Q833*(1-Operations!Q834)*Operations!Q807</f>
        <v/>
      </c>
      <c r="R836" s="20">
        <f>Operations!R833*(1-Operations!R834)*Operations!R807</f>
        <v/>
      </c>
      <c r="S836" s="20">
        <f>Operations!S833*(1-Operations!S834)*Operations!S807</f>
        <v/>
      </c>
      <c r="T836" s="20">
        <f>Operations!T833*(1-Operations!T834)*Operations!T807</f>
        <v/>
      </c>
      <c r="U836" s="20">
        <f>Operations!U833*(1-Operations!U834)*Operations!U807</f>
        <v/>
      </c>
      <c r="V836" s="20">
        <f>Operations!V833*(1-Operations!V834)*Operations!V807</f>
        <v/>
      </c>
      <c r="W836" s="20">
        <f>Operations!W833*(1-Operations!W834)*Operations!W807</f>
        <v/>
      </c>
      <c r="X836" s="20">
        <f>Operations!X833*(1-Operations!X834)*Operations!X807</f>
        <v/>
      </c>
      <c r="Y836" s="20">
        <f>Operations!Y833*(1-Operations!Y834)*Operations!Y807</f>
        <v/>
      </c>
      <c r="Z836" s="20">
        <f>Operations!Z833*(1-Operations!Z834)*Operations!Z807</f>
        <v/>
      </c>
      <c r="AA836" s="20">
        <f>Operations!AA833*(1-Operations!AA834)*Operations!AA807</f>
        <v/>
      </c>
      <c r="AB836" s="20">
        <f>Operations!AB833*(1-Operations!AB834)*Operations!AB807</f>
        <v/>
      </c>
      <c r="AC836" s="20">
        <f>Operations!AC833*(1-Operations!AC834)*Operations!AC807</f>
        <v/>
      </c>
      <c r="AD836" s="20">
        <f>Operations!AD833*(1-Operations!AD834)*Operations!AD807</f>
        <v/>
      </c>
      <c r="AE836" s="20">
        <f>Operations!AE833*(1-Operations!AE834)*Operations!AE807</f>
        <v/>
      </c>
      <c r="AF836" s="20">
        <f>Operations!AF833*(1-Operations!AF834)*Operations!AF807</f>
        <v/>
      </c>
      <c r="AG836" s="20">
        <f>Operations!AG833*(1-Operations!AG834)*Operations!AG807</f>
        <v/>
      </c>
      <c r="AH836" s="20">
        <f>Operations!AH833*(1-Operations!AH834)*Operations!AH807</f>
        <v/>
      </c>
      <c r="AI836" s="20">
        <f>Operations!AI833*(1-Operations!AI834)*Operations!AI807</f>
        <v/>
      </c>
      <c r="AJ836" s="20">
        <f>Operations!AJ833*(1-Operations!AJ834)*Operations!AJ807</f>
        <v/>
      </c>
      <c r="AK836" s="20">
        <f>Operations!AK833*(1-Operations!AK834)*Operations!AK807</f>
        <v/>
      </c>
      <c r="AL836" s="20">
        <f>Operations!AL833*(1-Operations!AL834)*Operations!AL807</f>
        <v/>
      </c>
      <c r="AM836" s="20">
        <f>Operations!AM833*(1-Operations!AM834)*Operations!AM807</f>
        <v/>
      </c>
      <c r="AN836" s="20">
        <f>Operations!AN833*(1-Operations!AN834)*Operations!AN807</f>
        <v/>
      </c>
      <c r="AO836" s="20">
        <f>Operations!AO833*(1-Operations!AO834)*Operations!AO807</f>
        <v/>
      </c>
      <c r="AP836" s="20">
        <f>Operations!AP833*(1-Operations!AP834)*Operations!AP807</f>
        <v/>
      </c>
      <c r="AQ836" s="20">
        <f>Operations!AQ833*(1-Operations!AQ834)*Operations!AQ807</f>
        <v/>
      </c>
      <c r="AR836" s="20">
        <f>Operations!AR833*(1-Operations!AR834)*Operations!AR807</f>
        <v/>
      </c>
      <c r="AS836" s="20">
        <f>Operations!AS833*(1-Operations!AS834)*Operations!AS807</f>
        <v/>
      </c>
      <c r="AT836" s="20">
        <f>Operations!AT833*(1-Operations!AT834)*Operations!AT807</f>
        <v/>
      </c>
      <c r="AU836" s="20">
        <f>Operations!AU833*(1-Operations!AU834)*Operations!AU807</f>
        <v/>
      </c>
    </row>
    <row r="837">
      <c r="D837" t="inlineStr">
        <is>
          <t>R1 Mesa taxable operating income</t>
        </is>
      </c>
      <c r="E837" t="inlineStr">
        <is>
          <t>USD m</t>
        </is>
      </c>
      <c r="J837" s="20">
        <f>Operations!J833*Operations!J835*Operations!J807</f>
        <v/>
      </c>
      <c r="K837" s="20">
        <f>Operations!K833*Operations!K835*Operations!K807</f>
        <v/>
      </c>
      <c r="L837" s="20">
        <f>Operations!L833*Operations!L835*Operations!L807</f>
        <v/>
      </c>
      <c r="M837" s="20">
        <f>Operations!M833*Operations!M835*Operations!M807</f>
        <v/>
      </c>
      <c r="N837" s="20">
        <f>Operations!N833*Operations!N835*Operations!N807</f>
        <v/>
      </c>
      <c r="O837" s="20">
        <f>Operations!O833*Operations!O835*Operations!O807</f>
        <v/>
      </c>
      <c r="P837" s="20">
        <f>Operations!P833*Operations!P835*Operations!P807</f>
        <v/>
      </c>
      <c r="Q837" s="20">
        <f>Operations!Q833*Operations!Q835*Operations!Q807</f>
        <v/>
      </c>
      <c r="R837" s="20">
        <f>Operations!R833*Operations!R835*Operations!R807</f>
        <v/>
      </c>
      <c r="S837" s="20">
        <f>Operations!S833*Operations!S835*Operations!S807</f>
        <v/>
      </c>
      <c r="T837" s="20">
        <f>Operations!T833*Operations!T835*Operations!T807</f>
        <v/>
      </c>
      <c r="U837" s="20">
        <f>Operations!U833*Operations!U835*Operations!U807</f>
        <v/>
      </c>
      <c r="V837" s="20">
        <f>Operations!V833*Operations!V835*Operations!V807</f>
        <v/>
      </c>
      <c r="W837" s="20">
        <f>Operations!W833*Operations!W835*Operations!W807</f>
        <v/>
      </c>
      <c r="X837" s="20">
        <f>Operations!X833*Operations!X835*Operations!X807</f>
        <v/>
      </c>
      <c r="Y837" s="20">
        <f>Operations!Y833*Operations!Y835*Operations!Y807</f>
        <v/>
      </c>
      <c r="Z837" s="20">
        <f>Operations!Z833*Operations!Z835*Operations!Z807</f>
        <v/>
      </c>
      <c r="AA837" s="20">
        <f>Operations!AA833*Operations!AA835*Operations!AA807</f>
        <v/>
      </c>
      <c r="AB837" s="20">
        <f>Operations!AB833*Operations!AB835*Operations!AB807</f>
        <v/>
      </c>
      <c r="AC837" s="20">
        <f>Operations!AC833*Operations!AC835*Operations!AC807</f>
        <v/>
      </c>
      <c r="AD837" s="20">
        <f>Operations!AD833*Operations!AD835*Operations!AD807</f>
        <v/>
      </c>
      <c r="AE837" s="20">
        <f>Operations!AE833*Operations!AE835*Operations!AE807</f>
        <v/>
      </c>
      <c r="AF837" s="20">
        <f>Operations!AF833*Operations!AF835*Operations!AF807</f>
        <v/>
      </c>
      <c r="AG837" s="20">
        <f>Operations!AG833*Operations!AG835*Operations!AG807</f>
        <v/>
      </c>
      <c r="AH837" s="20">
        <f>Operations!AH833*Operations!AH835*Operations!AH807</f>
        <v/>
      </c>
      <c r="AI837" s="20">
        <f>Operations!AI833*Operations!AI835*Operations!AI807</f>
        <v/>
      </c>
      <c r="AJ837" s="20">
        <f>Operations!AJ833*Operations!AJ835*Operations!AJ807</f>
        <v/>
      </c>
      <c r="AK837" s="20">
        <f>Operations!AK833*Operations!AK835*Operations!AK807</f>
        <v/>
      </c>
      <c r="AL837" s="20">
        <f>Operations!AL833*Operations!AL835*Operations!AL807</f>
        <v/>
      </c>
      <c r="AM837" s="20">
        <f>Operations!AM833*Operations!AM835*Operations!AM807</f>
        <v/>
      </c>
      <c r="AN837" s="20">
        <f>Operations!AN833*Operations!AN835*Operations!AN807</f>
        <v/>
      </c>
      <c r="AO837" s="20">
        <f>Operations!AO833*Operations!AO835*Operations!AO807</f>
        <v/>
      </c>
      <c r="AP837" s="20">
        <f>Operations!AP833*Operations!AP835*Operations!AP807</f>
        <v/>
      </c>
      <c r="AQ837" s="20">
        <f>Operations!AQ833*Operations!AQ835*Operations!AQ807</f>
        <v/>
      </c>
      <c r="AR837" s="20">
        <f>Operations!AR833*Operations!AR835*Operations!AR807</f>
        <v/>
      </c>
      <c r="AS837" s="20">
        <f>Operations!AS833*Operations!AS835*Operations!AS807</f>
        <v/>
      </c>
      <c r="AT837" s="20">
        <f>Operations!AT833*Operations!AT835*Operations!AT807</f>
        <v/>
      </c>
      <c r="AU837" s="20">
        <f>Operations!AU833*Operations!AU835*Operations!AU807</f>
        <v/>
      </c>
    </row>
    <row r="838">
      <c r="D838" t="inlineStr">
        <is>
          <t>R1 Mesa unlevered post-tax cash flow (before price shield)</t>
        </is>
      </c>
      <c r="E838" t="inlineStr">
        <is>
          <t>USD m</t>
        </is>
      </c>
      <c r="J838" s="20">
        <f>Operations!J836-Inputs!$F$241/100*Operations!J837</f>
        <v/>
      </c>
      <c r="K838" s="20">
        <f>Operations!K836-Inputs!$F$241/100*Operations!K837</f>
        <v/>
      </c>
      <c r="L838" s="20">
        <f>Operations!L836-Inputs!$F$241/100*Operations!L837</f>
        <v/>
      </c>
      <c r="M838" s="20">
        <f>Operations!M836-Inputs!$F$241/100*Operations!M837</f>
        <v/>
      </c>
      <c r="N838" s="20">
        <f>Operations!N836-Inputs!$F$241/100*Operations!N837</f>
        <v/>
      </c>
      <c r="O838" s="20">
        <f>Operations!O836-Inputs!$F$241/100*Operations!O837</f>
        <v/>
      </c>
      <c r="P838" s="20">
        <f>Operations!P836-Inputs!$F$241/100*Operations!P837</f>
        <v/>
      </c>
      <c r="Q838" s="20">
        <f>Operations!Q836-Inputs!$F$241/100*Operations!Q837</f>
        <v/>
      </c>
      <c r="R838" s="20">
        <f>Operations!R836-Inputs!$F$241/100*Operations!R837</f>
        <v/>
      </c>
      <c r="S838" s="20">
        <f>Operations!S836-Inputs!$F$241/100*Operations!S837</f>
        <v/>
      </c>
      <c r="T838" s="20">
        <f>Operations!T836-Inputs!$F$241/100*Operations!T837</f>
        <v/>
      </c>
      <c r="U838" s="20">
        <f>Operations!U836-Inputs!$F$241/100*Operations!U837</f>
        <v/>
      </c>
      <c r="V838" s="20">
        <f>Operations!V836-Inputs!$F$241/100*Operations!V837</f>
        <v/>
      </c>
      <c r="W838" s="20">
        <f>Operations!W836-Inputs!$F$241/100*Operations!W837</f>
        <v/>
      </c>
      <c r="X838" s="20">
        <f>Operations!X836-Inputs!$F$241/100*Operations!X837</f>
        <v/>
      </c>
      <c r="Y838" s="20">
        <f>Operations!Y836-Inputs!$F$241/100*Operations!Y837</f>
        <v/>
      </c>
      <c r="Z838" s="20">
        <f>Operations!Z836-Inputs!$F$241/100*Operations!Z837</f>
        <v/>
      </c>
      <c r="AA838" s="20">
        <f>Operations!AA836-Inputs!$F$241/100*Operations!AA837</f>
        <v/>
      </c>
      <c r="AB838" s="20">
        <f>Operations!AB836-Inputs!$F$241/100*Operations!AB837</f>
        <v/>
      </c>
      <c r="AC838" s="20">
        <f>Operations!AC836-Inputs!$F$241/100*Operations!AC837</f>
        <v/>
      </c>
      <c r="AD838" s="20">
        <f>Operations!AD836-Inputs!$F$241/100*Operations!AD837</f>
        <v/>
      </c>
      <c r="AE838" s="20">
        <f>Operations!AE836-Inputs!$F$241/100*Operations!AE837</f>
        <v/>
      </c>
      <c r="AF838" s="20">
        <f>Operations!AF836-Inputs!$F$241/100*Operations!AF837</f>
        <v/>
      </c>
      <c r="AG838" s="20">
        <f>Operations!AG836-Inputs!$F$241/100*Operations!AG837</f>
        <v/>
      </c>
      <c r="AH838" s="20">
        <f>Operations!AH836-Inputs!$F$241/100*Operations!AH837</f>
        <v/>
      </c>
      <c r="AI838" s="20">
        <f>Operations!AI836-Inputs!$F$241/100*Operations!AI837</f>
        <v/>
      </c>
      <c r="AJ838" s="20">
        <f>Operations!AJ836-Inputs!$F$241/100*Operations!AJ837</f>
        <v/>
      </c>
      <c r="AK838" s="20">
        <f>Operations!AK836-Inputs!$F$241/100*Operations!AK837</f>
        <v/>
      </c>
      <c r="AL838" s="20">
        <f>Operations!AL836-Inputs!$F$241/100*Operations!AL837</f>
        <v/>
      </c>
      <c r="AM838" s="20">
        <f>Operations!AM836-Inputs!$F$241/100*Operations!AM837</f>
        <v/>
      </c>
      <c r="AN838" s="20">
        <f>Operations!AN836-Inputs!$F$241/100*Operations!AN837</f>
        <v/>
      </c>
      <c r="AO838" s="20">
        <f>Operations!AO836-Inputs!$F$241/100*Operations!AO837</f>
        <v/>
      </c>
      <c r="AP838" s="20">
        <f>Operations!AP836-Inputs!$F$241/100*Operations!AP837</f>
        <v/>
      </c>
      <c r="AQ838" s="20">
        <f>Operations!AQ836-Inputs!$F$241/100*Operations!AQ837</f>
        <v/>
      </c>
      <c r="AR838" s="20">
        <f>Operations!AR836-Inputs!$F$241/100*Operations!AR837</f>
        <v/>
      </c>
      <c r="AS838" s="20">
        <f>Operations!AS836-Inputs!$F$241/100*Operations!AS837</f>
        <v/>
      </c>
      <c r="AT838" s="20">
        <f>Operations!AT836-Inputs!$F$241/100*Operations!AT837</f>
        <v/>
      </c>
      <c r="AU838" s="20">
        <f>Operations!AU836-Inputs!$F$241/100*Operations!AU837</f>
        <v/>
      </c>
    </row>
    <row r="839">
      <c r="D839" t="inlineStr">
        <is>
          <t>R1 contracted share of revenue</t>
        </is>
      </c>
      <c r="E839" t="inlineStr">
        <is>
          <t>fraction</t>
        </is>
      </c>
      <c r="J839" s="14">
        <f>IF(Operations!J824=0,0,Operations!J821/Operations!J824)</f>
        <v/>
      </c>
      <c r="K839" s="14">
        <f>IF(Operations!K824=0,0,Operations!K821/Operations!K824)</f>
        <v/>
      </c>
      <c r="L839" s="14">
        <f>IF(Operations!L824=0,0,Operations!L821/Operations!L824)</f>
        <v/>
      </c>
      <c r="M839" s="14">
        <f>IF(Operations!M824=0,0,Operations!M821/Operations!M824)</f>
        <v/>
      </c>
      <c r="N839" s="14">
        <f>IF(Operations!N824=0,0,Operations!N821/Operations!N824)</f>
        <v/>
      </c>
      <c r="O839" s="14">
        <f>IF(Operations!O824=0,0,Operations!O821/Operations!O824)</f>
        <v/>
      </c>
      <c r="P839" s="14">
        <f>IF(Operations!P824=0,0,Operations!P821/Operations!P824)</f>
        <v/>
      </c>
      <c r="Q839" s="14">
        <f>IF(Operations!Q824=0,0,Operations!Q821/Operations!Q824)</f>
        <v/>
      </c>
      <c r="R839" s="14">
        <f>IF(Operations!R824=0,0,Operations!R821/Operations!R824)</f>
        <v/>
      </c>
      <c r="S839" s="14">
        <f>IF(Operations!S824=0,0,Operations!S821/Operations!S824)</f>
        <v/>
      </c>
      <c r="T839" s="14">
        <f>IF(Operations!T824=0,0,Operations!T821/Operations!T824)</f>
        <v/>
      </c>
      <c r="U839" s="14">
        <f>IF(Operations!U824=0,0,Operations!U821/Operations!U824)</f>
        <v/>
      </c>
      <c r="V839" s="14">
        <f>IF(Operations!V824=0,0,Operations!V821/Operations!V824)</f>
        <v/>
      </c>
      <c r="W839" s="14">
        <f>IF(Operations!W824=0,0,Operations!W821/Operations!W824)</f>
        <v/>
      </c>
      <c r="X839" s="14">
        <f>IF(Operations!X824=0,0,Operations!X821/Operations!X824)</f>
        <v/>
      </c>
      <c r="Y839" s="14">
        <f>IF(Operations!Y824=0,0,Operations!Y821/Operations!Y824)</f>
        <v/>
      </c>
      <c r="Z839" s="14">
        <f>IF(Operations!Z824=0,0,Operations!Z821/Operations!Z824)</f>
        <v/>
      </c>
      <c r="AA839" s="14">
        <f>IF(Operations!AA824=0,0,Operations!AA821/Operations!AA824)</f>
        <v/>
      </c>
      <c r="AB839" s="14">
        <f>IF(Operations!AB824=0,0,Operations!AB821/Operations!AB824)</f>
        <v/>
      </c>
      <c r="AC839" s="14">
        <f>IF(Operations!AC824=0,0,Operations!AC821/Operations!AC824)</f>
        <v/>
      </c>
      <c r="AD839" s="14">
        <f>IF(Operations!AD824=0,0,Operations!AD821/Operations!AD824)</f>
        <v/>
      </c>
      <c r="AE839" s="14">
        <f>IF(Operations!AE824=0,0,Operations!AE821/Operations!AE824)</f>
        <v/>
      </c>
      <c r="AF839" s="14">
        <f>IF(Operations!AF824=0,0,Operations!AF821/Operations!AF824)</f>
        <v/>
      </c>
      <c r="AG839" s="14">
        <f>IF(Operations!AG824=0,0,Operations!AG821/Operations!AG824)</f>
        <v/>
      </c>
      <c r="AH839" s="14">
        <f>IF(Operations!AH824=0,0,Operations!AH821/Operations!AH824)</f>
        <v/>
      </c>
      <c r="AI839" s="14">
        <f>IF(Operations!AI824=0,0,Operations!AI821/Operations!AI824)</f>
        <v/>
      </c>
      <c r="AJ839" s="14">
        <f>IF(Operations!AJ824=0,0,Operations!AJ821/Operations!AJ824)</f>
        <v/>
      </c>
      <c r="AK839" s="14">
        <f>IF(Operations!AK824=0,0,Operations!AK821/Operations!AK824)</f>
        <v/>
      </c>
      <c r="AL839" s="14">
        <f>IF(Operations!AL824=0,0,Operations!AL821/Operations!AL824)</f>
        <v/>
      </c>
      <c r="AM839" s="14">
        <f>IF(Operations!AM824=0,0,Operations!AM821/Operations!AM824)</f>
        <v/>
      </c>
      <c r="AN839" s="14">
        <f>IF(Operations!AN824=0,0,Operations!AN821/Operations!AN824)</f>
        <v/>
      </c>
      <c r="AO839" s="14">
        <f>IF(Operations!AO824=0,0,Operations!AO821/Operations!AO824)</f>
        <v/>
      </c>
      <c r="AP839" s="14">
        <f>IF(Operations!AP824=0,0,Operations!AP821/Operations!AP824)</f>
        <v/>
      </c>
      <c r="AQ839" s="14">
        <f>IF(Operations!AQ824=0,0,Operations!AQ821/Operations!AQ824)</f>
        <v/>
      </c>
      <c r="AR839" s="14">
        <f>IF(Operations!AR824=0,0,Operations!AR821/Operations!AR824)</f>
        <v/>
      </c>
      <c r="AS839" s="14">
        <f>IF(Operations!AS824=0,0,Operations!AS821/Operations!AS824)</f>
        <v/>
      </c>
      <c r="AT839" s="14">
        <f>IF(Operations!AT824=0,0,Operations!AT821/Operations!AT824)</f>
        <v/>
      </c>
      <c r="AU839" s="14">
        <f>IF(Operations!AU824=0,0,Operations!AU821/Operations!AU824)</f>
        <v/>
      </c>
    </row>
    <row r="840">
      <c r="D840" t="inlineStr">
        <is>
          <t>R1 hedged share of revenue</t>
        </is>
      </c>
      <c r="E840" t="inlineStr">
        <is>
          <t>fraction</t>
        </is>
      </c>
      <c r="J840" s="14">
        <f>IF(Operations!J824=0,0,Operations!J822/Operations!J824)</f>
        <v/>
      </c>
      <c r="K840" s="14">
        <f>IF(Operations!K824=0,0,Operations!K822/Operations!K824)</f>
        <v/>
      </c>
      <c r="L840" s="14">
        <f>IF(Operations!L824=0,0,Operations!L822/Operations!L824)</f>
        <v/>
      </c>
      <c r="M840" s="14">
        <f>IF(Operations!M824=0,0,Operations!M822/Operations!M824)</f>
        <v/>
      </c>
      <c r="N840" s="14">
        <f>IF(Operations!N824=0,0,Operations!N822/Operations!N824)</f>
        <v/>
      </c>
      <c r="O840" s="14">
        <f>IF(Operations!O824=0,0,Operations!O822/Operations!O824)</f>
        <v/>
      </c>
      <c r="P840" s="14">
        <f>IF(Operations!P824=0,0,Operations!P822/Operations!P824)</f>
        <v/>
      </c>
      <c r="Q840" s="14">
        <f>IF(Operations!Q824=0,0,Operations!Q822/Operations!Q824)</f>
        <v/>
      </c>
      <c r="R840" s="14">
        <f>IF(Operations!R824=0,0,Operations!R822/Operations!R824)</f>
        <v/>
      </c>
      <c r="S840" s="14">
        <f>IF(Operations!S824=0,0,Operations!S822/Operations!S824)</f>
        <v/>
      </c>
      <c r="T840" s="14">
        <f>IF(Operations!T824=0,0,Operations!T822/Operations!T824)</f>
        <v/>
      </c>
      <c r="U840" s="14">
        <f>IF(Operations!U824=0,0,Operations!U822/Operations!U824)</f>
        <v/>
      </c>
      <c r="V840" s="14">
        <f>IF(Operations!V824=0,0,Operations!V822/Operations!V824)</f>
        <v/>
      </c>
      <c r="W840" s="14">
        <f>IF(Operations!W824=0,0,Operations!W822/Operations!W824)</f>
        <v/>
      </c>
      <c r="X840" s="14">
        <f>IF(Operations!X824=0,0,Operations!X822/Operations!X824)</f>
        <v/>
      </c>
      <c r="Y840" s="14">
        <f>IF(Operations!Y824=0,0,Operations!Y822/Operations!Y824)</f>
        <v/>
      </c>
      <c r="Z840" s="14">
        <f>IF(Operations!Z824=0,0,Operations!Z822/Operations!Z824)</f>
        <v/>
      </c>
      <c r="AA840" s="14">
        <f>IF(Operations!AA824=0,0,Operations!AA822/Operations!AA824)</f>
        <v/>
      </c>
      <c r="AB840" s="14">
        <f>IF(Operations!AB824=0,0,Operations!AB822/Operations!AB824)</f>
        <v/>
      </c>
      <c r="AC840" s="14">
        <f>IF(Operations!AC824=0,0,Operations!AC822/Operations!AC824)</f>
        <v/>
      </c>
      <c r="AD840" s="14">
        <f>IF(Operations!AD824=0,0,Operations!AD822/Operations!AD824)</f>
        <v/>
      </c>
      <c r="AE840" s="14">
        <f>IF(Operations!AE824=0,0,Operations!AE822/Operations!AE824)</f>
        <v/>
      </c>
      <c r="AF840" s="14">
        <f>IF(Operations!AF824=0,0,Operations!AF822/Operations!AF824)</f>
        <v/>
      </c>
      <c r="AG840" s="14">
        <f>IF(Operations!AG824=0,0,Operations!AG822/Operations!AG824)</f>
        <v/>
      </c>
      <c r="AH840" s="14">
        <f>IF(Operations!AH824=0,0,Operations!AH822/Operations!AH824)</f>
        <v/>
      </c>
      <c r="AI840" s="14">
        <f>IF(Operations!AI824=0,0,Operations!AI822/Operations!AI824)</f>
        <v/>
      </c>
      <c r="AJ840" s="14">
        <f>IF(Operations!AJ824=0,0,Operations!AJ822/Operations!AJ824)</f>
        <v/>
      </c>
      <c r="AK840" s="14">
        <f>IF(Operations!AK824=0,0,Operations!AK822/Operations!AK824)</f>
        <v/>
      </c>
      <c r="AL840" s="14">
        <f>IF(Operations!AL824=0,0,Operations!AL822/Operations!AL824)</f>
        <v/>
      </c>
      <c r="AM840" s="14">
        <f>IF(Operations!AM824=0,0,Operations!AM822/Operations!AM824)</f>
        <v/>
      </c>
      <c r="AN840" s="14">
        <f>IF(Operations!AN824=0,0,Operations!AN822/Operations!AN824)</f>
        <v/>
      </c>
      <c r="AO840" s="14">
        <f>IF(Operations!AO824=0,0,Operations!AO822/Operations!AO824)</f>
        <v/>
      </c>
      <c r="AP840" s="14">
        <f>IF(Operations!AP824=0,0,Operations!AP822/Operations!AP824)</f>
        <v/>
      </c>
      <c r="AQ840" s="14">
        <f>IF(Operations!AQ824=0,0,Operations!AQ822/Operations!AQ824)</f>
        <v/>
      </c>
      <c r="AR840" s="14">
        <f>IF(Operations!AR824=0,0,Operations!AR822/Operations!AR824)</f>
        <v/>
      </c>
      <c r="AS840" s="14">
        <f>IF(Operations!AS824=0,0,Operations!AS822/Operations!AS824)</f>
        <v/>
      </c>
      <c r="AT840" s="14">
        <f>IF(Operations!AT824=0,0,Operations!AT822/Operations!AT824)</f>
        <v/>
      </c>
      <c r="AU840" s="14">
        <f>IF(Operations!AU824=0,0,Operations!AU822/Operations!AU824)</f>
        <v/>
      </c>
    </row>
    <row r="841">
      <c r="D841" t="inlineStr">
        <is>
          <t>R1 merchant share of revenue</t>
        </is>
      </c>
      <c r="E841" t="inlineStr">
        <is>
          <t>fraction</t>
        </is>
      </c>
      <c r="J841" s="14">
        <f>1-Operations!J839-Operations!J840</f>
        <v/>
      </c>
      <c r="K841" s="14">
        <f>1-Operations!K839-Operations!K840</f>
        <v/>
      </c>
      <c r="L841" s="14">
        <f>1-Operations!L839-Operations!L840</f>
        <v/>
      </c>
      <c r="M841" s="14">
        <f>1-Operations!M839-Operations!M840</f>
        <v/>
      </c>
      <c r="N841" s="14">
        <f>1-Operations!N839-Operations!N840</f>
        <v/>
      </c>
      <c r="O841" s="14">
        <f>1-Operations!O839-Operations!O840</f>
        <v/>
      </c>
      <c r="P841" s="14">
        <f>1-Operations!P839-Operations!P840</f>
        <v/>
      </c>
      <c r="Q841" s="14">
        <f>1-Operations!Q839-Operations!Q840</f>
        <v/>
      </c>
      <c r="R841" s="14">
        <f>1-Operations!R839-Operations!R840</f>
        <v/>
      </c>
      <c r="S841" s="14">
        <f>1-Operations!S839-Operations!S840</f>
        <v/>
      </c>
      <c r="T841" s="14">
        <f>1-Operations!T839-Operations!T840</f>
        <v/>
      </c>
      <c r="U841" s="14">
        <f>1-Operations!U839-Operations!U840</f>
        <v/>
      </c>
      <c r="V841" s="14">
        <f>1-Operations!V839-Operations!V840</f>
        <v/>
      </c>
      <c r="W841" s="14">
        <f>1-Operations!W839-Operations!W840</f>
        <v/>
      </c>
      <c r="X841" s="14">
        <f>1-Operations!X839-Operations!X840</f>
        <v/>
      </c>
      <c r="Y841" s="14">
        <f>1-Operations!Y839-Operations!Y840</f>
        <v/>
      </c>
      <c r="Z841" s="14">
        <f>1-Operations!Z839-Operations!Z840</f>
        <v/>
      </c>
      <c r="AA841" s="14">
        <f>1-Operations!AA839-Operations!AA840</f>
        <v/>
      </c>
      <c r="AB841" s="14">
        <f>1-Operations!AB839-Operations!AB840</f>
        <v/>
      </c>
      <c r="AC841" s="14">
        <f>1-Operations!AC839-Operations!AC840</f>
        <v/>
      </c>
      <c r="AD841" s="14">
        <f>1-Operations!AD839-Operations!AD840</f>
        <v/>
      </c>
      <c r="AE841" s="14">
        <f>1-Operations!AE839-Operations!AE840</f>
        <v/>
      </c>
      <c r="AF841" s="14">
        <f>1-Operations!AF839-Operations!AF840</f>
        <v/>
      </c>
      <c r="AG841" s="14">
        <f>1-Operations!AG839-Operations!AG840</f>
        <v/>
      </c>
      <c r="AH841" s="14">
        <f>1-Operations!AH839-Operations!AH840</f>
        <v/>
      </c>
      <c r="AI841" s="14">
        <f>1-Operations!AI839-Operations!AI840</f>
        <v/>
      </c>
      <c r="AJ841" s="14">
        <f>1-Operations!AJ839-Operations!AJ840</f>
        <v/>
      </c>
      <c r="AK841" s="14">
        <f>1-Operations!AK839-Operations!AK840</f>
        <v/>
      </c>
      <c r="AL841" s="14">
        <f>1-Operations!AL839-Operations!AL840</f>
        <v/>
      </c>
      <c r="AM841" s="14">
        <f>1-Operations!AM839-Operations!AM840</f>
        <v/>
      </c>
      <c r="AN841" s="14">
        <f>1-Operations!AN839-Operations!AN840</f>
        <v/>
      </c>
      <c r="AO841" s="14">
        <f>1-Operations!AO839-Operations!AO840</f>
        <v/>
      </c>
      <c r="AP841" s="14">
        <f>1-Operations!AP839-Operations!AP840</f>
        <v/>
      </c>
      <c r="AQ841" s="14">
        <f>1-Operations!AQ839-Operations!AQ840</f>
        <v/>
      </c>
      <c r="AR841" s="14">
        <f>1-Operations!AR839-Operations!AR840</f>
        <v/>
      </c>
      <c r="AS841" s="14">
        <f>1-Operations!AS839-Operations!AS840</f>
        <v/>
      </c>
      <c r="AT841" s="14">
        <f>1-Operations!AT839-Operations!AT840</f>
        <v/>
      </c>
      <c r="AU841" s="14">
        <f>1-Operations!AU839-Operations!AU840</f>
        <v/>
      </c>
    </row>
    <row r="842">
      <c r="D842" t="inlineStr">
        <is>
          <t>R1 Mesa-share contracted revenue</t>
        </is>
      </c>
      <c r="E842" t="inlineStr">
        <is>
          <t>USD m</t>
        </is>
      </c>
      <c r="J842" s="20">
        <f>Operations!J821*Operations!J807*(1-Operations!J834)</f>
        <v/>
      </c>
      <c r="K842" s="20">
        <f>Operations!K821*Operations!K807*(1-Operations!K834)</f>
        <v/>
      </c>
      <c r="L842" s="20">
        <f>Operations!L821*Operations!L807*(1-Operations!L834)</f>
        <v/>
      </c>
      <c r="M842" s="20">
        <f>Operations!M821*Operations!M807*(1-Operations!M834)</f>
        <v/>
      </c>
      <c r="N842" s="20">
        <f>Operations!N821*Operations!N807*(1-Operations!N834)</f>
        <v/>
      </c>
      <c r="O842" s="20">
        <f>Operations!O821*Operations!O807*(1-Operations!O834)</f>
        <v/>
      </c>
      <c r="P842" s="20">
        <f>Operations!P821*Operations!P807*(1-Operations!P834)</f>
        <v/>
      </c>
      <c r="Q842" s="20">
        <f>Operations!Q821*Operations!Q807*(1-Operations!Q834)</f>
        <v/>
      </c>
      <c r="R842" s="20">
        <f>Operations!R821*Operations!R807*(1-Operations!R834)</f>
        <v/>
      </c>
      <c r="S842" s="20">
        <f>Operations!S821*Operations!S807*(1-Operations!S834)</f>
        <v/>
      </c>
      <c r="T842" s="20">
        <f>Operations!T821*Operations!T807*(1-Operations!T834)</f>
        <v/>
      </c>
      <c r="U842" s="20">
        <f>Operations!U821*Operations!U807*(1-Operations!U834)</f>
        <v/>
      </c>
      <c r="V842" s="20">
        <f>Operations!V821*Operations!V807*(1-Operations!V834)</f>
        <v/>
      </c>
      <c r="W842" s="20">
        <f>Operations!W821*Operations!W807*(1-Operations!W834)</f>
        <v/>
      </c>
      <c r="X842" s="20">
        <f>Operations!X821*Operations!X807*(1-Operations!X834)</f>
        <v/>
      </c>
      <c r="Y842" s="20">
        <f>Operations!Y821*Operations!Y807*(1-Operations!Y834)</f>
        <v/>
      </c>
      <c r="Z842" s="20">
        <f>Operations!Z821*Operations!Z807*(1-Operations!Z834)</f>
        <v/>
      </c>
      <c r="AA842" s="20">
        <f>Operations!AA821*Operations!AA807*(1-Operations!AA834)</f>
        <v/>
      </c>
      <c r="AB842" s="20">
        <f>Operations!AB821*Operations!AB807*(1-Operations!AB834)</f>
        <v/>
      </c>
      <c r="AC842" s="20">
        <f>Operations!AC821*Operations!AC807*(1-Operations!AC834)</f>
        <v/>
      </c>
      <c r="AD842" s="20">
        <f>Operations!AD821*Operations!AD807*(1-Operations!AD834)</f>
        <v/>
      </c>
      <c r="AE842" s="20">
        <f>Operations!AE821*Operations!AE807*(1-Operations!AE834)</f>
        <v/>
      </c>
      <c r="AF842" s="20">
        <f>Operations!AF821*Operations!AF807*(1-Operations!AF834)</f>
        <v/>
      </c>
      <c r="AG842" s="20">
        <f>Operations!AG821*Operations!AG807*(1-Operations!AG834)</f>
        <v/>
      </c>
      <c r="AH842" s="20">
        <f>Operations!AH821*Operations!AH807*(1-Operations!AH834)</f>
        <v/>
      </c>
      <c r="AI842" s="20">
        <f>Operations!AI821*Operations!AI807*(1-Operations!AI834)</f>
        <v/>
      </c>
      <c r="AJ842" s="20">
        <f>Operations!AJ821*Operations!AJ807*(1-Operations!AJ834)</f>
        <v/>
      </c>
      <c r="AK842" s="20">
        <f>Operations!AK821*Operations!AK807*(1-Operations!AK834)</f>
        <v/>
      </c>
      <c r="AL842" s="20">
        <f>Operations!AL821*Operations!AL807*(1-Operations!AL834)</f>
        <v/>
      </c>
      <c r="AM842" s="20">
        <f>Operations!AM821*Operations!AM807*(1-Operations!AM834)</f>
        <v/>
      </c>
      <c r="AN842" s="20">
        <f>Operations!AN821*Operations!AN807*(1-Operations!AN834)</f>
        <v/>
      </c>
      <c r="AO842" s="20">
        <f>Operations!AO821*Operations!AO807*(1-Operations!AO834)</f>
        <v/>
      </c>
      <c r="AP842" s="20">
        <f>Operations!AP821*Operations!AP807*(1-Operations!AP834)</f>
        <v/>
      </c>
      <c r="AQ842" s="20">
        <f>Operations!AQ821*Operations!AQ807*(1-Operations!AQ834)</f>
        <v/>
      </c>
      <c r="AR842" s="20">
        <f>Operations!AR821*Operations!AR807*(1-Operations!AR834)</f>
        <v/>
      </c>
      <c r="AS842" s="20">
        <f>Operations!AS821*Operations!AS807*(1-Operations!AS834)</f>
        <v/>
      </c>
      <c r="AT842" s="20">
        <f>Operations!AT821*Operations!AT807*(1-Operations!AT834)</f>
        <v/>
      </c>
      <c r="AU842" s="20">
        <f>Operations!AU821*Operations!AU807*(1-Operations!AU834)</f>
        <v/>
      </c>
    </row>
    <row r="843">
      <c r="D843" t="inlineStr">
        <is>
          <t>R1 Mesa-share hedged revenue</t>
        </is>
      </c>
      <c r="E843" t="inlineStr">
        <is>
          <t>USD m</t>
        </is>
      </c>
      <c r="J843" s="20">
        <f>Operations!J822*Operations!J807*(1-Operations!J834)</f>
        <v/>
      </c>
      <c r="K843" s="20">
        <f>Operations!K822*Operations!K807*(1-Operations!K834)</f>
        <v/>
      </c>
      <c r="L843" s="20">
        <f>Operations!L822*Operations!L807*(1-Operations!L834)</f>
        <v/>
      </c>
      <c r="M843" s="20">
        <f>Operations!M822*Operations!M807*(1-Operations!M834)</f>
        <v/>
      </c>
      <c r="N843" s="20">
        <f>Operations!N822*Operations!N807*(1-Operations!N834)</f>
        <v/>
      </c>
      <c r="O843" s="20">
        <f>Operations!O822*Operations!O807*(1-Operations!O834)</f>
        <v/>
      </c>
      <c r="P843" s="20">
        <f>Operations!P822*Operations!P807*(1-Operations!P834)</f>
        <v/>
      </c>
      <c r="Q843" s="20">
        <f>Operations!Q822*Operations!Q807*(1-Operations!Q834)</f>
        <v/>
      </c>
      <c r="R843" s="20">
        <f>Operations!R822*Operations!R807*(1-Operations!R834)</f>
        <v/>
      </c>
      <c r="S843" s="20">
        <f>Operations!S822*Operations!S807*(1-Operations!S834)</f>
        <v/>
      </c>
      <c r="T843" s="20">
        <f>Operations!T822*Operations!T807*(1-Operations!T834)</f>
        <v/>
      </c>
      <c r="U843" s="20">
        <f>Operations!U822*Operations!U807*(1-Operations!U834)</f>
        <v/>
      </c>
      <c r="V843" s="20">
        <f>Operations!V822*Operations!V807*(1-Operations!V834)</f>
        <v/>
      </c>
      <c r="W843" s="20">
        <f>Operations!W822*Operations!W807*(1-Operations!W834)</f>
        <v/>
      </c>
      <c r="X843" s="20">
        <f>Operations!X822*Operations!X807*(1-Operations!X834)</f>
        <v/>
      </c>
      <c r="Y843" s="20">
        <f>Operations!Y822*Operations!Y807*(1-Operations!Y834)</f>
        <v/>
      </c>
      <c r="Z843" s="20">
        <f>Operations!Z822*Operations!Z807*(1-Operations!Z834)</f>
        <v/>
      </c>
      <c r="AA843" s="20">
        <f>Operations!AA822*Operations!AA807*(1-Operations!AA834)</f>
        <v/>
      </c>
      <c r="AB843" s="20">
        <f>Operations!AB822*Operations!AB807*(1-Operations!AB834)</f>
        <v/>
      </c>
      <c r="AC843" s="20">
        <f>Operations!AC822*Operations!AC807*(1-Operations!AC834)</f>
        <v/>
      </c>
      <c r="AD843" s="20">
        <f>Operations!AD822*Operations!AD807*(1-Operations!AD834)</f>
        <v/>
      </c>
      <c r="AE843" s="20">
        <f>Operations!AE822*Operations!AE807*(1-Operations!AE834)</f>
        <v/>
      </c>
      <c r="AF843" s="20">
        <f>Operations!AF822*Operations!AF807*(1-Operations!AF834)</f>
        <v/>
      </c>
      <c r="AG843" s="20">
        <f>Operations!AG822*Operations!AG807*(1-Operations!AG834)</f>
        <v/>
      </c>
      <c r="AH843" s="20">
        <f>Operations!AH822*Operations!AH807*(1-Operations!AH834)</f>
        <v/>
      </c>
      <c r="AI843" s="20">
        <f>Operations!AI822*Operations!AI807*(1-Operations!AI834)</f>
        <v/>
      </c>
      <c r="AJ843" s="20">
        <f>Operations!AJ822*Operations!AJ807*(1-Operations!AJ834)</f>
        <v/>
      </c>
      <c r="AK843" s="20">
        <f>Operations!AK822*Operations!AK807*(1-Operations!AK834)</f>
        <v/>
      </c>
      <c r="AL843" s="20">
        <f>Operations!AL822*Operations!AL807*(1-Operations!AL834)</f>
        <v/>
      </c>
      <c r="AM843" s="20">
        <f>Operations!AM822*Operations!AM807*(1-Operations!AM834)</f>
        <v/>
      </c>
      <c r="AN843" s="20">
        <f>Operations!AN822*Operations!AN807*(1-Operations!AN834)</f>
        <v/>
      </c>
      <c r="AO843" s="20">
        <f>Operations!AO822*Operations!AO807*(1-Operations!AO834)</f>
        <v/>
      </c>
      <c r="AP843" s="20">
        <f>Operations!AP822*Operations!AP807*(1-Operations!AP834)</f>
        <v/>
      </c>
      <c r="AQ843" s="20">
        <f>Operations!AQ822*Operations!AQ807*(1-Operations!AQ834)</f>
        <v/>
      </c>
      <c r="AR843" s="20">
        <f>Operations!AR822*Operations!AR807*(1-Operations!AR834)</f>
        <v/>
      </c>
      <c r="AS843" s="20">
        <f>Operations!AS822*Operations!AS807*(1-Operations!AS834)</f>
        <v/>
      </c>
      <c r="AT843" s="20">
        <f>Operations!AT822*Operations!AT807*(1-Operations!AT834)</f>
        <v/>
      </c>
      <c r="AU843" s="20">
        <f>Operations!AU822*Operations!AU807*(1-Operations!AU834)</f>
        <v/>
      </c>
    </row>
    <row r="844">
      <c r="D844" t="inlineStr">
        <is>
          <t>R1 Mesa-share merchant revenue</t>
        </is>
      </c>
      <c r="E844" t="inlineStr">
        <is>
          <t>USD m</t>
        </is>
      </c>
      <c r="J844" s="20">
        <f>Operations!J825*Operations!J807*(1-Operations!J834)</f>
        <v/>
      </c>
      <c r="K844" s="20">
        <f>Operations!K825*Operations!K807*(1-Operations!K834)</f>
        <v/>
      </c>
      <c r="L844" s="20">
        <f>Operations!L825*Operations!L807*(1-Operations!L834)</f>
        <v/>
      </c>
      <c r="M844" s="20">
        <f>Operations!M825*Operations!M807*(1-Operations!M834)</f>
        <v/>
      </c>
      <c r="N844" s="20">
        <f>Operations!N825*Operations!N807*(1-Operations!N834)</f>
        <v/>
      </c>
      <c r="O844" s="20">
        <f>Operations!O825*Operations!O807*(1-Operations!O834)</f>
        <v/>
      </c>
      <c r="P844" s="20">
        <f>Operations!P825*Operations!P807*(1-Operations!P834)</f>
        <v/>
      </c>
      <c r="Q844" s="20">
        <f>Operations!Q825*Operations!Q807*(1-Operations!Q834)</f>
        <v/>
      </c>
      <c r="R844" s="20">
        <f>Operations!R825*Operations!R807*(1-Operations!R834)</f>
        <v/>
      </c>
      <c r="S844" s="20">
        <f>Operations!S825*Operations!S807*(1-Operations!S834)</f>
        <v/>
      </c>
      <c r="T844" s="20">
        <f>Operations!T825*Operations!T807*(1-Operations!T834)</f>
        <v/>
      </c>
      <c r="U844" s="20">
        <f>Operations!U825*Operations!U807*(1-Operations!U834)</f>
        <v/>
      </c>
      <c r="V844" s="20">
        <f>Operations!V825*Operations!V807*(1-Operations!V834)</f>
        <v/>
      </c>
      <c r="W844" s="20">
        <f>Operations!W825*Operations!W807*(1-Operations!W834)</f>
        <v/>
      </c>
      <c r="X844" s="20">
        <f>Operations!X825*Operations!X807*(1-Operations!X834)</f>
        <v/>
      </c>
      <c r="Y844" s="20">
        <f>Operations!Y825*Operations!Y807*(1-Operations!Y834)</f>
        <v/>
      </c>
      <c r="Z844" s="20">
        <f>Operations!Z825*Operations!Z807*(1-Operations!Z834)</f>
        <v/>
      </c>
      <c r="AA844" s="20">
        <f>Operations!AA825*Operations!AA807*(1-Operations!AA834)</f>
        <v/>
      </c>
      <c r="AB844" s="20">
        <f>Operations!AB825*Operations!AB807*(1-Operations!AB834)</f>
        <v/>
      </c>
      <c r="AC844" s="20">
        <f>Operations!AC825*Operations!AC807*(1-Operations!AC834)</f>
        <v/>
      </c>
      <c r="AD844" s="20">
        <f>Operations!AD825*Operations!AD807*(1-Operations!AD834)</f>
        <v/>
      </c>
      <c r="AE844" s="20">
        <f>Operations!AE825*Operations!AE807*(1-Operations!AE834)</f>
        <v/>
      </c>
      <c r="AF844" s="20">
        <f>Operations!AF825*Operations!AF807*(1-Operations!AF834)</f>
        <v/>
      </c>
      <c r="AG844" s="20">
        <f>Operations!AG825*Operations!AG807*(1-Operations!AG834)</f>
        <v/>
      </c>
      <c r="AH844" s="20">
        <f>Operations!AH825*Operations!AH807*(1-Operations!AH834)</f>
        <v/>
      </c>
      <c r="AI844" s="20">
        <f>Operations!AI825*Operations!AI807*(1-Operations!AI834)</f>
        <v/>
      </c>
      <c r="AJ844" s="20">
        <f>Operations!AJ825*Operations!AJ807*(1-Operations!AJ834)</f>
        <v/>
      </c>
      <c r="AK844" s="20">
        <f>Operations!AK825*Operations!AK807*(1-Operations!AK834)</f>
        <v/>
      </c>
      <c r="AL844" s="20">
        <f>Operations!AL825*Operations!AL807*(1-Operations!AL834)</f>
        <v/>
      </c>
      <c r="AM844" s="20">
        <f>Operations!AM825*Operations!AM807*(1-Operations!AM834)</f>
        <v/>
      </c>
      <c r="AN844" s="20">
        <f>Operations!AN825*Operations!AN807*(1-Operations!AN834)</f>
        <v/>
      </c>
      <c r="AO844" s="20">
        <f>Operations!AO825*Operations!AO807*(1-Operations!AO834)</f>
        <v/>
      </c>
      <c r="AP844" s="20">
        <f>Operations!AP825*Operations!AP807*(1-Operations!AP834)</f>
        <v/>
      </c>
      <c r="AQ844" s="20">
        <f>Operations!AQ825*Operations!AQ807*(1-Operations!AQ834)</f>
        <v/>
      </c>
      <c r="AR844" s="20">
        <f>Operations!AR825*Operations!AR807*(1-Operations!AR834)</f>
        <v/>
      </c>
      <c r="AS844" s="20">
        <f>Operations!AS825*Operations!AS807*(1-Operations!AS834)</f>
        <v/>
      </c>
      <c r="AT844" s="20">
        <f>Operations!AT825*Operations!AT807*(1-Operations!AT834)</f>
        <v/>
      </c>
      <c r="AU844" s="20">
        <f>Operations!AU825*Operations!AU807*(1-Operations!AU834)</f>
        <v/>
      </c>
    </row>
    <row r="845">
      <c r="D845" t="inlineStr">
        <is>
          <t>R1 Mesa-share revenue</t>
        </is>
      </c>
      <c r="E845" t="inlineStr">
        <is>
          <t>USD m</t>
        </is>
      </c>
      <c r="J845" s="20">
        <f>Operations!J824*Operations!J807*(1-Operations!J834)</f>
        <v/>
      </c>
      <c r="K845" s="20">
        <f>Operations!K824*Operations!K807*(1-Operations!K834)</f>
        <v/>
      </c>
      <c r="L845" s="20">
        <f>Operations!L824*Operations!L807*(1-Operations!L834)</f>
        <v/>
      </c>
      <c r="M845" s="20">
        <f>Operations!M824*Operations!M807*(1-Operations!M834)</f>
        <v/>
      </c>
      <c r="N845" s="20">
        <f>Operations!N824*Operations!N807*(1-Operations!N834)</f>
        <v/>
      </c>
      <c r="O845" s="20">
        <f>Operations!O824*Operations!O807*(1-Operations!O834)</f>
        <v/>
      </c>
      <c r="P845" s="20">
        <f>Operations!P824*Operations!P807*(1-Operations!P834)</f>
        <v/>
      </c>
      <c r="Q845" s="20">
        <f>Operations!Q824*Operations!Q807*(1-Operations!Q834)</f>
        <v/>
      </c>
      <c r="R845" s="20">
        <f>Operations!R824*Operations!R807*(1-Operations!R834)</f>
        <v/>
      </c>
      <c r="S845" s="20">
        <f>Operations!S824*Operations!S807*(1-Operations!S834)</f>
        <v/>
      </c>
      <c r="T845" s="20">
        <f>Operations!T824*Operations!T807*(1-Operations!T834)</f>
        <v/>
      </c>
      <c r="U845" s="20">
        <f>Operations!U824*Operations!U807*(1-Operations!U834)</f>
        <v/>
      </c>
      <c r="V845" s="20">
        <f>Operations!V824*Operations!V807*(1-Operations!V834)</f>
        <v/>
      </c>
      <c r="W845" s="20">
        <f>Operations!W824*Operations!W807*(1-Operations!W834)</f>
        <v/>
      </c>
      <c r="X845" s="20">
        <f>Operations!X824*Operations!X807*(1-Operations!X834)</f>
        <v/>
      </c>
      <c r="Y845" s="20">
        <f>Operations!Y824*Operations!Y807*(1-Operations!Y834)</f>
        <v/>
      </c>
      <c r="Z845" s="20">
        <f>Operations!Z824*Operations!Z807*(1-Operations!Z834)</f>
        <v/>
      </c>
      <c r="AA845" s="20">
        <f>Operations!AA824*Operations!AA807*(1-Operations!AA834)</f>
        <v/>
      </c>
      <c r="AB845" s="20">
        <f>Operations!AB824*Operations!AB807*(1-Operations!AB834)</f>
        <v/>
      </c>
      <c r="AC845" s="20">
        <f>Operations!AC824*Operations!AC807*(1-Operations!AC834)</f>
        <v/>
      </c>
      <c r="AD845" s="20">
        <f>Operations!AD824*Operations!AD807*(1-Operations!AD834)</f>
        <v/>
      </c>
      <c r="AE845" s="20">
        <f>Operations!AE824*Operations!AE807*(1-Operations!AE834)</f>
        <v/>
      </c>
      <c r="AF845" s="20">
        <f>Operations!AF824*Operations!AF807*(1-Operations!AF834)</f>
        <v/>
      </c>
      <c r="AG845" s="20">
        <f>Operations!AG824*Operations!AG807*(1-Operations!AG834)</f>
        <v/>
      </c>
      <c r="AH845" s="20">
        <f>Operations!AH824*Operations!AH807*(1-Operations!AH834)</f>
        <v/>
      </c>
      <c r="AI845" s="20">
        <f>Operations!AI824*Operations!AI807*(1-Operations!AI834)</f>
        <v/>
      </c>
      <c r="AJ845" s="20">
        <f>Operations!AJ824*Operations!AJ807*(1-Operations!AJ834)</f>
        <v/>
      </c>
      <c r="AK845" s="20">
        <f>Operations!AK824*Operations!AK807*(1-Operations!AK834)</f>
        <v/>
      </c>
      <c r="AL845" s="20">
        <f>Operations!AL824*Operations!AL807*(1-Operations!AL834)</f>
        <v/>
      </c>
      <c r="AM845" s="20">
        <f>Operations!AM824*Operations!AM807*(1-Operations!AM834)</f>
        <v/>
      </c>
      <c r="AN845" s="20">
        <f>Operations!AN824*Operations!AN807*(1-Operations!AN834)</f>
        <v/>
      </c>
      <c r="AO845" s="20">
        <f>Operations!AO824*Operations!AO807*(1-Operations!AO834)</f>
        <v/>
      </c>
      <c r="AP845" s="20">
        <f>Operations!AP824*Operations!AP807*(1-Operations!AP834)</f>
        <v/>
      </c>
      <c r="AQ845" s="20">
        <f>Operations!AQ824*Operations!AQ807*(1-Operations!AQ834)</f>
        <v/>
      </c>
      <c r="AR845" s="20">
        <f>Operations!AR824*Operations!AR807*(1-Operations!AR834)</f>
        <v/>
      </c>
      <c r="AS845" s="20">
        <f>Operations!AS824*Operations!AS807*(1-Operations!AS834)</f>
        <v/>
      </c>
      <c r="AT845" s="20">
        <f>Operations!AT824*Operations!AT807*(1-Operations!AT834)</f>
        <v/>
      </c>
      <c r="AU845" s="20">
        <f>Operations!AU824*Operations!AU807*(1-Operations!AU834)</f>
        <v/>
      </c>
    </row>
    <row r="846">
      <c r="D846" s="19" t="inlineStr">
        <is>
          <t>R2 Sandoval Hills Wind (onshore wind (coastal))</t>
        </is>
      </c>
    </row>
    <row r="847">
      <c r="D847" t="inlineStr">
        <is>
          <t>R2 operating fraction</t>
        </is>
      </c>
      <c r="E847" t="inlineStr">
        <is>
          <t>fraction</t>
        </is>
      </c>
      <c r="J847" s="14">
        <f>MAX(0,MIN(Inputs!$F$101,Time!J$6)-MAX(Inputs!$F$100,Time!J$5))/Time!J$7</f>
        <v/>
      </c>
      <c r="K847" s="14">
        <f>MAX(0,MIN(Inputs!$F$101,Time!K$6)-MAX(Inputs!$F$100,Time!K$5))/Time!K$7</f>
        <v/>
      </c>
      <c r="L847" s="14">
        <f>MAX(0,MIN(Inputs!$F$101,Time!L$6)-MAX(Inputs!$F$100,Time!L$5))/Time!L$7</f>
        <v/>
      </c>
      <c r="M847" s="14">
        <f>MAX(0,MIN(Inputs!$F$101,Time!M$6)-MAX(Inputs!$F$100,Time!M$5))/Time!M$7</f>
        <v/>
      </c>
      <c r="N847" s="14">
        <f>MAX(0,MIN(Inputs!$F$101,Time!N$6)-MAX(Inputs!$F$100,Time!N$5))/Time!N$7</f>
        <v/>
      </c>
      <c r="O847" s="14">
        <f>MAX(0,MIN(Inputs!$F$101,Time!O$6)-MAX(Inputs!$F$100,Time!O$5))/Time!O$7</f>
        <v/>
      </c>
      <c r="P847" s="14">
        <f>MAX(0,MIN(Inputs!$F$101,Time!P$6)-MAX(Inputs!$F$100,Time!P$5))/Time!P$7</f>
        <v/>
      </c>
      <c r="Q847" s="14">
        <f>MAX(0,MIN(Inputs!$F$101,Time!Q$6)-MAX(Inputs!$F$100,Time!Q$5))/Time!Q$7</f>
        <v/>
      </c>
      <c r="R847" s="14">
        <f>MAX(0,MIN(Inputs!$F$101,Time!R$6)-MAX(Inputs!$F$100,Time!R$5))/Time!R$7</f>
        <v/>
      </c>
      <c r="S847" s="14">
        <f>MAX(0,MIN(Inputs!$F$101,Time!S$6)-MAX(Inputs!$F$100,Time!S$5))/Time!S$7</f>
        <v/>
      </c>
      <c r="T847" s="14">
        <f>MAX(0,MIN(Inputs!$F$101,Time!T$6)-MAX(Inputs!$F$100,Time!T$5))/Time!T$7</f>
        <v/>
      </c>
      <c r="U847" s="14">
        <f>MAX(0,MIN(Inputs!$F$101,Time!U$6)-MAX(Inputs!$F$100,Time!U$5))/Time!U$7</f>
        <v/>
      </c>
      <c r="V847" s="14">
        <f>MAX(0,MIN(Inputs!$F$101,Time!V$6)-MAX(Inputs!$F$100,Time!V$5))/Time!V$7</f>
        <v/>
      </c>
      <c r="W847" s="14">
        <f>MAX(0,MIN(Inputs!$F$101,Time!W$6)-MAX(Inputs!$F$100,Time!W$5))/Time!W$7</f>
        <v/>
      </c>
      <c r="X847" s="14">
        <f>MAX(0,MIN(Inputs!$F$101,Time!X$6)-MAX(Inputs!$F$100,Time!X$5))/Time!X$7</f>
        <v/>
      </c>
      <c r="Y847" s="14">
        <f>MAX(0,MIN(Inputs!$F$101,Time!Y$6)-MAX(Inputs!$F$100,Time!Y$5))/Time!Y$7</f>
        <v/>
      </c>
      <c r="Z847" s="14">
        <f>MAX(0,MIN(Inputs!$F$101,Time!Z$6)-MAX(Inputs!$F$100,Time!Z$5))/Time!Z$7</f>
        <v/>
      </c>
      <c r="AA847" s="14">
        <f>MAX(0,MIN(Inputs!$F$101,Time!AA$6)-MAX(Inputs!$F$100,Time!AA$5))/Time!AA$7</f>
        <v/>
      </c>
      <c r="AB847" s="14">
        <f>MAX(0,MIN(Inputs!$F$101,Time!AB$6)-MAX(Inputs!$F$100,Time!AB$5))/Time!AB$7</f>
        <v/>
      </c>
      <c r="AC847" s="14">
        <f>MAX(0,MIN(Inputs!$F$101,Time!AC$6)-MAX(Inputs!$F$100,Time!AC$5))/Time!AC$7</f>
        <v/>
      </c>
      <c r="AD847" s="14">
        <f>MAX(0,MIN(Inputs!$F$101,Time!AD$6)-MAX(Inputs!$F$100,Time!AD$5))/Time!AD$7</f>
        <v/>
      </c>
      <c r="AE847" s="14">
        <f>MAX(0,MIN(Inputs!$F$101,Time!AE$6)-MAX(Inputs!$F$100,Time!AE$5))/Time!AE$7</f>
        <v/>
      </c>
      <c r="AF847" s="14">
        <f>MAX(0,MIN(Inputs!$F$101,Time!AF$6)-MAX(Inputs!$F$100,Time!AF$5))/Time!AF$7</f>
        <v/>
      </c>
      <c r="AG847" s="14">
        <f>MAX(0,MIN(Inputs!$F$101,Time!AG$6)-MAX(Inputs!$F$100,Time!AG$5))/Time!AG$7</f>
        <v/>
      </c>
      <c r="AH847" s="14">
        <f>MAX(0,MIN(Inputs!$F$101,Time!AH$6)-MAX(Inputs!$F$100,Time!AH$5))/Time!AH$7</f>
        <v/>
      </c>
      <c r="AI847" s="14">
        <f>MAX(0,MIN(Inputs!$F$101,Time!AI$6)-MAX(Inputs!$F$100,Time!AI$5))/Time!AI$7</f>
        <v/>
      </c>
      <c r="AJ847" s="14">
        <f>MAX(0,MIN(Inputs!$F$101,Time!AJ$6)-MAX(Inputs!$F$100,Time!AJ$5))/Time!AJ$7</f>
        <v/>
      </c>
      <c r="AK847" s="14">
        <f>MAX(0,MIN(Inputs!$F$101,Time!AK$6)-MAX(Inputs!$F$100,Time!AK$5))/Time!AK$7</f>
        <v/>
      </c>
      <c r="AL847" s="14">
        <f>MAX(0,MIN(Inputs!$F$101,Time!AL$6)-MAX(Inputs!$F$100,Time!AL$5))/Time!AL$7</f>
        <v/>
      </c>
      <c r="AM847" s="14">
        <f>MAX(0,MIN(Inputs!$F$101,Time!AM$6)-MAX(Inputs!$F$100,Time!AM$5))/Time!AM$7</f>
        <v/>
      </c>
      <c r="AN847" s="14">
        <f>MAX(0,MIN(Inputs!$F$101,Time!AN$6)-MAX(Inputs!$F$100,Time!AN$5))/Time!AN$7</f>
        <v/>
      </c>
      <c r="AO847" s="14">
        <f>MAX(0,MIN(Inputs!$F$101,Time!AO$6)-MAX(Inputs!$F$100,Time!AO$5))/Time!AO$7</f>
        <v/>
      </c>
      <c r="AP847" s="14">
        <f>MAX(0,MIN(Inputs!$F$101,Time!AP$6)-MAX(Inputs!$F$100,Time!AP$5))/Time!AP$7</f>
        <v/>
      </c>
      <c r="AQ847" s="14">
        <f>MAX(0,MIN(Inputs!$F$101,Time!AQ$6)-MAX(Inputs!$F$100,Time!AQ$5))/Time!AQ$7</f>
        <v/>
      </c>
      <c r="AR847" s="14">
        <f>MAX(0,MIN(Inputs!$F$101,Time!AR$6)-MAX(Inputs!$F$100,Time!AR$5))/Time!AR$7</f>
        <v/>
      </c>
      <c r="AS847" s="14">
        <f>MAX(0,MIN(Inputs!$F$101,Time!AS$6)-MAX(Inputs!$F$100,Time!AS$5))/Time!AS$7</f>
        <v/>
      </c>
      <c r="AT847" s="14">
        <f>MAX(0,MIN(Inputs!$F$101,Time!AT$6)-MAX(Inputs!$F$100,Time!AT$5))/Time!AT$7</f>
        <v/>
      </c>
      <c r="AU847" s="14">
        <f>MAX(0,MIN(Inputs!$F$101,Time!AU$6)-MAX(Inputs!$F$100,Time!AU$5))/Time!AU$7</f>
        <v/>
      </c>
    </row>
    <row r="848">
      <c r="D848" t="inlineStr">
        <is>
          <t>R2 owned fraction</t>
        </is>
      </c>
      <c r="E848" t="inlineStr">
        <is>
          <t>fraction</t>
        </is>
      </c>
      <c r="J848" s="14">
        <f>MAX(0,MIN(Inputs!$F$101,Time!J$6)-MAX(MAX(Inputs!$F$102,Inputs!$F$100),Time!J$5))/Time!J$7</f>
        <v/>
      </c>
      <c r="K848" s="14">
        <f>MAX(0,MIN(Inputs!$F$101,Time!K$6)-MAX(MAX(Inputs!$F$102,Inputs!$F$100),Time!K$5))/Time!K$7</f>
        <v/>
      </c>
      <c r="L848" s="14">
        <f>MAX(0,MIN(Inputs!$F$101,Time!L$6)-MAX(MAX(Inputs!$F$102,Inputs!$F$100),Time!L$5))/Time!L$7</f>
        <v/>
      </c>
      <c r="M848" s="14">
        <f>MAX(0,MIN(Inputs!$F$101,Time!M$6)-MAX(MAX(Inputs!$F$102,Inputs!$F$100),Time!M$5))/Time!M$7</f>
        <v/>
      </c>
      <c r="N848" s="14">
        <f>MAX(0,MIN(Inputs!$F$101,Time!N$6)-MAX(MAX(Inputs!$F$102,Inputs!$F$100),Time!N$5))/Time!N$7</f>
        <v/>
      </c>
      <c r="O848" s="14">
        <f>MAX(0,MIN(Inputs!$F$101,Time!O$6)-MAX(MAX(Inputs!$F$102,Inputs!$F$100),Time!O$5))/Time!O$7</f>
        <v/>
      </c>
      <c r="P848" s="14">
        <f>MAX(0,MIN(Inputs!$F$101,Time!P$6)-MAX(MAX(Inputs!$F$102,Inputs!$F$100),Time!P$5))/Time!P$7</f>
        <v/>
      </c>
      <c r="Q848" s="14">
        <f>MAX(0,MIN(Inputs!$F$101,Time!Q$6)-MAX(MAX(Inputs!$F$102,Inputs!$F$100),Time!Q$5))/Time!Q$7</f>
        <v/>
      </c>
      <c r="R848" s="14">
        <f>MAX(0,MIN(Inputs!$F$101,Time!R$6)-MAX(MAX(Inputs!$F$102,Inputs!$F$100),Time!R$5))/Time!R$7</f>
        <v/>
      </c>
      <c r="S848" s="14">
        <f>MAX(0,MIN(Inputs!$F$101,Time!S$6)-MAX(MAX(Inputs!$F$102,Inputs!$F$100),Time!S$5))/Time!S$7</f>
        <v/>
      </c>
      <c r="T848" s="14">
        <f>MAX(0,MIN(Inputs!$F$101,Time!T$6)-MAX(MAX(Inputs!$F$102,Inputs!$F$100),Time!T$5))/Time!T$7</f>
        <v/>
      </c>
      <c r="U848" s="14">
        <f>MAX(0,MIN(Inputs!$F$101,Time!U$6)-MAX(MAX(Inputs!$F$102,Inputs!$F$100),Time!U$5))/Time!U$7</f>
        <v/>
      </c>
      <c r="V848" s="14">
        <f>MAX(0,MIN(Inputs!$F$101,Time!V$6)-MAX(MAX(Inputs!$F$102,Inputs!$F$100),Time!V$5))/Time!V$7</f>
        <v/>
      </c>
      <c r="W848" s="14">
        <f>MAX(0,MIN(Inputs!$F$101,Time!W$6)-MAX(MAX(Inputs!$F$102,Inputs!$F$100),Time!W$5))/Time!W$7</f>
        <v/>
      </c>
      <c r="X848" s="14">
        <f>MAX(0,MIN(Inputs!$F$101,Time!X$6)-MAX(MAX(Inputs!$F$102,Inputs!$F$100),Time!X$5))/Time!X$7</f>
        <v/>
      </c>
      <c r="Y848" s="14">
        <f>MAX(0,MIN(Inputs!$F$101,Time!Y$6)-MAX(MAX(Inputs!$F$102,Inputs!$F$100),Time!Y$5))/Time!Y$7</f>
        <v/>
      </c>
      <c r="Z848" s="14">
        <f>MAX(0,MIN(Inputs!$F$101,Time!Z$6)-MAX(MAX(Inputs!$F$102,Inputs!$F$100),Time!Z$5))/Time!Z$7</f>
        <v/>
      </c>
      <c r="AA848" s="14">
        <f>MAX(0,MIN(Inputs!$F$101,Time!AA$6)-MAX(MAX(Inputs!$F$102,Inputs!$F$100),Time!AA$5))/Time!AA$7</f>
        <v/>
      </c>
      <c r="AB848" s="14">
        <f>MAX(0,MIN(Inputs!$F$101,Time!AB$6)-MAX(MAX(Inputs!$F$102,Inputs!$F$100),Time!AB$5))/Time!AB$7</f>
        <v/>
      </c>
      <c r="AC848" s="14">
        <f>MAX(0,MIN(Inputs!$F$101,Time!AC$6)-MAX(MAX(Inputs!$F$102,Inputs!$F$100),Time!AC$5))/Time!AC$7</f>
        <v/>
      </c>
      <c r="AD848" s="14">
        <f>MAX(0,MIN(Inputs!$F$101,Time!AD$6)-MAX(MAX(Inputs!$F$102,Inputs!$F$100),Time!AD$5))/Time!AD$7</f>
        <v/>
      </c>
      <c r="AE848" s="14">
        <f>MAX(0,MIN(Inputs!$F$101,Time!AE$6)-MAX(MAX(Inputs!$F$102,Inputs!$F$100),Time!AE$5))/Time!AE$7</f>
        <v/>
      </c>
      <c r="AF848" s="14">
        <f>MAX(0,MIN(Inputs!$F$101,Time!AF$6)-MAX(MAX(Inputs!$F$102,Inputs!$F$100),Time!AF$5))/Time!AF$7</f>
        <v/>
      </c>
      <c r="AG848" s="14">
        <f>MAX(0,MIN(Inputs!$F$101,Time!AG$6)-MAX(MAX(Inputs!$F$102,Inputs!$F$100),Time!AG$5))/Time!AG$7</f>
        <v/>
      </c>
      <c r="AH848" s="14">
        <f>MAX(0,MIN(Inputs!$F$101,Time!AH$6)-MAX(MAX(Inputs!$F$102,Inputs!$F$100),Time!AH$5))/Time!AH$7</f>
        <v/>
      </c>
      <c r="AI848" s="14">
        <f>MAX(0,MIN(Inputs!$F$101,Time!AI$6)-MAX(MAX(Inputs!$F$102,Inputs!$F$100),Time!AI$5))/Time!AI$7</f>
        <v/>
      </c>
      <c r="AJ848" s="14">
        <f>MAX(0,MIN(Inputs!$F$101,Time!AJ$6)-MAX(MAX(Inputs!$F$102,Inputs!$F$100),Time!AJ$5))/Time!AJ$7</f>
        <v/>
      </c>
      <c r="AK848" s="14">
        <f>MAX(0,MIN(Inputs!$F$101,Time!AK$6)-MAX(MAX(Inputs!$F$102,Inputs!$F$100),Time!AK$5))/Time!AK$7</f>
        <v/>
      </c>
      <c r="AL848" s="14">
        <f>MAX(0,MIN(Inputs!$F$101,Time!AL$6)-MAX(MAX(Inputs!$F$102,Inputs!$F$100),Time!AL$5))/Time!AL$7</f>
        <v/>
      </c>
      <c r="AM848" s="14">
        <f>MAX(0,MIN(Inputs!$F$101,Time!AM$6)-MAX(MAX(Inputs!$F$102,Inputs!$F$100),Time!AM$5))/Time!AM$7</f>
        <v/>
      </c>
      <c r="AN848" s="14">
        <f>MAX(0,MIN(Inputs!$F$101,Time!AN$6)-MAX(MAX(Inputs!$F$102,Inputs!$F$100),Time!AN$5))/Time!AN$7</f>
        <v/>
      </c>
      <c r="AO848" s="14">
        <f>MAX(0,MIN(Inputs!$F$101,Time!AO$6)-MAX(MAX(Inputs!$F$102,Inputs!$F$100),Time!AO$5))/Time!AO$7</f>
        <v/>
      </c>
      <c r="AP848" s="14">
        <f>MAX(0,MIN(Inputs!$F$101,Time!AP$6)-MAX(MAX(Inputs!$F$102,Inputs!$F$100),Time!AP$5))/Time!AP$7</f>
        <v/>
      </c>
      <c r="AQ848" s="14">
        <f>MAX(0,MIN(Inputs!$F$101,Time!AQ$6)-MAX(MAX(Inputs!$F$102,Inputs!$F$100),Time!AQ$5))/Time!AQ$7</f>
        <v/>
      </c>
      <c r="AR848" s="14">
        <f>MAX(0,MIN(Inputs!$F$101,Time!AR$6)-MAX(MAX(Inputs!$F$102,Inputs!$F$100),Time!AR$5))/Time!AR$7</f>
        <v/>
      </c>
      <c r="AS848" s="14">
        <f>MAX(0,MIN(Inputs!$F$101,Time!AS$6)-MAX(MAX(Inputs!$F$102,Inputs!$F$100),Time!AS$5))/Time!AS$7</f>
        <v/>
      </c>
      <c r="AT848" s="14">
        <f>MAX(0,MIN(Inputs!$F$101,Time!AT$6)-MAX(MAX(Inputs!$F$102,Inputs!$F$100),Time!AT$5))/Time!AT$7</f>
        <v/>
      </c>
      <c r="AU848" s="14">
        <f>MAX(0,MIN(Inputs!$F$101,Time!AU$6)-MAX(MAX(Inputs!$F$102,Inputs!$F$100),Time!AU$5))/Time!AU$7</f>
        <v/>
      </c>
    </row>
    <row r="849">
      <c r="D849" t="inlineStr">
        <is>
          <t>R2 owned share of operating period</t>
        </is>
      </c>
      <c r="E849" t="inlineStr">
        <is>
          <t>fraction</t>
        </is>
      </c>
      <c r="J849" s="14">
        <f>IF(Operations!J847&gt;0,Operations!J848/Operations!J847,0)</f>
        <v/>
      </c>
      <c r="K849" s="14">
        <f>IF(Operations!K847&gt;0,Operations!K848/Operations!K847,0)</f>
        <v/>
      </c>
      <c r="L849" s="14">
        <f>IF(Operations!L847&gt;0,Operations!L848/Operations!L847,0)</f>
        <v/>
      </c>
      <c r="M849" s="14">
        <f>IF(Operations!M847&gt;0,Operations!M848/Operations!M847,0)</f>
        <v/>
      </c>
      <c r="N849" s="14">
        <f>IF(Operations!N847&gt;0,Operations!N848/Operations!N847,0)</f>
        <v/>
      </c>
      <c r="O849" s="14">
        <f>IF(Operations!O847&gt;0,Operations!O848/Operations!O847,0)</f>
        <v/>
      </c>
      <c r="P849" s="14">
        <f>IF(Operations!P847&gt;0,Operations!P848/Operations!P847,0)</f>
        <v/>
      </c>
      <c r="Q849" s="14">
        <f>IF(Operations!Q847&gt;0,Operations!Q848/Operations!Q847,0)</f>
        <v/>
      </c>
      <c r="R849" s="14">
        <f>IF(Operations!R847&gt;0,Operations!R848/Operations!R847,0)</f>
        <v/>
      </c>
      <c r="S849" s="14">
        <f>IF(Operations!S847&gt;0,Operations!S848/Operations!S847,0)</f>
        <v/>
      </c>
      <c r="T849" s="14">
        <f>IF(Operations!T847&gt;0,Operations!T848/Operations!T847,0)</f>
        <v/>
      </c>
      <c r="U849" s="14">
        <f>IF(Operations!U847&gt;0,Operations!U848/Operations!U847,0)</f>
        <v/>
      </c>
      <c r="V849" s="14">
        <f>IF(Operations!V847&gt;0,Operations!V848/Operations!V847,0)</f>
        <v/>
      </c>
      <c r="W849" s="14">
        <f>IF(Operations!W847&gt;0,Operations!W848/Operations!W847,0)</f>
        <v/>
      </c>
      <c r="X849" s="14">
        <f>IF(Operations!X847&gt;0,Operations!X848/Operations!X847,0)</f>
        <v/>
      </c>
      <c r="Y849" s="14">
        <f>IF(Operations!Y847&gt;0,Operations!Y848/Operations!Y847,0)</f>
        <v/>
      </c>
      <c r="Z849" s="14">
        <f>IF(Operations!Z847&gt;0,Operations!Z848/Operations!Z847,0)</f>
        <v/>
      </c>
      <c r="AA849" s="14">
        <f>IF(Operations!AA847&gt;0,Operations!AA848/Operations!AA847,0)</f>
        <v/>
      </c>
      <c r="AB849" s="14">
        <f>IF(Operations!AB847&gt;0,Operations!AB848/Operations!AB847,0)</f>
        <v/>
      </c>
      <c r="AC849" s="14">
        <f>IF(Operations!AC847&gt;0,Operations!AC848/Operations!AC847,0)</f>
        <v/>
      </c>
      <c r="AD849" s="14">
        <f>IF(Operations!AD847&gt;0,Operations!AD848/Operations!AD847,0)</f>
        <v/>
      </c>
      <c r="AE849" s="14">
        <f>IF(Operations!AE847&gt;0,Operations!AE848/Operations!AE847,0)</f>
        <v/>
      </c>
      <c r="AF849" s="14">
        <f>IF(Operations!AF847&gt;0,Operations!AF848/Operations!AF847,0)</f>
        <v/>
      </c>
      <c r="AG849" s="14">
        <f>IF(Operations!AG847&gt;0,Operations!AG848/Operations!AG847,0)</f>
        <v/>
      </c>
      <c r="AH849" s="14">
        <f>IF(Operations!AH847&gt;0,Operations!AH848/Operations!AH847,0)</f>
        <v/>
      </c>
      <c r="AI849" s="14">
        <f>IF(Operations!AI847&gt;0,Operations!AI848/Operations!AI847,0)</f>
        <v/>
      </c>
      <c r="AJ849" s="14">
        <f>IF(Operations!AJ847&gt;0,Operations!AJ848/Operations!AJ847,0)</f>
        <v/>
      </c>
      <c r="AK849" s="14">
        <f>IF(Operations!AK847&gt;0,Operations!AK848/Operations!AK847,0)</f>
        <v/>
      </c>
      <c r="AL849" s="14">
        <f>IF(Operations!AL847&gt;0,Operations!AL848/Operations!AL847,0)</f>
        <v/>
      </c>
      <c r="AM849" s="14">
        <f>IF(Operations!AM847&gt;0,Operations!AM848/Operations!AM847,0)</f>
        <v/>
      </c>
      <c r="AN849" s="14">
        <f>IF(Operations!AN847&gt;0,Operations!AN848/Operations!AN847,0)</f>
        <v/>
      </c>
      <c r="AO849" s="14">
        <f>IF(Operations!AO847&gt;0,Operations!AO848/Operations!AO847,0)</f>
        <v/>
      </c>
      <c r="AP849" s="14">
        <f>IF(Operations!AP847&gt;0,Operations!AP848/Operations!AP847,0)</f>
        <v/>
      </c>
      <c r="AQ849" s="14">
        <f>IF(Operations!AQ847&gt;0,Operations!AQ848/Operations!AQ847,0)</f>
        <v/>
      </c>
      <c r="AR849" s="14">
        <f>IF(Operations!AR847&gt;0,Operations!AR848/Operations!AR847,0)</f>
        <v/>
      </c>
      <c r="AS849" s="14">
        <f>IF(Operations!AS847&gt;0,Operations!AS848/Operations!AS847,0)</f>
        <v/>
      </c>
      <c r="AT849" s="14">
        <f>IF(Operations!AT847&gt;0,Operations!AT848/Operations!AT847,0)</f>
        <v/>
      </c>
      <c r="AU849" s="14">
        <f>IF(Operations!AU847&gt;0,Operations!AU848/Operations!AU847,0)</f>
        <v/>
      </c>
    </row>
    <row r="850">
      <c r="D850" t="inlineStr">
        <is>
          <t>R2 own hub ATC</t>
        </is>
      </c>
      <c r="E850" t="inlineStr">
        <is>
          <t>USD/MWh</t>
        </is>
      </c>
      <c r="J850" s="18">
        <f>Operations!J796</f>
        <v/>
      </c>
      <c r="K850" s="18">
        <f>Operations!K796</f>
        <v/>
      </c>
      <c r="L850" s="18">
        <f>Operations!L796</f>
        <v/>
      </c>
      <c r="M850" s="18">
        <f>Operations!M796</f>
        <v/>
      </c>
      <c r="N850" s="18">
        <f>Operations!N796</f>
        <v/>
      </c>
      <c r="O850" s="18">
        <f>Operations!O796</f>
        <v/>
      </c>
      <c r="P850" s="18">
        <f>Operations!P796</f>
        <v/>
      </c>
      <c r="Q850" s="18">
        <f>Operations!Q796</f>
        <v/>
      </c>
      <c r="R850" s="18">
        <f>Operations!R796</f>
        <v/>
      </c>
      <c r="S850" s="18">
        <f>Operations!S796</f>
        <v/>
      </c>
      <c r="T850" s="18">
        <f>Operations!T796</f>
        <v/>
      </c>
      <c r="U850" s="18">
        <f>Operations!U796</f>
        <v/>
      </c>
      <c r="V850" s="18">
        <f>Operations!V796</f>
        <v/>
      </c>
      <c r="W850" s="18">
        <f>Operations!W796</f>
        <v/>
      </c>
      <c r="X850" s="18">
        <f>Operations!X796</f>
        <v/>
      </c>
      <c r="Y850" s="18">
        <f>Operations!Y796</f>
        <v/>
      </c>
      <c r="Z850" s="18">
        <f>Operations!Z796</f>
        <v/>
      </c>
      <c r="AA850" s="18">
        <f>Operations!AA796</f>
        <v/>
      </c>
      <c r="AB850" s="18">
        <f>Operations!AB796</f>
        <v/>
      </c>
      <c r="AC850" s="18">
        <f>Operations!AC796</f>
        <v/>
      </c>
      <c r="AD850" s="18">
        <f>Operations!AD796</f>
        <v/>
      </c>
      <c r="AE850" s="18">
        <f>Operations!AE796</f>
        <v/>
      </c>
      <c r="AF850" s="18">
        <f>Operations!AF796</f>
        <v/>
      </c>
      <c r="AG850" s="18">
        <f>Operations!AG796</f>
        <v/>
      </c>
      <c r="AH850" s="18">
        <f>Operations!AH796</f>
        <v/>
      </c>
      <c r="AI850" s="18">
        <f>Operations!AI796</f>
        <v/>
      </c>
      <c r="AJ850" s="18">
        <f>Operations!AJ796</f>
        <v/>
      </c>
      <c r="AK850" s="18">
        <f>Operations!AK796</f>
        <v/>
      </c>
      <c r="AL850" s="18">
        <f>Operations!AL796</f>
        <v/>
      </c>
      <c r="AM850" s="18">
        <f>Operations!AM796</f>
        <v/>
      </c>
      <c r="AN850" s="18">
        <f>Operations!AN796</f>
        <v/>
      </c>
      <c r="AO850" s="18">
        <f>Operations!AO796</f>
        <v/>
      </c>
      <c r="AP850" s="18">
        <f>Operations!AP796</f>
        <v/>
      </c>
      <c r="AQ850" s="18">
        <f>Operations!AQ796</f>
        <v/>
      </c>
      <c r="AR850" s="18">
        <f>Operations!AR796</f>
        <v/>
      </c>
      <c r="AS850" s="18">
        <f>Operations!AS796</f>
        <v/>
      </c>
      <c r="AT850" s="18">
        <f>Operations!AT796</f>
        <v/>
      </c>
      <c r="AU850" s="18">
        <f>Operations!AU796</f>
        <v/>
      </c>
    </row>
    <row r="851">
      <c r="D851" t="inlineStr">
        <is>
          <t>R2 volume factor</t>
        </is>
      </c>
      <c r="E851" t="inlineStr">
        <is>
          <t>factor</t>
        </is>
      </c>
      <c r="J851" s="14">
        <f>CHOOSE(Operations!$F$789,1,Inputs!$F$106/100,Inputs!$F$107/100,Operations!$F$18/100)</f>
        <v/>
      </c>
      <c r="K851" s="14">
        <f>CHOOSE(Operations!$F$789,1,Inputs!$F$106/100,Inputs!$F$107/100,Operations!$F$18/100)</f>
        <v/>
      </c>
      <c r="L851" s="14">
        <f>CHOOSE(Operations!$F$789,1,Inputs!$F$106/100,Inputs!$F$107/100,Operations!$F$18/100)</f>
        <v/>
      </c>
      <c r="M851" s="14">
        <f>CHOOSE(Operations!$F$789,1,Inputs!$F$106/100,Inputs!$F$107/100,Operations!$F$18/100)</f>
        <v/>
      </c>
      <c r="N851" s="14">
        <f>CHOOSE(Operations!$F$789,1,Inputs!$F$106/100,Inputs!$F$107/100,Operations!$F$18/100)</f>
        <v/>
      </c>
      <c r="O851" s="14">
        <f>CHOOSE(Operations!$F$789,1,Inputs!$F$106/100,Inputs!$F$107/100,Operations!$F$18/100)</f>
        <v/>
      </c>
      <c r="P851" s="14">
        <f>CHOOSE(Operations!$F$789,1,Inputs!$F$106/100,Inputs!$F$107/100,Operations!$F$18/100)</f>
        <v/>
      </c>
      <c r="Q851" s="14">
        <f>CHOOSE(Operations!$F$789,1,Inputs!$F$106/100,Inputs!$F$107/100,Operations!$F$18/100)</f>
        <v/>
      </c>
      <c r="R851" s="14">
        <f>CHOOSE(Operations!$F$789,1,Inputs!$F$106/100,Inputs!$F$107/100,Operations!$F$18/100)</f>
        <v/>
      </c>
      <c r="S851" s="14">
        <f>CHOOSE(Operations!$F$789,1,Inputs!$F$106/100,Inputs!$F$107/100,Operations!$F$18/100)</f>
        <v/>
      </c>
      <c r="T851" s="14">
        <f>CHOOSE(Operations!$F$789,1,Inputs!$F$106/100,Inputs!$F$107/100,Operations!$F$18/100)</f>
        <v/>
      </c>
      <c r="U851" s="14">
        <f>CHOOSE(Operations!$F$789,1,Inputs!$F$106/100,Inputs!$F$107/100,Operations!$F$18/100)</f>
        <v/>
      </c>
      <c r="V851" s="14">
        <f>CHOOSE(Operations!$F$789,1,Inputs!$F$106/100,Inputs!$F$107/100,Operations!$F$18/100)</f>
        <v/>
      </c>
      <c r="W851" s="14">
        <f>CHOOSE(Operations!$F$789,1,Inputs!$F$106/100,Inputs!$F$107/100,Operations!$F$18/100)</f>
        <v/>
      </c>
      <c r="X851" s="14">
        <f>CHOOSE(Operations!$F$789,1,Inputs!$F$106/100,Inputs!$F$107/100,Operations!$F$18/100)</f>
        <v/>
      </c>
      <c r="Y851" s="14">
        <f>CHOOSE(Operations!$F$789,1,Inputs!$F$106/100,Inputs!$F$107/100,Operations!$F$18/100)</f>
        <v/>
      </c>
      <c r="Z851" s="14">
        <f>CHOOSE(Operations!$F$789,1,Inputs!$F$106/100,Inputs!$F$107/100,Operations!$F$18/100)</f>
        <v/>
      </c>
      <c r="AA851" s="14">
        <f>CHOOSE(Operations!$F$789,1,Inputs!$F$106/100,Inputs!$F$107/100,Operations!$F$18/100)</f>
        <v/>
      </c>
      <c r="AB851" s="14">
        <f>CHOOSE(Operations!$F$789,1,Inputs!$F$106/100,Inputs!$F$107/100,Operations!$F$18/100)</f>
        <v/>
      </c>
      <c r="AC851" s="14">
        <f>CHOOSE(Operations!$F$789,1,Inputs!$F$106/100,Inputs!$F$107/100,Operations!$F$18/100)</f>
        <v/>
      </c>
      <c r="AD851" s="14">
        <f>CHOOSE(Operations!$F$789,1,Inputs!$F$106/100,Inputs!$F$107/100,Operations!$F$18/100)</f>
        <v/>
      </c>
      <c r="AE851" s="14">
        <f>CHOOSE(Operations!$F$789,1,Inputs!$F$106/100,Inputs!$F$107/100,Operations!$F$18/100)</f>
        <v/>
      </c>
      <c r="AF851" s="14">
        <f>CHOOSE(Operations!$F$789,1,Inputs!$F$106/100,Inputs!$F$107/100,Operations!$F$18/100)</f>
        <v/>
      </c>
      <c r="AG851" s="14">
        <f>CHOOSE(Operations!$F$789,1,Inputs!$F$106/100,Inputs!$F$107/100,Operations!$F$18/100)</f>
        <v/>
      </c>
      <c r="AH851" s="14">
        <f>CHOOSE(Operations!$F$789,1,Inputs!$F$106/100,Inputs!$F$107/100,Operations!$F$18/100)</f>
        <v/>
      </c>
      <c r="AI851" s="14">
        <f>CHOOSE(Operations!$F$789,1,Inputs!$F$106/100,Inputs!$F$107/100,Operations!$F$18/100)</f>
        <v/>
      </c>
      <c r="AJ851" s="14">
        <f>CHOOSE(Operations!$F$789,1,Inputs!$F$106/100,Inputs!$F$107/100,Operations!$F$18/100)</f>
        <v/>
      </c>
      <c r="AK851" s="14">
        <f>CHOOSE(Operations!$F$789,1,Inputs!$F$106/100,Inputs!$F$107/100,Operations!$F$18/100)</f>
        <v/>
      </c>
      <c r="AL851" s="14">
        <f>CHOOSE(Operations!$F$789,1,Inputs!$F$106/100,Inputs!$F$107/100,Operations!$F$18/100)</f>
        <v/>
      </c>
      <c r="AM851" s="14">
        <f>CHOOSE(Operations!$F$789,1,Inputs!$F$106/100,Inputs!$F$107/100,Operations!$F$18/100)</f>
        <v/>
      </c>
      <c r="AN851" s="14">
        <f>CHOOSE(Operations!$F$789,1,Inputs!$F$106/100,Inputs!$F$107/100,Operations!$F$18/100)</f>
        <v/>
      </c>
      <c r="AO851" s="14">
        <f>CHOOSE(Operations!$F$789,1,Inputs!$F$106/100,Inputs!$F$107/100,Operations!$F$18/100)</f>
        <v/>
      </c>
      <c r="AP851" s="14">
        <f>CHOOSE(Operations!$F$789,1,Inputs!$F$106/100,Inputs!$F$107/100,Operations!$F$18/100)</f>
        <v/>
      </c>
      <c r="AQ851" s="14">
        <f>CHOOSE(Operations!$F$789,1,Inputs!$F$106/100,Inputs!$F$107/100,Operations!$F$18/100)</f>
        <v/>
      </c>
      <c r="AR851" s="14">
        <f>CHOOSE(Operations!$F$789,1,Inputs!$F$106/100,Inputs!$F$107/100,Operations!$F$18/100)</f>
        <v/>
      </c>
      <c r="AS851" s="14">
        <f>CHOOSE(Operations!$F$789,1,Inputs!$F$106/100,Inputs!$F$107/100,Operations!$F$18/100)</f>
        <v/>
      </c>
      <c r="AT851" s="14">
        <f>CHOOSE(Operations!$F$789,1,Inputs!$F$106/100,Inputs!$F$107/100,Operations!$F$18/100)</f>
        <v/>
      </c>
      <c r="AU851" s="14">
        <f>CHOOSE(Operations!$F$789,1,Inputs!$F$106/100,Inputs!$F$107/100,Operations!$F$18/100)</f>
        <v/>
      </c>
    </row>
    <row r="852">
      <c r="D852" t="inlineStr">
        <is>
          <t>R2 degradation factor</t>
        </is>
      </c>
      <c r="E852" t="inlineStr">
        <is>
          <t>factor</t>
        </is>
      </c>
      <c r="J852" s="14">
        <f>(1-Inputs!$F$108/100)^MAX(0,Time!J$4-Inputs!$F$109)</f>
        <v/>
      </c>
      <c r="K852" s="14">
        <f>(1-Inputs!$F$108/100)^MAX(0,Time!K$4-Inputs!$F$109)</f>
        <v/>
      </c>
      <c r="L852" s="14">
        <f>(1-Inputs!$F$108/100)^MAX(0,Time!L$4-Inputs!$F$109)</f>
        <v/>
      </c>
      <c r="M852" s="14">
        <f>(1-Inputs!$F$108/100)^MAX(0,Time!M$4-Inputs!$F$109)</f>
        <v/>
      </c>
      <c r="N852" s="14">
        <f>(1-Inputs!$F$108/100)^MAX(0,Time!N$4-Inputs!$F$109)</f>
        <v/>
      </c>
      <c r="O852" s="14">
        <f>(1-Inputs!$F$108/100)^MAX(0,Time!O$4-Inputs!$F$109)</f>
        <v/>
      </c>
      <c r="P852" s="14">
        <f>(1-Inputs!$F$108/100)^MAX(0,Time!P$4-Inputs!$F$109)</f>
        <v/>
      </c>
      <c r="Q852" s="14">
        <f>(1-Inputs!$F$108/100)^MAX(0,Time!Q$4-Inputs!$F$109)</f>
        <v/>
      </c>
      <c r="R852" s="14">
        <f>(1-Inputs!$F$108/100)^MAX(0,Time!R$4-Inputs!$F$109)</f>
        <v/>
      </c>
      <c r="S852" s="14">
        <f>(1-Inputs!$F$108/100)^MAX(0,Time!S$4-Inputs!$F$109)</f>
        <v/>
      </c>
      <c r="T852" s="14">
        <f>(1-Inputs!$F$108/100)^MAX(0,Time!T$4-Inputs!$F$109)</f>
        <v/>
      </c>
      <c r="U852" s="14">
        <f>(1-Inputs!$F$108/100)^MAX(0,Time!U$4-Inputs!$F$109)</f>
        <v/>
      </c>
      <c r="V852" s="14">
        <f>(1-Inputs!$F$108/100)^MAX(0,Time!V$4-Inputs!$F$109)</f>
        <v/>
      </c>
      <c r="W852" s="14">
        <f>(1-Inputs!$F$108/100)^MAX(0,Time!W$4-Inputs!$F$109)</f>
        <v/>
      </c>
      <c r="X852" s="14">
        <f>(1-Inputs!$F$108/100)^MAX(0,Time!X$4-Inputs!$F$109)</f>
        <v/>
      </c>
      <c r="Y852" s="14">
        <f>(1-Inputs!$F$108/100)^MAX(0,Time!Y$4-Inputs!$F$109)</f>
        <v/>
      </c>
      <c r="Z852" s="14">
        <f>(1-Inputs!$F$108/100)^MAX(0,Time!Z$4-Inputs!$F$109)</f>
        <v/>
      </c>
      <c r="AA852" s="14">
        <f>(1-Inputs!$F$108/100)^MAX(0,Time!AA$4-Inputs!$F$109)</f>
        <v/>
      </c>
      <c r="AB852" s="14">
        <f>(1-Inputs!$F$108/100)^MAX(0,Time!AB$4-Inputs!$F$109)</f>
        <v/>
      </c>
      <c r="AC852" s="14">
        <f>(1-Inputs!$F$108/100)^MAX(0,Time!AC$4-Inputs!$F$109)</f>
        <v/>
      </c>
      <c r="AD852" s="14">
        <f>(1-Inputs!$F$108/100)^MAX(0,Time!AD$4-Inputs!$F$109)</f>
        <v/>
      </c>
      <c r="AE852" s="14">
        <f>(1-Inputs!$F$108/100)^MAX(0,Time!AE$4-Inputs!$F$109)</f>
        <v/>
      </c>
      <c r="AF852" s="14">
        <f>(1-Inputs!$F$108/100)^MAX(0,Time!AF$4-Inputs!$F$109)</f>
        <v/>
      </c>
      <c r="AG852" s="14">
        <f>(1-Inputs!$F$108/100)^MAX(0,Time!AG$4-Inputs!$F$109)</f>
        <v/>
      </c>
      <c r="AH852" s="14">
        <f>(1-Inputs!$F$108/100)^MAX(0,Time!AH$4-Inputs!$F$109)</f>
        <v/>
      </c>
      <c r="AI852" s="14">
        <f>(1-Inputs!$F$108/100)^MAX(0,Time!AI$4-Inputs!$F$109)</f>
        <v/>
      </c>
      <c r="AJ852" s="14">
        <f>(1-Inputs!$F$108/100)^MAX(0,Time!AJ$4-Inputs!$F$109)</f>
        <v/>
      </c>
      <c r="AK852" s="14">
        <f>(1-Inputs!$F$108/100)^MAX(0,Time!AK$4-Inputs!$F$109)</f>
        <v/>
      </c>
      <c r="AL852" s="14">
        <f>(1-Inputs!$F$108/100)^MAX(0,Time!AL$4-Inputs!$F$109)</f>
        <v/>
      </c>
      <c r="AM852" s="14">
        <f>(1-Inputs!$F$108/100)^MAX(0,Time!AM$4-Inputs!$F$109)</f>
        <v/>
      </c>
      <c r="AN852" s="14">
        <f>(1-Inputs!$F$108/100)^MAX(0,Time!AN$4-Inputs!$F$109)</f>
        <v/>
      </c>
      <c r="AO852" s="14">
        <f>(1-Inputs!$F$108/100)^MAX(0,Time!AO$4-Inputs!$F$109)</f>
        <v/>
      </c>
      <c r="AP852" s="14">
        <f>(1-Inputs!$F$108/100)^MAX(0,Time!AP$4-Inputs!$F$109)</f>
        <v/>
      </c>
      <c r="AQ852" s="14">
        <f>(1-Inputs!$F$108/100)^MAX(0,Time!AQ$4-Inputs!$F$109)</f>
        <v/>
      </c>
      <c r="AR852" s="14">
        <f>(1-Inputs!$F$108/100)^MAX(0,Time!AR$4-Inputs!$F$109)</f>
        <v/>
      </c>
      <c r="AS852" s="14">
        <f>(1-Inputs!$F$108/100)^MAX(0,Time!AS$4-Inputs!$F$109)</f>
        <v/>
      </c>
      <c r="AT852" s="14">
        <f>(1-Inputs!$F$108/100)^MAX(0,Time!AT$4-Inputs!$F$109)</f>
        <v/>
      </c>
      <c r="AU852" s="14">
        <f>(1-Inputs!$F$108/100)^MAX(0,Time!AU$4-Inputs!$F$109)</f>
        <v/>
      </c>
    </row>
    <row r="853">
      <c r="D853" t="inlineStr">
        <is>
          <t>R2 curtailment</t>
        </is>
      </c>
      <c r="E853" t="inlineStr">
        <is>
          <t>fraction</t>
        </is>
      </c>
      <c r="J853" s="14">
        <f>(IF(Time!J$4&gt;=Inputs!$F$61,Inputs!$F$71,Inputs!$F$70+(Inputs!$F$71-Inputs!$F$70)*(Time!J$4-Inputs!$F$23)/(Inputs!$F$61-Inputs!$F$23))+Operations!$F$791)/100</f>
        <v/>
      </c>
      <c r="K853" s="14">
        <f>(IF(Time!K$4&gt;=Inputs!$F$61,Inputs!$F$71,Inputs!$F$70+(Inputs!$F$71-Inputs!$F$70)*(Time!K$4-Inputs!$F$23)/(Inputs!$F$61-Inputs!$F$23))+Operations!$F$791)/100</f>
        <v/>
      </c>
      <c r="L853" s="14">
        <f>(IF(Time!L$4&gt;=Inputs!$F$61,Inputs!$F$71,Inputs!$F$70+(Inputs!$F$71-Inputs!$F$70)*(Time!L$4-Inputs!$F$23)/(Inputs!$F$61-Inputs!$F$23))+Operations!$F$791)/100</f>
        <v/>
      </c>
      <c r="M853" s="14">
        <f>(IF(Time!M$4&gt;=Inputs!$F$61,Inputs!$F$71,Inputs!$F$70+(Inputs!$F$71-Inputs!$F$70)*(Time!M$4-Inputs!$F$23)/(Inputs!$F$61-Inputs!$F$23))+Operations!$F$791)/100</f>
        <v/>
      </c>
      <c r="N853" s="14">
        <f>(IF(Time!N$4&gt;=Inputs!$F$61,Inputs!$F$71,Inputs!$F$70+(Inputs!$F$71-Inputs!$F$70)*(Time!N$4-Inputs!$F$23)/(Inputs!$F$61-Inputs!$F$23))+Operations!$F$791)/100</f>
        <v/>
      </c>
      <c r="O853" s="14">
        <f>(IF(Time!O$4&gt;=Inputs!$F$61,Inputs!$F$71,Inputs!$F$70+(Inputs!$F$71-Inputs!$F$70)*(Time!O$4-Inputs!$F$23)/(Inputs!$F$61-Inputs!$F$23))+Operations!$F$791)/100</f>
        <v/>
      </c>
      <c r="P853" s="14">
        <f>(IF(Time!P$4&gt;=Inputs!$F$61,Inputs!$F$71,Inputs!$F$70+(Inputs!$F$71-Inputs!$F$70)*(Time!P$4-Inputs!$F$23)/(Inputs!$F$61-Inputs!$F$23))+Operations!$F$791)/100</f>
        <v/>
      </c>
      <c r="Q853" s="14">
        <f>(IF(Time!Q$4&gt;=Inputs!$F$61,Inputs!$F$71,Inputs!$F$70+(Inputs!$F$71-Inputs!$F$70)*(Time!Q$4-Inputs!$F$23)/(Inputs!$F$61-Inputs!$F$23))+Operations!$F$791)/100</f>
        <v/>
      </c>
      <c r="R853" s="14">
        <f>(IF(Time!R$4&gt;=Inputs!$F$61,Inputs!$F$71,Inputs!$F$70+(Inputs!$F$71-Inputs!$F$70)*(Time!R$4-Inputs!$F$23)/(Inputs!$F$61-Inputs!$F$23))+Operations!$F$791)/100</f>
        <v/>
      </c>
      <c r="S853" s="14">
        <f>(IF(Time!S$4&gt;=Inputs!$F$61,Inputs!$F$71,Inputs!$F$70+(Inputs!$F$71-Inputs!$F$70)*(Time!S$4-Inputs!$F$23)/(Inputs!$F$61-Inputs!$F$23))+Operations!$F$791)/100</f>
        <v/>
      </c>
      <c r="T853" s="14">
        <f>(IF(Time!T$4&gt;=Inputs!$F$61,Inputs!$F$71,Inputs!$F$70+(Inputs!$F$71-Inputs!$F$70)*(Time!T$4-Inputs!$F$23)/(Inputs!$F$61-Inputs!$F$23))+Operations!$F$791)/100</f>
        <v/>
      </c>
      <c r="U853" s="14">
        <f>(IF(Time!U$4&gt;=Inputs!$F$61,Inputs!$F$71,Inputs!$F$70+(Inputs!$F$71-Inputs!$F$70)*(Time!U$4-Inputs!$F$23)/(Inputs!$F$61-Inputs!$F$23))+Operations!$F$791)/100</f>
        <v/>
      </c>
      <c r="V853" s="14">
        <f>(IF(Time!V$4&gt;=Inputs!$F$61,Inputs!$F$71,Inputs!$F$70+(Inputs!$F$71-Inputs!$F$70)*(Time!V$4-Inputs!$F$23)/(Inputs!$F$61-Inputs!$F$23))+Operations!$F$791)/100</f>
        <v/>
      </c>
      <c r="W853" s="14">
        <f>(IF(Time!W$4&gt;=Inputs!$F$61,Inputs!$F$71,Inputs!$F$70+(Inputs!$F$71-Inputs!$F$70)*(Time!W$4-Inputs!$F$23)/(Inputs!$F$61-Inputs!$F$23))+Operations!$F$791)/100</f>
        <v/>
      </c>
      <c r="X853" s="14">
        <f>(IF(Time!X$4&gt;=Inputs!$F$61,Inputs!$F$71,Inputs!$F$70+(Inputs!$F$71-Inputs!$F$70)*(Time!X$4-Inputs!$F$23)/(Inputs!$F$61-Inputs!$F$23))+Operations!$F$791)/100</f>
        <v/>
      </c>
      <c r="Y853" s="14">
        <f>(IF(Time!Y$4&gt;=Inputs!$F$61,Inputs!$F$71,Inputs!$F$70+(Inputs!$F$71-Inputs!$F$70)*(Time!Y$4-Inputs!$F$23)/(Inputs!$F$61-Inputs!$F$23))+Operations!$F$791)/100</f>
        <v/>
      </c>
      <c r="Z853" s="14">
        <f>(IF(Time!Z$4&gt;=Inputs!$F$61,Inputs!$F$71,Inputs!$F$70+(Inputs!$F$71-Inputs!$F$70)*(Time!Z$4-Inputs!$F$23)/(Inputs!$F$61-Inputs!$F$23))+Operations!$F$791)/100</f>
        <v/>
      </c>
      <c r="AA853" s="14">
        <f>(IF(Time!AA$4&gt;=Inputs!$F$61,Inputs!$F$71,Inputs!$F$70+(Inputs!$F$71-Inputs!$F$70)*(Time!AA$4-Inputs!$F$23)/(Inputs!$F$61-Inputs!$F$23))+Operations!$F$791)/100</f>
        <v/>
      </c>
      <c r="AB853" s="14">
        <f>(IF(Time!AB$4&gt;=Inputs!$F$61,Inputs!$F$71,Inputs!$F$70+(Inputs!$F$71-Inputs!$F$70)*(Time!AB$4-Inputs!$F$23)/(Inputs!$F$61-Inputs!$F$23))+Operations!$F$791)/100</f>
        <v/>
      </c>
      <c r="AC853" s="14">
        <f>(IF(Time!AC$4&gt;=Inputs!$F$61,Inputs!$F$71,Inputs!$F$70+(Inputs!$F$71-Inputs!$F$70)*(Time!AC$4-Inputs!$F$23)/(Inputs!$F$61-Inputs!$F$23))+Operations!$F$791)/100</f>
        <v/>
      </c>
      <c r="AD853" s="14">
        <f>(IF(Time!AD$4&gt;=Inputs!$F$61,Inputs!$F$71,Inputs!$F$70+(Inputs!$F$71-Inputs!$F$70)*(Time!AD$4-Inputs!$F$23)/(Inputs!$F$61-Inputs!$F$23))+Operations!$F$791)/100</f>
        <v/>
      </c>
      <c r="AE853" s="14">
        <f>(IF(Time!AE$4&gt;=Inputs!$F$61,Inputs!$F$71,Inputs!$F$70+(Inputs!$F$71-Inputs!$F$70)*(Time!AE$4-Inputs!$F$23)/(Inputs!$F$61-Inputs!$F$23))+Operations!$F$791)/100</f>
        <v/>
      </c>
      <c r="AF853" s="14">
        <f>(IF(Time!AF$4&gt;=Inputs!$F$61,Inputs!$F$71,Inputs!$F$70+(Inputs!$F$71-Inputs!$F$70)*(Time!AF$4-Inputs!$F$23)/(Inputs!$F$61-Inputs!$F$23))+Operations!$F$791)/100</f>
        <v/>
      </c>
      <c r="AG853" s="14">
        <f>(IF(Time!AG$4&gt;=Inputs!$F$61,Inputs!$F$71,Inputs!$F$70+(Inputs!$F$71-Inputs!$F$70)*(Time!AG$4-Inputs!$F$23)/(Inputs!$F$61-Inputs!$F$23))+Operations!$F$791)/100</f>
        <v/>
      </c>
      <c r="AH853" s="14">
        <f>(IF(Time!AH$4&gt;=Inputs!$F$61,Inputs!$F$71,Inputs!$F$70+(Inputs!$F$71-Inputs!$F$70)*(Time!AH$4-Inputs!$F$23)/(Inputs!$F$61-Inputs!$F$23))+Operations!$F$791)/100</f>
        <v/>
      </c>
      <c r="AI853" s="14">
        <f>(IF(Time!AI$4&gt;=Inputs!$F$61,Inputs!$F$71,Inputs!$F$70+(Inputs!$F$71-Inputs!$F$70)*(Time!AI$4-Inputs!$F$23)/(Inputs!$F$61-Inputs!$F$23))+Operations!$F$791)/100</f>
        <v/>
      </c>
      <c r="AJ853" s="14">
        <f>(IF(Time!AJ$4&gt;=Inputs!$F$61,Inputs!$F$71,Inputs!$F$70+(Inputs!$F$71-Inputs!$F$70)*(Time!AJ$4-Inputs!$F$23)/(Inputs!$F$61-Inputs!$F$23))+Operations!$F$791)/100</f>
        <v/>
      </c>
      <c r="AK853" s="14">
        <f>(IF(Time!AK$4&gt;=Inputs!$F$61,Inputs!$F$71,Inputs!$F$70+(Inputs!$F$71-Inputs!$F$70)*(Time!AK$4-Inputs!$F$23)/(Inputs!$F$61-Inputs!$F$23))+Operations!$F$791)/100</f>
        <v/>
      </c>
      <c r="AL853" s="14">
        <f>(IF(Time!AL$4&gt;=Inputs!$F$61,Inputs!$F$71,Inputs!$F$70+(Inputs!$F$71-Inputs!$F$70)*(Time!AL$4-Inputs!$F$23)/(Inputs!$F$61-Inputs!$F$23))+Operations!$F$791)/100</f>
        <v/>
      </c>
      <c r="AM853" s="14">
        <f>(IF(Time!AM$4&gt;=Inputs!$F$61,Inputs!$F$71,Inputs!$F$70+(Inputs!$F$71-Inputs!$F$70)*(Time!AM$4-Inputs!$F$23)/(Inputs!$F$61-Inputs!$F$23))+Operations!$F$791)/100</f>
        <v/>
      </c>
      <c r="AN853" s="14">
        <f>(IF(Time!AN$4&gt;=Inputs!$F$61,Inputs!$F$71,Inputs!$F$70+(Inputs!$F$71-Inputs!$F$70)*(Time!AN$4-Inputs!$F$23)/(Inputs!$F$61-Inputs!$F$23))+Operations!$F$791)/100</f>
        <v/>
      </c>
      <c r="AO853" s="14">
        <f>(IF(Time!AO$4&gt;=Inputs!$F$61,Inputs!$F$71,Inputs!$F$70+(Inputs!$F$71-Inputs!$F$70)*(Time!AO$4-Inputs!$F$23)/(Inputs!$F$61-Inputs!$F$23))+Operations!$F$791)/100</f>
        <v/>
      </c>
      <c r="AP853" s="14">
        <f>(IF(Time!AP$4&gt;=Inputs!$F$61,Inputs!$F$71,Inputs!$F$70+(Inputs!$F$71-Inputs!$F$70)*(Time!AP$4-Inputs!$F$23)/(Inputs!$F$61-Inputs!$F$23))+Operations!$F$791)/100</f>
        <v/>
      </c>
      <c r="AQ853" s="14">
        <f>(IF(Time!AQ$4&gt;=Inputs!$F$61,Inputs!$F$71,Inputs!$F$70+(Inputs!$F$71-Inputs!$F$70)*(Time!AQ$4-Inputs!$F$23)/(Inputs!$F$61-Inputs!$F$23))+Operations!$F$791)/100</f>
        <v/>
      </c>
      <c r="AR853" s="14">
        <f>(IF(Time!AR$4&gt;=Inputs!$F$61,Inputs!$F$71,Inputs!$F$70+(Inputs!$F$71-Inputs!$F$70)*(Time!AR$4-Inputs!$F$23)/(Inputs!$F$61-Inputs!$F$23))+Operations!$F$791)/100</f>
        <v/>
      </c>
      <c r="AS853" s="14">
        <f>(IF(Time!AS$4&gt;=Inputs!$F$61,Inputs!$F$71,Inputs!$F$70+(Inputs!$F$71-Inputs!$F$70)*(Time!AS$4-Inputs!$F$23)/(Inputs!$F$61-Inputs!$F$23))+Operations!$F$791)/100</f>
        <v/>
      </c>
      <c r="AT853" s="14">
        <f>(IF(Time!AT$4&gt;=Inputs!$F$61,Inputs!$F$71,Inputs!$F$70+(Inputs!$F$71-Inputs!$F$70)*(Time!AT$4-Inputs!$F$23)/(Inputs!$F$61-Inputs!$F$23))+Operations!$F$791)/100</f>
        <v/>
      </c>
      <c r="AU853" s="14">
        <f>(IF(Time!AU$4&gt;=Inputs!$F$61,Inputs!$F$71,Inputs!$F$70+(Inputs!$F$71-Inputs!$F$70)*(Time!AU$4-Inputs!$F$23)/(Inputs!$F$61-Inputs!$F$23))+Operations!$F$791)/100</f>
        <v/>
      </c>
    </row>
    <row r="854">
      <c r="D854" t="inlineStr">
        <is>
          <t>R2 net generation, full year</t>
        </is>
      </c>
      <c r="E854" t="inlineStr">
        <is>
          <t>GWh</t>
        </is>
      </c>
      <c r="J854" s="20">
        <f>Inputs!$F$105*Operations!J851*Inputs!$F$185/100*Operations!J852*(1-Operations!J853)</f>
        <v/>
      </c>
      <c r="K854" s="20">
        <f>Inputs!$F$105*Operations!K851*Inputs!$F$185/100*Operations!K852*(1-Operations!K853)</f>
        <v/>
      </c>
      <c r="L854" s="20">
        <f>Inputs!$F$105*Operations!L851*Inputs!$F$185/100*Operations!L852*(1-Operations!L853)</f>
        <v/>
      </c>
      <c r="M854" s="20">
        <f>Inputs!$F$105*Operations!M851*Inputs!$F$185/100*Operations!M852*(1-Operations!M853)</f>
        <v/>
      </c>
      <c r="N854" s="20">
        <f>Inputs!$F$105*Operations!N851*Inputs!$F$185/100*Operations!N852*(1-Operations!N853)</f>
        <v/>
      </c>
      <c r="O854" s="20">
        <f>Inputs!$F$105*Operations!O851*Inputs!$F$185/100*Operations!O852*(1-Operations!O853)</f>
        <v/>
      </c>
      <c r="P854" s="20">
        <f>Inputs!$F$105*Operations!P851*Inputs!$F$185/100*Operations!P852*(1-Operations!P853)</f>
        <v/>
      </c>
      <c r="Q854" s="20">
        <f>Inputs!$F$105*Operations!Q851*Inputs!$F$185/100*Operations!Q852*(1-Operations!Q853)</f>
        <v/>
      </c>
      <c r="R854" s="20">
        <f>Inputs!$F$105*Operations!R851*Inputs!$F$185/100*Operations!R852*(1-Operations!R853)</f>
        <v/>
      </c>
      <c r="S854" s="20">
        <f>Inputs!$F$105*Operations!S851*Inputs!$F$185/100*Operations!S852*(1-Operations!S853)</f>
        <v/>
      </c>
      <c r="T854" s="20">
        <f>Inputs!$F$105*Operations!T851*Inputs!$F$185/100*Operations!T852*(1-Operations!T853)</f>
        <v/>
      </c>
      <c r="U854" s="20">
        <f>Inputs!$F$105*Operations!U851*Inputs!$F$185/100*Operations!U852*(1-Operations!U853)</f>
        <v/>
      </c>
      <c r="V854" s="20">
        <f>Inputs!$F$105*Operations!V851*Inputs!$F$185/100*Operations!V852*(1-Operations!V853)</f>
        <v/>
      </c>
      <c r="W854" s="20">
        <f>Inputs!$F$105*Operations!W851*Inputs!$F$185/100*Operations!W852*(1-Operations!W853)</f>
        <v/>
      </c>
      <c r="X854" s="20">
        <f>Inputs!$F$105*Operations!X851*Inputs!$F$185/100*Operations!X852*(1-Operations!X853)</f>
        <v/>
      </c>
      <c r="Y854" s="20">
        <f>Inputs!$F$105*Operations!Y851*Inputs!$F$185/100*Operations!Y852*(1-Operations!Y853)</f>
        <v/>
      </c>
      <c r="Z854" s="20">
        <f>Inputs!$F$105*Operations!Z851*Inputs!$F$185/100*Operations!Z852*(1-Operations!Z853)</f>
        <v/>
      </c>
      <c r="AA854" s="20">
        <f>Inputs!$F$105*Operations!AA851*Inputs!$F$185/100*Operations!AA852*(1-Operations!AA853)</f>
        <v/>
      </c>
      <c r="AB854" s="20">
        <f>Inputs!$F$105*Operations!AB851*Inputs!$F$185/100*Operations!AB852*(1-Operations!AB853)</f>
        <v/>
      </c>
      <c r="AC854" s="20">
        <f>Inputs!$F$105*Operations!AC851*Inputs!$F$185/100*Operations!AC852*(1-Operations!AC853)</f>
        <v/>
      </c>
      <c r="AD854" s="20">
        <f>Inputs!$F$105*Operations!AD851*Inputs!$F$185/100*Operations!AD852*(1-Operations!AD853)</f>
        <v/>
      </c>
      <c r="AE854" s="20">
        <f>Inputs!$F$105*Operations!AE851*Inputs!$F$185/100*Operations!AE852*(1-Operations!AE853)</f>
        <v/>
      </c>
      <c r="AF854" s="20">
        <f>Inputs!$F$105*Operations!AF851*Inputs!$F$185/100*Operations!AF852*(1-Operations!AF853)</f>
        <v/>
      </c>
      <c r="AG854" s="20">
        <f>Inputs!$F$105*Operations!AG851*Inputs!$F$185/100*Operations!AG852*(1-Operations!AG853)</f>
        <v/>
      </c>
      <c r="AH854" s="20">
        <f>Inputs!$F$105*Operations!AH851*Inputs!$F$185/100*Operations!AH852*(1-Operations!AH853)</f>
        <v/>
      </c>
      <c r="AI854" s="20">
        <f>Inputs!$F$105*Operations!AI851*Inputs!$F$185/100*Operations!AI852*(1-Operations!AI853)</f>
        <v/>
      </c>
      <c r="AJ854" s="20">
        <f>Inputs!$F$105*Operations!AJ851*Inputs!$F$185/100*Operations!AJ852*(1-Operations!AJ853)</f>
        <v/>
      </c>
      <c r="AK854" s="20">
        <f>Inputs!$F$105*Operations!AK851*Inputs!$F$185/100*Operations!AK852*(1-Operations!AK853)</f>
        <v/>
      </c>
      <c r="AL854" s="20">
        <f>Inputs!$F$105*Operations!AL851*Inputs!$F$185/100*Operations!AL852*(1-Operations!AL853)</f>
        <v/>
      </c>
      <c r="AM854" s="20">
        <f>Inputs!$F$105*Operations!AM851*Inputs!$F$185/100*Operations!AM852*(1-Operations!AM853)</f>
        <v/>
      </c>
      <c r="AN854" s="20">
        <f>Inputs!$F$105*Operations!AN851*Inputs!$F$185/100*Operations!AN852*(1-Operations!AN853)</f>
        <v/>
      </c>
      <c r="AO854" s="20">
        <f>Inputs!$F$105*Operations!AO851*Inputs!$F$185/100*Operations!AO852*(1-Operations!AO853)</f>
        <v/>
      </c>
      <c r="AP854" s="20">
        <f>Inputs!$F$105*Operations!AP851*Inputs!$F$185/100*Operations!AP852*(1-Operations!AP853)</f>
        <v/>
      </c>
      <c r="AQ854" s="20">
        <f>Inputs!$F$105*Operations!AQ851*Inputs!$F$185/100*Operations!AQ852*(1-Operations!AQ853)</f>
        <v/>
      </c>
      <c r="AR854" s="20">
        <f>Inputs!$F$105*Operations!AR851*Inputs!$F$185/100*Operations!AR852*(1-Operations!AR853)</f>
        <v/>
      </c>
      <c r="AS854" s="20">
        <f>Inputs!$F$105*Operations!AS851*Inputs!$F$185/100*Operations!AS852*(1-Operations!AS853)</f>
        <v/>
      </c>
      <c r="AT854" s="20">
        <f>Inputs!$F$105*Operations!AT851*Inputs!$F$185/100*Operations!AT852*(1-Operations!AT853)</f>
        <v/>
      </c>
      <c r="AU854" s="20">
        <f>Inputs!$F$105*Operations!AU851*Inputs!$F$185/100*Operations!AU852*(1-Operations!AU853)</f>
        <v/>
      </c>
    </row>
    <row r="855">
      <c r="D855" t="inlineStr">
        <is>
          <t>R2 net generation</t>
        </is>
      </c>
      <c r="E855" t="inlineStr">
        <is>
          <t>GWh</t>
        </is>
      </c>
      <c r="G855" s="20">
        <f>SUM(J855:AU855)</f>
        <v/>
      </c>
      <c r="J855" s="20">
        <f>Operations!J854*Operations!J847</f>
        <v/>
      </c>
      <c r="K855" s="20">
        <f>Operations!K854*Operations!K847</f>
        <v/>
      </c>
      <c r="L855" s="20">
        <f>Operations!L854*Operations!L847</f>
        <v/>
      </c>
      <c r="M855" s="20">
        <f>Operations!M854*Operations!M847</f>
        <v/>
      </c>
      <c r="N855" s="20">
        <f>Operations!N854*Operations!N847</f>
        <v/>
      </c>
      <c r="O855" s="20">
        <f>Operations!O854*Operations!O847</f>
        <v/>
      </c>
      <c r="P855" s="20">
        <f>Operations!P854*Operations!P847</f>
        <v/>
      </c>
      <c r="Q855" s="20">
        <f>Operations!Q854*Operations!Q847</f>
        <v/>
      </c>
      <c r="R855" s="20">
        <f>Operations!R854*Operations!R847</f>
        <v/>
      </c>
      <c r="S855" s="20">
        <f>Operations!S854*Operations!S847</f>
        <v/>
      </c>
      <c r="T855" s="20">
        <f>Operations!T854*Operations!T847</f>
        <v/>
      </c>
      <c r="U855" s="20">
        <f>Operations!U854*Operations!U847</f>
        <v/>
      </c>
      <c r="V855" s="20">
        <f>Operations!V854*Operations!V847</f>
        <v/>
      </c>
      <c r="W855" s="20">
        <f>Operations!W854*Operations!W847</f>
        <v/>
      </c>
      <c r="X855" s="20">
        <f>Operations!X854*Operations!X847</f>
        <v/>
      </c>
      <c r="Y855" s="20">
        <f>Operations!Y854*Operations!Y847</f>
        <v/>
      </c>
      <c r="Z855" s="20">
        <f>Operations!Z854*Operations!Z847</f>
        <v/>
      </c>
      <c r="AA855" s="20">
        <f>Operations!AA854*Operations!AA847</f>
        <v/>
      </c>
      <c r="AB855" s="20">
        <f>Operations!AB854*Operations!AB847</f>
        <v/>
      </c>
      <c r="AC855" s="20">
        <f>Operations!AC854*Operations!AC847</f>
        <v/>
      </c>
      <c r="AD855" s="20">
        <f>Operations!AD854*Operations!AD847</f>
        <v/>
      </c>
      <c r="AE855" s="20">
        <f>Operations!AE854*Operations!AE847</f>
        <v/>
      </c>
      <c r="AF855" s="20">
        <f>Operations!AF854*Operations!AF847</f>
        <v/>
      </c>
      <c r="AG855" s="20">
        <f>Operations!AG854*Operations!AG847</f>
        <v/>
      </c>
      <c r="AH855" s="20">
        <f>Operations!AH854*Operations!AH847</f>
        <v/>
      </c>
      <c r="AI855" s="20">
        <f>Operations!AI854*Operations!AI847</f>
        <v/>
      </c>
      <c r="AJ855" s="20">
        <f>Operations!AJ854*Operations!AJ847</f>
        <v/>
      </c>
      <c r="AK855" s="20">
        <f>Operations!AK854*Operations!AK847</f>
        <v/>
      </c>
      <c r="AL855" s="20">
        <f>Operations!AL854*Operations!AL847</f>
        <v/>
      </c>
      <c r="AM855" s="20">
        <f>Operations!AM854*Operations!AM847</f>
        <v/>
      </c>
      <c r="AN855" s="20">
        <f>Operations!AN854*Operations!AN847</f>
        <v/>
      </c>
      <c r="AO855" s="20">
        <f>Operations!AO854*Operations!AO847</f>
        <v/>
      </c>
      <c r="AP855" s="20">
        <f>Operations!AP854*Operations!AP847</f>
        <v/>
      </c>
      <c r="AQ855" s="20">
        <f>Operations!AQ854*Operations!AQ847</f>
        <v/>
      </c>
      <c r="AR855" s="20">
        <f>Operations!AR854*Operations!AR847</f>
        <v/>
      </c>
      <c r="AS855" s="20">
        <f>Operations!AS854*Operations!AS847</f>
        <v/>
      </c>
      <c r="AT855" s="20">
        <f>Operations!AT854*Operations!AT847</f>
        <v/>
      </c>
      <c r="AU855" s="20">
        <f>Operations!AU854*Operations!AU847</f>
        <v/>
      </c>
    </row>
    <row r="856">
      <c r="D856" t="inlineStr">
        <is>
          <t>R2 hub capture ratio</t>
        </is>
      </c>
      <c r="E856" t="inlineStr">
        <is>
          <t>ratio</t>
        </is>
      </c>
      <c r="J856" s="14">
        <f>Operations!J803</f>
        <v/>
      </c>
      <c r="K856" s="14">
        <f>Operations!K803</f>
        <v/>
      </c>
      <c r="L856" s="14">
        <f>Operations!L803</f>
        <v/>
      </c>
      <c r="M856" s="14">
        <f>Operations!M803</f>
        <v/>
      </c>
      <c r="N856" s="14">
        <f>Operations!N803</f>
        <v/>
      </c>
      <c r="O856" s="14">
        <f>Operations!O803</f>
        <v/>
      </c>
      <c r="P856" s="14">
        <f>Operations!P803</f>
        <v/>
      </c>
      <c r="Q856" s="14">
        <f>Operations!Q803</f>
        <v/>
      </c>
      <c r="R856" s="14">
        <f>Operations!R803</f>
        <v/>
      </c>
      <c r="S856" s="14">
        <f>Operations!S803</f>
        <v/>
      </c>
      <c r="T856" s="14">
        <f>Operations!T803</f>
        <v/>
      </c>
      <c r="U856" s="14">
        <f>Operations!U803</f>
        <v/>
      </c>
      <c r="V856" s="14">
        <f>Operations!V803</f>
        <v/>
      </c>
      <c r="W856" s="14">
        <f>Operations!W803</f>
        <v/>
      </c>
      <c r="X856" s="14">
        <f>Operations!X803</f>
        <v/>
      </c>
      <c r="Y856" s="14">
        <f>Operations!Y803</f>
        <v/>
      </c>
      <c r="Z856" s="14">
        <f>Operations!Z803</f>
        <v/>
      </c>
      <c r="AA856" s="14">
        <f>Operations!AA803</f>
        <v/>
      </c>
      <c r="AB856" s="14">
        <f>Operations!AB803</f>
        <v/>
      </c>
      <c r="AC856" s="14">
        <f>Operations!AC803</f>
        <v/>
      </c>
      <c r="AD856" s="14">
        <f>Operations!AD803</f>
        <v/>
      </c>
      <c r="AE856" s="14">
        <f>Operations!AE803</f>
        <v/>
      </c>
      <c r="AF856" s="14">
        <f>Operations!AF803</f>
        <v/>
      </c>
      <c r="AG856" s="14">
        <f>Operations!AG803</f>
        <v/>
      </c>
      <c r="AH856" s="14">
        <f>Operations!AH803</f>
        <v/>
      </c>
      <c r="AI856" s="14">
        <f>Operations!AI803</f>
        <v/>
      </c>
      <c r="AJ856" s="14">
        <f>Operations!AJ803</f>
        <v/>
      </c>
      <c r="AK856" s="14">
        <f>Operations!AK803</f>
        <v/>
      </c>
      <c r="AL856" s="14">
        <f>Operations!AL803</f>
        <v/>
      </c>
      <c r="AM856" s="14">
        <f>Operations!AM803</f>
        <v/>
      </c>
      <c r="AN856" s="14">
        <f>Operations!AN803</f>
        <v/>
      </c>
      <c r="AO856" s="14">
        <f>Operations!AO803</f>
        <v/>
      </c>
      <c r="AP856" s="14">
        <f>Operations!AP803</f>
        <v/>
      </c>
      <c r="AQ856" s="14">
        <f>Operations!AQ803</f>
        <v/>
      </c>
      <c r="AR856" s="14">
        <f>Operations!AR803</f>
        <v/>
      </c>
      <c r="AS856" s="14">
        <f>Operations!AS803</f>
        <v/>
      </c>
      <c r="AT856" s="14">
        <f>Operations!AT803</f>
        <v/>
      </c>
      <c r="AU856" s="14">
        <f>Operations!AU803</f>
        <v/>
      </c>
    </row>
    <row r="857">
      <c r="D857" t="inlineStr">
        <is>
          <t>R2 node capture ratio</t>
        </is>
      </c>
      <c r="E857" t="inlineStr">
        <is>
          <t>ratio</t>
        </is>
      </c>
      <c r="J857" s="14">
        <f>Operations!J856-Inputs!$F$60</f>
        <v/>
      </c>
      <c r="K857" s="14">
        <f>Operations!K856-Inputs!$F$60</f>
        <v/>
      </c>
      <c r="L857" s="14">
        <f>Operations!L856-Inputs!$F$60</f>
        <v/>
      </c>
      <c r="M857" s="14">
        <f>Operations!M856-Inputs!$F$60</f>
        <v/>
      </c>
      <c r="N857" s="14">
        <f>Operations!N856-Inputs!$F$60</f>
        <v/>
      </c>
      <c r="O857" s="14">
        <f>Operations!O856-Inputs!$F$60</f>
        <v/>
      </c>
      <c r="P857" s="14">
        <f>Operations!P856-Inputs!$F$60</f>
        <v/>
      </c>
      <c r="Q857" s="14">
        <f>Operations!Q856-Inputs!$F$60</f>
        <v/>
      </c>
      <c r="R857" s="14">
        <f>Operations!R856-Inputs!$F$60</f>
        <v/>
      </c>
      <c r="S857" s="14">
        <f>Operations!S856-Inputs!$F$60</f>
        <v/>
      </c>
      <c r="T857" s="14">
        <f>Operations!T856-Inputs!$F$60</f>
        <v/>
      </c>
      <c r="U857" s="14">
        <f>Operations!U856-Inputs!$F$60</f>
        <v/>
      </c>
      <c r="V857" s="14">
        <f>Operations!V856-Inputs!$F$60</f>
        <v/>
      </c>
      <c r="W857" s="14">
        <f>Operations!W856-Inputs!$F$60</f>
        <v/>
      </c>
      <c r="X857" s="14">
        <f>Operations!X856-Inputs!$F$60</f>
        <v/>
      </c>
      <c r="Y857" s="14">
        <f>Operations!Y856-Inputs!$F$60</f>
        <v/>
      </c>
      <c r="Z857" s="14">
        <f>Operations!Z856-Inputs!$F$60</f>
        <v/>
      </c>
      <c r="AA857" s="14">
        <f>Operations!AA856-Inputs!$F$60</f>
        <v/>
      </c>
      <c r="AB857" s="14">
        <f>Operations!AB856-Inputs!$F$60</f>
        <v/>
      </c>
      <c r="AC857" s="14">
        <f>Operations!AC856-Inputs!$F$60</f>
        <v/>
      </c>
      <c r="AD857" s="14">
        <f>Operations!AD856-Inputs!$F$60</f>
        <v/>
      </c>
      <c r="AE857" s="14">
        <f>Operations!AE856-Inputs!$F$60</f>
        <v/>
      </c>
      <c r="AF857" s="14">
        <f>Operations!AF856-Inputs!$F$60</f>
        <v/>
      </c>
      <c r="AG857" s="14">
        <f>Operations!AG856-Inputs!$F$60</f>
        <v/>
      </c>
      <c r="AH857" s="14">
        <f>Operations!AH856-Inputs!$F$60</f>
        <v/>
      </c>
      <c r="AI857" s="14">
        <f>Operations!AI856-Inputs!$F$60</f>
        <v/>
      </c>
      <c r="AJ857" s="14">
        <f>Operations!AJ856-Inputs!$F$60</f>
        <v/>
      </c>
      <c r="AK857" s="14">
        <f>Operations!AK856-Inputs!$F$60</f>
        <v/>
      </c>
      <c r="AL857" s="14">
        <f>Operations!AL856-Inputs!$F$60</f>
        <v/>
      </c>
      <c r="AM857" s="14">
        <f>Operations!AM856-Inputs!$F$60</f>
        <v/>
      </c>
      <c r="AN857" s="14">
        <f>Operations!AN856-Inputs!$F$60</f>
        <v/>
      </c>
      <c r="AO857" s="14">
        <f>Operations!AO856-Inputs!$F$60</f>
        <v/>
      </c>
      <c r="AP857" s="14">
        <f>Operations!AP856-Inputs!$F$60</f>
        <v/>
      </c>
      <c r="AQ857" s="14">
        <f>Operations!AQ856-Inputs!$F$60</f>
        <v/>
      </c>
      <c r="AR857" s="14">
        <f>Operations!AR856-Inputs!$F$60</f>
        <v/>
      </c>
      <c r="AS857" s="14">
        <f>Operations!AS856-Inputs!$F$60</f>
        <v/>
      </c>
      <c r="AT857" s="14">
        <f>Operations!AT856-Inputs!$F$60</f>
        <v/>
      </c>
      <c r="AU857" s="14">
        <f>Operations!AU856-Inputs!$F$60</f>
        <v/>
      </c>
    </row>
    <row r="858">
      <c r="D858" t="inlineStr">
        <is>
          <t>R2 realized node price</t>
        </is>
      </c>
      <c r="E858" t="inlineStr">
        <is>
          <t>USD/MWh</t>
        </is>
      </c>
      <c r="J858" s="18">
        <f>Operations!J850*Operations!J857</f>
        <v/>
      </c>
      <c r="K858" s="18">
        <f>Operations!K850*Operations!K857</f>
        <v/>
      </c>
      <c r="L858" s="18">
        <f>Operations!L850*Operations!L857</f>
        <v/>
      </c>
      <c r="M858" s="18">
        <f>Operations!M850*Operations!M857</f>
        <v/>
      </c>
      <c r="N858" s="18">
        <f>Operations!N850*Operations!N857</f>
        <v/>
      </c>
      <c r="O858" s="18">
        <f>Operations!O850*Operations!O857</f>
        <v/>
      </c>
      <c r="P858" s="18">
        <f>Operations!P850*Operations!P857</f>
        <v/>
      </c>
      <c r="Q858" s="18">
        <f>Operations!Q850*Operations!Q857</f>
        <v/>
      </c>
      <c r="R858" s="18">
        <f>Operations!R850*Operations!R857</f>
        <v/>
      </c>
      <c r="S858" s="18">
        <f>Operations!S850*Operations!S857</f>
        <v/>
      </c>
      <c r="T858" s="18">
        <f>Operations!T850*Operations!T857</f>
        <v/>
      </c>
      <c r="U858" s="18">
        <f>Operations!U850*Operations!U857</f>
        <v/>
      </c>
      <c r="V858" s="18">
        <f>Operations!V850*Operations!V857</f>
        <v/>
      </c>
      <c r="W858" s="18">
        <f>Operations!W850*Operations!W857</f>
        <v/>
      </c>
      <c r="X858" s="18">
        <f>Operations!X850*Operations!X857</f>
        <v/>
      </c>
      <c r="Y858" s="18">
        <f>Operations!Y850*Operations!Y857</f>
        <v/>
      </c>
      <c r="Z858" s="18">
        <f>Operations!Z850*Operations!Z857</f>
        <v/>
      </c>
      <c r="AA858" s="18">
        <f>Operations!AA850*Operations!AA857</f>
        <v/>
      </c>
      <c r="AB858" s="18">
        <f>Operations!AB850*Operations!AB857</f>
        <v/>
      </c>
      <c r="AC858" s="18">
        <f>Operations!AC850*Operations!AC857</f>
        <v/>
      </c>
      <c r="AD858" s="18">
        <f>Operations!AD850*Operations!AD857</f>
        <v/>
      </c>
      <c r="AE858" s="18">
        <f>Operations!AE850*Operations!AE857</f>
        <v/>
      </c>
      <c r="AF858" s="18">
        <f>Operations!AF850*Operations!AF857</f>
        <v/>
      </c>
      <c r="AG858" s="18">
        <f>Operations!AG850*Operations!AG857</f>
        <v/>
      </c>
      <c r="AH858" s="18">
        <f>Operations!AH850*Operations!AH857</f>
        <v/>
      </c>
      <c r="AI858" s="18">
        <f>Operations!AI850*Operations!AI857</f>
        <v/>
      </c>
      <c r="AJ858" s="18">
        <f>Operations!AJ850*Operations!AJ857</f>
        <v/>
      </c>
      <c r="AK858" s="18">
        <f>Operations!AK850*Operations!AK857</f>
        <v/>
      </c>
      <c r="AL858" s="18">
        <f>Operations!AL850*Operations!AL857</f>
        <v/>
      </c>
      <c r="AM858" s="18">
        <f>Operations!AM850*Operations!AM857</f>
        <v/>
      </c>
      <c r="AN858" s="18">
        <f>Operations!AN850*Operations!AN857</f>
        <v/>
      </c>
      <c r="AO858" s="18">
        <f>Operations!AO850*Operations!AO857</f>
        <v/>
      </c>
      <c r="AP858" s="18">
        <f>Operations!AP850*Operations!AP857</f>
        <v/>
      </c>
      <c r="AQ858" s="18">
        <f>Operations!AQ850*Operations!AQ857</f>
        <v/>
      </c>
      <c r="AR858" s="18">
        <f>Operations!AR850*Operations!AR857</f>
        <v/>
      </c>
      <c r="AS858" s="18">
        <f>Operations!AS850*Operations!AS857</f>
        <v/>
      </c>
      <c r="AT858" s="18">
        <f>Operations!AT850*Operations!AT857</f>
        <v/>
      </c>
      <c r="AU858" s="18">
        <f>Operations!AU850*Operations!AU857</f>
        <v/>
      </c>
    </row>
    <row r="859">
      <c r="D859" t="inlineStr">
        <is>
          <t>R2 PPA term fraction</t>
        </is>
      </c>
      <c r="E859" t="inlineStr">
        <is>
          <t>fraction</t>
        </is>
      </c>
      <c r="J859" s="14">
        <f>MAX(0,MIN(Inputs!$F$196,Time!J$6)-MAX(Inputs!$F$100,Time!J$5))/Time!J$7</f>
        <v/>
      </c>
      <c r="K859" s="14">
        <f>MAX(0,MIN(Inputs!$F$196,Time!K$6)-MAX(Inputs!$F$100,Time!K$5))/Time!K$7</f>
        <v/>
      </c>
      <c r="L859" s="14">
        <f>MAX(0,MIN(Inputs!$F$196,Time!L$6)-MAX(Inputs!$F$100,Time!L$5))/Time!L$7</f>
        <v/>
      </c>
      <c r="M859" s="14">
        <f>MAX(0,MIN(Inputs!$F$196,Time!M$6)-MAX(Inputs!$F$100,Time!M$5))/Time!M$7</f>
        <v/>
      </c>
      <c r="N859" s="14">
        <f>MAX(0,MIN(Inputs!$F$196,Time!N$6)-MAX(Inputs!$F$100,Time!N$5))/Time!N$7</f>
        <v/>
      </c>
      <c r="O859" s="14">
        <f>MAX(0,MIN(Inputs!$F$196,Time!O$6)-MAX(Inputs!$F$100,Time!O$5))/Time!O$7</f>
        <v/>
      </c>
      <c r="P859" s="14">
        <f>MAX(0,MIN(Inputs!$F$196,Time!P$6)-MAX(Inputs!$F$100,Time!P$5))/Time!P$7</f>
        <v/>
      </c>
      <c r="Q859" s="14">
        <f>MAX(0,MIN(Inputs!$F$196,Time!Q$6)-MAX(Inputs!$F$100,Time!Q$5))/Time!Q$7</f>
        <v/>
      </c>
      <c r="R859" s="14">
        <f>MAX(0,MIN(Inputs!$F$196,Time!R$6)-MAX(Inputs!$F$100,Time!R$5))/Time!R$7</f>
        <v/>
      </c>
      <c r="S859" s="14">
        <f>MAX(0,MIN(Inputs!$F$196,Time!S$6)-MAX(Inputs!$F$100,Time!S$5))/Time!S$7</f>
        <v/>
      </c>
      <c r="T859" s="14">
        <f>MAX(0,MIN(Inputs!$F$196,Time!T$6)-MAX(Inputs!$F$100,Time!T$5))/Time!T$7</f>
        <v/>
      </c>
      <c r="U859" s="14">
        <f>MAX(0,MIN(Inputs!$F$196,Time!U$6)-MAX(Inputs!$F$100,Time!U$5))/Time!U$7</f>
        <v/>
      </c>
      <c r="V859" s="14">
        <f>MAX(0,MIN(Inputs!$F$196,Time!V$6)-MAX(Inputs!$F$100,Time!V$5))/Time!V$7</f>
        <v/>
      </c>
      <c r="W859" s="14">
        <f>MAX(0,MIN(Inputs!$F$196,Time!W$6)-MAX(Inputs!$F$100,Time!W$5))/Time!W$7</f>
        <v/>
      </c>
      <c r="X859" s="14">
        <f>MAX(0,MIN(Inputs!$F$196,Time!X$6)-MAX(Inputs!$F$100,Time!X$5))/Time!X$7</f>
        <v/>
      </c>
      <c r="Y859" s="14">
        <f>MAX(0,MIN(Inputs!$F$196,Time!Y$6)-MAX(Inputs!$F$100,Time!Y$5))/Time!Y$7</f>
        <v/>
      </c>
      <c r="Z859" s="14">
        <f>MAX(0,MIN(Inputs!$F$196,Time!Z$6)-MAX(Inputs!$F$100,Time!Z$5))/Time!Z$7</f>
        <v/>
      </c>
      <c r="AA859" s="14">
        <f>MAX(0,MIN(Inputs!$F$196,Time!AA$6)-MAX(Inputs!$F$100,Time!AA$5))/Time!AA$7</f>
        <v/>
      </c>
      <c r="AB859" s="14">
        <f>MAX(0,MIN(Inputs!$F$196,Time!AB$6)-MAX(Inputs!$F$100,Time!AB$5))/Time!AB$7</f>
        <v/>
      </c>
      <c r="AC859" s="14">
        <f>MAX(0,MIN(Inputs!$F$196,Time!AC$6)-MAX(Inputs!$F$100,Time!AC$5))/Time!AC$7</f>
        <v/>
      </c>
      <c r="AD859" s="14">
        <f>MAX(0,MIN(Inputs!$F$196,Time!AD$6)-MAX(Inputs!$F$100,Time!AD$5))/Time!AD$7</f>
        <v/>
      </c>
      <c r="AE859" s="14">
        <f>MAX(0,MIN(Inputs!$F$196,Time!AE$6)-MAX(Inputs!$F$100,Time!AE$5))/Time!AE$7</f>
        <v/>
      </c>
      <c r="AF859" s="14">
        <f>MAX(0,MIN(Inputs!$F$196,Time!AF$6)-MAX(Inputs!$F$100,Time!AF$5))/Time!AF$7</f>
        <v/>
      </c>
      <c r="AG859" s="14">
        <f>MAX(0,MIN(Inputs!$F$196,Time!AG$6)-MAX(Inputs!$F$100,Time!AG$5))/Time!AG$7</f>
        <v/>
      </c>
      <c r="AH859" s="14">
        <f>MAX(0,MIN(Inputs!$F$196,Time!AH$6)-MAX(Inputs!$F$100,Time!AH$5))/Time!AH$7</f>
        <v/>
      </c>
      <c r="AI859" s="14">
        <f>MAX(0,MIN(Inputs!$F$196,Time!AI$6)-MAX(Inputs!$F$100,Time!AI$5))/Time!AI$7</f>
        <v/>
      </c>
      <c r="AJ859" s="14">
        <f>MAX(0,MIN(Inputs!$F$196,Time!AJ$6)-MAX(Inputs!$F$100,Time!AJ$5))/Time!AJ$7</f>
        <v/>
      </c>
      <c r="AK859" s="14">
        <f>MAX(0,MIN(Inputs!$F$196,Time!AK$6)-MAX(Inputs!$F$100,Time!AK$5))/Time!AK$7</f>
        <v/>
      </c>
      <c r="AL859" s="14">
        <f>MAX(0,MIN(Inputs!$F$196,Time!AL$6)-MAX(Inputs!$F$100,Time!AL$5))/Time!AL$7</f>
        <v/>
      </c>
      <c r="AM859" s="14">
        <f>MAX(0,MIN(Inputs!$F$196,Time!AM$6)-MAX(Inputs!$F$100,Time!AM$5))/Time!AM$7</f>
        <v/>
      </c>
      <c r="AN859" s="14">
        <f>MAX(0,MIN(Inputs!$F$196,Time!AN$6)-MAX(Inputs!$F$100,Time!AN$5))/Time!AN$7</f>
        <v/>
      </c>
      <c r="AO859" s="14">
        <f>MAX(0,MIN(Inputs!$F$196,Time!AO$6)-MAX(Inputs!$F$100,Time!AO$5))/Time!AO$7</f>
        <v/>
      </c>
      <c r="AP859" s="14">
        <f>MAX(0,MIN(Inputs!$F$196,Time!AP$6)-MAX(Inputs!$F$100,Time!AP$5))/Time!AP$7</f>
        <v/>
      </c>
      <c r="AQ859" s="14">
        <f>MAX(0,MIN(Inputs!$F$196,Time!AQ$6)-MAX(Inputs!$F$100,Time!AQ$5))/Time!AQ$7</f>
        <v/>
      </c>
      <c r="AR859" s="14">
        <f>MAX(0,MIN(Inputs!$F$196,Time!AR$6)-MAX(Inputs!$F$100,Time!AR$5))/Time!AR$7</f>
        <v/>
      </c>
      <c r="AS859" s="14">
        <f>MAX(0,MIN(Inputs!$F$196,Time!AS$6)-MAX(Inputs!$F$100,Time!AS$5))/Time!AS$7</f>
        <v/>
      </c>
      <c r="AT859" s="14">
        <f>MAX(0,MIN(Inputs!$F$196,Time!AT$6)-MAX(Inputs!$F$100,Time!AT$5))/Time!AT$7</f>
        <v/>
      </c>
      <c r="AU859" s="14">
        <f>MAX(0,MIN(Inputs!$F$196,Time!AU$6)-MAX(Inputs!$F$100,Time!AU$5))/Time!AU$7</f>
        <v/>
      </c>
    </row>
    <row r="860">
      <c r="D860" t="inlineStr">
        <is>
          <t>R2 PPA volume (as generated)</t>
        </is>
      </c>
      <c r="E860" t="inlineStr">
        <is>
          <t>GWh</t>
        </is>
      </c>
      <c r="J860" s="20">
        <f>Operations!J854*Operations!J859</f>
        <v/>
      </c>
      <c r="K860" s="20">
        <f>Operations!K854*Operations!K859</f>
        <v/>
      </c>
      <c r="L860" s="20">
        <f>Operations!L854*Operations!L859</f>
        <v/>
      </c>
      <c r="M860" s="20">
        <f>Operations!M854*Operations!M859</f>
        <v/>
      </c>
      <c r="N860" s="20">
        <f>Operations!N854*Operations!N859</f>
        <v/>
      </c>
      <c r="O860" s="20">
        <f>Operations!O854*Operations!O859</f>
        <v/>
      </c>
      <c r="P860" s="20">
        <f>Operations!P854*Operations!P859</f>
        <v/>
      </c>
      <c r="Q860" s="20">
        <f>Operations!Q854*Operations!Q859</f>
        <v/>
      </c>
      <c r="R860" s="20">
        <f>Operations!R854*Operations!R859</f>
        <v/>
      </c>
      <c r="S860" s="20">
        <f>Operations!S854*Operations!S859</f>
        <v/>
      </c>
      <c r="T860" s="20">
        <f>Operations!T854*Operations!T859</f>
        <v/>
      </c>
      <c r="U860" s="20">
        <f>Operations!U854*Operations!U859</f>
        <v/>
      </c>
      <c r="V860" s="20">
        <f>Operations!V854*Operations!V859</f>
        <v/>
      </c>
      <c r="W860" s="20">
        <f>Operations!W854*Operations!W859</f>
        <v/>
      </c>
      <c r="X860" s="20">
        <f>Operations!X854*Operations!X859</f>
        <v/>
      </c>
      <c r="Y860" s="20">
        <f>Operations!Y854*Operations!Y859</f>
        <v/>
      </c>
      <c r="Z860" s="20">
        <f>Operations!Z854*Operations!Z859</f>
        <v/>
      </c>
      <c r="AA860" s="20">
        <f>Operations!AA854*Operations!AA859</f>
        <v/>
      </c>
      <c r="AB860" s="20">
        <f>Operations!AB854*Operations!AB859</f>
        <v/>
      </c>
      <c r="AC860" s="20">
        <f>Operations!AC854*Operations!AC859</f>
        <v/>
      </c>
      <c r="AD860" s="20">
        <f>Operations!AD854*Operations!AD859</f>
        <v/>
      </c>
      <c r="AE860" s="20">
        <f>Operations!AE854*Operations!AE859</f>
        <v/>
      </c>
      <c r="AF860" s="20">
        <f>Operations!AF854*Operations!AF859</f>
        <v/>
      </c>
      <c r="AG860" s="20">
        <f>Operations!AG854*Operations!AG859</f>
        <v/>
      </c>
      <c r="AH860" s="20">
        <f>Operations!AH854*Operations!AH859</f>
        <v/>
      </c>
      <c r="AI860" s="20">
        <f>Operations!AI854*Operations!AI859</f>
        <v/>
      </c>
      <c r="AJ860" s="20">
        <f>Operations!AJ854*Operations!AJ859</f>
        <v/>
      </c>
      <c r="AK860" s="20">
        <f>Operations!AK854*Operations!AK859</f>
        <v/>
      </c>
      <c r="AL860" s="20">
        <f>Operations!AL854*Operations!AL859</f>
        <v/>
      </c>
      <c r="AM860" s="20">
        <f>Operations!AM854*Operations!AM859</f>
        <v/>
      </c>
      <c r="AN860" s="20">
        <f>Operations!AN854*Operations!AN859</f>
        <v/>
      </c>
      <c r="AO860" s="20">
        <f>Operations!AO854*Operations!AO859</f>
        <v/>
      </c>
      <c r="AP860" s="20">
        <f>Operations!AP854*Operations!AP859</f>
        <v/>
      </c>
      <c r="AQ860" s="20">
        <f>Operations!AQ854*Operations!AQ859</f>
        <v/>
      </c>
      <c r="AR860" s="20">
        <f>Operations!AR854*Operations!AR859</f>
        <v/>
      </c>
      <c r="AS860" s="20">
        <f>Operations!AS854*Operations!AS859</f>
        <v/>
      </c>
      <c r="AT860" s="20">
        <f>Operations!AT854*Operations!AT859</f>
        <v/>
      </c>
      <c r="AU860" s="20">
        <f>Operations!AU854*Operations!AU859</f>
        <v/>
      </c>
    </row>
    <row r="861">
      <c r="D861" t="inlineStr">
        <is>
          <t>R2 PPA revenue</t>
        </is>
      </c>
      <c r="E861" t="inlineStr">
        <is>
          <t>USD m</t>
        </is>
      </c>
      <c r="G861" s="20">
        <f>SUM(J861:AU861)</f>
        <v/>
      </c>
      <c r="J861" s="20">
        <f>Operations!J860*Inputs!$F$195/1000</f>
        <v/>
      </c>
      <c r="K861" s="20">
        <f>Operations!K860*Inputs!$F$195/1000</f>
        <v/>
      </c>
      <c r="L861" s="20">
        <f>Operations!L860*Inputs!$F$195/1000</f>
        <v/>
      </c>
      <c r="M861" s="20">
        <f>Operations!M860*Inputs!$F$195/1000</f>
        <v/>
      </c>
      <c r="N861" s="20">
        <f>Operations!N860*Inputs!$F$195/1000</f>
        <v/>
      </c>
      <c r="O861" s="20">
        <f>Operations!O860*Inputs!$F$195/1000</f>
        <v/>
      </c>
      <c r="P861" s="20">
        <f>Operations!P860*Inputs!$F$195/1000</f>
        <v/>
      </c>
      <c r="Q861" s="20">
        <f>Operations!Q860*Inputs!$F$195/1000</f>
        <v/>
      </c>
      <c r="R861" s="20">
        <f>Operations!R860*Inputs!$F$195/1000</f>
        <v/>
      </c>
      <c r="S861" s="20">
        <f>Operations!S860*Inputs!$F$195/1000</f>
        <v/>
      </c>
      <c r="T861" s="20">
        <f>Operations!T860*Inputs!$F$195/1000</f>
        <v/>
      </c>
      <c r="U861" s="20">
        <f>Operations!U860*Inputs!$F$195/1000</f>
        <v/>
      </c>
      <c r="V861" s="20">
        <f>Operations!V860*Inputs!$F$195/1000</f>
        <v/>
      </c>
      <c r="W861" s="20">
        <f>Operations!W860*Inputs!$F$195/1000</f>
        <v/>
      </c>
      <c r="X861" s="20">
        <f>Operations!X860*Inputs!$F$195/1000</f>
        <v/>
      </c>
      <c r="Y861" s="20">
        <f>Operations!Y860*Inputs!$F$195/1000</f>
        <v/>
      </c>
      <c r="Z861" s="20">
        <f>Operations!Z860*Inputs!$F$195/1000</f>
        <v/>
      </c>
      <c r="AA861" s="20">
        <f>Operations!AA860*Inputs!$F$195/1000</f>
        <v/>
      </c>
      <c r="AB861" s="20">
        <f>Operations!AB860*Inputs!$F$195/1000</f>
        <v/>
      </c>
      <c r="AC861" s="20">
        <f>Operations!AC860*Inputs!$F$195/1000</f>
        <v/>
      </c>
      <c r="AD861" s="20">
        <f>Operations!AD860*Inputs!$F$195/1000</f>
        <v/>
      </c>
      <c r="AE861" s="20">
        <f>Operations!AE860*Inputs!$F$195/1000</f>
        <v/>
      </c>
      <c r="AF861" s="20">
        <f>Operations!AF860*Inputs!$F$195/1000</f>
        <v/>
      </c>
      <c r="AG861" s="20">
        <f>Operations!AG860*Inputs!$F$195/1000</f>
        <v/>
      </c>
      <c r="AH861" s="20">
        <f>Operations!AH860*Inputs!$F$195/1000</f>
        <v/>
      </c>
      <c r="AI861" s="20">
        <f>Operations!AI860*Inputs!$F$195/1000</f>
        <v/>
      </c>
      <c r="AJ861" s="20">
        <f>Operations!AJ860*Inputs!$F$195/1000</f>
        <v/>
      </c>
      <c r="AK861" s="20">
        <f>Operations!AK860*Inputs!$F$195/1000</f>
        <v/>
      </c>
      <c r="AL861" s="20">
        <f>Operations!AL860*Inputs!$F$195/1000</f>
        <v/>
      </c>
      <c r="AM861" s="20">
        <f>Operations!AM860*Inputs!$F$195/1000</f>
        <v/>
      </c>
      <c r="AN861" s="20">
        <f>Operations!AN860*Inputs!$F$195/1000</f>
        <v/>
      </c>
      <c r="AO861" s="20">
        <f>Operations!AO860*Inputs!$F$195/1000</f>
        <v/>
      </c>
      <c r="AP861" s="20">
        <f>Operations!AP860*Inputs!$F$195/1000</f>
        <v/>
      </c>
      <c r="AQ861" s="20">
        <f>Operations!AQ860*Inputs!$F$195/1000</f>
        <v/>
      </c>
      <c r="AR861" s="20">
        <f>Operations!AR860*Inputs!$F$195/1000</f>
        <v/>
      </c>
      <c r="AS861" s="20">
        <f>Operations!AS860*Inputs!$F$195/1000</f>
        <v/>
      </c>
      <c r="AT861" s="20">
        <f>Operations!AT860*Inputs!$F$195/1000</f>
        <v/>
      </c>
      <c r="AU861" s="20">
        <f>Operations!AU860*Inputs!$F$195/1000</f>
        <v/>
      </c>
    </row>
    <row r="862">
      <c r="D862" t="inlineStr">
        <is>
          <t>R2 generation sold at node</t>
        </is>
      </c>
      <c r="E862" t="inlineStr">
        <is>
          <t>GWh</t>
        </is>
      </c>
      <c r="J862" s="20">
        <f>Operations!J855-Operations!J860</f>
        <v/>
      </c>
      <c r="K862" s="20">
        <f>Operations!K855-Operations!K860</f>
        <v/>
      </c>
      <c r="L862" s="20">
        <f>Operations!L855-Operations!L860</f>
        <v/>
      </c>
      <c r="M862" s="20">
        <f>Operations!M855-Operations!M860</f>
        <v/>
      </c>
      <c r="N862" s="20">
        <f>Operations!N855-Operations!N860</f>
        <v/>
      </c>
      <c r="O862" s="20">
        <f>Operations!O855-Operations!O860</f>
        <v/>
      </c>
      <c r="P862" s="20">
        <f>Operations!P855-Operations!P860</f>
        <v/>
      </c>
      <c r="Q862" s="20">
        <f>Operations!Q855-Operations!Q860</f>
        <v/>
      </c>
      <c r="R862" s="20">
        <f>Operations!R855-Operations!R860</f>
        <v/>
      </c>
      <c r="S862" s="20">
        <f>Operations!S855-Operations!S860</f>
        <v/>
      </c>
      <c r="T862" s="20">
        <f>Operations!T855-Operations!T860</f>
        <v/>
      </c>
      <c r="U862" s="20">
        <f>Operations!U855-Operations!U860</f>
        <v/>
      </c>
      <c r="V862" s="20">
        <f>Operations!V855-Operations!V860</f>
        <v/>
      </c>
      <c r="W862" s="20">
        <f>Operations!W855-Operations!W860</f>
        <v/>
      </c>
      <c r="X862" s="20">
        <f>Operations!X855-Operations!X860</f>
        <v/>
      </c>
      <c r="Y862" s="20">
        <f>Operations!Y855-Operations!Y860</f>
        <v/>
      </c>
      <c r="Z862" s="20">
        <f>Operations!Z855-Operations!Z860</f>
        <v/>
      </c>
      <c r="AA862" s="20">
        <f>Operations!AA855-Operations!AA860</f>
        <v/>
      </c>
      <c r="AB862" s="20">
        <f>Operations!AB855-Operations!AB860</f>
        <v/>
      </c>
      <c r="AC862" s="20">
        <f>Operations!AC855-Operations!AC860</f>
        <v/>
      </c>
      <c r="AD862" s="20">
        <f>Operations!AD855-Operations!AD860</f>
        <v/>
      </c>
      <c r="AE862" s="20">
        <f>Operations!AE855-Operations!AE860</f>
        <v/>
      </c>
      <c r="AF862" s="20">
        <f>Operations!AF855-Operations!AF860</f>
        <v/>
      </c>
      <c r="AG862" s="20">
        <f>Operations!AG855-Operations!AG860</f>
        <v/>
      </c>
      <c r="AH862" s="20">
        <f>Operations!AH855-Operations!AH860</f>
        <v/>
      </c>
      <c r="AI862" s="20">
        <f>Operations!AI855-Operations!AI860</f>
        <v/>
      </c>
      <c r="AJ862" s="20">
        <f>Operations!AJ855-Operations!AJ860</f>
        <v/>
      </c>
      <c r="AK862" s="20">
        <f>Operations!AK855-Operations!AK860</f>
        <v/>
      </c>
      <c r="AL862" s="20">
        <f>Operations!AL855-Operations!AL860</f>
        <v/>
      </c>
      <c r="AM862" s="20">
        <f>Operations!AM855-Operations!AM860</f>
        <v/>
      </c>
      <c r="AN862" s="20">
        <f>Operations!AN855-Operations!AN860</f>
        <v/>
      </c>
      <c r="AO862" s="20">
        <f>Operations!AO855-Operations!AO860</f>
        <v/>
      </c>
      <c r="AP862" s="20">
        <f>Operations!AP855-Operations!AP860</f>
        <v/>
      </c>
      <c r="AQ862" s="20">
        <f>Operations!AQ855-Operations!AQ860</f>
        <v/>
      </c>
      <c r="AR862" s="20">
        <f>Operations!AR855-Operations!AR860</f>
        <v/>
      </c>
      <c r="AS862" s="20">
        <f>Operations!AS855-Operations!AS860</f>
        <v/>
      </c>
      <c r="AT862" s="20">
        <f>Operations!AT855-Operations!AT860</f>
        <v/>
      </c>
      <c r="AU862" s="20">
        <f>Operations!AU855-Operations!AU860</f>
        <v/>
      </c>
    </row>
    <row r="863">
      <c r="D863" t="inlineStr">
        <is>
          <t>R2 contracted revenue</t>
        </is>
      </c>
      <c r="E863" t="inlineStr">
        <is>
          <t>USD m</t>
        </is>
      </c>
      <c r="J863" s="20">
        <f>Operations!J861</f>
        <v/>
      </c>
      <c r="K863" s="20">
        <f>Operations!K861</f>
        <v/>
      </c>
      <c r="L863" s="20">
        <f>Operations!L861</f>
        <v/>
      </c>
      <c r="M863" s="20">
        <f>Operations!M861</f>
        <v/>
      </c>
      <c r="N863" s="20">
        <f>Operations!N861</f>
        <v/>
      </c>
      <c r="O863" s="20">
        <f>Operations!O861</f>
        <v/>
      </c>
      <c r="P863" s="20">
        <f>Operations!P861</f>
        <v/>
      </c>
      <c r="Q863" s="20">
        <f>Operations!Q861</f>
        <v/>
      </c>
      <c r="R863" s="20">
        <f>Operations!R861</f>
        <v/>
      </c>
      <c r="S863" s="20">
        <f>Operations!S861</f>
        <v/>
      </c>
      <c r="T863" s="20">
        <f>Operations!T861</f>
        <v/>
      </c>
      <c r="U863" s="20">
        <f>Operations!U861</f>
        <v/>
      </c>
      <c r="V863" s="20">
        <f>Operations!V861</f>
        <v/>
      </c>
      <c r="W863" s="20">
        <f>Operations!W861</f>
        <v/>
      </c>
      <c r="X863" s="20">
        <f>Operations!X861</f>
        <v/>
      </c>
      <c r="Y863" s="20">
        <f>Operations!Y861</f>
        <v/>
      </c>
      <c r="Z863" s="20">
        <f>Operations!Z861</f>
        <v/>
      </c>
      <c r="AA863" s="20">
        <f>Operations!AA861</f>
        <v/>
      </c>
      <c r="AB863" s="20">
        <f>Operations!AB861</f>
        <v/>
      </c>
      <c r="AC863" s="20">
        <f>Operations!AC861</f>
        <v/>
      </c>
      <c r="AD863" s="20">
        <f>Operations!AD861</f>
        <v/>
      </c>
      <c r="AE863" s="20">
        <f>Operations!AE861</f>
        <v/>
      </c>
      <c r="AF863" s="20">
        <f>Operations!AF861</f>
        <v/>
      </c>
      <c r="AG863" s="20">
        <f>Operations!AG861</f>
        <v/>
      </c>
      <c r="AH863" s="20">
        <f>Operations!AH861</f>
        <v/>
      </c>
      <c r="AI863" s="20">
        <f>Operations!AI861</f>
        <v/>
      </c>
      <c r="AJ863" s="20">
        <f>Operations!AJ861</f>
        <v/>
      </c>
      <c r="AK863" s="20">
        <f>Operations!AK861</f>
        <v/>
      </c>
      <c r="AL863" s="20">
        <f>Operations!AL861</f>
        <v/>
      </c>
      <c r="AM863" s="20">
        <f>Operations!AM861</f>
        <v/>
      </c>
      <c r="AN863" s="20">
        <f>Operations!AN861</f>
        <v/>
      </c>
      <c r="AO863" s="20">
        <f>Operations!AO861</f>
        <v/>
      </c>
      <c r="AP863" s="20">
        <f>Operations!AP861</f>
        <v/>
      </c>
      <c r="AQ863" s="20">
        <f>Operations!AQ861</f>
        <v/>
      </c>
      <c r="AR863" s="20">
        <f>Operations!AR861</f>
        <v/>
      </c>
      <c r="AS863" s="20">
        <f>Operations!AS861</f>
        <v/>
      </c>
      <c r="AT863" s="20">
        <f>Operations!AT861</f>
        <v/>
      </c>
      <c r="AU863" s="20">
        <f>Operations!AU861</f>
        <v/>
      </c>
    </row>
    <row r="864">
      <c r="D864" t="inlineStr">
        <is>
          <t>R2 hedged revenue</t>
        </is>
      </c>
      <c r="E864" t="inlineStr">
        <is>
          <t>USD m</t>
        </is>
      </c>
      <c r="J864" s="20">
        <f>0</f>
        <v/>
      </c>
      <c r="K864" s="20">
        <f>0</f>
        <v/>
      </c>
      <c r="L864" s="20">
        <f>0</f>
        <v/>
      </c>
      <c r="M864" s="20">
        <f>0</f>
        <v/>
      </c>
      <c r="N864" s="20">
        <f>0</f>
        <v/>
      </c>
      <c r="O864" s="20">
        <f>0</f>
        <v/>
      </c>
      <c r="P864" s="20">
        <f>0</f>
        <v/>
      </c>
      <c r="Q864" s="20">
        <f>0</f>
        <v/>
      </c>
      <c r="R864" s="20">
        <f>0</f>
        <v/>
      </c>
      <c r="S864" s="20">
        <f>0</f>
        <v/>
      </c>
      <c r="T864" s="20">
        <f>0</f>
        <v/>
      </c>
      <c r="U864" s="20">
        <f>0</f>
        <v/>
      </c>
      <c r="V864" s="20">
        <f>0</f>
        <v/>
      </c>
      <c r="W864" s="20">
        <f>0</f>
        <v/>
      </c>
      <c r="X864" s="20">
        <f>0</f>
        <v/>
      </c>
      <c r="Y864" s="20">
        <f>0</f>
        <v/>
      </c>
      <c r="Z864" s="20">
        <f>0</f>
        <v/>
      </c>
      <c r="AA864" s="20">
        <f>0</f>
        <v/>
      </c>
      <c r="AB864" s="20">
        <f>0</f>
        <v/>
      </c>
      <c r="AC864" s="20">
        <f>0</f>
        <v/>
      </c>
      <c r="AD864" s="20">
        <f>0</f>
        <v/>
      </c>
      <c r="AE864" s="20">
        <f>0</f>
        <v/>
      </c>
      <c r="AF864" s="20">
        <f>0</f>
        <v/>
      </c>
      <c r="AG864" s="20">
        <f>0</f>
        <v/>
      </c>
      <c r="AH864" s="20">
        <f>0</f>
        <v/>
      </c>
      <c r="AI864" s="20">
        <f>0</f>
        <v/>
      </c>
      <c r="AJ864" s="20">
        <f>0</f>
        <v/>
      </c>
      <c r="AK864" s="20">
        <f>0</f>
        <v/>
      </c>
      <c r="AL864" s="20">
        <f>0</f>
        <v/>
      </c>
      <c r="AM864" s="20">
        <f>0</f>
        <v/>
      </c>
      <c r="AN864" s="20">
        <f>0</f>
        <v/>
      </c>
      <c r="AO864" s="20">
        <f>0</f>
        <v/>
      </c>
      <c r="AP864" s="20">
        <f>0</f>
        <v/>
      </c>
      <c r="AQ864" s="20">
        <f>0</f>
        <v/>
      </c>
      <c r="AR864" s="20">
        <f>0</f>
        <v/>
      </c>
      <c r="AS864" s="20">
        <f>0</f>
        <v/>
      </c>
      <c r="AT864" s="20">
        <f>0</f>
        <v/>
      </c>
      <c r="AU864" s="20">
        <f>0</f>
        <v/>
      </c>
    </row>
    <row r="865">
      <c r="D865" t="inlineStr">
        <is>
          <t>R2 market revenue at node</t>
        </is>
      </c>
      <c r="E865" t="inlineStr">
        <is>
          <t>USD m</t>
        </is>
      </c>
      <c r="G865" s="20">
        <f>SUM(J865:AU865)</f>
        <v/>
      </c>
      <c r="J865" s="20">
        <f>Operations!J862*Operations!J858/1000</f>
        <v/>
      </c>
      <c r="K865" s="20">
        <f>Operations!K862*Operations!K858/1000</f>
        <v/>
      </c>
      <c r="L865" s="20">
        <f>Operations!L862*Operations!L858/1000</f>
        <v/>
      </c>
      <c r="M865" s="20">
        <f>Operations!M862*Operations!M858/1000</f>
        <v/>
      </c>
      <c r="N865" s="20">
        <f>Operations!N862*Operations!N858/1000</f>
        <v/>
      </c>
      <c r="O865" s="20">
        <f>Operations!O862*Operations!O858/1000</f>
        <v/>
      </c>
      <c r="P865" s="20">
        <f>Operations!P862*Operations!P858/1000</f>
        <v/>
      </c>
      <c r="Q865" s="20">
        <f>Operations!Q862*Operations!Q858/1000</f>
        <v/>
      </c>
      <c r="R865" s="20">
        <f>Operations!R862*Operations!R858/1000</f>
        <v/>
      </c>
      <c r="S865" s="20">
        <f>Operations!S862*Operations!S858/1000</f>
        <v/>
      </c>
      <c r="T865" s="20">
        <f>Operations!T862*Operations!T858/1000</f>
        <v/>
      </c>
      <c r="U865" s="20">
        <f>Operations!U862*Operations!U858/1000</f>
        <v/>
      </c>
      <c r="V865" s="20">
        <f>Operations!V862*Operations!V858/1000</f>
        <v/>
      </c>
      <c r="W865" s="20">
        <f>Operations!W862*Operations!W858/1000</f>
        <v/>
      </c>
      <c r="X865" s="20">
        <f>Operations!X862*Operations!X858/1000</f>
        <v/>
      </c>
      <c r="Y865" s="20">
        <f>Operations!Y862*Operations!Y858/1000</f>
        <v/>
      </c>
      <c r="Z865" s="20">
        <f>Operations!Z862*Operations!Z858/1000</f>
        <v/>
      </c>
      <c r="AA865" s="20">
        <f>Operations!AA862*Operations!AA858/1000</f>
        <v/>
      </c>
      <c r="AB865" s="20">
        <f>Operations!AB862*Operations!AB858/1000</f>
        <v/>
      </c>
      <c r="AC865" s="20">
        <f>Operations!AC862*Operations!AC858/1000</f>
        <v/>
      </c>
      <c r="AD865" s="20">
        <f>Operations!AD862*Operations!AD858/1000</f>
        <v/>
      </c>
      <c r="AE865" s="20">
        <f>Operations!AE862*Operations!AE858/1000</f>
        <v/>
      </c>
      <c r="AF865" s="20">
        <f>Operations!AF862*Operations!AF858/1000</f>
        <v/>
      </c>
      <c r="AG865" s="20">
        <f>Operations!AG862*Operations!AG858/1000</f>
        <v/>
      </c>
      <c r="AH865" s="20">
        <f>Operations!AH862*Operations!AH858/1000</f>
        <v/>
      </c>
      <c r="AI865" s="20">
        <f>Operations!AI862*Operations!AI858/1000</f>
        <v/>
      </c>
      <c r="AJ865" s="20">
        <f>Operations!AJ862*Operations!AJ858/1000</f>
        <v/>
      </c>
      <c r="AK865" s="20">
        <f>Operations!AK862*Operations!AK858/1000</f>
        <v/>
      </c>
      <c r="AL865" s="20">
        <f>Operations!AL862*Operations!AL858/1000</f>
        <v/>
      </c>
      <c r="AM865" s="20">
        <f>Operations!AM862*Operations!AM858/1000</f>
        <v/>
      </c>
      <c r="AN865" s="20">
        <f>Operations!AN862*Operations!AN858/1000</f>
        <v/>
      </c>
      <c r="AO865" s="20">
        <f>Operations!AO862*Operations!AO858/1000</f>
        <v/>
      </c>
      <c r="AP865" s="20">
        <f>Operations!AP862*Operations!AP858/1000</f>
        <v/>
      </c>
      <c r="AQ865" s="20">
        <f>Operations!AQ862*Operations!AQ858/1000</f>
        <v/>
      </c>
      <c r="AR865" s="20">
        <f>Operations!AR862*Operations!AR858/1000</f>
        <v/>
      </c>
      <c r="AS865" s="20">
        <f>Operations!AS862*Operations!AS858/1000</f>
        <v/>
      </c>
      <c r="AT865" s="20">
        <f>Operations!AT862*Operations!AT858/1000</f>
        <v/>
      </c>
      <c r="AU865" s="20">
        <f>Operations!AU862*Operations!AU858/1000</f>
        <v/>
      </c>
    </row>
    <row r="866">
      <c r="D866" t="inlineStr">
        <is>
          <t>R2 total revenue</t>
        </is>
      </c>
      <c r="E866" t="inlineStr">
        <is>
          <t>USD m</t>
        </is>
      </c>
      <c r="G866" s="20">
        <f>SUM(J866:AU866)</f>
        <v/>
      </c>
      <c r="J866" s="20">
        <f>Operations!J865+Operations!J861</f>
        <v/>
      </c>
      <c r="K866" s="20">
        <f>Operations!K865+Operations!K861</f>
        <v/>
      </c>
      <c r="L866" s="20">
        <f>Operations!L865+Operations!L861</f>
        <v/>
      </c>
      <c r="M866" s="20">
        <f>Operations!M865+Operations!M861</f>
        <v/>
      </c>
      <c r="N866" s="20">
        <f>Operations!N865+Operations!N861</f>
        <v/>
      </c>
      <c r="O866" s="20">
        <f>Operations!O865+Operations!O861</f>
        <v/>
      </c>
      <c r="P866" s="20">
        <f>Operations!P865+Operations!P861</f>
        <v/>
      </c>
      <c r="Q866" s="20">
        <f>Operations!Q865+Operations!Q861</f>
        <v/>
      </c>
      <c r="R866" s="20">
        <f>Operations!R865+Operations!R861</f>
        <v/>
      </c>
      <c r="S866" s="20">
        <f>Operations!S865+Operations!S861</f>
        <v/>
      </c>
      <c r="T866" s="20">
        <f>Operations!T865+Operations!T861</f>
        <v/>
      </c>
      <c r="U866" s="20">
        <f>Operations!U865+Operations!U861</f>
        <v/>
      </c>
      <c r="V866" s="20">
        <f>Operations!V865+Operations!V861</f>
        <v/>
      </c>
      <c r="W866" s="20">
        <f>Operations!W865+Operations!W861</f>
        <v/>
      </c>
      <c r="X866" s="20">
        <f>Operations!X865+Operations!X861</f>
        <v/>
      </c>
      <c r="Y866" s="20">
        <f>Operations!Y865+Operations!Y861</f>
        <v/>
      </c>
      <c r="Z866" s="20">
        <f>Operations!Z865+Operations!Z861</f>
        <v/>
      </c>
      <c r="AA866" s="20">
        <f>Operations!AA865+Operations!AA861</f>
        <v/>
      </c>
      <c r="AB866" s="20">
        <f>Operations!AB865+Operations!AB861</f>
        <v/>
      </c>
      <c r="AC866" s="20">
        <f>Operations!AC865+Operations!AC861</f>
        <v/>
      </c>
      <c r="AD866" s="20">
        <f>Operations!AD865+Operations!AD861</f>
        <v/>
      </c>
      <c r="AE866" s="20">
        <f>Operations!AE865+Operations!AE861</f>
        <v/>
      </c>
      <c r="AF866" s="20">
        <f>Operations!AF865+Operations!AF861</f>
        <v/>
      </c>
      <c r="AG866" s="20">
        <f>Operations!AG865+Operations!AG861</f>
        <v/>
      </c>
      <c r="AH866" s="20">
        <f>Operations!AH865+Operations!AH861</f>
        <v/>
      </c>
      <c r="AI866" s="20">
        <f>Operations!AI865+Operations!AI861</f>
        <v/>
      </c>
      <c r="AJ866" s="20">
        <f>Operations!AJ865+Operations!AJ861</f>
        <v/>
      </c>
      <c r="AK866" s="20">
        <f>Operations!AK865+Operations!AK861</f>
        <v/>
      </c>
      <c r="AL866" s="20">
        <f>Operations!AL865+Operations!AL861</f>
        <v/>
      </c>
      <c r="AM866" s="20">
        <f>Operations!AM865+Operations!AM861</f>
        <v/>
      </c>
      <c r="AN866" s="20">
        <f>Operations!AN865+Operations!AN861</f>
        <v/>
      </c>
      <c r="AO866" s="20">
        <f>Operations!AO865+Operations!AO861</f>
        <v/>
      </c>
      <c r="AP866" s="20">
        <f>Operations!AP865+Operations!AP861</f>
        <v/>
      </c>
      <c r="AQ866" s="20">
        <f>Operations!AQ865+Operations!AQ861</f>
        <v/>
      </c>
      <c r="AR866" s="20">
        <f>Operations!AR865+Operations!AR861</f>
        <v/>
      </c>
      <c r="AS866" s="20">
        <f>Operations!AS865+Operations!AS861</f>
        <v/>
      </c>
      <c r="AT866" s="20">
        <f>Operations!AT865+Operations!AT861</f>
        <v/>
      </c>
      <c r="AU866" s="20">
        <f>Operations!AU865+Operations!AU861</f>
        <v/>
      </c>
    </row>
    <row r="867">
      <c r="D867" t="inlineStr">
        <is>
          <t>R2 merchant revenue (total less contracted and hedged)</t>
        </is>
      </c>
      <c r="E867" t="inlineStr">
        <is>
          <t>USD m</t>
        </is>
      </c>
      <c r="J867" s="20">
        <f>Operations!J866-Operations!J863-Operations!J864</f>
        <v/>
      </c>
      <c r="K867" s="20">
        <f>Operations!K866-Operations!K863-Operations!K864</f>
        <v/>
      </c>
      <c r="L867" s="20">
        <f>Operations!L866-Operations!L863-Operations!L864</f>
        <v/>
      </c>
      <c r="M867" s="20">
        <f>Operations!M866-Operations!M863-Operations!M864</f>
        <v/>
      </c>
      <c r="N867" s="20">
        <f>Operations!N866-Operations!N863-Operations!N864</f>
        <v/>
      </c>
      <c r="O867" s="20">
        <f>Operations!O866-Operations!O863-Operations!O864</f>
        <v/>
      </c>
      <c r="P867" s="20">
        <f>Operations!P866-Operations!P863-Operations!P864</f>
        <v/>
      </c>
      <c r="Q867" s="20">
        <f>Operations!Q866-Operations!Q863-Operations!Q864</f>
        <v/>
      </c>
      <c r="R867" s="20">
        <f>Operations!R866-Operations!R863-Operations!R864</f>
        <v/>
      </c>
      <c r="S867" s="20">
        <f>Operations!S866-Operations!S863-Operations!S864</f>
        <v/>
      </c>
      <c r="T867" s="20">
        <f>Operations!T866-Operations!T863-Operations!T864</f>
        <v/>
      </c>
      <c r="U867" s="20">
        <f>Operations!U866-Operations!U863-Operations!U864</f>
        <v/>
      </c>
      <c r="V867" s="20">
        <f>Operations!V866-Operations!V863-Operations!V864</f>
        <v/>
      </c>
      <c r="W867" s="20">
        <f>Operations!W866-Operations!W863-Operations!W864</f>
        <v/>
      </c>
      <c r="X867" s="20">
        <f>Operations!X866-Operations!X863-Operations!X864</f>
        <v/>
      </c>
      <c r="Y867" s="20">
        <f>Operations!Y866-Operations!Y863-Operations!Y864</f>
        <v/>
      </c>
      <c r="Z867" s="20">
        <f>Operations!Z866-Operations!Z863-Operations!Z864</f>
        <v/>
      </c>
      <c r="AA867" s="20">
        <f>Operations!AA866-Operations!AA863-Operations!AA864</f>
        <v/>
      </c>
      <c r="AB867" s="20">
        <f>Operations!AB866-Operations!AB863-Operations!AB864</f>
        <v/>
      </c>
      <c r="AC867" s="20">
        <f>Operations!AC866-Operations!AC863-Operations!AC864</f>
        <v/>
      </c>
      <c r="AD867" s="20">
        <f>Operations!AD866-Operations!AD863-Operations!AD864</f>
        <v/>
      </c>
      <c r="AE867" s="20">
        <f>Operations!AE866-Operations!AE863-Operations!AE864</f>
        <v/>
      </c>
      <c r="AF867" s="20">
        <f>Operations!AF866-Operations!AF863-Operations!AF864</f>
        <v/>
      </c>
      <c r="AG867" s="20">
        <f>Operations!AG866-Operations!AG863-Operations!AG864</f>
        <v/>
      </c>
      <c r="AH867" s="20">
        <f>Operations!AH866-Operations!AH863-Operations!AH864</f>
        <v/>
      </c>
      <c r="AI867" s="20">
        <f>Operations!AI866-Operations!AI863-Operations!AI864</f>
        <v/>
      </c>
      <c r="AJ867" s="20">
        <f>Operations!AJ866-Operations!AJ863-Operations!AJ864</f>
        <v/>
      </c>
      <c r="AK867" s="20">
        <f>Operations!AK866-Operations!AK863-Operations!AK864</f>
        <v/>
      </c>
      <c r="AL867" s="20">
        <f>Operations!AL866-Operations!AL863-Operations!AL864</f>
        <v/>
      </c>
      <c r="AM867" s="20">
        <f>Operations!AM866-Operations!AM863-Operations!AM864</f>
        <v/>
      </c>
      <c r="AN867" s="20">
        <f>Operations!AN866-Operations!AN863-Operations!AN864</f>
        <v/>
      </c>
      <c r="AO867" s="20">
        <f>Operations!AO866-Operations!AO863-Operations!AO864</f>
        <v/>
      </c>
      <c r="AP867" s="20">
        <f>Operations!AP866-Operations!AP863-Operations!AP864</f>
        <v/>
      </c>
      <c r="AQ867" s="20">
        <f>Operations!AQ866-Operations!AQ863-Operations!AQ864</f>
        <v/>
      </c>
      <c r="AR867" s="20">
        <f>Operations!AR866-Operations!AR863-Operations!AR864</f>
        <v/>
      </c>
      <c r="AS867" s="20">
        <f>Operations!AS866-Operations!AS863-Operations!AS864</f>
        <v/>
      </c>
      <c r="AT867" s="20">
        <f>Operations!AT866-Operations!AT863-Operations!AT864</f>
        <v/>
      </c>
      <c r="AU867" s="20">
        <f>Operations!AU866-Operations!AU863-Operations!AU864</f>
        <v/>
      </c>
    </row>
    <row r="868">
      <c r="D868" t="inlineStr">
        <is>
          <t>R2 opex (O&amp;M, land, insurance, property tax, site)</t>
        </is>
      </c>
      <c r="E868" t="inlineStr">
        <is>
          <t>USD m</t>
        </is>
      </c>
      <c r="J868" s="20">
        <f>Inputs!$F$103*Inputs!$F$99/1000*Time!J$9*Time!J$10*Operations!J847*Operations!$F$792</f>
        <v/>
      </c>
      <c r="K868" s="20">
        <f>Inputs!$F$103*Inputs!$F$99/1000*Time!K$9*Time!K$10*Operations!K847*Operations!$F$792</f>
        <v/>
      </c>
      <c r="L868" s="20">
        <f>Inputs!$F$103*Inputs!$F$99/1000*Time!L$9*Time!L$10*Operations!L847*Operations!$F$792</f>
        <v/>
      </c>
      <c r="M868" s="20">
        <f>Inputs!$F$103*Inputs!$F$99/1000*Time!M$9*Time!M$10*Operations!M847*Operations!$F$792</f>
        <v/>
      </c>
      <c r="N868" s="20">
        <f>Inputs!$F$103*Inputs!$F$99/1000*Time!N$9*Time!N$10*Operations!N847*Operations!$F$792</f>
        <v/>
      </c>
      <c r="O868" s="20">
        <f>Inputs!$F$103*Inputs!$F$99/1000*Time!O$9*Time!O$10*Operations!O847*Operations!$F$792</f>
        <v/>
      </c>
      <c r="P868" s="20">
        <f>Inputs!$F$103*Inputs!$F$99/1000*Time!P$9*Time!P$10*Operations!P847*Operations!$F$792</f>
        <v/>
      </c>
      <c r="Q868" s="20">
        <f>Inputs!$F$103*Inputs!$F$99/1000*Time!Q$9*Time!Q$10*Operations!Q847*Operations!$F$792</f>
        <v/>
      </c>
      <c r="R868" s="20">
        <f>Inputs!$F$103*Inputs!$F$99/1000*Time!R$9*Time!R$10*Operations!R847*Operations!$F$792</f>
        <v/>
      </c>
      <c r="S868" s="20">
        <f>Inputs!$F$103*Inputs!$F$99/1000*Time!S$9*Time!S$10*Operations!S847*Operations!$F$792</f>
        <v/>
      </c>
      <c r="T868" s="20">
        <f>Inputs!$F$103*Inputs!$F$99/1000*Time!T$9*Time!T$10*Operations!T847*Operations!$F$792</f>
        <v/>
      </c>
      <c r="U868" s="20">
        <f>Inputs!$F$103*Inputs!$F$99/1000*Time!U$9*Time!U$10*Operations!U847*Operations!$F$792</f>
        <v/>
      </c>
      <c r="V868" s="20">
        <f>Inputs!$F$103*Inputs!$F$99/1000*Time!V$9*Time!V$10*Operations!V847*Operations!$F$792</f>
        <v/>
      </c>
      <c r="W868" s="20">
        <f>Inputs!$F$103*Inputs!$F$99/1000*Time!W$9*Time!W$10*Operations!W847*Operations!$F$792</f>
        <v/>
      </c>
      <c r="X868" s="20">
        <f>Inputs!$F$103*Inputs!$F$99/1000*Time!X$9*Time!X$10*Operations!X847*Operations!$F$792</f>
        <v/>
      </c>
      <c r="Y868" s="20">
        <f>Inputs!$F$103*Inputs!$F$99/1000*Time!Y$9*Time!Y$10*Operations!Y847*Operations!$F$792</f>
        <v/>
      </c>
      <c r="Z868" s="20">
        <f>Inputs!$F$103*Inputs!$F$99/1000*Time!Z$9*Time!Z$10*Operations!Z847*Operations!$F$792</f>
        <v/>
      </c>
      <c r="AA868" s="20">
        <f>Inputs!$F$103*Inputs!$F$99/1000*Time!AA$9*Time!AA$10*Operations!AA847*Operations!$F$792</f>
        <v/>
      </c>
      <c r="AB868" s="20">
        <f>Inputs!$F$103*Inputs!$F$99/1000*Time!AB$9*Time!AB$10*Operations!AB847*Operations!$F$792</f>
        <v/>
      </c>
      <c r="AC868" s="20">
        <f>Inputs!$F$103*Inputs!$F$99/1000*Time!AC$9*Time!AC$10*Operations!AC847*Operations!$F$792</f>
        <v/>
      </c>
      <c r="AD868" s="20">
        <f>Inputs!$F$103*Inputs!$F$99/1000*Time!AD$9*Time!AD$10*Operations!AD847*Operations!$F$792</f>
        <v/>
      </c>
      <c r="AE868" s="20">
        <f>Inputs!$F$103*Inputs!$F$99/1000*Time!AE$9*Time!AE$10*Operations!AE847*Operations!$F$792</f>
        <v/>
      </c>
      <c r="AF868" s="20">
        <f>Inputs!$F$103*Inputs!$F$99/1000*Time!AF$9*Time!AF$10*Operations!AF847*Operations!$F$792</f>
        <v/>
      </c>
      <c r="AG868" s="20">
        <f>Inputs!$F$103*Inputs!$F$99/1000*Time!AG$9*Time!AG$10*Operations!AG847*Operations!$F$792</f>
        <v/>
      </c>
      <c r="AH868" s="20">
        <f>Inputs!$F$103*Inputs!$F$99/1000*Time!AH$9*Time!AH$10*Operations!AH847*Operations!$F$792</f>
        <v/>
      </c>
      <c r="AI868" s="20">
        <f>Inputs!$F$103*Inputs!$F$99/1000*Time!AI$9*Time!AI$10*Operations!AI847*Operations!$F$792</f>
        <v/>
      </c>
      <c r="AJ868" s="20">
        <f>Inputs!$F$103*Inputs!$F$99/1000*Time!AJ$9*Time!AJ$10*Operations!AJ847*Operations!$F$792</f>
        <v/>
      </c>
      <c r="AK868" s="20">
        <f>Inputs!$F$103*Inputs!$F$99/1000*Time!AK$9*Time!AK$10*Operations!AK847*Operations!$F$792</f>
        <v/>
      </c>
      <c r="AL868" s="20">
        <f>Inputs!$F$103*Inputs!$F$99/1000*Time!AL$9*Time!AL$10*Operations!AL847*Operations!$F$792</f>
        <v/>
      </c>
      <c r="AM868" s="20">
        <f>Inputs!$F$103*Inputs!$F$99/1000*Time!AM$9*Time!AM$10*Operations!AM847*Operations!$F$792</f>
        <v/>
      </c>
      <c r="AN868" s="20">
        <f>Inputs!$F$103*Inputs!$F$99/1000*Time!AN$9*Time!AN$10*Operations!AN847*Operations!$F$792</f>
        <v/>
      </c>
      <c r="AO868" s="20">
        <f>Inputs!$F$103*Inputs!$F$99/1000*Time!AO$9*Time!AO$10*Operations!AO847*Operations!$F$792</f>
        <v/>
      </c>
      <c r="AP868" s="20">
        <f>Inputs!$F$103*Inputs!$F$99/1000*Time!AP$9*Time!AP$10*Operations!AP847*Operations!$F$792</f>
        <v/>
      </c>
      <c r="AQ868" s="20">
        <f>Inputs!$F$103*Inputs!$F$99/1000*Time!AQ$9*Time!AQ$10*Operations!AQ847*Operations!$F$792</f>
        <v/>
      </c>
      <c r="AR868" s="20">
        <f>Inputs!$F$103*Inputs!$F$99/1000*Time!AR$9*Time!AR$10*Operations!AR847*Operations!$F$792</f>
        <v/>
      </c>
      <c r="AS868" s="20">
        <f>Inputs!$F$103*Inputs!$F$99/1000*Time!AS$9*Time!AS$10*Operations!AS847*Operations!$F$792</f>
        <v/>
      </c>
      <c r="AT868" s="20">
        <f>Inputs!$F$103*Inputs!$F$99/1000*Time!AT$9*Time!AT$10*Operations!AT847*Operations!$F$792</f>
        <v/>
      </c>
      <c r="AU868" s="20">
        <f>Inputs!$F$103*Inputs!$F$99/1000*Time!AU$9*Time!AU$10*Operations!AU847*Operations!$F$792</f>
        <v/>
      </c>
    </row>
    <row r="869">
      <c r="D869" t="inlineStr">
        <is>
          <t>R2 wind land lease</t>
        </is>
      </c>
      <c r="E869" t="inlineStr">
        <is>
          <t>USD m</t>
        </is>
      </c>
      <c r="J869" s="20">
        <f>Inputs!$F$232/100*Operations!J866</f>
        <v/>
      </c>
      <c r="K869" s="20">
        <f>Inputs!$F$232/100*Operations!K866</f>
        <v/>
      </c>
      <c r="L869" s="20">
        <f>Inputs!$F$232/100*Operations!L866</f>
        <v/>
      </c>
      <c r="M869" s="20">
        <f>Inputs!$F$232/100*Operations!M866</f>
        <v/>
      </c>
      <c r="N869" s="20">
        <f>Inputs!$F$232/100*Operations!N866</f>
        <v/>
      </c>
      <c r="O869" s="20">
        <f>Inputs!$F$232/100*Operations!O866</f>
        <v/>
      </c>
      <c r="P869" s="20">
        <f>Inputs!$F$232/100*Operations!P866</f>
        <v/>
      </c>
      <c r="Q869" s="20">
        <f>Inputs!$F$232/100*Operations!Q866</f>
        <v/>
      </c>
      <c r="R869" s="20">
        <f>Inputs!$F$232/100*Operations!R866</f>
        <v/>
      </c>
      <c r="S869" s="20">
        <f>Inputs!$F$232/100*Operations!S866</f>
        <v/>
      </c>
      <c r="T869" s="20">
        <f>Inputs!$F$232/100*Operations!T866</f>
        <v/>
      </c>
      <c r="U869" s="20">
        <f>Inputs!$F$232/100*Operations!U866</f>
        <v/>
      </c>
      <c r="V869" s="20">
        <f>Inputs!$F$232/100*Operations!V866</f>
        <v/>
      </c>
      <c r="W869" s="20">
        <f>Inputs!$F$232/100*Operations!W866</f>
        <v/>
      </c>
      <c r="X869" s="20">
        <f>Inputs!$F$232/100*Operations!X866</f>
        <v/>
      </c>
      <c r="Y869" s="20">
        <f>Inputs!$F$232/100*Operations!Y866</f>
        <v/>
      </c>
      <c r="Z869" s="20">
        <f>Inputs!$F$232/100*Operations!Z866</f>
        <v/>
      </c>
      <c r="AA869" s="20">
        <f>Inputs!$F$232/100*Operations!AA866</f>
        <v/>
      </c>
      <c r="AB869" s="20">
        <f>Inputs!$F$232/100*Operations!AB866</f>
        <v/>
      </c>
      <c r="AC869" s="20">
        <f>Inputs!$F$232/100*Operations!AC866</f>
        <v/>
      </c>
      <c r="AD869" s="20">
        <f>Inputs!$F$232/100*Operations!AD866</f>
        <v/>
      </c>
      <c r="AE869" s="20">
        <f>Inputs!$F$232/100*Operations!AE866</f>
        <v/>
      </c>
      <c r="AF869" s="20">
        <f>Inputs!$F$232/100*Operations!AF866</f>
        <v/>
      </c>
      <c r="AG869" s="20">
        <f>Inputs!$F$232/100*Operations!AG866</f>
        <v/>
      </c>
      <c r="AH869" s="20">
        <f>Inputs!$F$232/100*Operations!AH866</f>
        <v/>
      </c>
      <c r="AI869" s="20">
        <f>Inputs!$F$232/100*Operations!AI866</f>
        <v/>
      </c>
      <c r="AJ869" s="20">
        <f>Inputs!$F$232/100*Operations!AJ866</f>
        <v/>
      </c>
      <c r="AK869" s="20">
        <f>Inputs!$F$232/100*Operations!AK866</f>
        <v/>
      </c>
      <c r="AL869" s="20">
        <f>Inputs!$F$232/100*Operations!AL866</f>
        <v/>
      </c>
      <c r="AM869" s="20">
        <f>Inputs!$F$232/100*Operations!AM866</f>
        <v/>
      </c>
      <c r="AN869" s="20">
        <f>Inputs!$F$232/100*Operations!AN866</f>
        <v/>
      </c>
      <c r="AO869" s="20">
        <f>Inputs!$F$232/100*Operations!AO866</f>
        <v/>
      </c>
      <c r="AP869" s="20">
        <f>Inputs!$F$232/100*Operations!AP866</f>
        <v/>
      </c>
      <c r="AQ869" s="20">
        <f>Inputs!$F$232/100*Operations!AQ866</f>
        <v/>
      </c>
      <c r="AR869" s="20">
        <f>Inputs!$F$232/100*Operations!AR866</f>
        <v/>
      </c>
      <c r="AS869" s="20">
        <f>Inputs!$F$232/100*Operations!AS866</f>
        <v/>
      </c>
      <c r="AT869" s="20">
        <f>Inputs!$F$232/100*Operations!AT866</f>
        <v/>
      </c>
      <c r="AU869" s="20">
        <f>Inputs!$F$232/100*Operations!AU866</f>
        <v/>
      </c>
    </row>
    <row r="870">
      <c r="D870" t="inlineStr">
        <is>
          <t>R2 decommissioning surety cost</t>
        </is>
      </c>
      <c r="E870" t="inlineStr">
        <is>
          <t>USD m</t>
        </is>
      </c>
      <c r="J870" s="20">
        <f>Inputs!$F$236/100*Inputs!$F$104*Inputs!$F$99/1000*Time!J$9*Operations!J847</f>
        <v/>
      </c>
      <c r="K870" s="20">
        <f>Inputs!$F$236/100*Inputs!$F$104*Inputs!$F$99/1000*Time!K$9*Operations!K847</f>
        <v/>
      </c>
      <c r="L870" s="20">
        <f>Inputs!$F$236/100*Inputs!$F$104*Inputs!$F$99/1000*Time!L$9*Operations!L847</f>
        <v/>
      </c>
      <c r="M870" s="20">
        <f>Inputs!$F$236/100*Inputs!$F$104*Inputs!$F$99/1000*Time!M$9*Operations!M847</f>
        <v/>
      </c>
      <c r="N870" s="20">
        <f>Inputs!$F$236/100*Inputs!$F$104*Inputs!$F$99/1000*Time!N$9*Operations!N847</f>
        <v/>
      </c>
      <c r="O870" s="20">
        <f>Inputs!$F$236/100*Inputs!$F$104*Inputs!$F$99/1000*Time!O$9*Operations!O847</f>
        <v/>
      </c>
      <c r="P870" s="20">
        <f>Inputs!$F$236/100*Inputs!$F$104*Inputs!$F$99/1000*Time!P$9*Operations!P847</f>
        <v/>
      </c>
      <c r="Q870" s="20">
        <f>Inputs!$F$236/100*Inputs!$F$104*Inputs!$F$99/1000*Time!Q$9*Operations!Q847</f>
        <v/>
      </c>
      <c r="R870" s="20">
        <f>Inputs!$F$236/100*Inputs!$F$104*Inputs!$F$99/1000*Time!R$9*Operations!R847</f>
        <v/>
      </c>
      <c r="S870" s="20">
        <f>Inputs!$F$236/100*Inputs!$F$104*Inputs!$F$99/1000*Time!S$9*Operations!S847</f>
        <v/>
      </c>
      <c r="T870" s="20">
        <f>Inputs!$F$236/100*Inputs!$F$104*Inputs!$F$99/1000*Time!T$9*Operations!T847</f>
        <v/>
      </c>
      <c r="U870" s="20">
        <f>Inputs!$F$236/100*Inputs!$F$104*Inputs!$F$99/1000*Time!U$9*Operations!U847</f>
        <v/>
      </c>
      <c r="V870" s="20">
        <f>Inputs!$F$236/100*Inputs!$F$104*Inputs!$F$99/1000*Time!V$9*Operations!V847</f>
        <v/>
      </c>
      <c r="W870" s="20">
        <f>Inputs!$F$236/100*Inputs!$F$104*Inputs!$F$99/1000*Time!W$9*Operations!W847</f>
        <v/>
      </c>
      <c r="X870" s="20">
        <f>Inputs!$F$236/100*Inputs!$F$104*Inputs!$F$99/1000*Time!X$9*Operations!X847</f>
        <v/>
      </c>
      <c r="Y870" s="20">
        <f>Inputs!$F$236/100*Inputs!$F$104*Inputs!$F$99/1000*Time!Y$9*Operations!Y847</f>
        <v/>
      </c>
      <c r="Z870" s="20">
        <f>Inputs!$F$236/100*Inputs!$F$104*Inputs!$F$99/1000*Time!Z$9*Operations!Z847</f>
        <v/>
      </c>
      <c r="AA870" s="20">
        <f>Inputs!$F$236/100*Inputs!$F$104*Inputs!$F$99/1000*Time!AA$9*Operations!AA847</f>
        <v/>
      </c>
      <c r="AB870" s="20">
        <f>Inputs!$F$236/100*Inputs!$F$104*Inputs!$F$99/1000*Time!AB$9*Operations!AB847</f>
        <v/>
      </c>
      <c r="AC870" s="20">
        <f>Inputs!$F$236/100*Inputs!$F$104*Inputs!$F$99/1000*Time!AC$9*Operations!AC847</f>
        <v/>
      </c>
      <c r="AD870" s="20">
        <f>Inputs!$F$236/100*Inputs!$F$104*Inputs!$F$99/1000*Time!AD$9*Operations!AD847</f>
        <v/>
      </c>
      <c r="AE870" s="20">
        <f>Inputs!$F$236/100*Inputs!$F$104*Inputs!$F$99/1000*Time!AE$9*Operations!AE847</f>
        <v/>
      </c>
      <c r="AF870" s="20">
        <f>Inputs!$F$236/100*Inputs!$F$104*Inputs!$F$99/1000*Time!AF$9*Operations!AF847</f>
        <v/>
      </c>
      <c r="AG870" s="20">
        <f>Inputs!$F$236/100*Inputs!$F$104*Inputs!$F$99/1000*Time!AG$9*Operations!AG847</f>
        <v/>
      </c>
      <c r="AH870" s="20">
        <f>Inputs!$F$236/100*Inputs!$F$104*Inputs!$F$99/1000*Time!AH$9*Operations!AH847</f>
        <v/>
      </c>
      <c r="AI870" s="20">
        <f>Inputs!$F$236/100*Inputs!$F$104*Inputs!$F$99/1000*Time!AI$9*Operations!AI847</f>
        <v/>
      </c>
      <c r="AJ870" s="20">
        <f>Inputs!$F$236/100*Inputs!$F$104*Inputs!$F$99/1000*Time!AJ$9*Operations!AJ847</f>
        <v/>
      </c>
      <c r="AK870" s="20">
        <f>Inputs!$F$236/100*Inputs!$F$104*Inputs!$F$99/1000*Time!AK$9*Operations!AK847</f>
        <v/>
      </c>
      <c r="AL870" s="20">
        <f>Inputs!$F$236/100*Inputs!$F$104*Inputs!$F$99/1000*Time!AL$9*Operations!AL847</f>
        <v/>
      </c>
      <c r="AM870" s="20">
        <f>Inputs!$F$236/100*Inputs!$F$104*Inputs!$F$99/1000*Time!AM$9*Operations!AM847</f>
        <v/>
      </c>
      <c r="AN870" s="20">
        <f>Inputs!$F$236/100*Inputs!$F$104*Inputs!$F$99/1000*Time!AN$9*Operations!AN847</f>
        <v/>
      </c>
      <c r="AO870" s="20">
        <f>Inputs!$F$236/100*Inputs!$F$104*Inputs!$F$99/1000*Time!AO$9*Operations!AO847</f>
        <v/>
      </c>
      <c r="AP870" s="20">
        <f>Inputs!$F$236/100*Inputs!$F$104*Inputs!$F$99/1000*Time!AP$9*Operations!AP847</f>
        <v/>
      </c>
      <c r="AQ870" s="20">
        <f>Inputs!$F$236/100*Inputs!$F$104*Inputs!$F$99/1000*Time!AQ$9*Operations!AQ847</f>
        <v/>
      </c>
      <c r="AR870" s="20">
        <f>Inputs!$F$236/100*Inputs!$F$104*Inputs!$F$99/1000*Time!AR$9*Operations!AR847</f>
        <v/>
      </c>
      <c r="AS870" s="20">
        <f>Inputs!$F$236/100*Inputs!$F$104*Inputs!$F$99/1000*Time!AS$9*Operations!AS847</f>
        <v/>
      </c>
      <c r="AT870" s="20">
        <f>Inputs!$F$236/100*Inputs!$F$104*Inputs!$F$99/1000*Time!AT$9*Operations!AT847</f>
        <v/>
      </c>
      <c r="AU870" s="20">
        <f>Inputs!$F$236/100*Inputs!$F$104*Inputs!$F$99/1000*Time!AU$9*Operations!AU847</f>
        <v/>
      </c>
    </row>
    <row r="871">
      <c r="D871" t="inlineStr">
        <is>
          <t>R2 Texas margin tax</t>
        </is>
      </c>
      <c r="E871" t="inlineStr">
        <is>
          <t>USD m</t>
        </is>
      </c>
      <c r="J871" s="20">
        <f>Inputs!$F$237/100*Inputs!$F$238/100*Operations!J866</f>
        <v/>
      </c>
      <c r="K871" s="20">
        <f>Inputs!$F$237/100*Inputs!$F$238/100*Operations!K866</f>
        <v/>
      </c>
      <c r="L871" s="20">
        <f>Inputs!$F$237/100*Inputs!$F$238/100*Operations!L866</f>
        <v/>
      </c>
      <c r="M871" s="20">
        <f>Inputs!$F$237/100*Inputs!$F$238/100*Operations!M866</f>
        <v/>
      </c>
      <c r="N871" s="20">
        <f>Inputs!$F$237/100*Inputs!$F$238/100*Operations!N866</f>
        <v/>
      </c>
      <c r="O871" s="20">
        <f>Inputs!$F$237/100*Inputs!$F$238/100*Operations!O866</f>
        <v/>
      </c>
      <c r="P871" s="20">
        <f>Inputs!$F$237/100*Inputs!$F$238/100*Operations!P866</f>
        <v/>
      </c>
      <c r="Q871" s="20">
        <f>Inputs!$F$237/100*Inputs!$F$238/100*Operations!Q866</f>
        <v/>
      </c>
      <c r="R871" s="20">
        <f>Inputs!$F$237/100*Inputs!$F$238/100*Operations!R866</f>
        <v/>
      </c>
      <c r="S871" s="20">
        <f>Inputs!$F$237/100*Inputs!$F$238/100*Operations!S866</f>
        <v/>
      </c>
      <c r="T871" s="20">
        <f>Inputs!$F$237/100*Inputs!$F$238/100*Operations!T866</f>
        <v/>
      </c>
      <c r="U871" s="20">
        <f>Inputs!$F$237/100*Inputs!$F$238/100*Operations!U866</f>
        <v/>
      </c>
      <c r="V871" s="20">
        <f>Inputs!$F$237/100*Inputs!$F$238/100*Operations!V866</f>
        <v/>
      </c>
      <c r="W871" s="20">
        <f>Inputs!$F$237/100*Inputs!$F$238/100*Operations!W866</f>
        <v/>
      </c>
      <c r="X871" s="20">
        <f>Inputs!$F$237/100*Inputs!$F$238/100*Operations!X866</f>
        <v/>
      </c>
      <c r="Y871" s="20">
        <f>Inputs!$F$237/100*Inputs!$F$238/100*Operations!Y866</f>
        <v/>
      </c>
      <c r="Z871" s="20">
        <f>Inputs!$F$237/100*Inputs!$F$238/100*Operations!Z866</f>
        <v/>
      </c>
      <c r="AA871" s="20">
        <f>Inputs!$F$237/100*Inputs!$F$238/100*Operations!AA866</f>
        <v/>
      </c>
      <c r="AB871" s="20">
        <f>Inputs!$F$237/100*Inputs!$F$238/100*Operations!AB866</f>
        <v/>
      </c>
      <c r="AC871" s="20">
        <f>Inputs!$F$237/100*Inputs!$F$238/100*Operations!AC866</f>
        <v/>
      </c>
      <c r="AD871" s="20">
        <f>Inputs!$F$237/100*Inputs!$F$238/100*Operations!AD866</f>
        <v/>
      </c>
      <c r="AE871" s="20">
        <f>Inputs!$F$237/100*Inputs!$F$238/100*Operations!AE866</f>
        <v/>
      </c>
      <c r="AF871" s="20">
        <f>Inputs!$F$237/100*Inputs!$F$238/100*Operations!AF866</f>
        <v/>
      </c>
      <c r="AG871" s="20">
        <f>Inputs!$F$237/100*Inputs!$F$238/100*Operations!AG866</f>
        <v/>
      </c>
      <c r="AH871" s="20">
        <f>Inputs!$F$237/100*Inputs!$F$238/100*Operations!AH866</f>
        <v/>
      </c>
      <c r="AI871" s="20">
        <f>Inputs!$F$237/100*Inputs!$F$238/100*Operations!AI866</f>
        <v/>
      </c>
      <c r="AJ871" s="20">
        <f>Inputs!$F$237/100*Inputs!$F$238/100*Operations!AJ866</f>
        <v/>
      </c>
      <c r="AK871" s="20">
        <f>Inputs!$F$237/100*Inputs!$F$238/100*Operations!AK866</f>
        <v/>
      </c>
      <c r="AL871" s="20">
        <f>Inputs!$F$237/100*Inputs!$F$238/100*Operations!AL866</f>
        <v/>
      </c>
      <c r="AM871" s="20">
        <f>Inputs!$F$237/100*Inputs!$F$238/100*Operations!AM866</f>
        <v/>
      </c>
      <c r="AN871" s="20">
        <f>Inputs!$F$237/100*Inputs!$F$238/100*Operations!AN866</f>
        <v/>
      </c>
      <c r="AO871" s="20">
        <f>Inputs!$F$237/100*Inputs!$F$238/100*Operations!AO866</f>
        <v/>
      </c>
      <c r="AP871" s="20">
        <f>Inputs!$F$237/100*Inputs!$F$238/100*Operations!AP866</f>
        <v/>
      </c>
      <c r="AQ871" s="20">
        <f>Inputs!$F$237/100*Inputs!$F$238/100*Operations!AQ866</f>
        <v/>
      </c>
      <c r="AR871" s="20">
        <f>Inputs!$F$237/100*Inputs!$F$238/100*Operations!AR866</f>
        <v/>
      </c>
      <c r="AS871" s="20">
        <f>Inputs!$F$237/100*Inputs!$F$238/100*Operations!AS866</f>
        <v/>
      </c>
      <c r="AT871" s="20">
        <f>Inputs!$F$237/100*Inputs!$F$238/100*Operations!AT866</f>
        <v/>
      </c>
      <c r="AU871" s="20">
        <f>Inputs!$F$237/100*Inputs!$F$238/100*Operations!AU866</f>
        <v/>
      </c>
    </row>
    <row r="872">
      <c r="D872" t="inlineStr">
        <is>
          <t>R2 EBITDA</t>
        </is>
      </c>
      <c r="E872" t="inlineStr">
        <is>
          <t>USD m</t>
        </is>
      </c>
      <c r="G872" s="20">
        <f>SUM(J872:AU872)</f>
        <v/>
      </c>
      <c r="J872" s="20">
        <f>Operations!J866-Operations!J868-Operations!J869-Operations!J870-Operations!J871</f>
        <v/>
      </c>
      <c r="K872" s="20">
        <f>Operations!K866-Operations!K868-Operations!K869-Operations!K870-Operations!K871</f>
        <v/>
      </c>
      <c r="L872" s="20">
        <f>Operations!L866-Operations!L868-Operations!L869-Operations!L870-Operations!L871</f>
        <v/>
      </c>
      <c r="M872" s="20">
        <f>Operations!M866-Operations!M868-Operations!M869-Operations!M870-Operations!M871</f>
        <v/>
      </c>
      <c r="N872" s="20">
        <f>Operations!N866-Operations!N868-Operations!N869-Operations!N870-Operations!N871</f>
        <v/>
      </c>
      <c r="O872" s="20">
        <f>Operations!O866-Operations!O868-Operations!O869-Operations!O870-Operations!O871</f>
        <v/>
      </c>
      <c r="P872" s="20">
        <f>Operations!P866-Operations!P868-Operations!P869-Operations!P870-Operations!P871</f>
        <v/>
      </c>
      <c r="Q872" s="20">
        <f>Operations!Q866-Operations!Q868-Operations!Q869-Operations!Q870-Operations!Q871</f>
        <v/>
      </c>
      <c r="R872" s="20">
        <f>Operations!R866-Operations!R868-Operations!R869-Operations!R870-Operations!R871</f>
        <v/>
      </c>
      <c r="S872" s="20">
        <f>Operations!S866-Operations!S868-Operations!S869-Operations!S870-Operations!S871</f>
        <v/>
      </c>
      <c r="T872" s="20">
        <f>Operations!T866-Operations!T868-Operations!T869-Operations!T870-Operations!T871</f>
        <v/>
      </c>
      <c r="U872" s="20">
        <f>Operations!U866-Operations!U868-Operations!U869-Operations!U870-Operations!U871</f>
        <v/>
      </c>
      <c r="V872" s="20">
        <f>Operations!V866-Operations!V868-Operations!V869-Operations!V870-Operations!V871</f>
        <v/>
      </c>
      <c r="W872" s="20">
        <f>Operations!W866-Operations!W868-Operations!W869-Operations!W870-Operations!W871</f>
        <v/>
      </c>
      <c r="X872" s="20">
        <f>Operations!X866-Operations!X868-Operations!X869-Operations!X870-Operations!X871</f>
        <v/>
      </c>
      <c r="Y872" s="20">
        <f>Operations!Y866-Operations!Y868-Operations!Y869-Operations!Y870-Operations!Y871</f>
        <v/>
      </c>
      <c r="Z872" s="20">
        <f>Operations!Z866-Operations!Z868-Operations!Z869-Operations!Z870-Operations!Z871</f>
        <v/>
      </c>
      <c r="AA872" s="20">
        <f>Operations!AA866-Operations!AA868-Operations!AA869-Operations!AA870-Operations!AA871</f>
        <v/>
      </c>
      <c r="AB872" s="20">
        <f>Operations!AB866-Operations!AB868-Operations!AB869-Operations!AB870-Operations!AB871</f>
        <v/>
      </c>
      <c r="AC872" s="20">
        <f>Operations!AC866-Operations!AC868-Operations!AC869-Operations!AC870-Operations!AC871</f>
        <v/>
      </c>
      <c r="AD872" s="20">
        <f>Operations!AD866-Operations!AD868-Operations!AD869-Operations!AD870-Operations!AD871</f>
        <v/>
      </c>
      <c r="AE872" s="20">
        <f>Operations!AE866-Operations!AE868-Operations!AE869-Operations!AE870-Operations!AE871</f>
        <v/>
      </c>
      <c r="AF872" s="20">
        <f>Operations!AF866-Operations!AF868-Operations!AF869-Operations!AF870-Operations!AF871</f>
        <v/>
      </c>
      <c r="AG872" s="20">
        <f>Operations!AG866-Operations!AG868-Operations!AG869-Operations!AG870-Operations!AG871</f>
        <v/>
      </c>
      <c r="AH872" s="20">
        <f>Operations!AH866-Operations!AH868-Operations!AH869-Operations!AH870-Operations!AH871</f>
        <v/>
      </c>
      <c r="AI872" s="20">
        <f>Operations!AI866-Operations!AI868-Operations!AI869-Operations!AI870-Operations!AI871</f>
        <v/>
      </c>
      <c r="AJ872" s="20">
        <f>Operations!AJ866-Operations!AJ868-Operations!AJ869-Operations!AJ870-Operations!AJ871</f>
        <v/>
      </c>
      <c r="AK872" s="20">
        <f>Operations!AK866-Operations!AK868-Operations!AK869-Operations!AK870-Operations!AK871</f>
        <v/>
      </c>
      <c r="AL872" s="20">
        <f>Operations!AL866-Operations!AL868-Operations!AL869-Operations!AL870-Operations!AL871</f>
        <v/>
      </c>
      <c r="AM872" s="20">
        <f>Operations!AM866-Operations!AM868-Operations!AM869-Operations!AM870-Operations!AM871</f>
        <v/>
      </c>
      <c r="AN872" s="20">
        <f>Operations!AN866-Operations!AN868-Operations!AN869-Operations!AN870-Operations!AN871</f>
        <v/>
      </c>
      <c r="AO872" s="20">
        <f>Operations!AO866-Operations!AO868-Operations!AO869-Operations!AO870-Operations!AO871</f>
        <v/>
      </c>
      <c r="AP872" s="20">
        <f>Operations!AP866-Operations!AP868-Operations!AP869-Operations!AP870-Operations!AP871</f>
        <v/>
      </c>
      <c r="AQ872" s="20">
        <f>Operations!AQ866-Operations!AQ868-Operations!AQ869-Operations!AQ870-Operations!AQ871</f>
        <v/>
      </c>
      <c r="AR872" s="20">
        <f>Operations!AR866-Operations!AR868-Operations!AR869-Operations!AR870-Operations!AR871</f>
        <v/>
      </c>
      <c r="AS872" s="20">
        <f>Operations!AS866-Operations!AS868-Operations!AS869-Operations!AS870-Operations!AS871</f>
        <v/>
      </c>
      <c r="AT872" s="20">
        <f>Operations!AT866-Operations!AT868-Operations!AT869-Operations!AT870-Operations!AT871</f>
        <v/>
      </c>
      <c r="AU872" s="20">
        <f>Operations!AU866-Operations!AU868-Operations!AU869-Operations!AU870-Operations!AU871</f>
        <v/>
      </c>
    </row>
    <row r="873">
      <c r="D873" t="inlineStr">
        <is>
          <t>R2 capex</t>
        </is>
      </c>
      <c r="E873" t="inlineStr">
        <is>
          <t>USD m</t>
        </is>
      </c>
      <c r="J873" s="20">
        <f>0</f>
        <v/>
      </c>
      <c r="K873" s="20">
        <f>0</f>
        <v/>
      </c>
      <c r="L873" s="20">
        <f>0</f>
        <v/>
      </c>
      <c r="M873" s="20">
        <f>0</f>
        <v/>
      </c>
      <c r="N873" s="20">
        <f>0</f>
        <v/>
      </c>
      <c r="O873" s="20">
        <f>0</f>
        <v/>
      </c>
      <c r="P873" s="20">
        <f>0</f>
        <v/>
      </c>
      <c r="Q873" s="20">
        <f>0</f>
        <v/>
      </c>
      <c r="R873" s="20">
        <f>0</f>
        <v/>
      </c>
      <c r="S873" s="20">
        <f>0</f>
        <v/>
      </c>
      <c r="T873" s="20">
        <f>0</f>
        <v/>
      </c>
      <c r="U873" s="20">
        <f>0</f>
        <v/>
      </c>
      <c r="V873" s="20">
        <f>0</f>
        <v/>
      </c>
      <c r="W873" s="20">
        <f>0</f>
        <v/>
      </c>
      <c r="X873" s="20">
        <f>0</f>
        <v/>
      </c>
      <c r="Y873" s="20">
        <f>0</f>
        <v/>
      </c>
      <c r="Z873" s="20">
        <f>0</f>
        <v/>
      </c>
      <c r="AA873" s="20">
        <f>0</f>
        <v/>
      </c>
      <c r="AB873" s="20">
        <f>0</f>
        <v/>
      </c>
      <c r="AC873" s="20">
        <f>0</f>
        <v/>
      </c>
      <c r="AD873" s="20">
        <f>0</f>
        <v/>
      </c>
      <c r="AE873" s="20">
        <f>0</f>
        <v/>
      </c>
      <c r="AF873" s="20">
        <f>0</f>
        <v/>
      </c>
      <c r="AG873" s="20">
        <f>0</f>
        <v/>
      </c>
      <c r="AH873" s="20">
        <f>0</f>
        <v/>
      </c>
      <c r="AI873" s="20">
        <f>0</f>
        <v/>
      </c>
      <c r="AJ873" s="20">
        <f>0</f>
        <v/>
      </c>
      <c r="AK873" s="20">
        <f>0</f>
        <v/>
      </c>
      <c r="AL873" s="20">
        <f>0</f>
        <v/>
      </c>
      <c r="AM873" s="20">
        <f>0</f>
        <v/>
      </c>
      <c r="AN873" s="20">
        <f>0</f>
        <v/>
      </c>
      <c r="AO873" s="20">
        <f>0</f>
        <v/>
      </c>
      <c r="AP873" s="20">
        <f>0</f>
        <v/>
      </c>
      <c r="AQ873" s="20">
        <f>0</f>
        <v/>
      </c>
      <c r="AR873" s="20">
        <f>0</f>
        <v/>
      </c>
      <c r="AS873" s="20">
        <f>0</f>
        <v/>
      </c>
      <c r="AT873" s="20">
        <f>0</f>
        <v/>
      </c>
      <c r="AU873" s="20">
        <f>0</f>
        <v/>
      </c>
    </row>
    <row r="874">
      <c r="D874" t="inlineStr">
        <is>
          <t>R2 decommissioning at end of life</t>
        </is>
      </c>
      <c r="E874" t="inlineStr">
        <is>
          <t>USD m</t>
        </is>
      </c>
      <c r="J874" s="20">
        <f>IF(Time!J$4=YEAR(Inputs!$F$101),Inputs!$F$104*Inputs!$F$99/1000*Time!J$9,0)</f>
        <v/>
      </c>
      <c r="K874" s="20">
        <f>IF(Time!K$4=YEAR(Inputs!$F$101),Inputs!$F$104*Inputs!$F$99/1000*Time!K$9,0)</f>
        <v/>
      </c>
      <c r="L874" s="20">
        <f>IF(Time!L$4=YEAR(Inputs!$F$101),Inputs!$F$104*Inputs!$F$99/1000*Time!L$9,0)</f>
        <v/>
      </c>
      <c r="M874" s="20">
        <f>IF(Time!M$4=YEAR(Inputs!$F$101),Inputs!$F$104*Inputs!$F$99/1000*Time!M$9,0)</f>
        <v/>
      </c>
      <c r="N874" s="20">
        <f>IF(Time!N$4=YEAR(Inputs!$F$101),Inputs!$F$104*Inputs!$F$99/1000*Time!N$9,0)</f>
        <v/>
      </c>
      <c r="O874" s="20">
        <f>IF(Time!O$4=YEAR(Inputs!$F$101),Inputs!$F$104*Inputs!$F$99/1000*Time!O$9,0)</f>
        <v/>
      </c>
      <c r="P874" s="20">
        <f>IF(Time!P$4=YEAR(Inputs!$F$101),Inputs!$F$104*Inputs!$F$99/1000*Time!P$9,0)</f>
        <v/>
      </c>
      <c r="Q874" s="20">
        <f>IF(Time!Q$4=YEAR(Inputs!$F$101),Inputs!$F$104*Inputs!$F$99/1000*Time!Q$9,0)</f>
        <v/>
      </c>
      <c r="R874" s="20">
        <f>IF(Time!R$4=YEAR(Inputs!$F$101),Inputs!$F$104*Inputs!$F$99/1000*Time!R$9,0)</f>
        <v/>
      </c>
      <c r="S874" s="20">
        <f>IF(Time!S$4=YEAR(Inputs!$F$101),Inputs!$F$104*Inputs!$F$99/1000*Time!S$9,0)</f>
        <v/>
      </c>
      <c r="T874" s="20">
        <f>IF(Time!T$4=YEAR(Inputs!$F$101),Inputs!$F$104*Inputs!$F$99/1000*Time!T$9,0)</f>
        <v/>
      </c>
      <c r="U874" s="20">
        <f>IF(Time!U$4=YEAR(Inputs!$F$101),Inputs!$F$104*Inputs!$F$99/1000*Time!U$9,0)</f>
        <v/>
      </c>
      <c r="V874" s="20">
        <f>IF(Time!V$4=YEAR(Inputs!$F$101),Inputs!$F$104*Inputs!$F$99/1000*Time!V$9,0)</f>
        <v/>
      </c>
      <c r="W874" s="20">
        <f>IF(Time!W$4=YEAR(Inputs!$F$101),Inputs!$F$104*Inputs!$F$99/1000*Time!W$9,0)</f>
        <v/>
      </c>
      <c r="X874" s="20">
        <f>IF(Time!X$4=YEAR(Inputs!$F$101),Inputs!$F$104*Inputs!$F$99/1000*Time!X$9,0)</f>
        <v/>
      </c>
      <c r="Y874" s="20">
        <f>IF(Time!Y$4=YEAR(Inputs!$F$101),Inputs!$F$104*Inputs!$F$99/1000*Time!Y$9,0)</f>
        <v/>
      </c>
      <c r="Z874" s="20">
        <f>IF(Time!Z$4=YEAR(Inputs!$F$101),Inputs!$F$104*Inputs!$F$99/1000*Time!Z$9,0)</f>
        <v/>
      </c>
      <c r="AA874" s="20">
        <f>IF(Time!AA$4=YEAR(Inputs!$F$101),Inputs!$F$104*Inputs!$F$99/1000*Time!AA$9,0)</f>
        <v/>
      </c>
      <c r="AB874" s="20">
        <f>IF(Time!AB$4=YEAR(Inputs!$F$101),Inputs!$F$104*Inputs!$F$99/1000*Time!AB$9,0)</f>
        <v/>
      </c>
      <c r="AC874" s="20">
        <f>IF(Time!AC$4=YEAR(Inputs!$F$101),Inputs!$F$104*Inputs!$F$99/1000*Time!AC$9,0)</f>
        <v/>
      </c>
      <c r="AD874" s="20">
        <f>IF(Time!AD$4=YEAR(Inputs!$F$101),Inputs!$F$104*Inputs!$F$99/1000*Time!AD$9,0)</f>
        <v/>
      </c>
      <c r="AE874" s="20">
        <f>IF(Time!AE$4=YEAR(Inputs!$F$101),Inputs!$F$104*Inputs!$F$99/1000*Time!AE$9,0)</f>
        <v/>
      </c>
      <c r="AF874" s="20">
        <f>IF(Time!AF$4=YEAR(Inputs!$F$101),Inputs!$F$104*Inputs!$F$99/1000*Time!AF$9,0)</f>
        <v/>
      </c>
      <c r="AG874" s="20">
        <f>IF(Time!AG$4=YEAR(Inputs!$F$101),Inputs!$F$104*Inputs!$F$99/1000*Time!AG$9,0)</f>
        <v/>
      </c>
      <c r="AH874" s="20">
        <f>IF(Time!AH$4=YEAR(Inputs!$F$101),Inputs!$F$104*Inputs!$F$99/1000*Time!AH$9,0)</f>
        <v/>
      </c>
      <c r="AI874" s="20">
        <f>IF(Time!AI$4=YEAR(Inputs!$F$101),Inputs!$F$104*Inputs!$F$99/1000*Time!AI$9,0)</f>
        <v/>
      </c>
      <c r="AJ874" s="20">
        <f>IF(Time!AJ$4=YEAR(Inputs!$F$101),Inputs!$F$104*Inputs!$F$99/1000*Time!AJ$9,0)</f>
        <v/>
      </c>
      <c r="AK874" s="20">
        <f>IF(Time!AK$4=YEAR(Inputs!$F$101),Inputs!$F$104*Inputs!$F$99/1000*Time!AK$9,0)</f>
        <v/>
      </c>
      <c r="AL874" s="20">
        <f>IF(Time!AL$4=YEAR(Inputs!$F$101),Inputs!$F$104*Inputs!$F$99/1000*Time!AL$9,0)</f>
        <v/>
      </c>
      <c r="AM874" s="20">
        <f>IF(Time!AM$4=YEAR(Inputs!$F$101),Inputs!$F$104*Inputs!$F$99/1000*Time!AM$9,0)</f>
        <v/>
      </c>
      <c r="AN874" s="20">
        <f>IF(Time!AN$4=YEAR(Inputs!$F$101),Inputs!$F$104*Inputs!$F$99/1000*Time!AN$9,0)</f>
        <v/>
      </c>
      <c r="AO874" s="20">
        <f>IF(Time!AO$4=YEAR(Inputs!$F$101),Inputs!$F$104*Inputs!$F$99/1000*Time!AO$9,0)</f>
        <v/>
      </c>
      <c r="AP874" s="20">
        <f>IF(Time!AP$4=YEAR(Inputs!$F$101),Inputs!$F$104*Inputs!$F$99/1000*Time!AP$9,0)</f>
        <v/>
      </c>
      <c r="AQ874" s="20">
        <f>IF(Time!AQ$4=YEAR(Inputs!$F$101),Inputs!$F$104*Inputs!$F$99/1000*Time!AQ$9,0)</f>
        <v/>
      </c>
      <c r="AR874" s="20">
        <f>IF(Time!AR$4=YEAR(Inputs!$F$101),Inputs!$F$104*Inputs!$F$99/1000*Time!AR$9,0)</f>
        <v/>
      </c>
      <c r="AS874" s="20">
        <f>IF(Time!AS$4=YEAR(Inputs!$F$101),Inputs!$F$104*Inputs!$F$99/1000*Time!AS$9,0)</f>
        <v/>
      </c>
      <c r="AT874" s="20">
        <f>IF(Time!AT$4=YEAR(Inputs!$F$101),Inputs!$F$104*Inputs!$F$99/1000*Time!AT$9,0)</f>
        <v/>
      </c>
      <c r="AU874" s="20">
        <f>IF(Time!AU$4=YEAR(Inputs!$F$101),Inputs!$F$104*Inputs!$F$99/1000*Time!AU$9,0)</f>
        <v/>
      </c>
    </row>
    <row r="875">
      <c r="D875" t="inlineStr">
        <is>
          <t>R2 pre-tax cash flow, 100% of asset</t>
        </is>
      </c>
      <c r="E875" t="inlineStr">
        <is>
          <t>USD m</t>
        </is>
      </c>
      <c r="G875" s="20">
        <f>SUM(J875:AU875)</f>
        <v/>
      </c>
      <c r="J875" s="20">
        <f>Operations!J872-Operations!J873-Operations!J874</f>
        <v/>
      </c>
      <c r="K875" s="20">
        <f>Operations!K872-Operations!K873-Operations!K874</f>
        <v/>
      </c>
      <c r="L875" s="20">
        <f>Operations!L872-Operations!L873-Operations!L874</f>
        <v/>
      </c>
      <c r="M875" s="20">
        <f>Operations!M872-Operations!M873-Operations!M874</f>
        <v/>
      </c>
      <c r="N875" s="20">
        <f>Operations!N872-Operations!N873-Operations!N874</f>
        <v/>
      </c>
      <c r="O875" s="20">
        <f>Operations!O872-Operations!O873-Operations!O874</f>
        <v/>
      </c>
      <c r="P875" s="20">
        <f>Operations!P872-Operations!P873-Operations!P874</f>
        <v/>
      </c>
      <c r="Q875" s="20">
        <f>Operations!Q872-Operations!Q873-Operations!Q874</f>
        <v/>
      </c>
      <c r="R875" s="20">
        <f>Operations!R872-Operations!R873-Operations!R874</f>
        <v/>
      </c>
      <c r="S875" s="20">
        <f>Operations!S872-Operations!S873-Operations!S874</f>
        <v/>
      </c>
      <c r="T875" s="20">
        <f>Operations!T872-Operations!T873-Operations!T874</f>
        <v/>
      </c>
      <c r="U875" s="20">
        <f>Operations!U872-Operations!U873-Operations!U874</f>
        <v/>
      </c>
      <c r="V875" s="20">
        <f>Operations!V872-Operations!V873-Operations!V874</f>
        <v/>
      </c>
      <c r="W875" s="20">
        <f>Operations!W872-Operations!W873-Operations!W874</f>
        <v/>
      </c>
      <c r="X875" s="20">
        <f>Operations!X872-Operations!X873-Operations!X874</f>
        <v/>
      </c>
      <c r="Y875" s="20">
        <f>Operations!Y872-Operations!Y873-Operations!Y874</f>
        <v/>
      </c>
      <c r="Z875" s="20">
        <f>Operations!Z872-Operations!Z873-Operations!Z874</f>
        <v/>
      </c>
      <c r="AA875" s="20">
        <f>Operations!AA872-Operations!AA873-Operations!AA874</f>
        <v/>
      </c>
      <c r="AB875" s="20">
        <f>Operations!AB872-Operations!AB873-Operations!AB874</f>
        <v/>
      </c>
      <c r="AC875" s="20">
        <f>Operations!AC872-Operations!AC873-Operations!AC874</f>
        <v/>
      </c>
      <c r="AD875" s="20">
        <f>Operations!AD872-Operations!AD873-Operations!AD874</f>
        <v/>
      </c>
      <c r="AE875" s="20">
        <f>Operations!AE872-Operations!AE873-Operations!AE874</f>
        <v/>
      </c>
      <c r="AF875" s="20">
        <f>Operations!AF872-Operations!AF873-Operations!AF874</f>
        <v/>
      </c>
      <c r="AG875" s="20">
        <f>Operations!AG872-Operations!AG873-Operations!AG874</f>
        <v/>
      </c>
      <c r="AH875" s="20">
        <f>Operations!AH872-Operations!AH873-Operations!AH874</f>
        <v/>
      </c>
      <c r="AI875" s="20">
        <f>Operations!AI872-Operations!AI873-Operations!AI874</f>
        <v/>
      </c>
      <c r="AJ875" s="20">
        <f>Operations!AJ872-Operations!AJ873-Operations!AJ874</f>
        <v/>
      </c>
      <c r="AK875" s="20">
        <f>Operations!AK872-Operations!AK873-Operations!AK874</f>
        <v/>
      </c>
      <c r="AL875" s="20">
        <f>Operations!AL872-Operations!AL873-Operations!AL874</f>
        <v/>
      </c>
      <c r="AM875" s="20">
        <f>Operations!AM872-Operations!AM873-Operations!AM874</f>
        <v/>
      </c>
      <c r="AN875" s="20">
        <f>Operations!AN872-Operations!AN873-Operations!AN874</f>
        <v/>
      </c>
      <c r="AO875" s="20">
        <f>Operations!AO872-Operations!AO873-Operations!AO874</f>
        <v/>
      </c>
      <c r="AP875" s="20">
        <f>Operations!AP872-Operations!AP873-Operations!AP874</f>
        <v/>
      </c>
      <c r="AQ875" s="20">
        <f>Operations!AQ872-Operations!AQ873-Operations!AQ874</f>
        <v/>
      </c>
      <c r="AR875" s="20">
        <f>Operations!AR872-Operations!AR873-Operations!AR874</f>
        <v/>
      </c>
      <c r="AS875" s="20">
        <f>Operations!AS872-Operations!AS873-Operations!AS874</f>
        <v/>
      </c>
      <c r="AT875" s="20">
        <f>Operations!AT872-Operations!AT873-Operations!AT874</f>
        <v/>
      </c>
      <c r="AU875" s="20">
        <f>Operations!AU872-Operations!AU873-Operations!AU874</f>
        <v/>
      </c>
    </row>
    <row r="876">
      <c r="D876" t="inlineStr">
        <is>
          <t>R2 tax equity cash share</t>
        </is>
      </c>
      <c r="E876" t="inlineStr">
        <is>
          <t>fraction</t>
        </is>
      </c>
      <c r="J876" s="14">
        <f>0</f>
        <v/>
      </c>
      <c r="K876" s="14">
        <f>0</f>
        <v/>
      </c>
      <c r="L876" s="14">
        <f>0</f>
        <v/>
      </c>
      <c r="M876" s="14">
        <f>0</f>
        <v/>
      </c>
      <c r="N876" s="14">
        <f>0</f>
        <v/>
      </c>
      <c r="O876" s="14">
        <f>0</f>
        <v/>
      </c>
      <c r="P876" s="14">
        <f>0</f>
        <v/>
      </c>
      <c r="Q876" s="14">
        <f>0</f>
        <v/>
      </c>
      <c r="R876" s="14">
        <f>0</f>
        <v/>
      </c>
      <c r="S876" s="14">
        <f>0</f>
        <v/>
      </c>
      <c r="T876" s="14">
        <f>0</f>
        <v/>
      </c>
      <c r="U876" s="14">
        <f>0</f>
        <v/>
      </c>
      <c r="V876" s="14">
        <f>0</f>
        <v/>
      </c>
      <c r="W876" s="14">
        <f>0</f>
        <v/>
      </c>
      <c r="X876" s="14">
        <f>0</f>
        <v/>
      </c>
      <c r="Y876" s="14">
        <f>0</f>
        <v/>
      </c>
      <c r="Z876" s="14">
        <f>0</f>
        <v/>
      </c>
      <c r="AA876" s="14">
        <f>0</f>
        <v/>
      </c>
      <c r="AB876" s="14">
        <f>0</f>
        <v/>
      </c>
      <c r="AC876" s="14">
        <f>0</f>
        <v/>
      </c>
      <c r="AD876" s="14">
        <f>0</f>
        <v/>
      </c>
      <c r="AE876" s="14">
        <f>0</f>
        <v/>
      </c>
      <c r="AF876" s="14">
        <f>0</f>
        <v/>
      </c>
      <c r="AG876" s="14">
        <f>0</f>
        <v/>
      </c>
      <c r="AH876" s="14">
        <f>0</f>
        <v/>
      </c>
      <c r="AI876" s="14">
        <f>0</f>
        <v/>
      </c>
      <c r="AJ876" s="14">
        <f>0</f>
        <v/>
      </c>
      <c r="AK876" s="14">
        <f>0</f>
        <v/>
      </c>
      <c r="AL876" s="14">
        <f>0</f>
        <v/>
      </c>
      <c r="AM876" s="14">
        <f>0</f>
        <v/>
      </c>
      <c r="AN876" s="14">
        <f>0</f>
        <v/>
      </c>
      <c r="AO876" s="14">
        <f>0</f>
        <v/>
      </c>
      <c r="AP876" s="14">
        <f>0</f>
        <v/>
      </c>
      <c r="AQ876" s="14">
        <f>0</f>
        <v/>
      </c>
      <c r="AR876" s="14">
        <f>0</f>
        <v/>
      </c>
      <c r="AS876" s="14">
        <f>0</f>
        <v/>
      </c>
      <c r="AT876" s="14">
        <f>0</f>
        <v/>
      </c>
      <c r="AU876" s="14">
        <f>0</f>
        <v/>
      </c>
    </row>
    <row r="877">
      <c r="D877" t="inlineStr">
        <is>
          <t>R2 Mesa share of taxable income</t>
        </is>
      </c>
      <c r="E877" t="inlineStr">
        <is>
          <t>fraction</t>
        </is>
      </c>
      <c r="J877" s="14">
        <f>1</f>
        <v/>
      </c>
      <c r="K877" s="14">
        <f>1</f>
        <v/>
      </c>
      <c r="L877" s="14">
        <f>1</f>
        <v/>
      </c>
      <c r="M877" s="14">
        <f>1</f>
        <v/>
      </c>
      <c r="N877" s="14">
        <f>1</f>
        <v/>
      </c>
      <c r="O877" s="14">
        <f>1</f>
        <v/>
      </c>
      <c r="P877" s="14">
        <f>1</f>
        <v/>
      </c>
      <c r="Q877" s="14">
        <f>1</f>
        <v/>
      </c>
      <c r="R877" s="14">
        <f>1</f>
        <v/>
      </c>
      <c r="S877" s="14">
        <f>1</f>
        <v/>
      </c>
      <c r="T877" s="14">
        <f>1</f>
        <v/>
      </c>
      <c r="U877" s="14">
        <f>1</f>
        <v/>
      </c>
      <c r="V877" s="14">
        <f>1</f>
        <v/>
      </c>
      <c r="W877" s="14">
        <f>1</f>
        <v/>
      </c>
      <c r="X877" s="14">
        <f>1</f>
        <v/>
      </c>
      <c r="Y877" s="14">
        <f>1</f>
        <v/>
      </c>
      <c r="Z877" s="14">
        <f>1</f>
        <v/>
      </c>
      <c r="AA877" s="14">
        <f>1</f>
        <v/>
      </c>
      <c r="AB877" s="14">
        <f>1</f>
        <v/>
      </c>
      <c r="AC877" s="14">
        <f>1</f>
        <v/>
      </c>
      <c r="AD877" s="14">
        <f>1</f>
        <v/>
      </c>
      <c r="AE877" s="14">
        <f>1</f>
        <v/>
      </c>
      <c r="AF877" s="14">
        <f>1</f>
        <v/>
      </c>
      <c r="AG877" s="14">
        <f>1</f>
        <v/>
      </c>
      <c r="AH877" s="14">
        <f>1</f>
        <v/>
      </c>
      <c r="AI877" s="14">
        <f>1</f>
        <v/>
      </c>
      <c r="AJ877" s="14">
        <f>1</f>
        <v/>
      </c>
      <c r="AK877" s="14">
        <f>1</f>
        <v/>
      </c>
      <c r="AL877" s="14">
        <f>1</f>
        <v/>
      </c>
      <c r="AM877" s="14">
        <f>1</f>
        <v/>
      </c>
      <c r="AN877" s="14">
        <f>1</f>
        <v/>
      </c>
      <c r="AO877" s="14">
        <f>1</f>
        <v/>
      </c>
      <c r="AP877" s="14">
        <f>1</f>
        <v/>
      </c>
      <c r="AQ877" s="14">
        <f>1</f>
        <v/>
      </c>
      <c r="AR877" s="14">
        <f>1</f>
        <v/>
      </c>
      <c r="AS877" s="14">
        <f>1</f>
        <v/>
      </c>
      <c r="AT877" s="14">
        <f>1</f>
        <v/>
      </c>
      <c r="AU877" s="14">
        <f>1</f>
        <v/>
      </c>
    </row>
    <row r="878">
      <c r="D878" t="inlineStr">
        <is>
          <t>R2 Mesa share of cash flow</t>
        </is>
      </c>
      <c r="E878" t="inlineStr">
        <is>
          <t>USD m</t>
        </is>
      </c>
      <c r="G878" s="20">
        <f>SUM(J878:AU878)</f>
        <v/>
      </c>
      <c r="J878" s="20">
        <f>Operations!J875*(1-Operations!J876)*Operations!J849</f>
        <v/>
      </c>
      <c r="K878" s="20">
        <f>Operations!K875*(1-Operations!K876)*Operations!K849</f>
        <v/>
      </c>
      <c r="L878" s="20">
        <f>Operations!L875*(1-Operations!L876)*Operations!L849</f>
        <v/>
      </c>
      <c r="M878" s="20">
        <f>Operations!M875*(1-Operations!M876)*Operations!M849</f>
        <v/>
      </c>
      <c r="N878" s="20">
        <f>Operations!N875*(1-Operations!N876)*Operations!N849</f>
        <v/>
      </c>
      <c r="O878" s="20">
        <f>Operations!O875*(1-Operations!O876)*Operations!O849</f>
        <v/>
      </c>
      <c r="P878" s="20">
        <f>Operations!P875*(1-Operations!P876)*Operations!P849</f>
        <v/>
      </c>
      <c r="Q878" s="20">
        <f>Operations!Q875*(1-Operations!Q876)*Operations!Q849</f>
        <v/>
      </c>
      <c r="R878" s="20">
        <f>Operations!R875*(1-Operations!R876)*Operations!R849</f>
        <v/>
      </c>
      <c r="S878" s="20">
        <f>Operations!S875*(1-Operations!S876)*Operations!S849</f>
        <v/>
      </c>
      <c r="T878" s="20">
        <f>Operations!T875*(1-Operations!T876)*Operations!T849</f>
        <v/>
      </c>
      <c r="U878" s="20">
        <f>Operations!U875*(1-Operations!U876)*Operations!U849</f>
        <v/>
      </c>
      <c r="V878" s="20">
        <f>Operations!V875*(1-Operations!V876)*Operations!V849</f>
        <v/>
      </c>
      <c r="W878" s="20">
        <f>Operations!W875*(1-Operations!W876)*Operations!W849</f>
        <v/>
      </c>
      <c r="X878" s="20">
        <f>Operations!X875*(1-Operations!X876)*Operations!X849</f>
        <v/>
      </c>
      <c r="Y878" s="20">
        <f>Operations!Y875*(1-Operations!Y876)*Operations!Y849</f>
        <v/>
      </c>
      <c r="Z878" s="20">
        <f>Operations!Z875*(1-Operations!Z876)*Operations!Z849</f>
        <v/>
      </c>
      <c r="AA878" s="20">
        <f>Operations!AA875*(1-Operations!AA876)*Operations!AA849</f>
        <v/>
      </c>
      <c r="AB878" s="20">
        <f>Operations!AB875*(1-Operations!AB876)*Operations!AB849</f>
        <v/>
      </c>
      <c r="AC878" s="20">
        <f>Operations!AC875*(1-Operations!AC876)*Operations!AC849</f>
        <v/>
      </c>
      <c r="AD878" s="20">
        <f>Operations!AD875*(1-Operations!AD876)*Operations!AD849</f>
        <v/>
      </c>
      <c r="AE878" s="20">
        <f>Operations!AE875*(1-Operations!AE876)*Operations!AE849</f>
        <v/>
      </c>
      <c r="AF878" s="20">
        <f>Operations!AF875*(1-Operations!AF876)*Operations!AF849</f>
        <v/>
      </c>
      <c r="AG878" s="20">
        <f>Operations!AG875*(1-Operations!AG876)*Operations!AG849</f>
        <v/>
      </c>
      <c r="AH878" s="20">
        <f>Operations!AH875*(1-Operations!AH876)*Operations!AH849</f>
        <v/>
      </c>
      <c r="AI878" s="20">
        <f>Operations!AI875*(1-Operations!AI876)*Operations!AI849</f>
        <v/>
      </c>
      <c r="AJ878" s="20">
        <f>Operations!AJ875*(1-Operations!AJ876)*Operations!AJ849</f>
        <v/>
      </c>
      <c r="AK878" s="20">
        <f>Operations!AK875*(1-Operations!AK876)*Operations!AK849</f>
        <v/>
      </c>
      <c r="AL878" s="20">
        <f>Operations!AL875*(1-Operations!AL876)*Operations!AL849</f>
        <v/>
      </c>
      <c r="AM878" s="20">
        <f>Operations!AM875*(1-Operations!AM876)*Operations!AM849</f>
        <v/>
      </c>
      <c r="AN878" s="20">
        <f>Operations!AN875*(1-Operations!AN876)*Operations!AN849</f>
        <v/>
      </c>
      <c r="AO878" s="20">
        <f>Operations!AO875*(1-Operations!AO876)*Operations!AO849</f>
        <v/>
      </c>
      <c r="AP878" s="20">
        <f>Operations!AP875*(1-Operations!AP876)*Operations!AP849</f>
        <v/>
      </c>
      <c r="AQ878" s="20">
        <f>Operations!AQ875*(1-Operations!AQ876)*Operations!AQ849</f>
        <v/>
      </c>
      <c r="AR878" s="20">
        <f>Operations!AR875*(1-Operations!AR876)*Operations!AR849</f>
        <v/>
      </c>
      <c r="AS878" s="20">
        <f>Operations!AS875*(1-Operations!AS876)*Operations!AS849</f>
        <v/>
      </c>
      <c r="AT878" s="20">
        <f>Operations!AT875*(1-Operations!AT876)*Operations!AT849</f>
        <v/>
      </c>
      <c r="AU878" s="20">
        <f>Operations!AU875*(1-Operations!AU876)*Operations!AU849</f>
        <v/>
      </c>
    </row>
    <row r="879">
      <c r="D879" t="inlineStr">
        <is>
          <t>R2 Mesa taxable operating income</t>
        </is>
      </c>
      <c r="E879" t="inlineStr">
        <is>
          <t>USD m</t>
        </is>
      </c>
      <c r="J879" s="20">
        <f>Operations!J875*Operations!J877*Operations!J849</f>
        <v/>
      </c>
      <c r="K879" s="20">
        <f>Operations!K875*Operations!K877*Operations!K849</f>
        <v/>
      </c>
      <c r="L879" s="20">
        <f>Operations!L875*Operations!L877*Operations!L849</f>
        <v/>
      </c>
      <c r="M879" s="20">
        <f>Operations!M875*Operations!M877*Operations!M849</f>
        <v/>
      </c>
      <c r="N879" s="20">
        <f>Operations!N875*Operations!N877*Operations!N849</f>
        <v/>
      </c>
      <c r="O879" s="20">
        <f>Operations!O875*Operations!O877*Operations!O849</f>
        <v/>
      </c>
      <c r="P879" s="20">
        <f>Operations!P875*Operations!P877*Operations!P849</f>
        <v/>
      </c>
      <c r="Q879" s="20">
        <f>Operations!Q875*Operations!Q877*Operations!Q849</f>
        <v/>
      </c>
      <c r="R879" s="20">
        <f>Operations!R875*Operations!R877*Operations!R849</f>
        <v/>
      </c>
      <c r="S879" s="20">
        <f>Operations!S875*Operations!S877*Operations!S849</f>
        <v/>
      </c>
      <c r="T879" s="20">
        <f>Operations!T875*Operations!T877*Operations!T849</f>
        <v/>
      </c>
      <c r="U879" s="20">
        <f>Operations!U875*Operations!U877*Operations!U849</f>
        <v/>
      </c>
      <c r="V879" s="20">
        <f>Operations!V875*Operations!V877*Operations!V849</f>
        <v/>
      </c>
      <c r="W879" s="20">
        <f>Operations!W875*Operations!W877*Operations!W849</f>
        <v/>
      </c>
      <c r="X879" s="20">
        <f>Operations!X875*Operations!X877*Operations!X849</f>
        <v/>
      </c>
      <c r="Y879" s="20">
        <f>Operations!Y875*Operations!Y877*Operations!Y849</f>
        <v/>
      </c>
      <c r="Z879" s="20">
        <f>Operations!Z875*Operations!Z877*Operations!Z849</f>
        <v/>
      </c>
      <c r="AA879" s="20">
        <f>Operations!AA875*Operations!AA877*Operations!AA849</f>
        <v/>
      </c>
      <c r="AB879" s="20">
        <f>Operations!AB875*Operations!AB877*Operations!AB849</f>
        <v/>
      </c>
      <c r="AC879" s="20">
        <f>Operations!AC875*Operations!AC877*Operations!AC849</f>
        <v/>
      </c>
      <c r="AD879" s="20">
        <f>Operations!AD875*Operations!AD877*Operations!AD849</f>
        <v/>
      </c>
      <c r="AE879" s="20">
        <f>Operations!AE875*Operations!AE877*Operations!AE849</f>
        <v/>
      </c>
      <c r="AF879" s="20">
        <f>Operations!AF875*Operations!AF877*Operations!AF849</f>
        <v/>
      </c>
      <c r="AG879" s="20">
        <f>Operations!AG875*Operations!AG877*Operations!AG849</f>
        <v/>
      </c>
      <c r="AH879" s="20">
        <f>Operations!AH875*Operations!AH877*Operations!AH849</f>
        <v/>
      </c>
      <c r="AI879" s="20">
        <f>Operations!AI875*Operations!AI877*Operations!AI849</f>
        <v/>
      </c>
      <c r="AJ879" s="20">
        <f>Operations!AJ875*Operations!AJ877*Operations!AJ849</f>
        <v/>
      </c>
      <c r="AK879" s="20">
        <f>Operations!AK875*Operations!AK877*Operations!AK849</f>
        <v/>
      </c>
      <c r="AL879" s="20">
        <f>Operations!AL875*Operations!AL877*Operations!AL849</f>
        <v/>
      </c>
      <c r="AM879" s="20">
        <f>Operations!AM875*Operations!AM877*Operations!AM849</f>
        <v/>
      </c>
      <c r="AN879" s="20">
        <f>Operations!AN875*Operations!AN877*Operations!AN849</f>
        <v/>
      </c>
      <c r="AO879" s="20">
        <f>Operations!AO875*Operations!AO877*Operations!AO849</f>
        <v/>
      </c>
      <c r="AP879" s="20">
        <f>Operations!AP875*Operations!AP877*Operations!AP849</f>
        <v/>
      </c>
      <c r="AQ879" s="20">
        <f>Operations!AQ875*Operations!AQ877*Operations!AQ849</f>
        <v/>
      </c>
      <c r="AR879" s="20">
        <f>Operations!AR875*Operations!AR877*Operations!AR849</f>
        <v/>
      </c>
      <c r="AS879" s="20">
        <f>Operations!AS875*Operations!AS877*Operations!AS849</f>
        <v/>
      </c>
      <c r="AT879" s="20">
        <f>Operations!AT875*Operations!AT877*Operations!AT849</f>
        <v/>
      </c>
      <c r="AU879" s="20">
        <f>Operations!AU875*Operations!AU877*Operations!AU849</f>
        <v/>
      </c>
    </row>
    <row r="880">
      <c r="D880" t="inlineStr">
        <is>
          <t>R2 Mesa unlevered post-tax cash flow (before price shield)</t>
        </is>
      </c>
      <c r="E880" t="inlineStr">
        <is>
          <t>USD m</t>
        </is>
      </c>
      <c r="J880" s="20">
        <f>Operations!J878-Inputs!$F$241/100*Operations!J879</f>
        <v/>
      </c>
      <c r="K880" s="20">
        <f>Operations!K878-Inputs!$F$241/100*Operations!K879</f>
        <v/>
      </c>
      <c r="L880" s="20">
        <f>Operations!L878-Inputs!$F$241/100*Operations!L879</f>
        <v/>
      </c>
      <c r="M880" s="20">
        <f>Operations!M878-Inputs!$F$241/100*Operations!M879</f>
        <v/>
      </c>
      <c r="N880" s="20">
        <f>Operations!N878-Inputs!$F$241/100*Operations!N879</f>
        <v/>
      </c>
      <c r="O880" s="20">
        <f>Operations!O878-Inputs!$F$241/100*Operations!O879</f>
        <v/>
      </c>
      <c r="P880" s="20">
        <f>Operations!P878-Inputs!$F$241/100*Operations!P879</f>
        <v/>
      </c>
      <c r="Q880" s="20">
        <f>Operations!Q878-Inputs!$F$241/100*Operations!Q879</f>
        <v/>
      </c>
      <c r="R880" s="20">
        <f>Operations!R878-Inputs!$F$241/100*Operations!R879</f>
        <v/>
      </c>
      <c r="S880" s="20">
        <f>Operations!S878-Inputs!$F$241/100*Operations!S879</f>
        <v/>
      </c>
      <c r="T880" s="20">
        <f>Operations!T878-Inputs!$F$241/100*Operations!T879</f>
        <v/>
      </c>
      <c r="U880" s="20">
        <f>Operations!U878-Inputs!$F$241/100*Operations!U879</f>
        <v/>
      </c>
      <c r="V880" s="20">
        <f>Operations!V878-Inputs!$F$241/100*Operations!V879</f>
        <v/>
      </c>
      <c r="W880" s="20">
        <f>Operations!W878-Inputs!$F$241/100*Operations!W879</f>
        <v/>
      </c>
      <c r="X880" s="20">
        <f>Operations!X878-Inputs!$F$241/100*Operations!X879</f>
        <v/>
      </c>
      <c r="Y880" s="20">
        <f>Operations!Y878-Inputs!$F$241/100*Operations!Y879</f>
        <v/>
      </c>
      <c r="Z880" s="20">
        <f>Operations!Z878-Inputs!$F$241/100*Operations!Z879</f>
        <v/>
      </c>
      <c r="AA880" s="20">
        <f>Operations!AA878-Inputs!$F$241/100*Operations!AA879</f>
        <v/>
      </c>
      <c r="AB880" s="20">
        <f>Operations!AB878-Inputs!$F$241/100*Operations!AB879</f>
        <v/>
      </c>
      <c r="AC880" s="20">
        <f>Operations!AC878-Inputs!$F$241/100*Operations!AC879</f>
        <v/>
      </c>
      <c r="AD880" s="20">
        <f>Operations!AD878-Inputs!$F$241/100*Operations!AD879</f>
        <v/>
      </c>
      <c r="AE880" s="20">
        <f>Operations!AE878-Inputs!$F$241/100*Operations!AE879</f>
        <v/>
      </c>
      <c r="AF880" s="20">
        <f>Operations!AF878-Inputs!$F$241/100*Operations!AF879</f>
        <v/>
      </c>
      <c r="AG880" s="20">
        <f>Operations!AG878-Inputs!$F$241/100*Operations!AG879</f>
        <v/>
      </c>
      <c r="AH880" s="20">
        <f>Operations!AH878-Inputs!$F$241/100*Operations!AH879</f>
        <v/>
      </c>
      <c r="AI880" s="20">
        <f>Operations!AI878-Inputs!$F$241/100*Operations!AI879</f>
        <v/>
      </c>
      <c r="AJ880" s="20">
        <f>Operations!AJ878-Inputs!$F$241/100*Operations!AJ879</f>
        <v/>
      </c>
      <c r="AK880" s="20">
        <f>Operations!AK878-Inputs!$F$241/100*Operations!AK879</f>
        <v/>
      </c>
      <c r="AL880" s="20">
        <f>Operations!AL878-Inputs!$F$241/100*Operations!AL879</f>
        <v/>
      </c>
      <c r="AM880" s="20">
        <f>Operations!AM878-Inputs!$F$241/100*Operations!AM879</f>
        <v/>
      </c>
      <c r="AN880" s="20">
        <f>Operations!AN878-Inputs!$F$241/100*Operations!AN879</f>
        <v/>
      </c>
      <c r="AO880" s="20">
        <f>Operations!AO878-Inputs!$F$241/100*Operations!AO879</f>
        <v/>
      </c>
      <c r="AP880" s="20">
        <f>Operations!AP878-Inputs!$F$241/100*Operations!AP879</f>
        <v/>
      </c>
      <c r="AQ880" s="20">
        <f>Operations!AQ878-Inputs!$F$241/100*Operations!AQ879</f>
        <v/>
      </c>
      <c r="AR880" s="20">
        <f>Operations!AR878-Inputs!$F$241/100*Operations!AR879</f>
        <v/>
      </c>
      <c r="AS880" s="20">
        <f>Operations!AS878-Inputs!$F$241/100*Operations!AS879</f>
        <v/>
      </c>
      <c r="AT880" s="20">
        <f>Operations!AT878-Inputs!$F$241/100*Operations!AT879</f>
        <v/>
      </c>
      <c r="AU880" s="20">
        <f>Operations!AU878-Inputs!$F$241/100*Operations!AU879</f>
        <v/>
      </c>
    </row>
    <row r="881">
      <c r="D881" t="inlineStr">
        <is>
          <t>R2 contracted share of revenue</t>
        </is>
      </c>
      <c r="E881" t="inlineStr">
        <is>
          <t>fraction</t>
        </is>
      </c>
      <c r="J881" s="14">
        <f>IF(Operations!J866=0,0,Operations!J863/Operations!J866)</f>
        <v/>
      </c>
      <c r="K881" s="14">
        <f>IF(Operations!K866=0,0,Operations!K863/Operations!K866)</f>
        <v/>
      </c>
      <c r="L881" s="14">
        <f>IF(Operations!L866=0,0,Operations!L863/Operations!L866)</f>
        <v/>
      </c>
      <c r="M881" s="14">
        <f>IF(Operations!M866=0,0,Operations!M863/Operations!M866)</f>
        <v/>
      </c>
      <c r="N881" s="14">
        <f>IF(Operations!N866=0,0,Operations!N863/Operations!N866)</f>
        <v/>
      </c>
      <c r="O881" s="14">
        <f>IF(Operations!O866=0,0,Operations!O863/Operations!O866)</f>
        <v/>
      </c>
      <c r="P881" s="14">
        <f>IF(Operations!P866=0,0,Operations!P863/Operations!P866)</f>
        <v/>
      </c>
      <c r="Q881" s="14">
        <f>IF(Operations!Q866=0,0,Operations!Q863/Operations!Q866)</f>
        <v/>
      </c>
      <c r="R881" s="14">
        <f>IF(Operations!R866=0,0,Operations!R863/Operations!R866)</f>
        <v/>
      </c>
      <c r="S881" s="14">
        <f>IF(Operations!S866=0,0,Operations!S863/Operations!S866)</f>
        <v/>
      </c>
      <c r="T881" s="14">
        <f>IF(Operations!T866=0,0,Operations!T863/Operations!T866)</f>
        <v/>
      </c>
      <c r="U881" s="14">
        <f>IF(Operations!U866=0,0,Operations!U863/Operations!U866)</f>
        <v/>
      </c>
      <c r="V881" s="14">
        <f>IF(Operations!V866=0,0,Operations!V863/Operations!V866)</f>
        <v/>
      </c>
      <c r="W881" s="14">
        <f>IF(Operations!W866=0,0,Operations!W863/Operations!W866)</f>
        <v/>
      </c>
      <c r="X881" s="14">
        <f>IF(Operations!X866=0,0,Operations!X863/Operations!X866)</f>
        <v/>
      </c>
      <c r="Y881" s="14">
        <f>IF(Operations!Y866=0,0,Operations!Y863/Operations!Y866)</f>
        <v/>
      </c>
      <c r="Z881" s="14">
        <f>IF(Operations!Z866=0,0,Operations!Z863/Operations!Z866)</f>
        <v/>
      </c>
      <c r="AA881" s="14">
        <f>IF(Operations!AA866=0,0,Operations!AA863/Operations!AA866)</f>
        <v/>
      </c>
      <c r="AB881" s="14">
        <f>IF(Operations!AB866=0,0,Operations!AB863/Operations!AB866)</f>
        <v/>
      </c>
      <c r="AC881" s="14">
        <f>IF(Operations!AC866=0,0,Operations!AC863/Operations!AC866)</f>
        <v/>
      </c>
      <c r="AD881" s="14">
        <f>IF(Operations!AD866=0,0,Operations!AD863/Operations!AD866)</f>
        <v/>
      </c>
      <c r="AE881" s="14">
        <f>IF(Operations!AE866=0,0,Operations!AE863/Operations!AE866)</f>
        <v/>
      </c>
      <c r="AF881" s="14">
        <f>IF(Operations!AF866=0,0,Operations!AF863/Operations!AF866)</f>
        <v/>
      </c>
      <c r="AG881" s="14">
        <f>IF(Operations!AG866=0,0,Operations!AG863/Operations!AG866)</f>
        <v/>
      </c>
      <c r="AH881" s="14">
        <f>IF(Operations!AH866=0,0,Operations!AH863/Operations!AH866)</f>
        <v/>
      </c>
      <c r="AI881" s="14">
        <f>IF(Operations!AI866=0,0,Operations!AI863/Operations!AI866)</f>
        <v/>
      </c>
      <c r="AJ881" s="14">
        <f>IF(Operations!AJ866=0,0,Operations!AJ863/Operations!AJ866)</f>
        <v/>
      </c>
      <c r="AK881" s="14">
        <f>IF(Operations!AK866=0,0,Operations!AK863/Operations!AK866)</f>
        <v/>
      </c>
      <c r="AL881" s="14">
        <f>IF(Operations!AL866=0,0,Operations!AL863/Operations!AL866)</f>
        <v/>
      </c>
      <c r="AM881" s="14">
        <f>IF(Operations!AM866=0,0,Operations!AM863/Operations!AM866)</f>
        <v/>
      </c>
      <c r="AN881" s="14">
        <f>IF(Operations!AN866=0,0,Operations!AN863/Operations!AN866)</f>
        <v/>
      </c>
      <c r="AO881" s="14">
        <f>IF(Operations!AO866=0,0,Operations!AO863/Operations!AO866)</f>
        <v/>
      </c>
      <c r="AP881" s="14">
        <f>IF(Operations!AP866=0,0,Operations!AP863/Operations!AP866)</f>
        <v/>
      </c>
      <c r="AQ881" s="14">
        <f>IF(Operations!AQ866=0,0,Operations!AQ863/Operations!AQ866)</f>
        <v/>
      </c>
      <c r="AR881" s="14">
        <f>IF(Operations!AR866=0,0,Operations!AR863/Operations!AR866)</f>
        <v/>
      </c>
      <c r="AS881" s="14">
        <f>IF(Operations!AS866=0,0,Operations!AS863/Operations!AS866)</f>
        <v/>
      </c>
      <c r="AT881" s="14">
        <f>IF(Operations!AT866=0,0,Operations!AT863/Operations!AT866)</f>
        <v/>
      </c>
      <c r="AU881" s="14">
        <f>IF(Operations!AU866=0,0,Operations!AU863/Operations!AU866)</f>
        <v/>
      </c>
    </row>
    <row r="882">
      <c r="D882" t="inlineStr">
        <is>
          <t>R2 hedged share of revenue</t>
        </is>
      </c>
      <c r="E882" t="inlineStr">
        <is>
          <t>fraction</t>
        </is>
      </c>
      <c r="J882" s="14">
        <f>IF(Operations!J866=0,0,Operations!J864/Operations!J866)</f>
        <v/>
      </c>
      <c r="K882" s="14">
        <f>IF(Operations!K866=0,0,Operations!K864/Operations!K866)</f>
        <v/>
      </c>
      <c r="L882" s="14">
        <f>IF(Operations!L866=0,0,Operations!L864/Operations!L866)</f>
        <v/>
      </c>
      <c r="M882" s="14">
        <f>IF(Operations!M866=0,0,Operations!M864/Operations!M866)</f>
        <v/>
      </c>
      <c r="N882" s="14">
        <f>IF(Operations!N866=0,0,Operations!N864/Operations!N866)</f>
        <v/>
      </c>
      <c r="O882" s="14">
        <f>IF(Operations!O866=0,0,Operations!O864/Operations!O866)</f>
        <v/>
      </c>
      <c r="P882" s="14">
        <f>IF(Operations!P866=0,0,Operations!P864/Operations!P866)</f>
        <v/>
      </c>
      <c r="Q882" s="14">
        <f>IF(Operations!Q866=0,0,Operations!Q864/Operations!Q866)</f>
        <v/>
      </c>
      <c r="R882" s="14">
        <f>IF(Operations!R866=0,0,Operations!R864/Operations!R866)</f>
        <v/>
      </c>
      <c r="S882" s="14">
        <f>IF(Operations!S866=0,0,Operations!S864/Operations!S866)</f>
        <v/>
      </c>
      <c r="T882" s="14">
        <f>IF(Operations!T866=0,0,Operations!T864/Operations!T866)</f>
        <v/>
      </c>
      <c r="U882" s="14">
        <f>IF(Operations!U866=0,0,Operations!U864/Operations!U866)</f>
        <v/>
      </c>
      <c r="V882" s="14">
        <f>IF(Operations!V866=0,0,Operations!V864/Operations!V866)</f>
        <v/>
      </c>
      <c r="W882" s="14">
        <f>IF(Operations!W866=0,0,Operations!W864/Operations!W866)</f>
        <v/>
      </c>
      <c r="X882" s="14">
        <f>IF(Operations!X866=0,0,Operations!X864/Operations!X866)</f>
        <v/>
      </c>
      <c r="Y882" s="14">
        <f>IF(Operations!Y866=0,0,Operations!Y864/Operations!Y866)</f>
        <v/>
      </c>
      <c r="Z882" s="14">
        <f>IF(Operations!Z866=0,0,Operations!Z864/Operations!Z866)</f>
        <v/>
      </c>
      <c r="AA882" s="14">
        <f>IF(Operations!AA866=0,0,Operations!AA864/Operations!AA866)</f>
        <v/>
      </c>
      <c r="AB882" s="14">
        <f>IF(Operations!AB866=0,0,Operations!AB864/Operations!AB866)</f>
        <v/>
      </c>
      <c r="AC882" s="14">
        <f>IF(Operations!AC866=0,0,Operations!AC864/Operations!AC866)</f>
        <v/>
      </c>
      <c r="AD882" s="14">
        <f>IF(Operations!AD866=0,0,Operations!AD864/Operations!AD866)</f>
        <v/>
      </c>
      <c r="AE882" s="14">
        <f>IF(Operations!AE866=0,0,Operations!AE864/Operations!AE866)</f>
        <v/>
      </c>
      <c r="AF882" s="14">
        <f>IF(Operations!AF866=0,0,Operations!AF864/Operations!AF866)</f>
        <v/>
      </c>
      <c r="AG882" s="14">
        <f>IF(Operations!AG866=0,0,Operations!AG864/Operations!AG866)</f>
        <v/>
      </c>
      <c r="AH882" s="14">
        <f>IF(Operations!AH866=0,0,Operations!AH864/Operations!AH866)</f>
        <v/>
      </c>
      <c r="AI882" s="14">
        <f>IF(Operations!AI866=0,0,Operations!AI864/Operations!AI866)</f>
        <v/>
      </c>
      <c r="AJ882" s="14">
        <f>IF(Operations!AJ866=0,0,Operations!AJ864/Operations!AJ866)</f>
        <v/>
      </c>
      <c r="AK882" s="14">
        <f>IF(Operations!AK866=0,0,Operations!AK864/Operations!AK866)</f>
        <v/>
      </c>
      <c r="AL882" s="14">
        <f>IF(Operations!AL866=0,0,Operations!AL864/Operations!AL866)</f>
        <v/>
      </c>
      <c r="AM882" s="14">
        <f>IF(Operations!AM866=0,0,Operations!AM864/Operations!AM866)</f>
        <v/>
      </c>
      <c r="AN882" s="14">
        <f>IF(Operations!AN866=0,0,Operations!AN864/Operations!AN866)</f>
        <v/>
      </c>
      <c r="AO882" s="14">
        <f>IF(Operations!AO866=0,0,Operations!AO864/Operations!AO866)</f>
        <v/>
      </c>
      <c r="AP882" s="14">
        <f>IF(Operations!AP866=0,0,Operations!AP864/Operations!AP866)</f>
        <v/>
      </c>
      <c r="AQ882" s="14">
        <f>IF(Operations!AQ866=0,0,Operations!AQ864/Operations!AQ866)</f>
        <v/>
      </c>
      <c r="AR882" s="14">
        <f>IF(Operations!AR866=0,0,Operations!AR864/Operations!AR866)</f>
        <v/>
      </c>
      <c r="AS882" s="14">
        <f>IF(Operations!AS866=0,0,Operations!AS864/Operations!AS866)</f>
        <v/>
      </c>
      <c r="AT882" s="14">
        <f>IF(Operations!AT866=0,0,Operations!AT864/Operations!AT866)</f>
        <v/>
      </c>
      <c r="AU882" s="14">
        <f>IF(Operations!AU866=0,0,Operations!AU864/Operations!AU866)</f>
        <v/>
      </c>
    </row>
    <row r="883">
      <c r="D883" t="inlineStr">
        <is>
          <t>R2 merchant share of revenue</t>
        </is>
      </c>
      <c r="E883" t="inlineStr">
        <is>
          <t>fraction</t>
        </is>
      </c>
      <c r="J883" s="14">
        <f>1-Operations!J881-Operations!J882</f>
        <v/>
      </c>
      <c r="K883" s="14">
        <f>1-Operations!K881-Operations!K882</f>
        <v/>
      </c>
      <c r="L883" s="14">
        <f>1-Operations!L881-Operations!L882</f>
        <v/>
      </c>
      <c r="M883" s="14">
        <f>1-Operations!M881-Operations!M882</f>
        <v/>
      </c>
      <c r="N883" s="14">
        <f>1-Operations!N881-Operations!N882</f>
        <v/>
      </c>
      <c r="O883" s="14">
        <f>1-Operations!O881-Operations!O882</f>
        <v/>
      </c>
      <c r="P883" s="14">
        <f>1-Operations!P881-Operations!P882</f>
        <v/>
      </c>
      <c r="Q883" s="14">
        <f>1-Operations!Q881-Operations!Q882</f>
        <v/>
      </c>
      <c r="R883" s="14">
        <f>1-Operations!R881-Operations!R882</f>
        <v/>
      </c>
      <c r="S883" s="14">
        <f>1-Operations!S881-Operations!S882</f>
        <v/>
      </c>
      <c r="T883" s="14">
        <f>1-Operations!T881-Operations!T882</f>
        <v/>
      </c>
      <c r="U883" s="14">
        <f>1-Operations!U881-Operations!U882</f>
        <v/>
      </c>
      <c r="V883" s="14">
        <f>1-Operations!V881-Operations!V882</f>
        <v/>
      </c>
      <c r="W883" s="14">
        <f>1-Operations!W881-Operations!W882</f>
        <v/>
      </c>
      <c r="X883" s="14">
        <f>1-Operations!X881-Operations!X882</f>
        <v/>
      </c>
      <c r="Y883" s="14">
        <f>1-Operations!Y881-Operations!Y882</f>
        <v/>
      </c>
      <c r="Z883" s="14">
        <f>1-Operations!Z881-Operations!Z882</f>
        <v/>
      </c>
      <c r="AA883" s="14">
        <f>1-Operations!AA881-Operations!AA882</f>
        <v/>
      </c>
      <c r="AB883" s="14">
        <f>1-Operations!AB881-Operations!AB882</f>
        <v/>
      </c>
      <c r="AC883" s="14">
        <f>1-Operations!AC881-Operations!AC882</f>
        <v/>
      </c>
      <c r="AD883" s="14">
        <f>1-Operations!AD881-Operations!AD882</f>
        <v/>
      </c>
      <c r="AE883" s="14">
        <f>1-Operations!AE881-Operations!AE882</f>
        <v/>
      </c>
      <c r="AF883" s="14">
        <f>1-Operations!AF881-Operations!AF882</f>
        <v/>
      </c>
      <c r="AG883" s="14">
        <f>1-Operations!AG881-Operations!AG882</f>
        <v/>
      </c>
      <c r="AH883" s="14">
        <f>1-Operations!AH881-Operations!AH882</f>
        <v/>
      </c>
      <c r="AI883" s="14">
        <f>1-Operations!AI881-Operations!AI882</f>
        <v/>
      </c>
      <c r="AJ883" s="14">
        <f>1-Operations!AJ881-Operations!AJ882</f>
        <v/>
      </c>
      <c r="AK883" s="14">
        <f>1-Operations!AK881-Operations!AK882</f>
        <v/>
      </c>
      <c r="AL883" s="14">
        <f>1-Operations!AL881-Operations!AL882</f>
        <v/>
      </c>
      <c r="AM883" s="14">
        <f>1-Operations!AM881-Operations!AM882</f>
        <v/>
      </c>
      <c r="AN883" s="14">
        <f>1-Operations!AN881-Operations!AN882</f>
        <v/>
      </c>
      <c r="AO883" s="14">
        <f>1-Operations!AO881-Operations!AO882</f>
        <v/>
      </c>
      <c r="AP883" s="14">
        <f>1-Operations!AP881-Operations!AP882</f>
        <v/>
      </c>
      <c r="AQ883" s="14">
        <f>1-Operations!AQ881-Operations!AQ882</f>
        <v/>
      </c>
      <c r="AR883" s="14">
        <f>1-Operations!AR881-Operations!AR882</f>
        <v/>
      </c>
      <c r="AS883" s="14">
        <f>1-Operations!AS881-Operations!AS882</f>
        <v/>
      </c>
      <c r="AT883" s="14">
        <f>1-Operations!AT881-Operations!AT882</f>
        <v/>
      </c>
      <c r="AU883" s="14">
        <f>1-Operations!AU881-Operations!AU882</f>
        <v/>
      </c>
    </row>
    <row r="884">
      <c r="D884" t="inlineStr">
        <is>
          <t>R2 Mesa-share contracted revenue</t>
        </is>
      </c>
      <c r="E884" t="inlineStr">
        <is>
          <t>USD m</t>
        </is>
      </c>
      <c r="J884" s="20">
        <f>Operations!J863*Operations!J849*(1-Operations!J876)</f>
        <v/>
      </c>
      <c r="K884" s="20">
        <f>Operations!K863*Operations!K849*(1-Operations!K876)</f>
        <v/>
      </c>
      <c r="L884" s="20">
        <f>Operations!L863*Operations!L849*(1-Operations!L876)</f>
        <v/>
      </c>
      <c r="M884" s="20">
        <f>Operations!M863*Operations!M849*(1-Operations!M876)</f>
        <v/>
      </c>
      <c r="N884" s="20">
        <f>Operations!N863*Operations!N849*(1-Operations!N876)</f>
        <v/>
      </c>
      <c r="O884" s="20">
        <f>Operations!O863*Operations!O849*(1-Operations!O876)</f>
        <v/>
      </c>
      <c r="P884" s="20">
        <f>Operations!P863*Operations!P849*(1-Operations!P876)</f>
        <v/>
      </c>
      <c r="Q884" s="20">
        <f>Operations!Q863*Operations!Q849*(1-Operations!Q876)</f>
        <v/>
      </c>
      <c r="R884" s="20">
        <f>Operations!R863*Operations!R849*(1-Operations!R876)</f>
        <v/>
      </c>
      <c r="S884" s="20">
        <f>Operations!S863*Operations!S849*(1-Operations!S876)</f>
        <v/>
      </c>
      <c r="T884" s="20">
        <f>Operations!T863*Operations!T849*(1-Operations!T876)</f>
        <v/>
      </c>
      <c r="U884" s="20">
        <f>Operations!U863*Operations!U849*(1-Operations!U876)</f>
        <v/>
      </c>
      <c r="V884" s="20">
        <f>Operations!V863*Operations!V849*(1-Operations!V876)</f>
        <v/>
      </c>
      <c r="W884" s="20">
        <f>Operations!W863*Operations!W849*(1-Operations!W876)</f>
        <v/>
      </c>
      <c r="X884" s="20">
        <f>Operations!X863*Operations!X849*(1-Operations!X876)</f>
        <v/>
      </c>
      <c r="Y884" s="20">
        <f>Operations!Y863*Operations!Y849*(1-Operations!Y876)</f>
        <v/>
      </c>
      <c r="Z884" s="20">
        <f>Operations!Z863*Operations!Z849*(1-Operations!Z876)</f>
        <v/>
      </c>
      <c r="AA884" s="20">
        <f>Operations!AA863*Operations!AA849*(1-Operations!AA876)</f>
        <v/>
      </c>
      <c r="AB884" s="20">
        <f>Operations!AB863*Operations!AB849*(1-Operations!AB876)</f>
        <v/>
      </c>
      <c r="AC884" s="20">
        <f>Operations!AC863*Operations!AC849*(1-Operations!AC876)</f>
        <v/>
      </c>
      <c r="AD884" s="20">
        <f>Operations!AD863*Operations!AD849*(1-Operations!AD876)</f>
        <v/>
      </c>
      <c r="AE884" s="20">
        <f>Operations!AE863*Operations!AE849*(1-Operations!AE876)</f>
        <v/>
      </c>
      <c r="AF884" s="20">
        <f>Operations!AF863*Operations!AF849*(1-Operations!AF876)</f>
        <v/>
      </c>
      <c r="AG884" s="20">
        <f>Operations!AG863*Operations!AG849*(1-Operations!AG876)</f>
        <v/>
      </c>
      <c r="AH884" s="20">
        <f>Operations!AH863*Operations!AH849*(1-Operations!AH876)</f>
        <v/>
      </c>
      <c r="AI884" s="20">
        <f>Operations!AI863*Operations!AI849*(1-Operations!AI876)</f>
        <v/>
      </c>
      <c r="AJ884" s="20">
        <f>Operations!AJ863*Operations!AJ849*(1-Operations!AJ876)</f>
        <v/>
      </c>
      <c r="AK884" s="20">
        <f>Operations!AK863*Operations!AK849*(1-Operations!AK876)</f>
        <v/>
      </c>
      <c r="AL884" s="20">
        <f>Operations!AL863*Operations!AL849*(1-Operations!AL876)</f>
        <v/>
      </c>
      <c r="AM884" s="20">
        <f>Operations!AM863*Operations!AM849*(1-Operations!AM876)</f>
        <v/>
      </c>
      <c r="AN884" s="20">
        <f>Operations!AN863*Operations!AN849*(1-Operations!AN876)</f>
        <v/>
      </c>
      <c r="AO884" s="20">
        <f>Operations!AO863*Operations!AO849*(1-Operations!AO876)</f>
        <v/>
      </c>
      <c r="AP884" s="20">
        <f>Operations!AP863*Operations!AP849*(1-Operations!AP876)</f>
        <v/>
      </c>
      <c r="AQ884" s="20">
        <f>Operations!AQ863*Operations!AQ849*(1-Operations!AQ876)</f>
        <v/>
      </c>
      <c r="AR884" s="20">
        <f>Operations!AR863*Operations!AR849*(1-Operations!AR876)</f>
        <v/>
      </c>
      <c r="AS884" s="20">
        <f>Operations!AS863*Operations!AS849*(1-Operations!AS876)</f>
        <v/>
      </c>
      <c r="AT884" s="20">
        <f>Operations!AT863*Operations!AT849*(1-Operations!AT876)</f>
        <v/>
      </c>
      <c r="AU884" s="20">
        <f>Operations!AU863*Operations!AU849*(1-Operations!AU876)</f>
        <v/>
      </c>
    </row>
    <row r="885">
      <c r="D885" t="inlineStr">
        <is>
          <t>R2 Mesa-share hedged revenue</t>
        </is>
      </c>
      <c r="E885" t="inlineStr">
        <is>
          <t>USD m</t>
        </is>
      </c>
      <c r="J885" s="20">
        <f>Operations!J864*Operations!J849*(1-Operations!J876)</f>
        <v/>
      </c>
      <c r="K885" s="20">
        <f>Operations!K864*Operations!K849*(1-Operations!K876)</f>
        <v/>
      </c>
      <c r="L885" s="20">
        <f>Operations!L864*Operations!L849*(1-Operations!L876)</f>
        <v/>
      </c>
      <c r="M885" s="20">
        <f>Operations!M864*Operations!M849*(1-Operations!M876)</f>
        <v/>
      </c>
      <c r="N885" s="20">
        <f>Operations!N864*Operations!N849*(1-Operations!N876)</f>
        <v/>
      </c>
      <c r="O885" s="20">
        <f>Operations!O864*Operations!O849*(1-Operations!O876)</f>
        <v/>
      </c>
      <c r="P885" s="20">
        <f>Operations!P864*Operations!P849*(1-Operations!P876)</f>
        <v/>
      </c>
      <c r="Q885" s="20">
        <f>Operations!Q864*Operations!Q849*(1-Operations!Q876)</f>
        <v/>
      </c>
      <c r="R885" s="20">
        <f>Operations!R864*Operations!R849*(1-Operations!R876)</f>
        <v/>
      </c>
      <c r="S885" s="20">
        <f>Operations!S864*Operations!S849*(1-Operations!S876)</f>
        <v/>
      </c>
      <c r="T885" s="20">
        <f>Operations!T864*Operations!T849*(1-Operations!T876)</f>
        <v/>
      </c>
      <c r="U885" s="20">
        <f>Operations!U864*Operations!U849*(1-Operations!U876)</f>
        <v/>
      </c>
      <c r="V885" s="20">
        <f>Operations!V864*Operations!V849*(1-Operations!V876)</f>
        <v/>
      </c>
      <c r="W885" s="20">
        <f>Operations!W864*Operations!W849*(1-Operations!W876)</f>
        <v/>
      </c>
      <c r="X885" s="20">
        <f>Operations!X864*Operations!X849*(1-Operations!X876)</f>
        <v/>
      </c>
      <c r="Y885" s="20">
        <f>Operations!Y864*Operations!Y849*(1-Operations!Y876)</f>
        <v/>
      </c>
      <c r="Z885" s="20">
        <f>Operations!Z864*Operations!Z849*(1-Operations!Z876)</f>
        <v/>
      </c>
      <c r="AA885" s="20">
        <f>Operations!AA864*Operations!AA849*(1-Operations!AA876)</f>
        <v/>
      </c>
      <c r="AB885" s="20">
        <f>Operations!AB864*Operations!AB849*(1-Operations!AB876)</f>
        <v/>
      </c>
      <c r="AC885" s="20">
        <f>Operations!AC864*Operations!AC849*(1-Operations!AC876)</f>
        <v/>
      </c>
      <c r="AD885" s="20">
        <f>Operations!AD864*Operations!AD849*(1-Operations!AD876)</f>
        <v/>
      </c>
      <c r="AE885" s="20">
        <f>Operations!AE864*Operations!AE849*(1-Operations!AE876)</f>
        <v/>
      </c>
      <c r="AF885" s="20">
        <f>Operations!AF864*Operations!AF849*(1-Operations!AF876)</f>
        <v/>
      </c>
      <c r="AG885" s="20">
        <f>Operations!AG864*Operations!AG849*(1-Operations!AG876)</f>
        <v/>
      </c>
      <c r="AH885" s="20">
        <f>Operations!AH864*Operations!AH849*(1-Operations!AH876)</f>
        <v/>
      </c>
      <c r="AI885" s="20">
        <f>Operations!AI864*Operations!AI849*(1-Operations!AI876)</f>
        <v/>
      </c>
      <c r="AJ885" s="20">
        <f>Operations!AJ864*Operations!AJ849*(1-Operations!AJ876)</f>
        <v/>
      </c>
      <c r="AK885" s="20">
        <f>Operations!AK864*Operations!AK849*(1-Operations!AK876)</f>
        <v/>
      </c>
      <c r="AL885" s="20">
        <f>Operations!AL864*Operations!AL849*(1-Operations!AL876)</f>
        <v/>
      </c>
      <c r="AM885" s="20">
        <f>Operations!AM864*Operations!AM849*(1-Operations!AM876)</f>
        <v/>
      </c>
      <c r="AN885" s="20">
        <f>Operations!AN864*Operations!AN849*(1-Operations!AN876)</f>
        <v/>
      </c>
      <c r="AO885" s="20">
        <f>Operations!AO864*Operations!AO849*(1-Operations!AO876)</f>
        <v/>
      </c>
      <c r="AP885" s="20">
        <f>Operations!AP864*Operations!AP849*(1-Operations!AP876)</f>
        <v/>
      </c>
      <c r="AQ885" s="20">
        <f>Operations!AQ864*Operations!AQ849*(1-Operations!AQ876)</f>
        <v/>
      </c>
      <c r="AR885" s="20">
        <f>Operations!AR864*Operations!AR849*(1-Operations!AR876)</f>
        <v/>
      </c>
      <c r="AS885" s="20">
        <f>Operations!AS864*Operations!AS849*(1-Operations!AS876)</f>
        <v/>
      </c>
      <c r="AT885" s="20">
        <f>Operations!AT864*Operations!AT849*(1-Operations!AT876)</f>
        <v/>
      </c>
      <c r="AU885" s="20">
        <f>Operations!AU864*Operations!AU849*(1-Operations!AU876)</f>
        <v/>
      </c>
    </row>
    <row r="886">
      <c r="D886" t="inlineStr">
        <is>
          <t>R2 Mesa-share merchant revenue</t>
        </is>
      </c>
      <c r="E886" t="inlineStr">
        <is>
          <t>USD m</t>
        </is>
      </c>
      <c r="J886" s="20">
        <f>Operations!J867*Operations!J849*(1-Operations!J876)</f>
        <v/>
      </c>
      <c r="K886" s="20">
        <f>Operations!K867*Operations!K849*(1-Operations!K876)</f>
        <v/>
      </c>
      <c r="L886" s="20">
        <f>Operations!L867*Operations!L849*(1-Operations!L876)</f>
        <v/>
      </c>
      <c r="M886" s="20">
        <f>Operations!M867*Operations!M849*(1-Operations!M876)</f>
        <v/>
      </c>
      <c r="N886" s="20">
        <f>Operations!N867*Operations!N849*(1-Operations!N876)</f>
        <v/>
      </c>
      <c r="O886" s="20">
        <f>Operations!O867*Operations!O849*(1-Operations!O876)</f>
        <v/>
      </c>
      <c r="P886" s="20">
        <f>Operations!P867*Operations!P849*(1-Operations!P876)</f>
        <v/>
      </c>
      <c r="Q886" s="20">
        <f>Operations!Q867*Operations!Q849*(1-Operations!Q876)</f>
        <v/>
      </c>
      <c r="R886" s="20">
        <f>Operations!R867*Operations!R849*(1-Operations!R876)</f>
        <v/>
      </c>
      <c r="S886" s="20">
        <f>Operations!S867*Operations!S849*(1-Operations!S876)</f>
        <v/>
      </c>
      <c r="T886" s="20">
        <f>Operations!T867*Operations!T849*(1-Operations!T876)</f>
        <v/>
      </c>
      <c r="U886" s="20">
        <f>Operations!U867*Operations!U849*(1-Operations!U876)</f>
        <v/>
      </c>
      <c r="V886" s="20">
        <f>Operations!V867*Operations!V849*(1-Operations!V876)</f>
        <v/>
      </c>
      <c r="W886" s="20">
        <f>Operations!W867*Operations!W849*(1-Operations!W876)</f>
        <v/>
      </c>
      <c r="X886" s="20">
        <f>Operations!X867*Operations!X849*(1-Operations!X876)</f>
        <v/>
      </c>
      <c r="Y886" s="20">
        <f>Operations!Y867*Operations!Y849*(1-Operations!Y876)</f>
        <v/>
      </c>
      <c r="Z886" s="20">
        <f>Operations!Z867*Operations!Z849*(1-Operations!Z876)</f>
        <v/>
      </c>
      <c r="AA886" s="20">
        <f>Operations!AA867*Operations!AA849*(1-Operations!AA876)</f>
        <v/>
      </c>
      <c r="AB886" s="20">
        <f>Operations!AB867*Operations!AB849*(1-Operations!AB876)</f>
        <v/>
      </c>
      <c r="AC886" s="20">
        <f>Operations!AC867*Operations!AC849*(1-Operations!AC876)</f>
        <v/>
      </c>
      <c r="AD886" s="20">
        <f>Operations!AD867*Operations!AD849*(1-Operations!AD876)</f>
        <v/>
      </c>
      <c r="AE886" s="20">
        <f>Operations!AE867*Operations!AE849*(1-Operations!AE876)</f>
        <v/>
      </c>
      <c r="AF886" s="20">
        <f>Operations!AF867*Operations!AF849*(1-Operations!AF876)</f>
        <v/>
      </c>
      <c r="AG886" s="20">
        <f>Operations!AG867*Operations!AG849*(1-Operations!AG876)</f>
        <v/>
      </c>
      <c r="AH886" s="20">
        <f>Operations!AH867*Operations!AH849*(1-Operations!AH876)</f>
        <v/>
      </c>
      <c r="AI886" s="20">
        <f>Operations!AI867*Operations!AI849*(1-Operations!AI876)</f>
        <v/>
      </c>
      <c r="AJ886" s="20">
        <f>Operations!AJ867*Operations!AJ849*(1-Operations!AJ876)</f>
        <v/>
      </c>
      <c r="AK886" s="20">
        <f>Operations!AK867*Operations!AK849*(1-Operations!AK876)</f>
        <v/>
      </c>
      <c r="AL886" s="20">
        <f>Operations!AL867*Operations!AL849*(1-Operations!AL876)</f>
        <v/>
      </c>
      <c r="AM886" s="20">
        <f>Operations!AM867*Operations!AM849*(1-Operations!AM876)</f>
        <v/>
      </c>
      <c r="AN886" s="20">
        <f>Operations!AN867*Operations!AN849*(1-Operations!AN876)</f>
        <v/>
      </c>
      <c r="AO886" s="20">
        <f>Operations!AO867*Operations!AO849*(1-Operations!AO876)</f>
        <v/>
      </c>
      <c r="AP886" s="20">
        <f>Operations!AP867*Operations!AP849*(1-Operations!AP876)</f>
        <v/>
      </c>
      <c r="AQ886" s="20">
        <f>Operations!AQ867*Operations!AQ849*(1-Operations!AQ876)</f>
        <v/>
      </c>
      <c r="AR886" s="20">
        <f>Operations!AR867*Operations!AR849*(1-Operations!AR876)</f>
        <v/>
      </c>
      <c r="AS886" s="20">
        <f>Operations!AS867*Operations!AS849*(1-Operations!AS876)</f>
        <v/>
      </c>
      <c r="AT886" s="20">
        <f>Operations!AT867*Operations!AT849*(1-Operations!AT876)</f>
        <v/>
      </c>
      <c r="AU886" s="20">
        <f>Operations!AU867*Operations!AU849*(1-Operations!AU876)</f>
        <v/>
      </c>
    </row>
    <row r="887">
      <c r="D887" t="inlineStr">
        <is>
          <t>R2 Mesa-share revenue</t>
        </is>
      </c>
      <c r="E887" t="inlineStr">
        <is>
          <t>USD m</t>
        </is>
      </c>
      <c r="J887" s="20">
        <f>Operations!J866*Operations!J849*(1-Operations!J876)</f>
        <v/>
      </c>
      <c r="K887" s="20">
        <f>Operations!K866*Operations!K849*(1-Operations!K876)</f>
        <v/>
      </c>
      <c r="L887" s="20">
        <f>Operations!L866*Operations!L849*(1-Operations!L876)</f>
        <v/>
      </c>
      <c r="M887" s="20">
        <f>Operations!M866*Operations!M849*(1-Operations!M876)</f>
        <v/>
      </c>
      <c r="N887" s="20">
        <f>Operations!N866*Operations!N849*(1-Operations!N876)</f>
        <v/>
      </c>
      <c r="O887" s="20">
        <f>Operations!O866*Operations!O849*(1-Operations!O876)</f>
        <v/>
      </c>
      <c r="P887" s="20">
        <f>Operations!P866*Operations!P849*(1-Operations!P876)</f>
        <v/>
      </c>
      <c r="Q887" s="20">
        <f>Operations!Q866*Operations!Q849*(1-Operations!Q876)</f>
        <v/>
      </c>
      <c r="R887" s="20">
        <f>Operations!R866*Operations!R849*(1-Operations!R876)</f>
        <v/>
      </c>
      <c r="S887" s="20">
        <f>Operations!S866*Operations!S849*(1-Operations!S876)</f>
        <v/>
      </c>
      <c r="T887" s="20">
        <f>Operations!T866*Operations!T849*(1-Operations!T876)</f>
        <v/>
      </c>
      <c r="U887" s="20">
        <f>Operations!U866*Operations!U849*(1-Operations!U876)</f>
        <v/>
      </c>
      <c r="V887" s="20">
        <f>Operations!V866*Operations!V849*(1-Operations!V876)</f>
        <v/>
      </c>
      <c r="W887" s="20">
        <f>Operations!W866*Operations!W849*(1-Operations!W876)</f>
        <v/>
      </c>
      <c r="X887" s="20">
        <f>Operations!X866*Operations!X849*(1-Operations!X876)</f>
        <v/>
      </c>
      <c r="Y887" s="20">
        <f>Operations!Y866*Operations!Y849*(1-Operations!Y876)</f>
        <v/>
      </c>
      <c r="Z887" s="20">
        <f>Operations!Z866*Operations!Z849*(1-Operations!Z876)</f>
        <v/>
      </c>
      <c r="AA887" s="20">
        <f>Operations!AA866*Operations!AA849*(1-Operations!AA876)</f>
        <v/>
      </c>
      <c r="AB887" s="20">
        <f>Operations!AB866*Operations!AB849*(1-Operations!AB876)</f>
        <v/>
      </c>
      <c r="AC887" s="20">
        <f>Operations!AC866*Operations!AC849*(1-Operations!AC876)</f>
        <v/>
      </c>
      <c r="AD887" s="20">
        <f>Operations!AD866*Operations!AD849*(1-Operations!AD876)</f>
        <v/>
      </c>
      <c r="AE887" s="20">
        <f>Operations!AE866*Operations!AE849*(1-Operations!AE876)</f>
        <v/>
      </c>
      <c r="AF887" s="20">
        <f>Operations!AF866*Operations!AF849*(1-Operations!AF876)</f>
        <v/>
      </c>
      <c r="AG887" s="20">
        <f>Operations!AG866*Operations!AG849*(1-Operations!AG876)</f>
        <v/>
      </c>
      <c r="AH887" s="20">
        <f>Operations!AH866*Operations!AH849*(1-Operations!AH876)</f>
        <v/>
      </c>
      <c r="AI887" s="20">
        <f>Operations!AI866*Operations!AI849*(1-Operations!AI876)</f>
        <v/>
      </c>
      <c r="AJ887" s="20">
        <f>Operations!AJ866*Operations!AJ849*(1-Operations!AJ876)</f>
        <v/>
      </c>
      <c r="AK887" s="20">
        <f>Operations!AK866*Operations!AK849*(1-Operations!AK876)</f>
        <v/>
      </c>
      <c r="AL887" s="20">
        <f>Operations!AL866*Operations!AL849*(1-Operations!AL876)</f>
        <v/>
      </c>
      <c r="AM887" s="20">
        <f>Operations!AM866*Operations!AM849*(1-Operations!AM876)</f>
        <v/>
      </c>
      <c r="AN887" s="20">
        <f>Operations!AN866*Operations!AN849*(1-Operations!AN876)</f>
        <v/>
      </c>
      <c r="AO887" s="20">
        <f>Operations!AO866*Operations!AO849*(1-Operations!AO876)</f>
        <v/>
      </c>
      <c r="AP887" s="20">
        <f>Operations!AP866*Operations!AP849*(1-Operations!AP876)</f>
        <v/>
      </c>
      <c r="AQ887" s="20">
        <f>Operations!AQ866*Operations!AQ849*(1-Operations!AQ876)</f>
        <v/>
      </c>
      <c r="AR887" s="20">
        <f>Operations!AR866*Operations!AR849*(1-Operations!AR876)</f>
        <v/>
      </c>
      <c r="AS887" s="20">
        <f>Operations!AS866*Operations!AS849*(1-Operations!AS876)</f>
        <v/>
      </c>
      <c r="AT887" s="20">
        <f>Operations!AT866*Operations!AT849*(1-Operations!AT876)</f>
        <v/>
      </c>
      <c r="AU887" s="20">
        <f>Operations!AU866*Operations!AU849*(1-Operations!AU876)</f>
        <v/>
      </c>
    </row>
    <row r="888">
      <c r="D888" s="19" t="inlineStr">
        <is>
          <t>R3 Ollie Creek Wind (onshore wind (Panhandle))</t>
        </is>
      </c>
    </row>
    <row r="889">
      <c r="D889" t="inlineStr">
        <is>
          <t>R3 operating fraction</t>
        </is>
      </c>
      <c r="E889" t="inlineStr">
        <is>
          <t>fraction</t>
        </is>
      </c>
      <c r="J889" s="14">
        <f>MAX(0,MIN(Inputs!$F$112,Time!J$6)-MAX(Inputs!$F$111,Time!J$5))/Time!J$7</f>
        <v/>
      </c>
      <c r="K889" s="14">
        <f>MAX(0,MIN(Inputs!$F$112,Time!K$6)-MAX(Inputs!$F$111,Time!K$5))/Time!K$7</f>
        <v/>
      </c>
      <c r="L889" s="14">
        <f>MAX(0,MIN(Inputs!$F$112,Time!L$6)-MAX(Inputs!$F$111,Time!L$5))/Time!L$7</f>
        <v/>
      </c>
      <c r="M889" s="14">
        <f>MAX(0,MIN(Inputs!$F$112,Time!M$6)-MAX(Inputs!$F$111,Time!M$5))/Time!M$7</f>
        <v/>
      </c>
      <c r="N889" s="14">
        <f>MAX(0,MIN(Inputs!$F$112,Time!N$6)-MAX(Inputs!$F$111,Time!N$5))/Time!N$7</f>
        <v/>
      </c>
      <c r="O889" s="14">
        <f>MAX(0,MIN(Inputs!$F$112,Time!O$6)-MAX(Inputs!$F$111,Time!O$5))/Time!O$7</f>
        <v/>
      </c>
      <c r="P889" s="14">
        <f>MAX(0,MIN(Inputs!$F$112,Time!P$6)-MAX(Inputs!$F$111,Time!P$5))/Time!P$7</f>
        <v/>
      </c>
      <c r="Q889" s="14">
        <f>MAX(0,MIN(Inputs!$F$112,Time!Q$6)-MAX(Inputs!$F$111,Time!Q$5))/Time!Q$7</f>
        <v/>
      </c>
      <c r="R889" s="14">
        <f>MAX(0,MIN(Inputs!$F$112,Time!R$6)-MAX(Inputs!$F$111,Time!R$5))/Time!R$7</f>
        <v/>
      </c>
      <c r="S889" s="14">
        <f>MAX(0,MIN(Inputs!$F$112,Time!S$6)-MAX(Inputs!$F$111,Time!S$5))/Time!S$7</f>
        <v/>
      </c>
      <c r="T889" s="14">
        <f>MAX(0,MIN(Inputs!$F$112,Time!T$6)-MAX(Inputs!$F$111,Time!T$5))/Time!T$7</f>
        <v/>
      </c>
      <c r="U889" s="14">
        <f>MAX(0,MIN(Inputs!$F$112,Time!U$6)-MAX(Inputs!$F$111,Time!U$5))/Time!U$7</f>
        <v/>
      </c>
      <c r="V889" s="14">
        <f>MAX(0,MIN(Inputs!$F$112,Time!V$6)-MAX(Inputs!$F$111,Time!V$5))/Time!V$7</f>
        <v/>
      </c>
      <c r="W889" s="14">
        <f>MAX(0,MIN(Inputs!$F$112,Time!W$6)-MAX(Inputs!$F$111,Time!W$5))/Time!W$7</f>
        <v/>
      </c>
      <c r="X889" s="14">
        <f>MAX(0,MIN(Inputs!$F$112,Time!X$6)-MAX(Inputs!$F$111,Time!X$5))/Time!X$7</f>
        <v/>
      </c>
      <c r="Y889" s="14">
        <f>MAX(0,MIN(Inputs!$F$112,Time!Y$6)-MAX(Inputs!$F$111,Time!Y$5))/Time!Y$7</f>
        <v/>
      </c>
      <c r="Z889" s="14">
        <f>MAX(0,MIN(Inputs!$F$112,Time!Z$6)-MAX(Inputs!$F$111,Time!Z$5))/Time!Z$7</f>
        <v/>
      </c>
      <c r="AA889" s="14">
        <f>MAX(0,MIN(Inputs!$F$112,Time!AA$6)-MAX(Inputs!$F$111,Time!AA$5))/Time!AA$7</f>
        <v/>
      </c>
      <c r="AB889" s="14">
        <f>MAX(0,MIN(Inputs!$F$112,Time!AB$6)-MAX(Inputs!$F$111,Time!AB$5))/Time!AB$7</f>
        <v/>
      </c>
      <c r="AC889" s="14">
        <f>MAX(0,MIN(Inputs!$F$112,Time!AC$6)-MAX(Inputs!$F$111,Time!AC$5))/Time!AC$7</f>
        <v/>
      </c>
      <c r="AD889" s="14">
        <f>MAX(0,MIN(Inputs!$F$112,Time!AD$6)-MAX(Inputs!$F$111,Time!AD$5))/Time!AD$7</f>
        <v/>
      </c>
      <c r="AE889" s="14">
        <f>MAX(0,MIN(Inputs!$F$112,Time!AE$6)-MAX(Inputs!$F$111,Time!AE$5))/Time!AE$7</f>
        <v/>
      </c>
      <c r="AF889" s="14">
        <f>MAX(0,MIN(Inputs!$F$112,Time!AF$6)-MAX(Inputs!$F$111,Time!AF$5))/Time!AF$7</f>
        <v/>
      </c>
      <c r="AG889" s="14">
        <f>MAX(0,MIN(Inputs!$F$112,Time!AG$6)-MAX(Inputs!$F$111,Time!AG$5))/Time!AG$7</f>
        <v/>
      </c>
      <c r="AH889" s="14">
        <f>MAX(0,MIN(Inputs!$F$112,Time!AH$6)-MAX(Inputs!$F$111,Time!AH$5))/Time!AH$7</f>
        <v/>
      </c>
      <c r="AI889" s="14">
        <f>MAX(0,MIN(Inputs!$F$112,Time!AI$6)-MAX(Inputs!$F$111,Time!AI$5))/Time!AI$7</f>
        <v/>
      </c>
      <c r="AJ889" s="14">
        <f>MAX(0,MIN(Inputs!$F$112,Time!AJ$6)-MAX(Inputs!$F$111,Time!AJ$5))/Time!AJ$7</f>
        <v/>
      </c>
      <c r="AK889" s="14">
        <f>MAX(0,MIN(Inputs!$F$112,Time!AK$6)-MAX(Inputs!$F$111,Time!AK$5))/Time!AK$7</f>
        <v/>
      </c>
      <c r="AL889" s="14">
        <f>MAX(0,MIN(Inputs!$F$112,Time!AL$6)-MAX(Inputs!$F$111,Time!AL$5))/Time!AL$7</f>
        <v/>
      </c>
      <c r="AM889" s="14">
        <f>MAX(0,MIN(Inputs!$F$112,Time!AM$6)-MAX(Inputs!$F$111,Time!AM$5))/Time!AM$7</f>
        <v/>
      </c>
      <c r="AN889" s="14">
        <f>MAX(0,MIN(Inputs!$F$112,Time!AN$6)-MAX(Inputs!$F$111,Time!AN$5))/Time!AN$7</f>
        <v/>
      </c>
      <c r="AO889" s="14">
        <f>MAX(0,MIN(Inputs!$F$112,Time!AO$6)-MAX(Inputs!$F$111,Time!AO$5))/Time!AO$7</f>
        <v/>
      </c>
      <c r="AP889" s="14">
        <f>MAX(0,MIN(Inputs!$F$112,Time!AP$6)-MAX(Inputs!$F$111,Time!AP$5))/Time!AP$7</f>
        <v/>
      </c>
      <c r="AQ889" s="14">
        <f>MAX(0,MIN(Inputs!$F$112,Time!AQ$6)-MAX(Inputs!$F$111,Time!AQ$5))/Time!AQ$7</f>
        <v/>
      </c>
      <c r="AR889" s="14">
        <f>MAX(0,MIN(Inputs!$F$112,Time!AR$6)-MAX(Inputs!$F$111,Time!AR$5))/Time!AR$7</f>
        <v/>
      </c>
      <c r="AS889" s="14">
        <f>MAX(0,MIN(Inputs!$F$112,Time!AS$6)-MAX(Inputs!$F$111,Time!AS$5))/Time!AS$7</f>
        <v/>
      </c>
      <c r="AT889" s="14">
        <f>MAX(0,MIN(Inputs!$F$112,Time!AT$6)-MAX(Inputs!$F$111,Time!AT$5))/Time!AT$7</f>
        <v/>
      </c>
      <c r="AU889" s="14">
        <f>MAX(0,MIN(Inputs!$F$112,Time!AU$6)-MAX(Inputs!$F$111,Time!AU$5))/Time!AU$7</f>
        <v/>
      </c>
    </row>
    <row r="890">
      <c r="D890" t="inlineStr">
        <is>
          <t>R3 owned fraction</t>
        </is>
      </c>
      <c r="E890" t="inlineStr">
        <is>
          <t>fraction</t>
        </is>
      </c>
      <c r="J890" s="14">
        <f>MAX(0,MIN(Inputs!$F$112,Time!J$6)-MAX(MAX(Inputs!$F$113,Inputs!$F$111),Time!J$5))/Time!J$7</f>
        <v/>
      </c>
      <c r="K890" s="14">
        <f>MAX(0,MIN(Inputs!$F$112,Time!K$6)-MAX(MAX(Inputs!$F$113,Inputs!$F$111),Time!K$5))/Time!K$7</f>
        <v/>
      </c>
      <c r="L890" s="14">
        <f>MAX(0,MIN(Inputs!$F$112,Time!L$6)-MAX(MAX(Inputs!$F$113,Inputs!$F$111),Time!L$5))/Time!L$7</f>
        <v/>
      </c>
      <c r="M890" s="14">
        <f>MAX(0,MIN(Inputs!$F$112,Time!M$6)-MAX(MAX(Inputs!$F$113,Inputs!$F$111),Time!M$5))/Time!M$7</f>
        <v/>
      </c>
      <c r="N890" s="14">
        <f>MAX(0,MIN(Inputs!$F$112,Time!N$6)-MAX(MAX(Inputs!$F$113,Inputs!$F$111),Time!N$5))/Time!N$7</f>
        <v/>
      </c>
      <c r="O890" s="14">
        <f>MAX(0,MIN(Inputs!$F$112,Time!O$6)-MAX(MAX(Inputs!$F$113,Inputs!$F$111),Time!O$5))/Time!O$7</f>
        <v/>
      </c>
      <c r="P890" s="14">
        <f>MAX(0,MIN(Inputs!$F$112,Time!P$6)-MAX(MAX(Inputs!$F$113,Inputs!$F$111),Time!P$5))/Time!P$7</f>
        <v/>
      </c>
      <c r="Q890" s="14">
        <f>MAX(0,MIN(Inputs!$F$112,Time!Q$6)-MAX(MAX(Inputs!$F$113,Inputs!$F$111),Time!Q$5))/Time!Q$7</f>
        <v/>
      </c>
      <c r="R890" s="14">
        <f>MAX(0,MIN(Inputs!$F$112,Time!R$6)-MAX(MAX(Inputs!$F$113,Inputs!$F$111),Time!R$5))/Time!R$7</f>
        <v/>
      </c>
      <c r="S890" s="14">
        <f>MAX(0,MIN(Inputs!$F$112,Time!S$6)-MAX(MAX(Inputs!$F$113,Inputs!$F$111),Time!S$5))/Time!S$7</f>
        <v/>
      </c>
      <c r="T890" s="14">
        <f>MAX(0,MIN(Inputs!$F$112,Time!T$6)-MAX(MAX(Inputs!$F$113,Inputs!$F$111),Time!T$5))/Time!T$7</f>
        <v/>
      </c>
      <c r="U890" s="14">
        <f>MAX(0,MIN(Inputs!$F$112,Time!U$6)-MAX(MAX(Inputs!$F$113,Inputs!$F$111),Time!U$5))/Time!U$7</f>
        <v/>
      </c>
      <c r="V890" s="14">
        <f>MAX(0,MIN(Inputs!$F$112,Time!V$6)-MAX(MAX(Inputs!$F$113,Inputs!$F$111),Time!V$5))/Time!V$7</f>
        <v/>
      </c>
      <c r="W890" s="14">
        <f>MAX(0,MIN(Inputs!$F$112,Time!W$6)-MAX(MAX(Inputs!$F$113,Inputs!$F$111),Time!W$5))/Time!W$7</f>
        <v/>
      </c>
      <c r="X890" s="14">
        <f>MAX(0,MIN(Inputs!$F$112,Time!X$6)-MAX(MAX(Inputs!$F$113,Inputs!$F$111),Time!X$5))/Time!X$7</f>
        <v/>
      </c>
      <c r="Y890" s="14">
        <f>MAX(0,MIN(Inputs!$F$112,Time!Y$6)-MAX(MAX(Inputs!$F$113,Inputs!$F$111),Time!Y$5))/Time!Y$7</f>
        <v/>
      </c>
      <c r="Z890" s="14">
        <f>MAX(0,MIN(Inputs!$F$112,Time!Z$6)-MAX(MAX(Inputs!$F$113,Inputs!$F$111),Time!Z$5))/Time!Z$7</f>
        <v/>
      </c>
      <c r="AA890" s="14">
        <f>MAX(0,MIN(Inputs!$F$112,Time!AA$6)-MAX(MAX(Inputs!$F$113,Inputs!$F$111),Time!AA$5))/Time!AA$7</f>
        <v/>
      </c>
      <c r="AB890" s="14">
        <f>MAX(0,MIN(Inputs!$F$112,Time!AB$6)-MAX(MAX(Inputs!$F$113,Inputs!$F$111),Time!AB$5))/Time!AB$7</f>
        <v/>
      </c>
      <c r="AC890" s="14">
        <f>MAX(0,MIN(Inputs!$F$112,Time!AC$6)-MAX(MAX(Inputs!$F$113,Inputs!$F$111),Time!AC$5))/Time!AC$7</f>
        <v/>
      </c>
      <c r="AD890" s="14">
        <f>MAX(0,MIN(Inputs!$F$112,Time!AD$6)-MAX(MAX(Inputs!$F$113,Inputs!$F$111),Time!AD$5))/Time!AD$7</f>
        <v/>
      </c>
      <c r="AE890" s="14">
        <f>MAX(0,MIN(Inputs!$F$112,Time!AE$6)-MAX(MAX(Inputs!$F$113,Inputs!$F$111),Time!AE$5))/Time!AE$7</f>
        <v/>
      </c>
      <c r="AF890" s="14">
        <f>MAX(0,MIN(Inputs!$F$112,Time!AF$6)-MAX(MAX(Inputs!$F$113,Inputs!$F$111),Time!AF$5))/Time!AF$7</f>
        <v/>
      </c>
      <c r="AG890" s="14">
        <f>MAX(0,MIN(Inputs!$F$112,Time!AG$6)-MAX(MAX(Inputs!$F$113,Inputs!$F$111),Time!AG$5))/Time!AG$7</f>
        <v/>
      </c>
      <c r="AH890" s="14">
        <f>MAX(0,MIN(Inputs!$F$112,Time!AH$6)-MAX(MAX(Inputs!$F$113,Inputs!$F$111),Time!AH$5))/Time!AH$7</f>
        <v/>
      </c>
      <c r="AI890" s="14">
        <f>MAX(0,MIN(Inputs!$F$112,Time!AI$6)-MAX(MAX(Inputs!$F$113,Inputs!$F$111),Time!AI$5))/Time!AI$7</f>
        <v/>
      </c>
      <c r="AJ890" s="14">
        <f>MAX(0,MIN(Inputs!$F$112,Time!AJ$6)-MAX(MAX(Inputs!$F$113,Inputs!$F$111),Time!AJ$5))/Time!AJ$7</f>
        <v/>
      </c>
      <c r="AK890" s="14">
        <f>MAX(0,MIN(Inputs!$F$112,Time!AK$6)-MAX(MAX(Inputs!$F$113,Inputs!$F$111),Time!AK$5))/Time!AK$7</f>
        <v/>
      </c>
      <c r="AL890" s="14">
        <f>MAX(0,MIN(Inputs!$F$112,Time!AL$6)-MAX(MAX(Inputs!$F$113,Inputs!$F$111),Time!AL$5))/Time!AL$7</f>
        <v/>
      </c>
      <c r="AM890" s="14">
        <f>MAX(0,MIN(Inputs!$F$112,Time!AM$6)-MAX(MAX(Inputs!$F$113,Inputs!$F$111),Time!AM$5))/Time!AM$7</f>
        <v/>
      </c>
      <c r="AN890" s="14">
        <f>MAX(0,MIN(Inputs!$F$112,Time!AN$6)-MAX(MAX(Inputs!$F$113,Inputs!$F$111),Time!AN$5))/Time!AN$7</f>
        <v/>
      </c>
      <c r="AO890" s="14">
        <f>MAX(0,MIN(Inputs!$F$112,Time!AO$6)-MAX(MAX(Inputs!$F$113,Inputs!$F$111),Time!AO$5))/Time!AO$7</f>
        <v/>
      </c>
      <c r="AP890" s="14">
        <f>MAX(0,MIN(Inputs!$F$112,Time!AP$6)-MAX(MAX(Inputs!$F$113,Inputs!$F$111),Time!AP$5))/Time!AP$7</f>
        <v/>
      </c>
      <c r="AQ890" s="14">
        <f>MAX(0,MIN(Inputs!$F$112,Time!AQ$6)-MAX(MAX(Inputs!$F$113,Inputs!$F$111),Time!AQ$5))/Time!AQ$7</f>
        <v/>
      </c>
      <c r="AR890" s="14">
        <f>MAX(0,MIN(Inputs!$F$112,Time!AR$6)-MAX(MAX(Inputs!$F$113,Inputs!$F$111),Time!AR$5))/Time!AR$7</f>
        <v/>
      </c>
      <c r="AS890" s="14">
        <f>MAX(0,MIN(Inputs!$F$112,Time!AS$6)-MAX(MAX(Inputs!$F$113,Inputs!$F$111),Time!AS$5))/Time!AS$7</f>
        <v/>
      </c>
      <c r="AT890" s="14">
        <f>MAX(0,MIN(Inputs!$F$112,Time!AT$6)-MAX(MAX(Inputs!$F$113,Inputs!$F$111),Time!AT$5))/Time!AT$7</f>
        <v/>
      </c>
      <c r="AU890" s="14">
        <f>MAX(0,MIN(Inputs!$F$112,Time!AU$6)-MAX(MAX(Inputs!$F$113,Inputs!$F$111),Time!AU$5))/Time!AU$7</f>
        <v/>
      </c>
    </row>
    <row r="891">
      <c r="D891" t="inlineStr">
        <is>
          <t>R3 owned share of operating period</t>
        </is>
      </c>
      <c r="E891" t="inlineStr">
        <is>
          <t>fraction</t>
        </is>
      </c>
      <c r="J891" s="14">
        <f>IF(Operations!J889&gt;0,Operations!J890/Operations!J889,0)</f>
        <v/>
      </c>
      <c r="K891" s="14">
        <f>IF(Operations!K889&gt;0,Operations!K890/Operations!K889,0)</f>
        <v/>
      </c>
      <c r="L891" s="14">
        <f>IF(Operations!L889&gt;0,Operations!L890/Operations!L889,0)</f>
        <v/>
      </c>
      <c r="M891" s="14">
        <f>IF(Operations!M889&gt;0,Operations!M890/Operations!M889,0)</f>
        <v/>
      </c>
      <c r="N891" s="14">
        <f>IF(Operations!N889&gt;0,Operations!N890/Operations!N889,0)</f>
        <v/>
      </c>
      <c r="O891" s="14">
        <f>IF(Operations!O889&gt;0,Operations!O890/Operations!O889,0)</f>
        <v/>
      </c>
      <c r="P891" s="14">
        <f>IF(Operations!P889&gt;0,Operations!P890/Operations!P889,0)</f>
        <v/>
      </c>
      <c r="Q891" s="14">
        <f>IF(Operations!Q889&gt;0,Operations!Q890/Operations!Q889,0)</f>
        <v/>
      </c>
      <c r="R891" s="14">
        <f>IF(Operations!R889&gt;0,Operations!R890/Operations!R889,0)</f>
        <v/>
      </c>
      <c r="S891" s="14">
        <f>IF(Operations!S889&gt;0,Operations!S890/Operations!S889,0)</f>
        <v/>
      </c>
      <c r="T891" s="14">
        <f>IF(Operations!T889&gt;0,Operations!T890/Operations!T889,0)</f>
        <v/>
      </c>
      <c r="U891" s="14">
        <f>IF(Operations!U889&gt;0,Operations!U890/Operations!U889,0)</f>
        <v/>
      </c>
      <c r="V891" s="14">
        <f>IF(Operations!V889&gt;0,Operations!V890/Operations!V889,0)</f>
        <v/>
      </c>
      <c r="W891" s="14">
        <f>IF(Operations!W889&gt;0,Operations!W890/Operations!W889,0)</f>
        <v/>
      </c>
      <c r="X891" s="14">
        <f>IF(Operations!X889&gt;0,Operations!X890/Operations!X889,0)</f>
        <v/>
      </c>
      <c r="Y891" s="14">
        <f>IF(Operations!Y889&gt;0,Operations!Y890/Operations!Y889,0)</f>
        <v/>
      </c>
      <c r="Z891" s="14">
        <f>IF(Operations!Z889&gt;0,Operations!Z890/Operations!Z889,0)</f>
        <v/>
      </c>
      <c r="AA891" s="14">
        <f>IF(Operations!AA889&gt;0,Operations!AA890/Operations!AA889,0)</f>
        <v/>
      </c>
      <c r="AB891" s="14">
        <f>IF(Operations!AB889&gt;0,Operations!AB890/Operations!AB889,0)</f>
        <v/>
      </c>
      <c r="AC891" s="14">
        <f>IF(Operations!AC889&gt;0,Operations!AC890/Operations!AC889,0)</f>
        <v/>
      </c>
      <c r="AD891" s="14">
        <f>IF(Operations!AD889&gt;0,Operations!AD890/Operations!AD889,0)</f>
        <v/>
      </c>
      <c r="AE891" s="14">
        <f>IF(Operations!AE889&gt;0,Operations!AE890/Operations!AE889,0)</f>
        <v/>
      </c>
      <c r="AF891" s="14">
        <f>IF(Operations!AF889&gt;0,Operations!AF890/Operations!AF889,0)</f>
        <v/>
      </c>
      <c r="AG891" s="14">
        <f>IF(Operations!AG889&gt;0,Operations!AG890/Operations!AG889,0)</f>
        <v/>
      </c>
      <c r="AH891" s="14">
        <f>IF(Operations!AH889&gt;0,Operations!AH890/Operations!AH889,0)</f>
        <v/>
      </c>
      <c r="AI891" s="14">
        <f>IF(Operations!AI889&gt;0,Operations!AI890/Operations!AI889,0)</f>
        <v/>
      </c>
      <c r="AJ891" s="14">
        <f>IF(Operations!AJ889&gt;0,Operations!AJ890/Operations!AJ889,0)</f>
        <v/>
      </c>
      <c r="AK891" s="14">
        <f>IF(Operations!AK889&gt;0,Operations!AK890/Operations!AK889,0)</f>
        <v/>
      </c>
      <c r="AL891" s="14">
        <f>IF(Operations!AL889&gt;0,Operations!AL890/Operations!AL889,0)</f>
        <v/>
      </c>
      <c r="AM891" s="14">
        <f>IF(Operations!AM889&gt;0,Operations!AM890/Operations!AM889,0)</f>
        <v/>
      </c>
      <c r="AN891" s="14">
        <f>IF(Operations!AN889&gt;0,Operations!AN890/Operations!AN889,0)</f>
        <v/>
      </c>
      <c r="AO891" s="14">
        <f>IF(Operations!AO889&gt;0,Operations!AO890/Operations!AO889,0)</f>
        <v/>
      </c>
      <c r="AP891" s="14">
        <f>IF(Operations!AP889&gt;0,Operations!AP890/Operations!AP889,0)</f>
        <v/>
      </c>
      <c r="AQ891" s="14">
        <f>IF(Operations!AQ889&gt;0,Operations!AQ890/Operations!AQ889,0)</f>
        <v/>
      </c>
      <c r="AR891" s="14">
        <f>IF(Operations!AR889&gt;0,Operations!AR890/Operations!AR889,0)</f>
        <v/>
      </c>
      <c r="AS891" s="14">
        <f>IF(Operations!AS889&gt;0,Operations!AS890/Operations!AS889,0)</f>
        <v/>
      </c>
      <c r="AT891" s="14">
        <f>IF(Operations!AT889&gt;0,Operations!AT890/Operations!AT889,0)</f>
        <v/>
      </c>
      <c r="AU891" s="14">
        <f>IF(Operations!AU889&gt;0,Operations!AU890/Operations!AU889,0)</f>
        <v/>
      </c>
    </row>
    <row r="892">
      <c r="D892" t="inlineStr">
        <is>
          <t>R3 own hub ATC</t>
        </is>
      </c>
      <c r="E892" t="inlineStr">
        <is>
          <t>USD/MWh</t>
        </is>
      </c>
      <c r="J892" s="18">
        <f>Operations!J795</f>
        <v/>
      </c>
      <c r="K892" s="18">
        <f>Operations!K795</f>
        <v/>
      </c>
      <c r="L892" s="18">
        <f>Operations!L795</f>
        <v/>
      </c>
      <c r="M892" s="18">
        <f>Operations!M795</f>
        <v/>
      </c>
      <c r="N892" s="18">
        <f>Operations!N795</f>
        <v/>
      </c>
      <c r="O892" s="18">
        <f>Operations!O795</f>
        <v/>
      </c>
      <c r="P892" s="18">
        <f>Operations!P795</f>
        <v/>
      </c>
      <c r="Q892" s="18">
        <f>Operations!Q795</f>
        <v/>
      </c>
      <c r="R892" s="18">
        <f>Operations!R795</f>
        <v/>
      </c>
      <c r="S892" s="18">
        <f>Operations!S795</f>
        <v/>
      </c>
      <c r="T892" s="18">
        <f>Operations!T795</f>
        <v/>
      </c>
      <c r="U892" s="18">
        <f>Operations!U795</f>
        <v/>
      </c>
      <c r="V892" s="18">
        <f>Operations!V795</f>
        <v/>
      </c>
      <c r="W892" s="18">
        <f>Operations!W795</f>
        <v/>
      </c>
      <c r="X892" s="18">
        <f>Operations!X795</f>
        <v/>
      </c>
      <c r="Y892" s="18">
        <f>Operations!Y795</f>
        <v/>
      </c>
      <c r="Z892" s="18">
        <f>Operations!Z795</f>
        <v/>
      </c>
      <c r="AA892" s="18">
        <f>Operations!AA795</f>
        <v/>
      </c>
      <c r="AB892" s="18">
        <f>Operations!AB795</f>
        <v/>
      </c>
      <c r="AC892" s="18">
        <f>Operations!AC795</f>
        <v/>
      </c>
      <c r="AD892" s="18">
        <f>Operations!AD795</f>
        <v/>
      </c>
      <c r="AE892" s="18">
        <f>Operations!AE795</f>
        <v/>
      </c>
      <c r="AF892" s="18">
        <f>Operations!AF795</f>
        <v/>
      </c>
      <c r="AG892" s="18">
        <f>Operations!AG795</f>
        <v/>
      </c>
      <c r="AH892" s="18">
        <f>Operations!AH795</f>
        <v/>
      </c>
      <c r="AI892" s="18">
        <f>Operations!AI795</f>
        <v/>
      </c>
      <c r="AJ892" s="18">
        <f>Operations!AJ795</f>
        <v/>
      </c>
      <c r="AK892" s="18">
        <f>Operations!AK795</f>
        <v/>
      </c>
      <c r="AL892" s="18">
        <f>Operations!AL795</f>
        <v/>
      </c>
      <c r="AM892" s="18">
        <f>Operations!AM795</f>
        <v/>
      </c>
      <c r="AN892" s="18">
        <f>Operations!AN795</f>
        <v/>
      </c>
      <c r="AO892" s="18">
        <f>Operations!AO795</f>
        <v/>
      </c>
      <c r="AP892" s="18">
        <f>Operations!AP795</f>
        <v/>
      </c>
      <c r="AQ892" s="18">
        <f>Operations!AQ795</f>
        <v/>
      </c>
      <c r="AR892" s="18">
        <f>Operations!AR795</f>
        <v/>
      </c>
      <c r="AS892" s="18">
        <f>Operations!AS795</f>
        <v/>
      </c>
      <c r="AT892" s="18">
        <f>Operations!AT795</f>
        <v/>
      </c>
      <c r="AU892" s="18">
        <f>Operations!AU795</f>
        <v/>
      </c>
    </row>
    <row r="893">
      <c r="D893" t="inlineStr">
        <is>
          <t>R3 volume factor</t>
        </is>
      </c>
      <c r="E893" t="inlineStr">
        <is>
          <t>factor</t>
        </is>
      </c>
      <c r="J893" s="14">
        <f>CHOOSE(Operations!$F$789,1,Inputs!$F$117/100,Inputs!$F$118/100,Operations!$F$24/100)</f>
        <v/>
      </c>
      <c r="K893" s="14">
        <f>CHOOSE(Operations!$F$789,1,Inputs!$F$117/100,Inputs!$F$118/100,Operations!$F$24/100)</f>
        <v/>
      </c>
      <c r="L893" s="14">
        <f>CHOOSE(Operations!$F$789,1,Inputs!$F$117/100,Inputs!$F$118/100,Operations!$F$24/100)</f>
        <v/>
      </c>
      <c r="M893" s="14">
        <f>CHOOSE(Operations!$F$789,1,Inputs!$F$117/100,Inputs!$F$118/100,Operations!$F$24/100)</f>
        <v/>
      </c>
      <c r="N893" s="14">
        <f>CHOOSE(Operations!$F$789,1,Inputs!$F$117/100,Inputs!$F$118/100,Operations!$F$24/100)</f>
        <v/>
      </c>
      <c r="O893" s="14">
        <f>CHOOSE(Operations!$F$789,1,Inputs!$F$117/100,Inputs!$F$118/100,Operations!$F$24/100)</f>
        <v/>
      </c>
      <c r="P893" s="14">
        <f>CHOOSE(Operations!$F$789,1,Inputs!$F$117/100,Inputs!$F$118/100,Operations!$F$24/100)</f>
        <v/>
      </c>
      <c r="Q893" s="14">
        <f>CHOOSE(Operations!$F$789,1,Inputs!$F$117/100,Inputs!$F$118/100,Operations!$F$24/100)</f>
        <v/>
      </c>
      <c r="R893" s="14">
        <f>CHOOSE(Operations!$F$789,1,Inputs!$F$117/100,Inputs!$F$118/100,Operations!$F$24/100)</f>
        <v/>
      </c>
      <c r="S893" s="14">
        <f>CHOOSE(Operations!$F$789,1,Inputs!$F$117/100,Inputs!$F$118/100,Operations!$F$24/100)</f>
        <v/>
      </c>
      <c r="T893" s="14">
        <f>CHOOSE(Operations!$F$789,1,Inputs!$F$117/100,Inputs!$F$118/100,Operations!$F$24/100)</f>
        <v/>
      </c>
      <c r="U893" s="14">
        <f>CHOOSE(Operations!$F$789,1,Inputs!$F$117/100,Inputs!$F$118/100,Operations!$F$24/100)</f>
        <v/>
      </c>
      <c r="V893" s="14">
        <f>CHOOSE(Operations!$F$789,1,Inputs!$F$117/100,Inputs!$F$118/100,Operations!$F$24/100)</f>
        <v/>
      </c>
      <c r="W893" s="14">
        <f>CHOOSE(Operations!$F$789,1,Inputs!$F$117/100,Inputs!$F$118/100,Operations!$F$24/100)</f>
        <v/>
      </c>
      <c r="X893" s="14">
        <f>CHOOSE(Operations!$F$789,1,Inputs!$F$117/100,Inputs!$F$118/100,Operations!$F$24/100)</f>
        <v/>
      </c>
      <c r="Y893" s="14">
        <f>CHOOSE(Operations!$F$789,1,Inputs!$F$117/100,Inputs!$F$118/100,Operations!$F$24/100)</f>
        <v/>
      </c>
      <c r="Z893" s="14">
        <f>CHOOSE(Operations!$F$789,1,Inputs!$F$117/100,Inputs!$F$118/100,Operations!$F$24/100)</f>
        <v/>
      </c>
      <c r="AA893" s="14">
        <f>CHOOSE(Operations!$F$789,1,Inputs!$F$117/100,Inputs!$F$118/100,Operations!$F$24/100)</f>
        <v/>
      </c>
      <c r="AB893" s="14">
        <f>CHOOSE(Operations!$F$789,1,Inputs!$F$117/100,Inputs!$F$118/100,Operations!$F$24/100)</f>
        <v/>
      </c>
      <c r="AC893" s="14">
        <f>CHOOSE(Operations!$F$789,1,Inputs!$F$117/100,Inputs!$F$118/100,Operations!$F$24/100)</f>
        <v/>
      </c>
      <c r="AD893" s="14">
        <f>CHOOSE(Operations!$F$789,1,Inputs!$F$117/100,Inputs!$F$118/100,Operations!$F$24/100)</f>
        <v/>
      </c>
      <c r="AE893" s="14">
        <f>CHOOSE(Operations!$F$789,1,Inputs!$F$117/100,Inputs!$F$118/100,Operations!$F$24/100)</f>
        <v/>
      </c>
      <c r="AF893" s="14">
        <f>CHOOSE(Operations!$F$789,1,Inputs!$F$117/100,Inputs!$F$118/100,Operations!$F$24/100)</f>
        <v/>
      </c>
      <c r="AG893" s="14">
        <f>CHOOSE(Operations!$F$789,1,Inputs!$F$117/100,Inputs!$F$118/100,Operations!$F$24/100)</f>
        <v/>
      </c>
      <c r="AH893" s="14">
        <f>CHOOSE(Operations!$F$789,1,Inputs!$F$117/100,Inputs!$F$118/100,Operations!$F$24/100)</f>
        <v/>
      </c>
      <c r="AI893" s="14">
        <f>CHOOSE(Operations!$F$789,1,Inputs!$F$117/100,Inputs!$F$118/100,Operations!$F$24/100)</f>
        <v/>
      </c>
      <c r="AJ893" s="14">
        <f>CHOOSE(Operations!$F$789,1,Inputs!$F$117/100,Inputs!$F$118/100,Operations!$F$24/100)</f>
        <v/>
      </c>
      <c r="AK893" s="14">
        <f>CHOOSE(Operations!$F$789,1,Inputs!$F$117/100,Inputs!$F$118/100,Operations!$F$24/100)</f>
        <v/>
      </c>
      <c r="AL893" s="14">
        <f>CHOOSE(Operations!$F$789,1,Inputs!$F$117/100,Inputs!$F$118/100,Operations!$F$24/100)</f>
        <v/>
      </c>
      <c r="AM893" s="14">
        <f>CHOOSE(Operations!$F$789,1,Inputs!$F$117/100,Inputs!$F$118/100,Operations!$F$24/100)</f>
        <v/>
      </c>
      <c r="AN893" s="14">
        <f>CHOOSE(Operations!$F$789,1,Inputs!$F$117/100,Inputs!$F$118/100,Operations!$F$24/100)</f>
        <v/>
      </c>
      <c r="AO893" s="14">
        <f>CHOOSE(Operations!$F$789,1,Inputs!$F$117/100,Inputs!$F$118/100,Operations!$F$24/100)</f>
        <v/>
      </c>
      <c r="AP893" s="14">
        <f>CHOOSE(Operations!$F$789,1,Inputs!$F$117/100,Inputs!$F$118/100,Operations!$F$24/100)</f>
        <v/>
      </c>
      <c r="AQ893" s="14">
        <f>CHOOSE(Operations!$F$789,1,Inputs!$F$117/100,Inputs!$F$118/100,Operations!$F$24/100)</f>
        <v/>
      </c>
      <c r="AR893" s="14">
        <f>CHOOSE(Operations!$F$789,1,Inputs!$F$117/100,Inputs!$F$118/100,Operations!$F$24/100)</f>
        <v/>
      </c>
      <c r="AS893" s="14">
        <f>CHOOSE(Operations!$F$789,1,Inputs!$F$117/100,Inputs!$F$118/100,Operations!$F$24/100)</f>
        <v/>
      </c>
      <c r="AT893" s="14">
        <f>CHOOSE(Operations!$F$789,1,Inputs!$F$117/100,Inputs!$F$118/100,Operations!$F$24/100)</f>
        <v/>
      </c>
      <c r="AU893" s="14">
        <f>CHOOSE(Operations!$F$789,1,Inputs!$F$117/100,Inputs!$F$118/100,Operations!$F$24/100)</f>
        <v/>
      </c>
    </row>
    <row r="894">
      <c r="D894" t="inlineStr">
        <is>
          <t>R3 degradation factor</t>
        </is>
      </c>
      <c r="E894" t="inlineStr">
        <is>
          <t>factor</t>
        </is>
      </c>
      <c r="J894" s="14">
        <f>(1-Inputs!$F$119/100)^MAX(0,Time!J$4-Inputs!$F$120)</f>
        <v/>
      </c>
      <c r="K894" s="14">
        <f>(1-Inputs!$F$119/100)^MAX(0,Time!K$4-Inputs!$F$120)</f>
        <v/>
      </c>
      <c r="L894" s="14">
        <f>(1-Inputs!$F$119/100)^MAX(0,Time!L$4-Inputs!$F$120)</f>
        <v/>
      </c>
      <c r="M894" s="14">
        <f>(1-Inputs!$F$119/100)^MAX(0,Time!M$4-Inputs!$F$120)</f>
        <v/>
      </c>
      <c r="N894" s="14">
        <f>(1-Inputs!$F$119/100)^MAX(0,Time!N$4-Inputs!$F$120)</f>
        <v/>
      </c>
      <c r="O894" s="14">
        <f>(1-Inputs!$F$119/100)^MAX(0,Time!O$4-Inputs!$F$120)</f>
        <v/>
      </c>
      <c r="P894" s="14">
        <f>(1-Inputs!$F$119/100)^MAX(0,Time!P$4-Inputs!$F$120)</f>
        <v/>
      </c>
      <c r="Q894" s="14">
        <f>(1-Inputs!$F$119/100)^MAX(0,Time!Q$4-Inputs!$F$120)</f>
        <v/>
      </c>
      <c r="R894" s="14">
        <f>(1-Inputs!$F$119/100)^MAX(0,Time!R$4-Inputs!$F$120)</f>
        <v/>
      </c>
      <c r="S894" s="14">
        <f>(1-Inputs!$F$119/100)^MAX(0,Time!S$4-Inputs!$F$120)</f>
        <v/>
      </c>
      <c r="T894" s="14">
        <f>(1-Inputs!$F$119/100)^MAX(0,Time!T$4-Inputs!$F$120)</f>
        <v/>
      </c>
      <c r="U894" s="14">
        <f>(1-Inputs!$F$119/100)^MAX(0,Time!U$4-Inputs!$F$120)</f>
        <v/>
      </c>
      <c r="V894" s="14">
        <f>(1-Inputs!$F$119/100)^MAX(0,Time!V$4-Inputs!$F$120)</f>
        <v/>
      </c>
      <c r="W894" s="14">
        <f>(1-Inputs!$F$119/100)^MAX(0,Time!W$4-Inputs!$F$120)</f>
        <v/>
      </c>
      <c r="X894" s="14">
        <f>(1-Inputs!$F$119/100)^MAX(0,Time!X$4-Inputs!$F$120)</f>
        <v/>
      </c>
      <c r="Y894" s="14">
        <f>(1-Inputs!$F$119/100)^MAX(0,Time!Y$4-Inputs!$F$120)</f>
        <v/>
      </c>
      <c r="Z894" s="14">
        <f>(1-Inputs!$F$119/100)^MAX(0,Time!Z$4-Inputs!$F$120)</f>
        <v/>
      </c>
      <c r="AA894" s="14">
        <f>(1-Inputs!$F$119/100)^MAX(0,Time!AA$4-Inputs!$F$120)</f>
        <v/>
      </c>
      <c r="AB894" s="14">
        <f>(1-Inputs!$F$119/100)^MAX(0,Time!AB$4-Inputs!$F$120)</f>
        <v/>
      </c>
      <c r="AC894" s="14">
        <f>(1-Inputs!$F$119/100)^MAX(0,Time!AC$4-Inputs!$F$120)</f>
        <v/>
      </c>
      <c r="AD894" s="14">
        <f>(1-Inputs!$F$119/100)^MAX(0,Time!AD$4-Inputs!$F$120)</f>
        <v/>
      </c>
      <c r="AE894" s="14">
        <f>(1-Inputs!$F$119/100)^MAX(0,Time!AE$4-Inputs!$F$120)</f>
        <v/>
      </c>
      <c r="AF894" s="14">
        <f>(1-Inputs!$F$119/100)^MAX(0,Time!AF$4-Inputs!$F$120)</f>
        <v/>
      </c>
      <c r="AG894" s="14">
        <f>(1-Inputs!$F$119/100)^MAX(0,Time!AG$4-Inputs!$F$120)</f>
        <v/>
      </c>
      <c r="AH894" s="14">
        <f>(1-Inputs!$F$119/100)^MAX(0,Time!AH$4-Inputs!$F$120)</f>
        <v/>
      </c>
      <c r="AI894" s="14">
        <f>(1-Inputs!$F$119/100)^MAX(0,Time!AI$4-Inputs!$F$120)</f>
        <v/>
      </c>
      <c r="AJ894" s="14">
        <f>(1-Inputs!$F$119/100)^MAX(0,Time!AJ$4-Inputs!$F$120)</f>
        <v/>
      </c>
      <c r="AK894" s="14">
        <f>(1-Inputs!$F$119/100)^MAX(0,Time!AK$4-Inputs!$F$120)</f>
        <v/>
      </c>
      <c r="AL894" s="14">
        <f>(1-Inputs!$F$119/100)^MAX(0,Time!AL$4-Inputs!$F$120)</f>
        <v/>
      </c>
      <c r="AM894" s="14">
        <f>(1-Inputs!$F$119/100)^MAX(0,Time!AM$4-Inputs!$F$120)</f>
        <v/>
      </c>
      <c r="AN894" s="14">
        <f>(1-Inputs!$F$119/100)^MAX(0,Time!AN$4-Inputs!$F$120)</f>
        <v/>
      </c>
      <c r="AO894" s="14">
        <f>(1-Inputs!$F$119/100)^MAX(0,Time!AO$4-Inputs!$F$120)</f>
        <v/>
      </c>
      <c r="AP894" s="14">
        <f>(1-Inputs!$F$119/100)^MAX(0,Time!AP$4-Inputs!$F$120)</f>
        <v/>
      </c>
      <c r="AQ894" s="14">
        <f>(1-Inputs!$F$119/100)^MAX(0,Time!AQ$4-Inputs!$F$120)</f>
        <v/>
      </c>
      <c r="AR894" s="14">
        <f>(1-Inputs!$F$119/100)^MAX(0,Time!AR$4-Inputs!$F$120)</f>
        <v/>
      </c>
      <c r="AS894" s="14">
        <f>(1-Inputs!$F$119/100)^MAX(0,Time!AS$4-Inputs!$F$120)</f>
        <v/>
      </c>
      <c r="AT894" s="14">
        <f>(1-Inputs!$F$119/100)^MAX(0,Time!AT$4-Inputs!$F$120)</f>
        <v/>
      </c>
      <c r="AU894" s="14">
        <f>(1-Inputs!$F$119/100)^MAX(0,Time!AU$4-Inputs!$F$120)</f>
        <v/>
      </c>
    </row>
    <row r="895">
      <c r="D895" t="inlineStr">
        <is>
          <t>R3 curtailment</t>
        </is>
      </c>
      <c r="E895" t="inlineStr">
        <is>
          <t>fraction</t>
        </is>
      </c>
      <c r="J895" s="14">
        <f>(IF(Time!J$4&gt;=Inputs!$F$61,Inputs!$F$65,Inputs!$F$64+(Inputs!$F$65-Inputs!$F$64)*(Time!J$4-Inputs!$F$23)/(Inputs!$F$61-Inputs!$F$23))+Operations!$F$791)/100</f>
        <v/>
      </c>
      <c r="K895" s="14">
        <f>(IF(Time!K$4&gt;=Inputs!$F$61,Inputs!$F$65,Inputs!$F$64+(Inputs!$F$65-Inputs!$F$64)*(Time!K$4-Inputs!$F$23)/(Inputs!$F$61-Inputs!$F$23))+Operations!$F$791)/100</f>
        <v/>
      </c>
      <c r="L895" s="14">
        <f>(IF(Time!L$4&gt;=Inputs!$F$61,Inputs!$F$65,Inputs!$F$64+(Inputs!$F$65-Inputs!$F$64)*(Time!L$4-Inputs!$F$23)/(Inputs!$F$61-Inputs!$F$23))+Operations!$F$791)/100</f>
        <v/>
      </c>
      <c r="M895" s="14">
        <f>(IF(Time!M$4&gt;=Inputs!$F$61,Inputs!$F$65,Inputs!$F$64+(Inputs!$F$65-Inputs!$F$64)*(Time!M$4-Inputs!$F$23)/(Inputs!$F$61-Inputs!$F$23))+Operations!$F$791)/100</f>
        <v/>
      </c>
      <c r="N895" s="14">
        <f>(IF(Time!N$4&gt;=Inputs!$F$61,Inputs!$F$65,Inputs!$F$64+(Inputs!$F$65-Inputs!$F$64)*(Time!N$4-Inputs!$F$23)/(Inputs!$F$61-Inputs!$F$23))+Operations!$F$791)/100</f>
        <v/>
      </c>
      <c r="O895" s="14">
        <f>(IF(Time!O$4&gt;=Inputs!$F$61,Inputs!$F$65,Inputs!$F$64+(Inputs!$F$65-Inputs!$F$64)*(Time!O$4-Inputs!$F$23)/(Inputs!$F$61-Inputs!$F$23))+Operations!$F$791)/100</f>
        <v/>
      </c>
      <c r="P895" s="14">
        <f>(IF(Time!P$4&gt;=Inputs!$F$61,Inputs!$F$65,Inputs!$F$64+(Inputs!$F$65-Inputs!$F$64)*(Time!P$4-Inputs!$F$23)/(Inputs!$F$61-Inputs!$F$23))+Operations!$F$791)/100</f>
        <v/>
      </c>
      <c r="Q895" s="14">
        <f>(IF(Time!Q$4&gt;=Inputs!$F$61,Inputs!$F$65,Inputs!$F$64+(Inputs!$F$65-Inputs!$F$64)*(Time!Q$4-Inputs!$F$23)/(Inputs!$F$61-Inputs!$F$23))+Operations!$F$791)/100</f>
        <v/>
      </c>
      <c r="R895" s="14">
        <f>(IF(Time!R$4&gt;=Inputs!$F$61,Inputs!$F$65,Inputs!$F$64+(Inputs!$F$65-Inputs!$F$64)*(Time!R$4-Inputs!$F$23)/(Inputs!$F$61-Inputs!$F$23))+Operations!$F$791)/100</f>
        <v/>
      </c>
      <c r="S895" s="14">
        <f>(IF(Time!S$4&gt;=Inputs!$F$61,Inputs!$F$65,Inputs!$F$64+(Inputs!$F$65-Inputs!$F$64)*(Time!S$4-Inputs!$F$23)/(Inputs!$F$61-Inputs!$F$23))+Operations!$F$791)/100</f>
        <v/>
      </c>
      <c r="T895" s="14">
        <f>(IF(Time!T$4&gt;=Inputs!$F$61,Inputs!$F$65,Inputs!$F$64+(Inputs!$F$65-Inputs!$F$64)*(Time!T$4-Inputs!$F$23)/(Inputs!$F$61-Inputs!$F$23))+Operations!$F$791)/100</f>
        <v/>
      </c>
      <c r="U895" s="14">
        <f>(IF(Time!U$4&gt;=Inputs!$F$61,Inputs!$F$65,Inputs!$F$64+(Inputs!$F$65-Inputs!$F$64)*(Time!U$4-Inputs!$F$23)/(Inputs!$F$61-Inputs!$F$23))+Operations!$F$791)/100</f>
        <v/>
      </c>
      <c r="V895" s="14">
        <f>(IF(Time!V$4&gt;=Inputs!$F$61,Inputs!$F$65,Inputs!$F$64+(Inputs!$F$65-Inputs!$F$64)*(Time!V$4-Inputs!$F$23)/(Inputs!$F$61-Inputs!$F$23))+Operations!$F$791)/100</f>
        <v/>
      </c>
      <c r="W895" s="14">
        <f>(IF(Time!W$4&gt;=Inputs!$F$61,Inputs!$F$65,Inputs!$F$64+(Inputs!$F$65-Inputs!$F$64)*(Time!W$4-Inputs!$F$23)/(Inputs!$F$61-Inputs!$F$23))+Operations!$F$791)/100</f>
        <v/>
      </c>
      <c r="X895" s="14">
        <f>(IF(Time!X$4&gt;=Inputs!$F$61,Inputs!$F$65,Inputs!$F$64+(Inputs!$F$65-Inputs!$F$64)*(Time!X$4-Inputs!$F$23)/(Inputs!$F$61-Inputs!$F$23))+Operations!$F$791)/100</f>
        <v/>
      </c>
      <c r="Y895" s="14">
        <f>(IF(Time!Y$4&gt;=Inputs!$F$61,Inputs!$F$65,Inputs!$F$64+(Inputs!$F$65-Inputs!$F$64)*(Time!Y$4-Inputs!$F$23)/(Inputs!$F$61-Inputs!$F$23))+Operations!$F$791)/100</f>
        <v/>
      </c>
      <c r="Z895" s="14">
        <f>(IF(Time!Z$4&gt;=Inputs!$F$61,Inputs!$F$65,Inputs!$F$64+(Inputs!$F$65-Inputs!$F$64)*(Time!Z$4-Inputs!$F$23)/(Inputs!$F$61-Inputs!$F$23))+Operations!$F$791)/100</f>
        <v/>
      </c>
      <c r="AA895" s="14">
        <f>(IF(Time!AA$4&gt;=Inputs!$F$61,Inputs!$F$65,Inputs!$F$64+(Inputs!$F$65-Inputs!$F$64)*(Time!AA$4-Inputs!$F$23)/(Inputs!$F$61-Inputs!$F$23))+Operations!$F$791)/100</f>
        <v/>
      </c>
      <c r="AB895" s="14">
        <f>(IF(Time!AB$4&gt;=Inputs!$F$61,Inputs!$F$65,Inputs!$F$64+(Inputs!$F$65-Inputs!$F$64)*(Time!AB$4-Inputs!$F$23)/(Inputs!$F$61-Inputs!$F$23))+Operations!$F$791)/100</f>
        <v/>
      </c>
      <c r="AC895" s="14">
        <f>(IF(Time!AC$4&gt;=Inputs!$F$61,Inputs!$F$65,Inputs!$F$64+(Inputs!$F$65-Inputs!$F$64)*(Time!AC$4-Inputs!$F$23)/(Inputs!$F$61-Inputs!$F$23))+Operations!$F$791)/100</f>
        <v/>
      </c>
      <c r="AD895" s="14">
        <f>(IF(Time!AD$4&gt;=Inputs!$F$61,Inputs!$F$65,Inputs!$F$64+(Inputs!$F$65-Inputs!$F$64)*(Time!AD$4-Inputs!$F$23)/(Inputs!$F$61-Inputs!$F$23))+Operations!$F$791)/100</f>
        <v/>
      </c>
      <c r="AE895" s="14">
        <f>(IF(Time!AE$4&gt;=Inputs!$F$61,Inputs!$F$65,Inputs!$F$64+(Inputs!$F$65-Inputs!$F$64)*(Time!AE$4-Inputs!$F$23)/(Inputs!$F$61-Inputs!$F$23))+Operations!$F$791)/100</f>
        <v/>
      </c>
      <c r="AF895" s="14">
        <f>(IF(Time!AF$4&gt;=Inputs!$F$61,Inputs!$F$65,Inputs!$F$64+(Inputs!$F$65-Inputs!$F$64)*(Time!AF$4-Inputs!$F$23)/(Inputs!$F$61-Inputs!$F$23))+Operations!$F$791)/100</f>
        <v/>
      </c>
      <c r="AG895" s="14">
        <f>(IF(Time!AG$4&gt;=Inputs!$F$61,Inputs!$F$65,Inputs!$F$64+(Inputs!$F$65-Inputs!$F$64)*(Time!AG$4-Inputs!$F$23)/(Inputs!$F$61-Inputs!$F$23))+Operations!$F$791)/100</f>
        <v/>
      </c>
      <c r="AH895" s="14">
        <f>(IF(Time!AH$4&gt;=Inputs!$F$61,Inputs!$F$65,Inputs!$F$64+(Inputs!$F$65-Inputs!$F$64)*(Time!AH$4-Inputs!$F$23)/(Inputs!$F$61-Inputs!$F$23))+Operations!$F$791)/100</f>
        <v/>
      </c>
      <c r="AI895" s="14">
        <f>(IF(Time!AI$4&gt;=Inputs!$F$61,Inputs!$F$65,Inputs!$F$64+(Inputs!$F$65-Inputs!$F$64)*(Time!AI$4-Inputs!$F$23)/(Inputs!$F$61-Inputs!$F$23))+Operations!$F$791)/100</f>
        <v/>
      </c>
      <c r="AJ895" s="14">
        <f>(IF(Time!AJ$4&gt;=Inputs!$F$61,Inputs!$F$65,Inputs!$F$64+(Inputs!$F$65-Inputs!$F$64)*(Time!AJ$4-Inputs!$F$23)/(Inputs!$F$61-Inputs!$F$23))+Operations!$F$791)/100</f>
        <v/>
      </c>
      <c r="AK895" s="14">
        <f>(IF(Time!AK$4&gt;=Inputs!$F$61,Inputs!$F$65,Inputs!$F$64+(Inputs!$F$65-Inputs!$F$64)*(Time!AK$4-Inputs!$F$23)/(Inputs!$F$61-Inputs!$F$23))+Operations!$F$791)/100</f>
        <v/>
      </c>
      <c r="AL895" s="14">
        <f>(IF(Time!AL$4&gt;=Inputs!$F$61,Inputs!$F$65,Inputs!$F$64+(Inputs!$F$65-Inputs!$F$64)*(Time!AL$4-Inputs!$F$23)/(Inputs!$F$61-Inputs!$F$23))+Operations!$F$791)/100</f>
        <v/>
      </c>
      <c r="AM895" s="14">
        <f>(IF(Time!AM$4&gt;=Inputs!$F$61,Inputs!$F$65,Inputs!$F$64+(Inputs!$F$65-Inputs!$F$64)*(Time!AM$4-Inputs!$F$23)/(Inputs!$F$61-Inputs!$F$23))+Operations!$F$791)/100</f>
        <v/>
      </c>
      <c r="AN895" s="14">
        <f>(IF(Time!AN$4&gt;=Inputs!$F$61,Inputs!$F$65,Inputs!$F$64+(Inputs!$F$65-Inputs!$F$64)*(Time!AN$4-Inputs!$F$23)/(Inputs!$F$61-Inputs!$F$23))+Operations!$F$791)/100</f>
        <v/>
      </c>
      <c r="AO895" s="14">
        <f>(IF(Time!AO$4&gt;=Inputs!$F$61,Inputs!$F$65,Inputs!$F$64+(Inputs!$F$65-Inputs!$F$64)*(Time!AO$4-Inputs!$F$23)/(Inputs!$F$61-Inputs!$F$23))+Operations!$F$791)/100</f>
        <v/>
      </c>
      <c r="AP895" s="14">
        <f>(IF(Time!AP$4&gt;=Inputs!$F$61,Inputs!$F$65,Inputs!$F$64+(Inputs!$F$65-Inputs!$F$64)*(Time!AP$4-Inputs!$F$23)/(Inputs!$F$61-Inputs!$F$23))+Operations!$F$791)/100</f>
        <v/>
      </c>
      <c r="AQ895" s="14">
        <f>(IF(Time!AQ$4&gt;=Inputs!$F$61,Inputs!$F$65,Inputs!$F$64+(Inputs!$F$65-Inputs!$F$64)*(Time!AQ$4-Inputs!$F$23)/(Inputs!$F$61-Inputs!$F$23))+Operations!$F$791)/100</f>
        <v/>
      </c>
      <c r="AR895" s="14">
        <f>(IF(Time!AR$4&gt;=Inputs!$F$61,Inputs!$F$65,Inputs!$F$64+(Inputs!$F$65-Inputs!$F$64)*(Time!AR$4-Inputs!$F$23)/(Inputs!$F$61-Inputs!$F$23))+Operations!$F$791)/100</f>
        <v/>
      </c>
      <c r="AS895" s="14">
        <f>(IF(Time!AS$4&gt;=Inputs!$F$61,Inputs!$F$65,Inputs!$F$64+(Inputs!$F$65-Inputs!$F$64)*(Time!AS$4-Inputs!$F$23)/(Inputs!$F$61-Inputs!$F$23))+Operations!$F$791)/100</f>
        <v/>
      </c>
      <c r="AT895" s="14">
        <f>(IF(Time!AT$4&gt;=Inputs!$F$61,Inputs!$F$65,Inputs!$F$64+(Inputs!$F$65-Inputs!$F$64)*(Time!AT$4-Inputs!$F$23)/(Inputs!$F$61-Inputs!$F$23))+Operations!$F$791)/100</f>
        <v/>
      </c>
      <c r="AU895" s="14">
        <f>(IF(Time!AU$4&gt;=Inputs!$F$61,Inputs!$F$65,Inputs!$F$64+(Inputs!$F$65-Inputs!$F$64)*(Time!AU$4-Inputs!$F$23)/(Inputs!$F$61-Inputs!$F$23))+Operations!$F$791)/100</f>
        <v/>
      </c>
    </row>
    <row r="896">
      <c r="D896" t="inlineStr">
        <is>
          <t>R3 net generation, full year</t>
        </is>
      </c>
      <c r="E896" t="inlineStr">
        <is>
          <t>GWh</t>
        </is>
      </c>
      <c r="J896" s="20">
        <f>Inputs!$F$116*Operations!J893*Inputs!$F$185/100*Operations!J894*(1-Operations!J895)</f>
        <v/>
      </c>
      <c r="K896" s="20">
        <f>Inputs!$F$116*Operations!K893*Inputs!$F$185/100*Operations!K894*(1-Operations!K895)</f>
        <v/>
      </c>
      <c r="L896" s="20">
        <f>Inputs!$F$116*Operations!L893*Inputs!$F$185/100*Operations!L894*(1-Operations!L895)</f>
        <v/>
      </c>
      <c r="M896" s="20">
        <f>Inputs!$F$116*Operations!M893*Inputs!$F$185/100*Operations!M894*(1-Operations!M895)</f>
        <v/>
      </c>
      <c r="N896" s="20">
        <f>Inputs!$F$116*Operations!N893*Inputs!$F$185/100*Operations!N894*(1-Operations!N895)</f>
        <v/>
      </c>
      <c r="O896" s="20">
        <f>Inputs!$F$116*Operations!O893*Inputs!$F$185/100*Operations!O894*(1-Operations!O895)</f>
        <v/>
      </c>
      <c r="P896" s="20">
        <f>Inputs!$F$116*Operations!P893*Inputs!$F$185/100*Operations!P894*(1-Operations!P895)</f>
        <v/>
      </c>
      <c r="Q896" s="20">
        <f>Inputs!$F$116*Operations!Q893*Inputs!$F$185/100*Operations!Q894*(1-Operations!Q895)</f>
        <v/>
      </c>
      <c r="R896" s="20">
        <f>Inputs!$F$116*Operations!R893*Inputs!$F$185/100*Operations!R894*(1-Operations!R895)</f>
        <v/>
      </c>
      <c r="S896" s="20">
        <f>Inputs!$F$116*Operations!S893*Inputs!$F$185/100*Operations!S894*(1-Operations!S895)</f>
        <v/>
      </c>
      <c r="T896" s="20">
        <f>Inputs!$F$116*Operations!T893*Inputs!$F$185/100*Operations!T894*(1-Operations!T895)</f>
        <v/>
      </c>
      <c r="U896" s="20">
        <f>Inputs!$F$116*Operations!U893*Inputs!$F$185/100*Operations!U894*(1-Operations!U895)</f>
        <v/>
      </c>
      <c r="V896" s="20">
        <f>Inputs!$F$116*Operations!V893*Inputs!$F$185/100*Operations!V894*(1-Operations!V895)</f>
        <v/>
      </c>
      <c r="W896" s="20">
        <f>Inputs!$F$116*Operations!W893*Inputs!$F$185/100*Operations!W894*(1-Operations!W895)</f>
        <v/>
      </c>
      <c r="X896" s="20">
        <f>Inputs!$F$116*Operations!X893*Inputs!$F$185/100*Operations!X894*(1-Operations!X895)</f>
        <v/>
      </c>
      <c r="Y896" s="20">
        <f>Inputs!$F$116*Operations!Y893*Inputs!$F$185/100*Operations!Y894*(1-Operations!Y895)</f>
        <v/>
      </c>
      <c r="Z896" s="20">
        <f>Inputs!$F$116*Operations!Z893*Inputs!$F$185/100*Operations!Z894*(1-Operations!Z895)</f>
        <v/>
      </c>
      <c r="AA896" s="20">
        <f>Inputs!$F$116*Operations!AA893*Inputs!$F$185/100*Operations!AA894*(1-Operations!AA895)</f>
        <v/>
      </c>
      <c r="AB896" s="20">
        <f>Inputs!$F$116*Operations!AB893*Inputs!$F$185/100*Operations!AB894*(1-Operations!AB895)</f>
        <v/>
      </c>
      <c r="AC896" s="20">
        <f>Inputs!$F$116*Operations!AC893*Inputs!$F$185/100*Operations!AC894*(1-Operations!AC895)</f>
        <v/>
      </c>
      <c r="AD896" s="20">
        <f>Inputs!$F$116*Operations!AD893*Inputs!$F$185/100*Operations!AD894*(1-Operations!AD895)</f>
        <v/>
      </c>
      <c r="AE896" s="20">
        <f>Inputs!$F$116*Operations!AE893*Inputs!$F$185/100*Operations!AE894*(1-Operations!AE895)</f>
        <v/>
      </c>
      <c r="AF896" s="20">
        <f>Inputs!$F$116*Operations!AF893*Inputs!$F$185/100*Operations!AF894*(1-Operations!AF895)</f>
        <v/>
      </c>
      <c r="AG896" s="20">
        <f>Inputs!$F$116*Operations!AG893*Inputs!$F$185/100*Operations!AG894*(1-Operations!AG895)</f>
        <v/>
      </c>
      <c r="AH896" s="20">
        <f>Inputs!$F$116*Operations!AH893*Inputs!$F$185/100*Operations!AH894*(1-Operations!AH895)</f>
        <v/>
      </c>
      <c r="AI896" s="20">
        <f>Inputs!$F$116*Operations!AI893*Inputs!$F$185/100*Operations!AI894*(1-Operations!AI895)</f>
        <v/>
      </c>
      <c r="AJ896" s="20">
        <f>Inputs!$F$116*Operations!AJ893*Inputs!$F$185/100*Operations!AJ894*(1-Operations!AJ895)</f>
        <v/>
      </c>
      <c r="AK896" s="20">
        <f>Inputs!$F$116*Operations!AK893*Inputs!$F$185/100*Operations!AK894*(1-Operations!AK895)</f>
        <v/>
      </c>
      <c r="AL896" s="20">
        <f>Inputs!$F$116*Operations!AL893*Inputs!$F$185/100*Operations!AL894*(1-Operations!AL895)</f>
        <v/>
      </c>
      <c r="AM896" s="20">
        <f>Inputs!$F$116*Operations!AM893*Inputs!$F$185/100*Operations!AM894*(1-Operations!AM895)</f>
        <v/>
      </c>
      <c r="AN896" s="20">
        <f>Inputs!$F$116*Operations!AN893*Inputs!$F$185/100*Operations!AN894*(1-Operations!AN895)</f>
        <v/>
      </c>
      <c r="AO896" s="20">
        <f>Inputs!$F$116*Operations!AO893*Inputs!$F$185/100*Operations!AO894*(1-Operations!AO895)</f>
        <v/>
      </c>
      <c r="AP896" s="20">
        <f>Inputs!$F$116*Operations!AP893*Inputs!$F$185/100*Operations!AP894*(1-Operations!AP895)</f>
        <v/>
      </c>
      <c r="AQ896" s="20">
        <f>Inputs!$F$116*Operations!AQ893*Inputs!$F$185/100*Operations!AQ894*(1-Operations!AQ895)</f>
        <v/>
      </c>
      <c r="AR896" s="20">
        <f>Inputs!$F$116*Operations!AR893*Inputs!$F$185/100*Operations!AR894*(1-Operations!AR895)</f>
        <v/>
      </c>
      <c r="AS896" s="20">
        <f>Inputs!$F$116*Operations!AS893*Inputs!$F$185/100*Operations!AS894*(1-Operations!AS895)</f>
        <v/>
      </c>
      <c r="AT896" s="20">
        <f>Inputs!$F$116*Operations!AT893*Inputs!$F$185/100*Operations!AT894*(1-Operations!AT895)</f>
        <v/>
      </c>
      <c r="AU896" s="20">
        <f>Inputs!$F$116*Operations!AU893*Inputs!$F$185/100*Operations!AU894*(1-Operations!AU895)</f>
        <v/>
      </c>
    </row>
    <row r="897">
      <c r="D897" t="inlineStr">
        <is>
          <t>R3 net generation</t>
        </is>
      </c>
      <c r="E897" t="inlineStr">
        <is>
          <t>GWh</t>
        </is>
      </c>
      <c r="G897" s="20">
        <f>SUM(J897:AU897)</f>
        <v/>
      </c>
      <c r="J897" s="20">
        <f>Operations!J896*Operations!J889</f>
        <v/>
      </c>
      <c r="K897" s="20">
        <f>Operations!K896*Operations!K889</f>
        <v/>
      </c>
      <c r="L897" s="20">
        <f>Operations!L896*Operations!L889</f>
        <v/>
      </c>
      <c r="M897" s="20">
        <f>Operations!M896*Operations!M889</f>
        <v/>
      </c>
      <c r="N897" s="20">
        <f>Operations!N896*Operations!N889</f>
        <v/>
      </c>
      <c r="O897" s="20">
        <f>Operations!O896*Operations!O889</f>
        <v/>
      </c>
      <c r="P897" s="20">
        <f>Operations!P896*Operations!P889</f>
        <v/>
      </c>
      <c r="Q897" s="20">
        <f>Operations!Q896*Operations!Q889</f>
        <v/>
      </c>
      <c r="R897" s="20">
        <f>Operations!R896*Operations!R889</f>
        <v/>
      </c>
      <c r="S897" s="20">
        <f>Operations!S896*Operations!S889</f>
        <v/>
      </c>
      <c r="T897" s="20">
        <f>Operations!T896*Operations!T889</f>
        <v/>
      </c>
      <c r="U897" s="20">
        <f>Operations!U896*Operations!U889</f>
        <v/>
      </c>
      <c r="V897" s="20">
        <f>Operations!V896*Operations!V889</f>
        <v/>
      </c>
      <c r="W897" s="20">
        <f>Operations!W896*Operations!W889</f>
        <v/>
      </c>
      <c r="X897" s="20">
        <f>Operations!X896*Operations!X889</f>
        <v/>
      </c>
      <c r="Y897" s="20">
        <f>Operations!Y896*Operations!Y889</f>
        <v/>
      </c>
      <c r="Z897" s="20">
        <f>Operations!Z896*Operations!Z889</f>
        <v/>
      </c>
      <c r="AA897" s="20">
        <f>Operations!AA896*Operations!AA889</f>
        <v/>
      </c>
      <c r="AB897" s="20">
        <f>Operations!AB896*Operations!AB889</f>
        <v/>
      </c>
      <c r="AC897" s="20">
        <f>Operations!AC896*Operations!AC889</f>
        <v/>
      </c>
      <c r="AD897" s="20">
        <f>Operations!AD896*Operations!AD889</f>
        <v/>
      </c>
      <c r="AE897" s="20">
        <f>Operations!AE896*Operations!AE889</f>
        <v/>
      </c>
      <c r="AF897" s="20">
        <f>Operations!AF896*Operations!AF889</f>
        <v/>
      </c>
      <c r="AG897" s="20">
        <f>Operations!AG896*Operations!AG889</f>
        <v/>
      </c>
      <c r="AH897" s="20">
        <f>Operations!AH896*Operations!AH889</f>
        <v/>
      </c>
      <c r="AI897" s="20">
        <f>Operations!AI896*Operations!AI889</f>
        <v/>
      </c>
      <c r="AJ897" s="20">
        <f>Operations!AJ896*Operations!AJ889</f>
        <v/>
      </c>
      <c r="AK897" s="20">
        <f>Operations!AK896*Operations!AK889</f>
        <v/>
      </c>
      <c r="AL897" s="20">
        <f>Operations!AL896*Operations!AL889</f>
        <v/>
      </c>
      <c r="AM897" s="20">
        <f>Operations!AM896*Operations!AM889</f>
        <v/>
      </c>
      <c r="AN897" s="20">
        <f>Operations!AN896*Operations!AN889</f>
        <v/>
      </c>
      <c r="AO897" s="20">
        <f>Operations!AO896*Operations!AO889</f>
        <v/>
      </c>
      <c r="AP897" s="20">
        <f>Operations!AP896*Operations!AP889</f>
        <v/>
      </c>
      <c r="AQ897" s="20">
        <f>Operations!AQ896*Operations!AQ889</f>
        <v/>
      </c>
      <c r="AR897" s="20">
        <f>Operations!AR896*Operations!AR889</f>
        <v/>
      </c>
      <c r="AS897" s="20">
        <f>Operations!AS896*Operations!AS889</f>
        <v/>
      </c>
      <c r="AT897" s="20">
        <f>Operations!AT896*Operations!AT889</f>
        <v/>
      </c>
      <c r="AU897" s="20">
        <f>Operations!AU896*Operations!AU889</f>
        <v/>
      </c>
    </row>
    <row r="898">
      <c r="D898" t="inlineStr">
        <is>
          <t>R3 hub capture ratio</t>
        </is>
      </c>
      <c r="E898" t="inlineStr">
        <is>
          <t>ratio</t>
        </is>
      </c>
      <c r="J898" s="14">
        <f>Operations!J800</f>
        <v/>
      </c>
      <c r="K898" s="14">
        <f>Operations!K800</f>
        <v/>
      </c>
      <c r="L898" s="14">
        <f>Operations!L800</f>
        <v/>
      </c>
      <c r="M898" s="14">
        <f>Operations!M800</f>
        <v/>
      </c>
      <c r="N898" s="14">
        <f>Operations!N800</f>
        <v/>
      </c>
      <c r="O898" s="14">
        <f>Operations!O800</f>
        <v/>
      </c>
      <c r="P898" s="14">
        <f>Operations!P800</f>
        <v/>
      </c>
      <c r="Q898" s="14">
        <f>Operations!Q800</f>
        <v/>
      </c>
      <c r="R898" s="14">
        <f>Operations!R800</f>
        <v/>
      </c>
      <c r="S898" s="14">
        <f>Operations!S800</f>
        <v/>
      </c>
      <c r="T898" s="14">
        <f>Operations!T800</f>
        <v/>
      </c>
      <c r="U898" s="14">
        <f>Operations!U800</f>
        <v/>
      </c>
      <c r="V898" s="14">
        <f>Operations!V800</f>
        <v/>
      </c>
      <c r="W898" s="14">
        <f>Operations!W800</f>
        <v/>
      </c>
      <c r="X898" s="14">
        <f>Operations!X800</f>
        <v/>
      </c>
      <c r="Y898" s="14">
        <f>Operations!Y800</f>
        <v/>
      </c>
      <c r="Z898" s="14">
        <f>Operations!Z800</f>
        <v/>
      </c>
      <c r="AA898" s="14">
        <f>Operations!AA800</f>
        <v/>
      </c>
      <c r="AB898" s="14">
        <f>Operations!AB800</f>
        <v/>
      </c>
      <c r="AC898" s="14">
        <f>Operations!AC800</f>
        <v/>
      </c>
      <c r="AD898" s="14">
        <f>Operations!AD800</f>
        <v/>
      </c>
      <c r="AE898" s="14">
        <f>Operations!AE800</f>
        <v/>
      </c>
      <c r="AF898" s="14">
        <f>Operations!AF800</f>
        <v/>
      </c>
      <c r="AG898" s="14">
        <f>Operations!AG800</f>
        <v/>
      </c>
      <c r="AH898" s="14">
        <f>Operations!AH800</f>
        <v/>
      </c>
      <c r="AI898" s="14">
        <f>Operations!AI800</f>
        <v/>
      </c>
      <c r="AJ898" s="14">
        <f>Operations!AJ800</f>
        <v/>
      </c>
      <c r="AK898" s="14">
        <f>Operations!AK800</f>
        <v/>
      </c>
      <c r="AL898" s="14">
        <f>Operations!AL800</f>
        <v/>
      </c>
      <c r="AM898" s="14">
        <f>Operations!AM800</f>
        <v/>
      </c>
      <c r="AN898" s="14">
        <f>Operations!AN800</f>
        <v/>
      </c>
      <c r="AO898" s="14">
        <f>Operations!AO800</f>
        <v/>
      </c>
      <c r="AP898" s="14">
        <f>Operations!AP800</f>
        <v/>
      </c>
      <c r="AQ898" s="14">
        <f>Operations!AQ800</f>
        <v/>
      </c>
      <c r="AR898" s="14">
        <f>Operations!AR800</f>
        <v/>
      </c>
      <c r="AS898" s="14">
        <f>Operations!AS800</f>
        <v/>
      </c>
      <c r="AT898" s="14">
        <f>Operations!AT800</f>
        <v/>
      </c>
      <c r="AU898" s="14">
        <f>Operations!AU800</f>
        <v/>
      </c>
    </row>
    <row r="899">
      <c r="D899" t="inlineStr">
        <is>
          <t>R3 node capture ratio</t>
        </is>
      </c>
      <c r="E899" t="inlineStr">
        <is>
          <t>ratio</t>
        </is>
      </c>
      <c r="J899" s="14">
        <f>Operations!J898-Inputs!$F$48</f>
        <v/>
      </c>
      <c r="K899" s="14">
        <f>Operations!K898-Inputs!$F$48</f>
        <v/>
      </c>
      <c r="L899" s="14">
        <f>Operations!L898-Inputs!$F$48</f>
        <v/>
      </c>
      <c r="M899" s="14">
        <f>Operations!M898-Inputs!$F$48</f>
        <v/>
      </c>
      <c r="N899" s="14">
        <f>Operations!N898-Inputs!$F$48</f>
        <v/>
      </c>
      <c r="O899" s="14">
        <f>Operations!O898-Inputs!$F$48</f>
        <v/>
      </c>
      <c r="P899" s="14">
        <f>Operations!P898-Inputs!$F$48</f>
        <v/>
      </c>
      <c r="Q899" s="14">
        <f>Operations!Q898-Inputs!$F$48</f>
        <v/>
      </c>
      <c r="R899" s="14">
        <f>Operations!R898-Inputs!$F$48</f>
        <v/>
      </c>
      <c r="S899" s="14">
        <f>Operations!S898-Inputs!$F$48</f>
        <v/>
      </c>
      <c r="T899" s="14">
        <f>Operations!T898-Inputs!$F$48</f>
        <v/>
      </c>
      <c r="U899" s="14">
        <f>Operations!U898-Inputs!$F$48</f>
        <v/>
      </c>
      <c r="V899" s="14">
        <f>Operations!V898-Inputs!$F$48</f>
        <v/>
      </c>
      <c r="W899" s="14">
        <f>Operations!W898-Inputs!$F$48</f>
        <v/>
      </c>
      <c r="X899" s="14">
        <f>Operations!X898-Inputs!$F$48</f>
        <v/>
      </c>
      <c r="Y899" s="14">
        <f>Operations!Y898-Inputs!$F$48</f>
        <v/>
      </c>
      <c r="Z899" s="14">
        <f>Operations!Z898-Inputs!$F$48</f>
        <v/>
      </c>
      <c r="AA899" s="14">
        <f>Operations!AA898-Inputs!$F$48</f>
        <v/>
      </c>
      <c r="AB899" s="14">
        <f>Operations!AB898-Inputs!$F$48</f>
        <v/>
      </c>
      <c r="AC899" s="14">
        <f>Operations!AC898-Inputs!$F$48</f>
        <v/>
      </c>
      <c r="AD899" s="14">
        <f>Operations!AD898-Inputs!$F$48</f>
        <v/>
      </c>
      <c r="AE899" s="14">
        <f>Operations!AE898-Inputs!$F$48</f>
        <v/>
      </c>
      <c r="AF899" s="14">
        <f>Operations!AF898-Inputs!$F$48</f>
        <v/>
      </c>
      <c r="AG899" s="14">
        <f>Operations!AG898-Inputs!$F$48</f>
        <v/>
      </c>
      <c r="AH899" s="14">
        <f>Operations!AH898-Inputs!$F$48</f>
        <v/>
      </c>
      <c r="AI899" s="14">
        <f>Operations!AI898-Inputs!$F$48</f>
        <v/>
      </c>
      <c r="AJ899" s="14">
        <f>Operations!AJ898-Inputs!$F$48</f>
        <v/>
      </c>
      <c r="AK899" s="14">
        <f>Operations!AK898-Inputs!$F$48</f>
        <v/>
      </c>
      <c r="AL899" s="14">
        <f>Operations!AL898-Inputs!$F$48</f>
        <v/>
      </c>
      <c r="AM899" s="14">
        <f>Operations!AM898-Inputs!$F$48</f>
        <v/>
      </c>
      <c r="AN899" s="14">
        <f>Operations!AN898-Inputs!$F$48</f>
        <v/>
      </c>
      <c r="AO899" s="14">
        <f>Operations!AO898-Inputs!$F$48</f>
        <v/>
      </c>
      <c r="AP899" s="14">
        <f>Operations!AP898-Inputs!$F$48</f>
        <v/>
      </c>
      <c r="AQ899" s="14">
        <f>Operations!AQ898-Inputs!$F$48</f>
        <v/>
      </c>
      <c r="AR899" s="14">
        <f>Operations!AR898-Inputs!$F$48</f>
        <v/>
      </c>
      <c r="AS899" s="14">
        <f>Operations!AS898-Inputs!$F$48</f>
        <v/>
      </c>
      <c r="AT899" s="14">
        <f>Operations!AT898-Inputs!$F$48</f>
        <v/>
      </c>
      <c r="AU899" s="14">
        <f>Operations!AU898-Inputs!$F$48</f>
        <v/>
      </c>
    </row>
    <row r="900">
      <c r="D900" t="inlineStr">
        <is>
          <t>R3 realized node price</t>
        </is>
      </c>
      <c r="E900" t="inlineStr">
        <is>
          <t>USD/MWh</t>
        </is>
      </c>
      <c r="J900" s="18">
        <f>Operations!J892*Operations!J899</f>
        <v/>
      </c>
      <c r="K900" s="18">
        <f>Operations!K892*Operations!K899</f>
        <v/>
      </c>
      <c r="L900" s="18">
        <f>Operations!L892*Operations!L899</f>
        <v/>
      </c>
      <c r="M900" s="18">
        <f>Operations!M892*Operations!M899</f>
        <v/>
      </c>
      <c r="N900" s="18">
        <f>Operations!N892*Operations!N899</f>
        <v/>
      </c>
      <c r="O900" s="18">
        <f>Operations!O892*Operations!O899</f>
        <v/>
      </c>
      <c r="P900" s="18">
        <f>Operations!P892*Operations!P899</f>
        <v/>
      </c>
      <c r="Q900" s="18">
        <f>Operations!Q892*Operations!Q899</f>
        <v/>
      </c>
      <c r="R900" s="18">
        <f>Operations!R892*Operations!R899</f>
        <v/>
      </c>
      <c r="S900" s="18">
        <f>Operations!S892*Operations!S899</f>
        <v/>
      </c>
      <c r="T900" s="18">
        <f>Operations!T892*Operations!T899</f>
        <v/>
      </c>
      <c r="U900" s="18">
        <f>Operations!U892*Operations!U899</f>
        <v/>
      </c>
      <c r="V900" s="18">
        <f>Operations!V892*Operations!V899</f>
        <v/>
      </c>
      <c r="W900" s="18">
        <f>Operations!W892*Operations!W899</f>
        <v/>
      </c>
      <c r="X900" s="18">
        <f>Operations!X892*Operations!X899</f>
        <v/>
      </c>
      <c r="Y900" s="18">
        <f>Operations!Y892*Operations!Y899</f>
        <v/>
      </c>
      <c r="Z900" s="18">
        <f>Operations!Z892*Operations!Z899</f>
        <v/>
      </c>
      <c r="AA900" s="18">
        <f>Operations!AA892*Operations!AA899</f>
        <v/>
      </c>
      <c r="AB900" s="18">
        <f>Operations!AB892*Operations!AB899</f>
        <v/>
      </c>
      <c r="AC900" s="18">
        <f>Operations!AC892*Operations!AC899</f>
        <v/>
      </c>
      <c r="AD900" s="18">
        <f>Operations!AD892*Operations!AD899</f>
        <v/>
      </c>
      <c r="AE900" s="18">
        <f>Operations!AE892*Operations!AE899</f>
        <v/>
      </c>
      <c r="AF900" s="18">
        <f>Operations!AF892*Operations!AF899</f>
        <v/>
      </c>
      <c r="AG900" s="18">
        <f>Operations!AG892*Operations!AG899</f>
        <v/>
      </c>
      <c r="AH900" s="18">
        <f>Operations!AH892*Operations!AH899</f>
        <v/>
      </c>
      <c r="AI900" s="18">
        <f>Operations!AI892*Operations!AI899</f>
        <v/>
      </c>
      <c r="AJ900" s="18">
        <f>Operations!AJ892*Operations!AJ899</f>
        <v/>
      </c>
      <c r="AK900" s="18">
        <f>Operations!AK892*Operations!AK899</f>
        <v/>
      </c>
      <c r="AL900" s="18">
        <f>Operations!AL892*Operations!AL899</f>
        <v/>
      </c>
      <c r="AM900" s="18">
        <f>Operations!AM892*Operations!AM899</f>
        <v/>
      </c>
      <c r="AN900" s="18">
        <f>Operations!AN892*Operations!AN899</f>
        <v/>
      </c>
      <c r="AO900" s="18">
        <f>Operations!AO892*Operations!AO899</f>
        <v/>
      </c>
      <c r="AP900" s="18">
        <f>Operations!AP892*Operations!AP899</f>
        <v/>
      </c>
      <c r="AQ900" s="18">
        <f>Operations!AQ892*Operations!AQ899</f>
        <v/>
      </c>
      <c r="AR900" s="18">
        <f>Operations!AR892*Operations!AR899</f>
        <v/>
      </c>
      <c r="AS900" s="18">
        <f>Operations!AS892*Operations!AS899</f>
        <v/>
      </c>
      <c r="AT900" s="18">
        <f>Operations!AT892*Operations!AT899</f>
        <v/>
      </c>
      <c r="AU900" s="18">
        <f>Operations!AU892*Operations!AU899</f>
        <v/>
      </c>
    </row>
    <row r="901">
      <c r="D901" t="inlineStr">
        <is>
          <t>R3 PRS term fraction</t>
        </is>
      </c>
      <c r="E901" t="inlineStr">
        <is>
          <t>fraction</t>
        </is>
      </c>
      <c r="J901" s="14">
        <f>MAX(0,MIN(Inputs!$F$199,Time!J$6)-MAX(Inputs!$F$198-1,Time!J$5))/Time!J$7</f>
        <v/>
      </c>
      <c r="K901" s="14">
        <f>MAX(0,MIN(Inputs!$F$199,Time!K$6)-MAX(Inputs!$F$198-1,Time!K$5))/Time!K$7</f>
        <v/>
      </c>
      <c r="L901" s="14">
        <f>MAX(0,MIN(Inputs!$F$199,Time!L$6)-MAX(Inputs!$F$198-1,Time!L$5))/Time!L$7</f>
        <v/>
      </c>
      <c r="M901" s="14">
        <f>MAX(0,MIN(Inputs!$F$199,Time!M$6)-MAX(Inputs!$F$198-1,Time!M$5))/Time!M$7</f>
        <v/>
      </c>
      <c r="N901" s="14">
        <f>MAX(0,MIN(Inputs!$F$199,Time!N$6)-MAX(Inputs!$F$198-1,Time!N$5))/Time!N$7</f>
        <v/>
      </c>
      <c r="O901" s="14">
        <f>MAX(0,MIN(Inputs!$F$199,Time!O$6)-MAX(Inputs!$F$198-1,Time!O$5))/Time!O$7</f>
        <v/>
      </c>
      <c r="P901" s="14">
        <f>MAX(0,MIN(Inputs!$F$199,Time!P$6)-MAX(Inputs!$F$198-1,Time!P$5))/Time!P$7</f>
        <v/>
      </c>
      <c r="Q901" s="14">
        <f>MAX(0,MIN(Inputs!$F$199,Time!Q$6)-MAX(Inputs!$F$198-1,Time!Q$5))/Time!Q$7</f>
        <v/>
      </c>
      <c r="R901" s="14">
        <f>MAX(0,MIN(Inputs!$F$199,Time!R$6)-MAX(Inputs!$F$198-1,Time!R$5))/Time!R$7</f>
        <v/>
      </c>
      <c r="S901" s="14">
        <f>MAX(0,MIN(Inputs!$F$199,Time!S$6)-MAX(Inputs!$F$198-1,Time!S$5))/Time!S$7</f>
        <v/>
      </c>
      <c r="T901" s="14">
        <f>MAX(0,MIN(Inputs!$F$199,Time!T$6)-MAX(Inputs!$F$198-1,Time!T$5))/Time!T$7</f>
        <v/>
      </c>
      <c r="U901" s="14">
        <f>MAX(0,MIN(Inputs!$F$199,Time!U$6)-MAX(Inputs!$F$198-1,Time!U$5))/Time!U$7</f>
        <v/>
      </c>
      <c r="V901" s="14">
        <f>MAX(0,MIN(Inputs!$F$199,Time!V$6)-MAX(Inputs!$F$198-1,Time!V$5))/Time!V$7</f>
        <v/>
      </c>
      <c r="W901" s="14">
        <f>MAX(0,MIN(Inputs!$F$199,Time!W$6)-MAX(Inputs!$F$198-1,Time!W$5))/Time!W$7</f>
        <v/>
      </c>
      <c r="X901" s="14">
        <f>MAX(0,MIN(Inputs!$F$199,Time!X$6)-MAX(Inputs!$F$198-1,Time!X$5))/Time!X$7</f>
        <v/>
      </c>
      <c r="Y901" s="14">
        <f>MAX(0,MIN(Inputs!$F$199,Time!Y$6)-MAX(Inputs!$F$198-1,Time!Y$5))/Time!Y$7</f>
        <v/>
      </c>
      <c r="Z901" s="14">
        <f>MAX(0,MIN(Inputs!$F$199,Time!Z$6)-MAX(Inputs!$F$198-1,Time!Z$5))/Time!Z$7</f>
        <v/>
      </c>
      <c r="AA901" s="14">
        <f>MAX(0,MIN(Inputs!$F$199,Time!AA$6)-MAX(Inputs!$F$198-1,Time!AA$5))/Time!AA$7</f>
        <v/>
      </c>
      <c r="AB901" s="14">
        <f>MAX(0,MIN(Inputs!$F$199,Time!AB$6)-MAX(Inputs!$F$198-1,Time!AB$5))/Time!AB$7</f>
        <v/>
      </c>
      <c r="AC901" s="14">
        <f>MAX(0,MIN(Inputs!$F$199,Time!AC$6)-MAX(Inputs!$F$198-1,Time!AC$5))/Time!AC$7</f>
        <v/>
      </c>
      <c r="AD901" s="14">
        <f>MAX(0,MIN(Inputs!$F$199,Time!AD$6)-MAX(Inputs!$F$198-1,Time!AD$5))/Time!AD$7</f>
        <v/>
      </c>
      <c r="AE901" s="14">
        <f>MAX(0,MIN(Inputs!$F$199,Time!AE$6)-MAX(Inputs!$F$198-1,Time!AE$5))/Time!AE$7</f>
        <v/>
      </c>
      <c r="AF901" s="14">
        <f>MAX(0,MIN(Inputs!$F$199,Time!AF$6)-MAX(Inputs!$F$198-1,Time!AF$5))/Time!AF$7</f>
        <v/>
      </c>
      <c r="AG901" s="14">
        <f>MAX(0,MIN(Inputs!$F$199,Time!AG$6)-MAX(Inputs!$F$198-1,Time!AG$5))/Time!AG$7</f>
        <v/>
      </c>
      <c r="AH901" s="14">
        <f>MAX(0,MIN(Inputs!$F$199,Time!AH$6)-MAX(Inputs!$F$198-1,Time!AH$5))/Time!AH$7</f>
        <v/>
      </c>
      <c r="AI901" s="14">
        <f>MAX(0,MIN(Inputs!$F$199,Time!AI$6)-MAX(Inputs!$F$198-1,Time!AI$5))/Time!AI$7</f>
        <v/>
      </c>
      <c r="AJ901" s="14">
        <f>MAX(0,MIN(Inputs!$F$199,Time!AJ$6)-MAX(Inputs!$F$198-1,Time!AJ$5))/Time!AJ$7</f>
        <v/>
      </c>
      <c r="AK901" s="14">
        <f>MAX(0,MIN(Inputs!$F$199,Time!AK$6)-MAX(Inputs!$F$198-1,Time!AK$5))/Time!AK$7</f>
        <v/>
      </c>
      <c r="AL901" s="14">
        <f>MAX(0,MIN(Inputs!$F$199,Time!AL$6)-MAX(Inputs!$F$198-1,Time!AL$5))/Time!AL$7</f>
        <v/>
      </c>
      <c r="AM901" s="14">
        <f>MAX(0,MIN(Inputs!$F$199,Time!AM$6)-MAX(Inputs!$F$198-1,Time!AM$5))/Time!AM$7</f>
        <v/>
      </c>
      <c r="AN901" s="14">
        <f>MAX(0,MIN(Inputs!$F$199,Time!AN$6)-MAX(Inputs!$F$198-1,Time!AN$5))/Time!AN$7</f>
        <v/>
      </c>
      <c r="AO901" s="14">
        <f>MAX(0,MIN(Inputs!$F$199,Time!AO$6)-MAX(Inputs!$F$198-1,Time!AO$5))/Time!AO$7</f>
        <v/>
      </c>
      <c r="AP901" s="14">
        <f>MAX(0,MIN(Inputs!$F$199,Time!AP$6)-MAX(Inputs!$F$198-1,Time!AP$5))/Time!AP$7</f>
        <v/>
      </c>
      <c r="AQ901" s="14">
        <f>MAX(0,MIN(Inputs!$F$199,Time!AQ$6)-MAX(Inputs!$F$198-1,Time!AQ$5))/Time!AQ$7</f>
        <v/>
      </c>
      <c r="AR901" s="14">
        <f>MAX(0,MIN(Inputs!$F$199,Time!AR$6)-MAX(Inputs!$F$198-1,Time!AR$5))/Time!AR$7</f>
        <v/>
      </c>
      <c r="AS901" s="14">
        <f>MAX(0,MIN(Inputs!$F$199,Time!AS$6)-MAX(Inputs!$F$198-1,Time!AS$5))/Time!AS$7</f>
        <v/>
      </c>
      <c r="AT901" s="14">
        <f>MAX(0,MIN(Inputs!$F$199,Time!AT$6)-MAX(Inputs!$F$198-1,Time!AT$5))/Time!AT$7</f>
        <v/>
      </c>
      <c r="AU901" s="14">
        <f>MAX(0,MIN(Inputs!$F$199,Time!AU$6)-MAX(Inputs!$F$198-1,Time!AU$5))/Time!AU$7</f>
        <v/>
      </c>
    </row>
    <row r="902">
      <c r="D902" t="inlineStr">
        <is>
          <t>R3 proxy generation</t>
        </is>
      </c>
      <c r="E902" t="inlineStr">
        <is>
          <t>GWh</t>
        </is>
      </c>
      <c r="J902" s="20">
        <f>Operations!J896*Operations!J901</f>
        <v/>
      </c>
      <c r="K902" s="20">
        <f>Operations!K896*Operations!K901</f>
        <v/>
      </c>
      <c r="L902" s="20">
        <f>Operations!L896*Operations!L901</f>
        <v/>
      </c>
      <c r="M902" s="20">
        <f>Operations!M896*Operations!M901</f>
        <v/>
      </c>
      <c r="N902" s="20">
        <f>Operations!N896*Operations!N901</f>
        <v/>
      </c>
      <c r="O902" s="20">
        <f>Operations!O896*Operations!O901</f>
        <v/>
      </c>
      <c r="P902" s="20">
        <f>Operations!P896*Operations!P901</f>
        <v/>
      </c>
      <c r="Q902" s="20">
        <f>Operations!Q896*Operations!Q901</f>
        <v/>
      </c>
      <c r="R902" s="20">
        <f>Operations!R896*Operations!R901</f>
        <v/>
      </c>
      <c r="S902" s="20">
        <f>Operations!S896*Operations!S901</f>
        <v/>
      </c>
      <c r="T902" s="20">
        <f>Operations!T896*Operations!T901</f>
        <v/>
      </c>
      <c r="U902" s="20">
        <f>Operations!U896*Operations!U901</f>
        <v/>
      </c>
      <c r="V902" s="20">
        <f>Operations!V896*Operations!V901</f>
        <v/>
      </c>
      <c r="W902" s="20">
        <f>Operations!W896*Operations!W901</f>
        <v/>
      </c>
      <c r="X902" s="20">
        <f>Operations!X896*Operations!X901</f>
        <v/>
      </c>
      <c r="Y902" s="20">
        <f>Operations!Y896*Operations!Y901</f>
        <v/>
      </c>
      <c r="Z902" s="20">
        <f>Operations!Z896*Operations!Z901</f>
        <v/>
      </c>
      <c r="AA902" s="20">
        <f>Operations!AA896*Operations!AA901</f>
        <v/>
      </c>
      <c r="AB902" s="20">
        <f>Operations!AB896*Operations!AB901</f>
        <v/>
      </c>
      <c r="AC902" s="20">
        <f>Operations!AC896*Operations!AC901</f>
        <v/>
      </c>
      <c r="AD902" s="20">
        <f>Operations!AD896*Operations!AD901</f>
        <v/>
      </c>
      <c r="AE902" s="20">
        <f>Operations!AE896*Operations!AE901</f>
        <v/>
      </c>
      <c r="AF902" s="20">
        <f>Operations!AF896*Operations!AF901</f>
        <v/>
      </c>
      <c r="AG902" s="20">
        <f>Operations!AG896*Operations!AG901</f>
        <v/>
      </c>
      <c r="AH902" s="20">
        <f>Operations!AH896*Operations!AH901</f>
        <v/>
      </c>
      <c r="AI902" s="20">
        <f>Operations!AI896*Operations!AI901</f>
        <v/>
      </c>
      <c r="AJ902" s="20">
        <f>Operations!AJ896*Operations!AJ901</f>
        <v/>
      </c>
      <c r="AK902" s="20">
        <f>Operations!AK896*Operations!AK901</f>
        <v/>
      </c>
      <c r="AL902" s="20">
        <f>Operations!AL896*Operations!AL901</f>
        <v/>
      </c>
      <c r="AM902" s="20">
        <f>Operations!AM896*Operations!AM901</f>
        <v/>
      </c>
      <c r="AN902" s="20">
        <f>Operations!AN896*Operations!AN901</f>
        <v/>
      </c>
      <c r="AO902" s="20">
        <f>Operations!AO896*Operations!AO901</f>
        <v/>
      </c>
      <c r="AP902" s="20">
        <f>Operations!AP896*Operations!AP901</f>
        <v/>
      </c>
      <c r="AQ902" s="20">
        <f>Operations!AQ896*Operations!AQ901</f>
        <v/>
      </c>
      <c r="AR902" s="20">
        <f>Operations!AR896*Operations!AR901</f>
        <v/>
      </c>
      <c r="AS902" s="20">
        <f>Operations!AS896*Operations!AS901</f>
        <v/>
      </c>
      <c r="AT902" s="20">
        <f>Operations!AT896*Operations!AT901</f>
        <v/>
      </c>
      <c r="AU902" s="20">
        <f>Operations!AU896*Operations!AU901</f>
        <v/>
      </c>
    </row>
    <row r="903">
      <c r="D903" t="inlineStr">
        <is>
          <t>R3 PRS net (fixed received less proxy revenue paid)</t>
        </is>
      </c>
      <c r="E903" t="inlineStr">
        <is>
          <t>USD m</t>
        </is>
      </c>
      <c r="G903" s="20">
        <f>SUM(J903:AU903)</f>
        <v/>
      </c>
      <c r="J903" s="20">
        <f>Inputs!$F$197*Operations!J901-Operations!J902*Operations!J898*Operations!J892/1000</f>
        <v/>
      </c>
      <c r="K903" s="20">
        <f>Inputs!$F$197*Operations!K901-Operations!K902*Operations!K898*Operations!K892/1000</f>
        <v/>
      </c>
      <c r="L903" s="20">
        <f>Inputs!$F$197*Operations!L901-Operations!L902*Operations!L898*Operations!L892/1000</f>
        <v/>
      </c>
      <c r="M903" s="20">
        <f>Inputs!$F$197*Operations!M901-Operations!M902*Operations!M898*Operations!M892/1000</f>
        <v/>
      </c>
      <c r="N903" s="20">
        <f>Inputs!$F$197*Operations!N901-Operations!N902*Operations!N898*Operations!N892/1000</f>
        <v/>
      </c>
      <c r="O903" s="20">
        <f>Inputs!$F$197*Operations!O901-Operations!O902*Operations!O898*Operations!O892/1000</f>
        <v/>
      </c>
      <c r="P903" s="20">
        <f>Inputs!$F$197*Operations!P901-Operations!P902*Operations!P898*Operations!P892/1000</f>
        <v/>
      </c>
      <c r="Q903" s="20">
        <f>Inputs!$F$197*Operations!Q901-Operations!Q902*Operations!Q898*Operations!Q892/1000</f>
        <v/>
      </c>
      <c r="R903" s="20">
        <f>Inputs!$F$197*Operations!R901-Operations!R902*Operations!R898*Operations!R892/1000</f>
        <v/>
      </c>
      <c r="S903" s="20">
        <f>Inputs!$F$197*Operations!S901-Operations!S902*Operations!S898*Operations!S892/1000</f>
        <v/>
      </c>
      <c r="T903" s="20">
        <f>Inputs!$F$197*Operations!T901-Operations!T902*Operations!T898*Operations!T892/1000</f>
        <v/>
      </c>
      <c r="U903" s="20">
        <f>Inputs!$F$197*Operations!U901-Operations!U902*Operations!U898*Operations!U892/1000</f>
        <v/>
      </c>
      <c r="V903" s="20">
        <f>Inputs!$F$197*Operations!V901-Operations!V902*Operations!V898*Operations!V892/1000</f>
        <v/>
      </c>
      <c r="W903" s="20">
        <f>Inputs!$F$197*Operations!W901-Operations!W902*Operations!W898*Operations!W892/1000</f>
        <v/>
      </c>
      <c r="X903" s="20">
        <f>Inputs!$F$197*Operations!X901-Operations!X902*Operations!X898*Operations!X892/1000</f>
        <v/>
      </c>
      <c r="Y903" s="20">
        <f>Inputs!$F$197*Operations!Y901-Operations!Y902*Operations!Y898*Operations!Y892/1000</f>
        <v/>
      </c>
      <c r="Z903" s="20">
        <f>Inputs!$F$197*Operations!Z901-Operations!Z902*Operations!Z898*Operations!Z892/1000</f>
        <v/>
      </c>
      <c r="AA903" s="20">
        <f>Inputs!$F$197*Operations!AA901-Operations!AA902*Operations!AA898*Operations!AA892/1000</f>
        <v/>
      </c>
      <c r="AB903" s="20">
        <f>Inputs!$F$197*Operations!AB901-Operations!AB902*Operations!AB898*Operations!AB892/1000</f>
        <v/>
      </c>
      <c r="AC903" s="20">
        <f>Inputs!$F$197*Operations!AC901-Operations!AC902*Operations!AC898*Operations!AC892/1000</f>
        <v/>
      </c>
      <c r="AD903" s="20">
        <f>Inputs!$F$197*Operations!AD901-Operations!AD902*Operations!AD898*Operations!AD892/1000</f>
        <v/>
      </c>
      <c r="AE903" s="20">
        <f>Inputs!$F$197*Operations!AE901-Operations!AE902*Operations!AE898*Operations!AE892/1000</f>
        <v/>
      </c>
      <c r="AF903" s="20">
        <f>Inputs!$F$197*Operations!AF901-Operations!AF902*Operations!AF898*Operations!AF892/1000</f>
        <v/>
      </c>
      <c r="AG903" s="20">
        <f>Inputs!$F$197*Operations!AG901-Operations!AG902*Operations!AG898*Operations!AG892/1000</f>
        <v/>
      </c>
      <c r="AH903" s="20">
        <f>Inputs!$F$197*Operations!AH901-Operations!AH902*Operations!AH898*Operations!AH892/1000</f>
        <v/>
      </c>
      <c r="AI903" s="20">
        <f>Inputs!$F$197*Operations!AI901-Operations!AI902*Operations!AI898*Operations!AI892/1000</f>
        <v/>
      </c>
      <c r="AJ903" s="20">
        <f>Inputs!$F$197*Operations!AJ901-Operations!AJ902*Operations!AJ898*Operations!AJ892/1000</f>
        <v/>
      </c>
      <c r="AK903" s="20">
        <f>Inputs!$F$197*Operations!AK901-Operations!AK902*Operations!AK898*Operations!AK892/1000</f>
        <v/>
      </c>
      <c r="AL903" s="20">
        <f>Inputs!$F$197*Operations!AL901-Operations!AL902*Operations!AL898*Operations!AL892/1000</f>
        <v/>
      </c>
      <c r="AM903" s="20">
        <f>Inputs!$F$197*Operations!AM901-Operations!AM902*Operations!AM898*Operations!AM892/1000</f>
        <v/>
      </c>
      <c r="AN903" s="20">
        <f>Inputs!$F$197*Operations!AN901-Operations!AN902*Operations!AN898*Operations!AN892/1000</f>
        <v/>
      </c>
      <c r="AO903" s="20">
        <f>Inputs!$F$197*Operations!AO901-Operations!AO902*Operations!AO898*Operations!AO892/1000</f>
        <v/>
      </c>
      <c r="AP903" s="20">
        <f>Inputs!$F$197*Operations!AP901-Operations!AP902*Operations!AP898*Operations!AP892/1000</f>
        <v/>
      </c>
      <c r="AQ903" s="20">
        <f>Inputs!$F$197*Operations!AQ901-Operations!AQ902*Operations!AQ898*Operations!AQ892/1000</f>
        <v/>
      </c>
      <c r="AR903" s="20">
        <f>Inputs!$F$197*Operations!AR901-Operations!AR902*Operations!AR898*Operations!AR892/1000</f>
        <v/>
      </c>
      <c r="AS903" s="20">
        <f>Inputs!$F$197*Operations!AS901-Operations!AS902*Operations!AS898*Operations!AS892/1000</f>
        <v/>
      </c>
      <c r="AT903" s="20">
        <f>Inputs!$F$197*Operations!AT901-Operations!AT902*Operations!AT898*Operations!AT892/1000</f>
        <v/>
      </c>
      <c r="AU903" s="20">
        <f>Inputs!$F$197*Operations!AU901-Operations!AU902*Operations!AU898*Operations!AU892/1000</f>
        <v/>
      </c>
    </row>
    <row r="904">
      <c r="D904" t="inlineStr">
        <is>
          <t>R3 generation sold at node</t>
        </is>
      </c>
      <c r="E904" t="inlineStr">
        <is>
          <t>GWh</t>
        </is>
      </c>
      <c r="J904" s="20">
        <f>Operations!J897</f>
        <v/>
      </c>
      <c r="K904" s="20">
        <f>Operations!K897</f>
        <v/>
      </c>
      <c r="L904" s="20">
        <f>Operations!L897</f>
        <v/>
      </c>
      <c r="M904" s="20">
        <f>Operations!M897</f>
        <v/>
      </c>
      <c r="N904" s="20">
        <f>Operations!N897</f>
        <v/>
      </c>
      <c r="O904" s="20">
        <f>Operations!O897</f>
        <v/>
      </c>
      <c r="P904" s="20">
        <f>Operations!P897</f>
        <v/>
      </c>
      <c r="Q904" s="20">
        <f>Operations!Q897</f>
        <v/>
      </c>
      <c r="R904" s="20">
        <f>Operations!R897</f>
        <v/>
      </c>
      <c r="S904" s="20">
        <f>Operations!S897</f>
        <v/>
      </c>
      <c r="T904" s="20">
        <f>Operations!T897</f>
        <v/>
      </c>
      <c r="U904" s="20">
        <f>Operations!U897</f>
        <v/>
      </c>
      <c r="V904" s="20">
        <f>Operations!V897</f>
        <v/>
      </c>
      <c r="W904" s="20">
        <f>Operations!W897</f>
        <v/>
      </c>
      <c r="X904" s="20">
        <f>Operations!X897</f>
        <v/>
      </c>
      <c r="Y904" s="20">
        <f>Operations!Y897</f>
        <v/>
      </c>
      <c r="Z904" s="20">
        <f>Operations!Z897</f>
        <v/>
      </c>
      <c r="AA904" s="20">
        <f>Operations!AA897</f>
        <v/>
      </c>
      <c r="AB904" s="20">
        <f>Operations!AB897</f>
        <v/>
      </c>
      <c r="AC904" s="20">
        <f>Operations!AC897</f>
        <v/>
      </c>
      <c r="AD904" s="20">
        <f>Operations!AD897</f>
        <v/>
      </c>
      <c r="AE904" s="20">
        <f>Operations!AE897</f>
        <v/>
      </c>
      <c r="AF904" s="20">
        <f>Operations!AF897</f>
        <v/>
      </c>
      <c r="AG904" s="20">
        <f>Operations!AG897</f>
        <v/>
      </c>
      <c r="AH904" s="20">
        <f>Operations!AH897</f>
        <v/>
      </c>
      <c r="AI904" s="20">
        <f>Operations!AI897</f>
        <v/>
      </c>
      <c r="AJ904" s="20">
        <f>Operations!AJ897</f>
        <v/>
      </c>
      <c r="AK904" s="20">
        <f>Operations!AK897</f>
        <v/>
      </c>
      <c r="AL904" s="20">
        <f>Operations!AL897</f>
        <v/>
      </c>
      <c r="AM904" s="20">
        <f>Operations!AM897</f>
        <v/>
      </c>
      <c r="AN904" s="20">
        <f>Operations!AN897</f>
        <v/>
      </c>
      <c r="AO904" s="20">
        <f>Operations!AO897</f>
        <v/>
      </c>
      <c r="AP904" s="20">
        <f>Operations!AP897</f>
        <v/>
      </c>
      <c r="AQ904" s="20">
        <f>Operations!AQ897</f>
        <v/>
      </c>
      <c r="AR904" s="20">
        <f>Operations!AR897</f>
        <v/>
      </c>
      <c r="AS904" s="20">
        <f>Operations!AS897</f>
        <v/>
      </c>
      <c r="AT904" s="20">
        <f>Operations!AT897</f>
        <v/>
      </c>
      <c r="AU904" s="20">
        <f>Operations!AU897</f>
        <v/>
      </c>
    </row>
    <row r="905">
      <c r="D905" t="inlineStr">
        <is>
          <t>R3 contracted revenue (PRS fixed payment)</t>
        </is>
      </c>
      <c r="E905" t="inlineStr">
        <is>
          <t>USD m</t>
        </is>
      </c>
      <c r="J905" s="20">
        <f>Inputs!$F$197*Operations!J901</f>
        <v/>
      </c>
      <c r="K905" s="20">
        <f>Inputs!$F$197*Operations!K901</f>
        <v/>
      </c>
      <c r="L905" s="20">
        <f>Inputs!$F$197*Operations!L901</f>
        <v/>
      </c>
      <c r="M905" s="20">
        <f>Inputs!$F$197*Operations!M901</f>
        <v/>
      </c>
      <c r="N905" s="20">
        <f>Inputs!$F$197*Operations!N901</f>
        <v/>
      </c>
      <c r="O905" s="20">
        <f>Inputs!$F$197*Operations!O901</f>
        <v/>
      </c>
      <c r="P905" s="20">
        <f>Inputs!$F$197*Operations!P901</f>
        <v/>
      </c>
      <c r="Q905" s="20">
        <f>Inputs!$F$197*Operations!Q901</f>
        <v/>
      </c>
      <c r="R905" s="20">
        <f>Inputs!$F$197*Operations!R901</f>
        <v/>
      </c>
      <c r="S905" s="20">
        <f>Inputs!$F$197*Operations!S901</f>
        <v/>
      </c>
      <c r="T905" s="20">
        <f>Inputs!$F$197*Operations!T901</f>
        <v/>
      </c>
      <c r="U905" s="20">
        <f>Inputs!$F$197*Operations!U901</f>
        <v/>
      </c>
      <c r="V905" s="20">
        <f>Inputs!$F$197*Operations!V901</f>
        <v/>
      </c>
      <c r="W905" s="20">
        <f>Inputs!$F$197*Operations!W901</f>
        <v/>
      </c>
      <c r="X905" s="20">
        <f>Inputs!$F$197*Operations!X901</f>
        <v/>
      </c>
      <c r="Y905" s="20">
        <f>Inputs!$F$197*Operations!Y901</f>
        <v/>
      </c>
      <c r="Z905" s="20">
        <f>Inputs!$F$197*Operations!Z901</f>
        <v/>
      </c>
      <c r="AA905" s="20">
        <f>Inputs!$F$197*Operations!AA901</f>
        <v/>
      </c>
      <c r="AB905" s="20">
        <f>Inputs!$F$197*Operations!AB901</f>
        <v/>
      </c>
      <c r="AC905" s="20">
        <f>Inputs!$F$197*Operations!AC901</f>
        <v/>
      </c>
      <c r="AD905" s="20">
        <f>Inputs!$F$197*Operations!AD901</f>
        <v/>
      </c>
      <c r="AE905" s="20">
        <f>Inputs!$F$197*Operations!AE901</f>
        <v/>
      </c>
      <c r="AF905" s="20">
        <f>Inputs!$F$197*Operations!AF901</f>
        <v/>
      </c>
      <c r="AG905" s="20">
        <f>Inputs!$F$197*Operations!AG901</f>
        <v/>
      </c>
      <c r="AH905" s="20">
        <f>Inputs!$F$197*Operations!AH901</f>
        <v/>
      </c>
      <c r="AI905" s="20">
        <f>Inputs!$F$197*Operations!AI901</f>
        <v/>
      </c>
      <c r="AJ905" s="20">
        <f>Inputs!$F$197*Operations!AJ901</f>
        <v/>
      </c>
      <c r="AK905" s="20">
        <f>Inputs!$F$197*Operations!AK901</f>
        <v/>
      </c>
      <c r="AL905" s="20">
        <f>Inputs!$F$197*Operations!AL901</f>
        <v/>
      </c>
      <c r="AM905" s="20">
        <f>Inputs!$F$197*Operations!AM901</f>
        <v/>
      </c>
      <c r="AN905" s="20">
        <f>Inputs!$F$197*Operations!AN901</f>
        <v/>
      </c>
      <c r="AO905" s="20">
        <f>Inputs!$F$197*Operations!AO901</f>
        <v/>
      </c>
      <c r="AP905" s="20">
        <f>Inputs!$F$197*Operations!AP901</f>
        <v/>
      </c>
      <c r="AQ905" s="20">
        <f>Inputs!$F$197*Operations!AQ901</f>
        <v/>
      </c>
      <c r="AR905" s="20">
        <f>Inputs!$F$197*Operations!AR901</f>
        <v/>
      </c>
      <c r="AS905" s="20">
        <f>Inputs!$F$197*Operations!AS901</f>
        <v/>
      </c>
      <c r="AT905" s="20">
        <f>Inputs!$F$197*Operations!AT901</f>
        <v/>
      </c>
      <c r="AU905" s="20">
        <f>Inputs!$F$197*Operations!AU901</f>
        <v/>
      </c>
    </row>
    <row r="906">
      <c r="D906" t="inlineStr">
        <is>
          <t>R3 hedged revenue</t>
        </is>
      </c>
      <c r="E906" t="inlineStr">
        <is>
          <t>USD m</t>
        </is>
      </c>
      <c r="J906" s="20">
        <f>0</f>
        <v/>
      </c>
      <c r="K906" s="20">
        <f>0</f>
        <v/>
      </c>
      <c r="L906" s="20">
        <f>0</f>
        <v/>
      </c>
      <c r="M906" s="20">
        <f>0</f>
        <v/>
      </c>
      <c r="N906" s="20">
        <f>0</f>
        <v/>
      </c>
      <c r="O906" s="20">
        <f>0</f>
        <v/>
      </c>
      <c r="P906" s="20">
        <f>0</f>
        <v/>
      </c>
      <c r="Q906" s="20">
        <f>0</f>
        <v/>
      </c>
      <c r="R906" s="20">
        <f>0</f>
        <v/>
      </c>
      <c r="S906" s="20">
        <f>0</f>
        <v/>
      </c>
      <c r="T906" s="20">
        <f>0</f>
        <v/>
      </c>
      <c r="U906" s="20">
        <f>0</f>
        <v/>
      </c>
      <c r="V906" s="20">
        <f>0</f>
        <v/>
      </c>
      <c r="W906" s="20">
        <f>0</f>
        <v/>
      </c>
      <c r="X906" s="20">
        <f>0</f>
        <v/>
      </c>
      <c r="Y906" s="20">
        <f>0</f>
        <v/>
      </c>
      <c r="Z906" s="20">
        <f>0</f>
        <v/>
      </c>
      <c r="AA906" s="20">
        <f>0</f>
        <v/>
      </c>
      <c r="AB906" s="20">
        <f>0</f>
        <v/>
      </c>
      <c r="AC906" s="20">
        <f>0</f>
        <v/>
      </c>
      <c r="AD906" s="20">
        <f>0</f>
        <v/>
      </c>
      <c r="AE906" s="20">
        <f>0</f>
        <v/>
      </c>
      <c r="AF906" s="20">
        <f>0</f>
        <v/>
      </c>
      <c r="AG906" s="20">
        <f>0</f>
        <v/>
      </c>
      <c r="AH906" s="20">
        <f>0</f>
        <v/>
      </c>
      <c r="AI906" s="20">
        <f>0</f>
        <v/>
      </c>
      <c r="AJ906" s="20">
        <f>0</f>
        <v/>
      </c>
      <c r="AK906" s="20">
        <f>0</f>
        <v/>
      </c>
      <c r="AL906" s="20">
        <f>0</f>
        <v/>
      </c>
      <c r="AM906" s="20">
        <f>0</f>
        <v/>
      </c>
      <c r="AN906" s="20">
        <f>0</f>
        <v/>
      </c>
      <c r="AO906" s="20">
        <f>0</f>
        <v/>
      </c>
      <c r="AP906" s="20">
        <f>0</f>
        <v/>
      </c>
      <c r="AQ906" s="20">
        <f>0</f>
        <v/>
      </c>
      <c r="AR906" s="20">
        <f>0</f>
        <v/>
      </c>
      <c r="AS906" s="20">
        <f>0</f>
        <v/>
      </c>
      <c r="AT906" s="20">
        <f>0</f>
        <v/>
      </c>
      <c r="AU906" s="20">
        <f>0</f>
        <v/>
      </c>
    </row>
    <row r="907">
      <c r="D907" t="inlineStr">
        <is>
          <t>R3 market revenue at node</t>
        </is>
      </c>
      <c r="E907" t="inlineStr">
        <is>
          <t>USD m</t>
        </is>
      </c>
      <c r="G907" s="20">
        <f>SUM(J907:AU907)</f>
        <v/>
      </c>
      <c r="J907" s="20">
        <f>Operations!J904*Operations!J900/1000</f>
        <v/>
      </c>
      <c r="K907" s="20">
        <f>Operations!K904*Operations!K900/1000</f>
        <v/>
      </c>
      <c r="L907" s="20">
        <f>Operations!L904*Operations!L900/1000</f>
        <v/>
      </c>
      <c r="M907" s="20">
        <f>Operations!M904*Operations!M900/1000</f>
        <v/>
      </c>
      <c r="N907" s="20">
        <f>Operations!N904*Operations!N900/1000</f>
        <v/>
      </c>
      <c r="O907" s="20">
        <f>Operations!O904*Operations!O900/1000</f>
        <v/>
      </c>
      <c r="P907" s="20">
        <f>Operations!P904*Operations!P900/1000</f>
        <v/>
      </c>
      <c r="Q907" s="20">
        <f>Operations!Q904*Operations!Q900/1000</f>
        <v/>
      </c>
      <c r="R907" s="20">
        <f>Operations!R904*Operations!R900/1000</f>
        <v/>
      </c>
      <c r="S907" s="20">
        <f>Operations!S904*Operations!S900/1000</f>
        <v/>
      </c>
      <c r="T907" s="20">
        <f>Operations!T904*Operations!T900/1000</f>
        <v/>
      </c>
      <c r="U907" s="20">
        <f>Operations!U904*Operations!U900/1000</f>
        <v/>
      </c>
      <c r="V907" s="20">
        <f>Operations!V904*Operations!V900/1000</f>
        <v/>
      </c>
      <c r="W907" s="20">
        <f>Operations!W904*Operations!W900/1000</f>
        <v/>
      </c>
      <c r="X907" s="20">
        <f>Operations!X904*Operations!X900/1000</f>
        <v/>
      </c>
      <c r="Y907" s="20">
        <f>Operations!Y904*Operations!Y900/1000</f>
        <v/>
      </c>
      <c r="Z907" s="20">
        <f>Operations!Z904*Operations!Z900/1000</f>
        <v/>
      </c>
      <c r="AA907" s="20">
        <f>Operations!AA904*Operations!AA900/1000</f>
        <v/>
      </c>
      <c r="AB907" s="20">
        <f>Operations!AB904*Operations!AB900/1000</f>
        <v/>
      </c>
      <c r="AC907" s="20">
        <f>Operations!AC904*Operations!AC900/1000</f>
        <v/>
      </c>
      <c r="AD907" s="20">
        <f>Operations!AD904*Operations!AD900/1000</f>
        <v/>
      </c>
      <c r="AE907" s="20">
        <f>Operations!AE904*Operations!AE900/1000</f>
        <v/>
      </c>
      <c r="AF907" s="20">
        <f>Operations!AF904*Operations!AF900/1000</f>
        <v/>
      </c>
      <c r="AG907" s="20">
        <f>Operations!AG904*Operations!AG900/1000</f>
        <v/>
      </c>
      <c r="AH907" s="20">
        <f>Operations!AH904*Operations!AH900/1000</f>
        <v/>
      </c>
      <c r="AI907" s="20">
        <f>Operations!AI904*Operations!AI900/1000</f>
        <v/>
      </c>
      <c r="AJ907" s="20">
        <f>Operations!AJ904*Operations!AJ900/1000</f>
        <v/>
      </c>
      <c r="AK907" s="20">
        <f>Operations!AK904*Operations!AK900/1000</f>
        <v/>
      </c>
      <c r="AL907" s="20">
        <f>Operations!AL904*Operations!AL900/1000</f>
        <v/>
      </c>
      <c r="AM907" s="20">
        <f>Operations!AM904*Operations!AM900/1000</f>
        <v/>
      </c>
      <c r="AN907" s="20">
        <f>Operations!AN904*Operations!AN900/1000</f>
        <v/>
      </c>
      <c r="AO907" s="20">
        <f>Operations!AO904*Operations!AO900/1000</f>
        <v/>
      </c>
      <c r="AP907" s="20">
        <f>Operations!AP904*Operations!AP900/1000</f>
        <v/>
      </c>
      <c r="AQ907" s="20">
        <f>Operations!AQ904*Operations!AQ900/1000</f>
        <v/>
      </c>
      <c r="AR907" s="20">
        <f>Operations!AR904*Operations!AR900/1000</f>
        <v/>
      </c>
      <c r="AS907" s="20">
        <f>Operations!AS904*Operations!AS900/1000</f>
        <v/>
      </c>
      <c r="AT907" s="20">
        <f>Operations!AT904*Operations!AT900/1000</f>
        <v/>
      </c>
      <c r="AU907" s="20">
        <f>Operations!AU904*Operations!AU900/1000</f>
        <v/>
      </c>
    </row>
    <row r="908">
      <c r="D908" t="inlineStr">
        <is>
          <t>R3 total revenue</t>
        </is>
      </c>
      <c r="E908" t="inlineStr">
        <is>
          <t>USD m</t>
        </is>
      </c>
      <c r="G908" s="20">
        <f>SUM(J908:AU908)</f>
        <v/>
      </c>
      <c r="J908" s="20">
        <f>Operations!J907+Operations!J903</f>
        <v/>
      </c>
      <c r="K908" s="20">
        <f>Operations!K907+Operations!K903</f>
        <v/>
      </c>
      <c r="L908" s="20">
        <f>Operations!L907+Operations!L903</f>
        <v/>
      </c>
      <c r="M908" s="20">
        <f>Operations!M907+Operations!M903</f>
        <v/>
      </c>
      <c r="N908" s="20">
        <f>Operations!N907+Operations!N903</f>
        <v/>
      </c>
      <c r="O908" s="20">
        <f>Operations!O907+Operations!O903</f>
        <v/>
      </c>
      <c r="P908" s="20">
        <f>Operations!P907+Operations!P903</f>
        <v/>
      </c>
      <c r="Q908" s="20">
        <f>Operations!Q907+Operations!Q903</f>
        <v/>
      </c>
      <c r="R908" s="20">
        <f>Operations!R907+Operations!R903</f>
        <v/>
      </c>
      <c r="S908" s="20">
        <f>Operations!S907+Operations!S903</f>
        <v/>
      </c>
      <c r="T908" s="20">
        <f>Operations!T907+Operations!T903</f>
        <v/>
      </c>
      <c r="U908" s="20">
        <f>Operations!U907+Operations!U903</f>
        <v/>
      </c>
      <c r="V908" s="20">
        <f>Operations!V907+Operations!V903</f>
        <v/>
      </c>
      <c r="W908" s="20">
        <f>Operations!W907+Operations!W903</f>
        <v/>
      </c>
      <c r="X908" s="20">
        <f>Operations!X907+Operations!X903</f>
        <v/>
      </c>
      <c r="Y908" s="20">
        <f>Operations!Y907+Operations!Y903</f>
        <v/>
      </c>
      <c r="Z908" s="20">
        <f>Operations!Z907+Operations!Z903</f>
        <v/>
      </c>
      <c r="AA908" s="20">
        <f>Operations!AA907+Operations!AA903</f>
        <v/>
      </c>
      <c r="AB908" s="20">
        <f>Operations!AB907+Operations!AB903</f>
        <v/>
      </c>
      <c r="AC908" s="20">
        <f>Operations!AC907+Operations!AC903</f>
        <v/>
      </c>
      <c r="AD908" s="20">
        <f>Operations!AD907+Operations!AD903</f>
        <v/>
      </c>
      <c r="AE908" s="20">
        <f>Operations!AE907+Operations!AE903</f>
        <v/>
      </c>
      <c r="AF908" s="20">
        <f>Operations!AF907+Operations!AF903</f>
        <v/>
      </c>
      <c r="AG908" s="20">
        <f>Operations!AG907+Operations!AG903</f>
        <v/>
      </c>
      <c r="AH908" s="20">
        <f>Operations!AH907+Operations!AH903</f>
        <v/>
      </c>
      <c r="AI908" s="20">
        <f>Operations!AI907+Operations!AI903</f>
        <v/>
      </c>
      <c r="AJ908" s="20">
        <f>Operations!AJ907+Operations!AJ903</f>
        <v/>
      </c>
      <c r="AK908" s="20">
        <f>Operations!AK907+Operations!AK903</f>
        <v/>
      </c>
      <c r="AL908" s="20">
        <f>Operations!AL907+Operations!AL903</f>
        <v/>
      </c>
      <c r="AM908" s="20">
        <f>Operations!AM907+Operations!AM903</f>
        <v/>
      </c>
      <c r="AN908" s="20">
        <f>Operations!AN907+Operations!AN903</f>
        <v/>
      </c>
      <c r="AO908" s="20">
        <f>Operations!AO907+Operations!AO903</f>
        <v/>
      </c>
      <c r="AP908" s="20">
        <f>Operations!AP907+Operations!AP903</f>
        <v/>
      </c>
      <c r="AQ908" s="20">
        <f>Operations!AQ907+Operations!AQ903</f>
        <v/>
      </c>
      <c r="AR908" s="20">
        <f>Operations!AR907+Operations!AR903</f>
        <v/>
      </c>
      <c r="AS908" s="20">
        <f>Operations!AS907+Operations!AS903</f>
        <v/>
      </c>
      <c r="AT908" s="20">
        <f>Operations!AT907+Operations!AT903</f>
        <v/>
      </c>
      <c r="AU908" s="20">
        <f>Operations!AU907+Operations!AU903</f>
        <v/>
      </c>
    </row>
    <row r="909">
      <c r="D909" t="inlineStr">
        <is>
          <t>R3 merchant revenue (total less contracted and hedged)</t>
        </is>
      </c>
      <c r="E909" t="inlineStr">
        <is>
          <t>USD m</t>
        </is>
      </c>
      <c r="J909" s="20">
        <f>Operations!J908-Operations!J905-Operations!J906</f>
        <v/>
      </c>
      <c r="K909" s="20">
        <f>Operations!K908-Operations!K905-Operations!K906</f>
        <v/>
      </c>
      <c r="L909" s="20">
        <f>Operations!L908-Operations!L905-Operations!L906</f>
        <v/>
      </c>
      <c r="M909" s="20">
        <f>Operations!M908-Operations!M905-Operations!M906</f>
        <v/>
      </c>
      <c r="N909" s="20">
        <f>Operations!N908-Operations!N905-Operations!N906</f>
        <v/>
      </c>
      <c r="O909" s="20">
        <f>Operations!O908-Operations!O905-Operations!O906</f>
        <v/>
      </c>
      <c r="P909" s="20">
        <f>Operations!P908-Operations!P905-Operations!P906</f>
        <v/>
      </c>
      <c r="Q909" s="20">
        <f>Operations!Q908-Operations!Q905-Operations!Q906</f>
        <v/>
      </c>
      <c r="R909" s="20">
        <f>Operations!R908-Operations!R905-Operations!R906</f>
        <v/>
      </c>
      <c r="S909" s="20">
        <f>Operations!S908-Operations!S905-Operations!S906</f>
        <v/>
      </c>
      <c r="T909" s="20">
        <f>Operations!T908-Operations!T905-Operations!T906</f>
        <v/>
      </c>
      <c r="U909" s="20">
        <f>Operations!U908-Operations!U905-Operations!U906</f>
        <v/>
      </c>
      <c r="V909" s="20">
        <f>Operations!V908-Operations!V905-Operations!V906</f>
        <v/>
      </c>
      <c r="W909" s="20">
        <f>Operations!W908-Operations!W905-Operations!W906</f>
        <v/>
      </c>
      <c r="X909" s="20">
        <f>Operations!X908-Operations!X905-Operations!X906</f>
        <v/>
      </c>
      <c r="Y909" s="20">
        <f>Operations!Y908-Operations!Y905-Operations!Y906</f>
        <v/>
      </c>
      <c r="Z909" s="20">
        <f>Operations!Z908-Operations!Z905-Operations!Z906</f>
        <v/>
      </c>
      <c r="AA909" s="20">
        <f>Operations!AA908-Operations!AA905-Operations!AA906</f>
        <v/>
      </c>
      <c r="AB909" s="20">
        <f>Operations!AB908-Operations!AB905-Operations!AB906</f>
        <v/>
      </c>
      <c r="AC909" s="20">
        <f>Operations!AC908-Operations!AC905-Operations!AC906</f>
        <v/>
      </c>
      <c r="AD909" s="20">
        <f>Operations!AD908-Operations!AD905-Operations!AD906</f>
        <v/>
      </c>
      <c r="AE909" s="20">
        <f>Operations!AE908-Operations!AE905-Operations!AE906</f>
        <v/>
      </c>
      <c r="AF909" s="20">
        <f>Operations!AF908-Operations!AF905-Operations!AF906</f>
        <v/>
      </c>
      <c r="AG909" s="20">
        <f>Operations!AG908-Operations!AG905-Operations!AG906</f>
        <v/>
      </c>
      <c r="AH909" s="20">
        <f>Operations!AH908-Operations!AH905-Operations!AH906</f>
        <v/>
      </c>
      <c r="AI909" s="20">
        <f>Operations!AI908-Operations!AI905-Operations!AI906</f>
        <v/>
      </c>
      <c r="AJ909" s="20">
        <f>Operations!AJ908-Operations!AJ905-Operations!AJ906</f>
        <v/>
      </c>
      <c r="AK909" s="20">
        <f>Operations!AK908-Operations!AK905-Operations!AK906</f>
        <v/>
      </c>
      <c r="AL909" s="20">
        <f>Operations!AL908-Operations!AL905-Operations!AL906</f>
        <v/>
      </c>
      <c r="AM909" s="20">
        <f>Operations!AM908-Operations!AM905-Operations!AM906</f>
        <v/>
      </c>
      <c r="AN909" s="20">
        <f>Operations!AN908-Operations!AN905-Operations!AN906</f>
        <v/>
      </c>
      <c r="AO909" s="20">
        <f>Operations!AO908-Operations!AO905-Operations!AO906</f>
        <v/>
      </c>
      <c r="AP909" s="20">
        <f>Operations!AP908-Operations!AP905-Operations!AP906</f>
        <v/>
      </c>
      <c r="AQ909" s="20">
        <f>Operations!AQ908-Operations!AQ905-Operations!AQ906</f>
        <v/>
      </c>
      <c r="AR909" s="20">
        <f>Operations!AR908-Operations!AR905-Operations!AR906</f>
        <v/>
      </c>
      <c r="AS909" s="20">
        <f>Operations!AS908-Operations!AS905-Operations!AS906</f>
        <v/>
      </c>
      <c r="AT909" s="20">
        <f>Operations!AT908-Operations!AT905-Operations!AT906</f>
        <v/>
      </c>
      <c r="AU909" s="20">
        <f>Operations!AU908-Operations!AU905-Operations!AU906</f>
        <v/>
      </c>
    </row>
    <row r="910">
      <c r="D910" t="inlineStr">
        <is>
          <t>R3 opex (O&amp;M, land, insurance, property tax, site)</t>
        </is>
      </c>
      <c r="E910" t="inlineStr">
        <is>
          <t>USD m</t>
        </is>
      </c>
      <c r="J910" s="20">
        <f>Inputs!$F$114*Inputs!$F$110/1000*Time!J$9*Time!J$10*Operations!J889*Operations!$F$792</f>
        <v/>
      </c>
      <c r="K910" s="20">
        <f>Inputs!$F$114*Inputs!$F$110/1000*Time!K$9*Time!K$10*Operations!K889*Operations!$F$792</f>
        <v/>
      </c>
      <c r="L910" s="20">
        <f>Inputs!$F$114*Inputs!$F$110/1000*Time!L$9*Time!L$10*Operations!L889*Operations!$F$792</f>
        <v/>
      </c>
      <c r="M910" s="20">
        <f>Inputs!$F$114*Inputs!$F$110/1000*Time!M$9*Time!M$10*Operations!M889*Operations!$F$792</f>
        <v/>
      </c>
      <c r="N910" s="20">
        <f>Inputs!$F$114*Inputs!$F$110/1000*Time!N$9*Time!N$10*Operations!N889*Operations!$F$792</f>
        <v/>
      </c>
      <c r="O910" s="20">
        <f>Inputs!$F$114*Inputs!$F$110/1000*Time!O$9*Time!O$10*Operations!O889*Operations!$F$792</f>
        <v/>
      </c>
      <c r="P910" s="20">
        <f>Inputs!$F$114*Inputs!$F$110/1000*Time!P$9*Time!P$10*Operations!P889*Operations!$F$792</f>
        <v/>
      </c>
      <c r="Q910" s="20">
        <f>Inputs!$F$114*Inputs!$F$110/1000*Time!Q$9*Time!Q$10*Operations!Q889*Operations!$F$792</f>
        <v/>
      </c>
      <c r="R910" s="20">
        <f>Inputs!$F$114*Inputs!$F$110/1000*Time!R$9*Time!R$10*Operations!R889*Operations!$F$792</f>
        <v/>
      </c>
      <c r="S910" s="20">
        <f>Inputs!$F$114*Inputs!$F$110/1000*Time!S$9*Time!S$10*Operations!S889*Operations!$F$792</f>
        <v/>
      </c>
      <c r="T910" s="20">
        <f>Inputs!$F$114*Inputs!$F$110/1000*Time!T$9*Time!T$10*Operations!T889*Operations!$F$792</f>
        <v/>
      </c>
      <c r="U910" s="20">
        <f>Inputs!$F$114*Inputs!$F$110/1000*Time!U$9*Time!U$10*Operations!U889*Operations!$F$792</f>
        <v/>
      </c>
      <c r="V910" s="20">
        <f>Inputs!$F$114*Inputs!$F$110/1000*Time!V$9*Time!V$10*Operations!V889*Operations!$F$792</f>
        <v/>
      </c>
      <c r="W910" s="20">
        <f>Inputs!$F$114*Inputs!$F$110/1000*Time!W$9*Time!W$10*Operations!W889*Operations!$F$792</f>
        <v/>
      </c>
      <c r="X910" s="20">
        <f>Inputs!$F$114*Inputs!$F$110/1000*Time!X$9*Time!X$10*Operations!X889*Operations!$F$792</f>
        <v/>
      </c>
      <c r="Y910" s="20">
        <f>Inputs!$F$114*Inputs!$F$110/1000*Time!Y$9*Time!Y$10*Operations!Y889*Operations!$F$792</f>
        <v/>
      </c>
      <c r="Z910" s="20">
        <f>Inputs!$F$114*Inputs!$F$110/1000*Time!Z$9*Time!Z$10*Operations!Z889*Operations!$F$792</f>
        <v/>
      </c>
      <c r="AA910" s="20">
        <f>Inputs!$F$114*Inputs!$F$110/1000*Time!AA$9*Time!AA$10*Operations!AA889*Operations!$F$792</f>
        <v/>
      </c>
      <c r="AB910" s="20">
        <f>Inputs!$F$114*Inputs!$F$110/1000*Time!AB$9*Time!AB$10*Operations!AB889*Operations!$F$792</f>
        <v/>
      </c>
      <c r="AC910" s="20">
        <f>Inputs!$F$114*Inputs!$F$110/1000*Time!AC$9*Time!AC$10*Operations!AC889*Operations!$F$792</f>
        <v/>
      </c>
      <c r="AD910" s="20">
        <f>Inputs!$F$114*Inputs!$F$110/1000*Time!AD$9*Time!AD$10*Operations!AD889*Operations!$F$792</f>
        <v/>
      </c>
      <c r="AE910" s="20">
        <f>Inputs!$F$114*Inputs!$F$110/1000*Time!AE$9*Time!AE$10*Operations!AE889*Operations!$F$792</f>
        <v/>
      </c>
      <c r="AF910" s="20">
        <f>Inputs!$F$114*Inputs!$F$110/1000*Time!AF$9*Time!AF$10*Operations!AF889*Operations!$F$792</f>
        <v/>
      </c>
      <c r="AG910" s="20">
        <f>Inputs!$F$114*Inputs!$F$110/1000*Time!AG$9*Time!AG$10*Operations!AG889*Operations!$F$792</f>
        <v/>
      </c>
      <c r="AH910" s="20">
        <f>Inputs!$F$114*Inputs!$F$110/1000*Time!AH$9*Time!AH$10*Operations!AH889*Operations!$F$792</f>
        <v/>
      </c>
      <c r="AI910" s="20">
        <f>Inputs!$F$114*Inputs!$F$110/1000*Time!AI$9*Time!AI$10*Operations!AI889*Operations!$F$792</f>
        <v/>
      </c>
      <c r="AJ910" s="20">
        <f>Inputs!$F$114*Inputs!$F$110/1000*Time!AJ$9*Time!AJ$10*Operations!AJ889*Operations!$F$792</f>
        <v/>
      </c>
      <c r="AK910" s="20">
        <f>Inputs!$F$114*Inputs!$F$110/1000*Time!AK$9*Time!AK$10*Operations!AK889*Operations!$F$792</f>
        <v/>
      </c>
      <c r="AL910" s="20">
        <f>Inputs!$F$114*Inputs!$F$110/1000*Time!AL$9*Time!AL$10*Operations!AL889*Operations!$F$792</f>
        <v/>
      </c>
      <c r="AM910" s="20">
        <f>Inputs!$F$114*Inputs!$F$110/1000*Time!AM$9*Time!AM$10*Operations!AM889*Operations!$F$792</f>
        <v/>
      </c>
      <c r="AN910" s="20">
        <f>Inputs!$F$114*Inputs!$F$110/1000*Time!AN$9*Time!AN$10*Operations!AN889*Operations!$F$792</f>
        <v/>
      </c>
      <c r="AO910" s="20">
        <f>Inputs!$F$114*Inputs!$F$110/1000*Time!AO$9*Time!AO$10*Operations!AO889*Operations!$F$792</f>
        <v/>
      </c>
      <c r="AP910" s="20">
        <f>Inputs!$F$114*Inputs!$F$110/1000*Time!AP$9*Time!AP$10*Operations!AP889*Operations!$F$792</f>
        <v/>
      </c>
      <c r="AQ910" s="20">
        <f>Inputs!$F$114*Inputs!$F$110/1000*Time!AQ$9*Time!AQ$10*Operations!AQ889*Operations!$F$792</f>
        <v/>
      </c>
      <c r="AR910" s="20">
        <f>Inputs!$F$114*Inputs!$F$110/1000*Time!AR$9*Time!AR$10*Operations!AR889*Operations!$F$792</f>
        <v/>
      </c>
      <c r="AS910" s="20">
        <f>Inputs!$F$114*Inputs!$F$110/1000*Time!AS$9*Time!AS$10*Operations!AS889*Operations!$F$792</f>
        <v/>
      </c>
      <c r="AT910" s="20">
        <f>Inputs!$F$114*Inputs!$F$110/1000*Time!AT$9*Time!AT$10*Operations!AT889*Operations!$F$792</f>
        <v/>
      </c>
      <c r="AU910" s="20">
        <f>Inputs!$F$114*Inputs!$F$110/1000*Time!AU$9*Time!AU$10*Operations!AU889*Operations!$F$792</f>
        <v/>
      </c>
    </row>
    <row r="911">
      <c r="D911" t="inlineStr">
        <is>
          <t>R3 wind land lease</t>
        </is>
      </c>
      <c r="E911" t="inlineStr">
        <is>
          <t>USD m</t>
        </is>
      </c>
      <c r="J911" s="20">
        <f>Inputs!$F$232/100*Operations!J908</f>
        <v/>
      </c>
      <c r="K911" s="20">
        <f>Inputs!$F$232/100*Operations!K908</f>
        <v/>
      </c>
      <c r="L911" s="20">
        <f>Inputs!$F$232/100*Operations!L908</f>
        <v/>
      </c>
      <c r="M911" s="20">
        <f>Inputs!$F$232/100*Operations!M908</f>
        <v/>
      </c>
      <c r="N911" s="20">
        <f>Inputs!$F$232/100*Operations!N908</f>
        <v/>
      </c>
      <c r="O911" s="20">
        <f>Inputs!$F$232/100*Operations!O908</f>
        <v/>
      </c>
      <c r="P911" s="20">
        <f>Inputs!$F$232/100*Operations!P908</f>
        <v/>
      </c>
      <c r="Q911" s="20">
        <f>Inputs!$F$232/100*Operations!Q908</f>
        <v/>
      </c>
      <c r="R911" s="20">
        <f>Inputs!$F$232/100*Operations!R908</f>
        <v/>
      </c>
      <c r="S911" s="20">
        <f>Inputs!$F$232/100*Operations!S908</f>
        <v/>
      </c>
      <c r="T911" s="20">
        <f>Inputs!$F$232/100*Operations!T908</f>
        <v/>
      </c>
      <c r="U911" s="20">
        <f>Inputs!$F$232/100*Operations!U908</f>
        <v/>
      </c>
      <c r="V911" s="20">
        <f>Inputs!$F$232/100*Operations!V908</f>
        <v/>
      </c>
      <c r="W911" s="20">
        <f>Inputs!$F$232/100*Operations!W908</f>
        <v/>
      </c>
      <c r="X911" s="20">
        <f>Inputs!$F$232/100*Operations!X908</f>
        <v/>
      </c>
      <c r="Y911" s="20">
        <f>Inputs!$F$232/100*Operations!Y908</f>
        <v/>
      </c>
      <c r="Z911" s="20">
        <f>Inputs!$F$232/100*Operations!Z908</f>
        <v/>
      </c>
      <c r="AA911" s="20">
        <f>Inputs!$F$232/100*Operations!AA908</f>
        <v/>
      </c>
      <c r="AB911" s="20">
        <f>Inputs!$F$232/100*Operations!AB908</f>
        <v/>
      </c>
      <c r="AC911" s="20">
        <f>Inputs!$F$232/100*Operations!AC908</f>
        <v/>
      </c>
      <c r="AD911" s="20">
        <f>Inputs!$F$232/100*Operations!AD908</f>
        <v/>
      </c>
      <c r="AE911" s="20">
        <f>Inputs!$F$232/100*Operations!AE908</f>
        <v/>
      </c>
      <c r="AF911" s="20">
        <f>Inputs!$F$232/100*Operations!AF908</f>
        <v/>
      </c>
      <c r="AG911" s="20">
        <f>Inputs!$F$232/100*Operations!AG908</f>
        <v/>
      </c>
      <c r="AH911" s="20">
        <f>Inputs!$F$232/100*Operations!AH908</f>
        <v/>
      </c>
      <c r="AI911" s="20">
        <f>Inputs!$F$232/100*Operations!AI908</f>
        <v/>
      </c>
      <c r="AJ911" s="20">
        <f>Inputs!$F$232/100*Operations!AJ908</f>
        <v/>
      </c>
      <c r="AK911" s="20">
        <f>Inputs!$F$232/100*Operations!AK908</f>
        <v/>
      </c>
      <c r="AL911" s="20">
        <f>Inputs!$F$232/100*Operations!AL908</f>
        <v/>
      </c>
      <c r="AM911" s="20">
        <f>Inputs!$F$232/100*Operations!AM908</f>
        <v/>
      </c>
      <c r="AN911" s="20">
        <f>Inputs!$F$232/100*Operations!AN908</f>
        <v/>
      </c>
      <c r="AO911" s="20">
        <f>Inputs!$F$232/100*Operations!AO908</f>
        <v/>
      </c>
      <c r="AP911" s="20">
        <f>Inputs!$F$232/100*Operations!AP908</f>
        <v/>
      </c>
      <c r="AQ911" s="20">
        <f>Inputs!$F$232/100*Operations!AQ908</f>
        <v/>
      </c>
      <c r="AR911" s="20">
        <f>Inputs!$F$232/100*Operations!AR908</f>
        <v/>
      </c>
      <c r="AS911" s="20">
        <f>Inputs!$F$232/100*Operations!AS908</f>
        <v/>
      </c>
      <c r="AT911" s="20">
        <f>Inputs!$F$232/100*Operations!AT908</f>
        <v/>
      </c>
      <c r="AU911" s="20">
        <f>Inputs!$F$232/100*Operations!AU908</f>
        <v/>
      </c>
    </row>
    <row r="912">
      <c r="D912" t="inlineStr">
        <is>
          <t>R3 decommissioning surety cost</t>
        </is>
      </c>
      <c r="E912" t="inlineStr">
        <is>
          <t>USD m</t>
        </is>
      </c>
      <c r="J912" s="20">
        <f>Inputs!$F$236/100*Inputs!$F$115*Inputs!$F$110/1000*Time!J$9*Operations!J889</f>
        <v/>
      </c>
      <c r="K912" s="20">
        <f>Inputs!$F$236/100*Inputs!$F$115*Inputs!$F$110/1000*Time!K$9*Operations!K889</f>
        <v/>
      </c>
      <c r="L912" s="20">
        <f>Inputs!$F$236/100*Inputs!$F$115*Inputs!$F$110/1000*Time!L$9*Operations!L889</f>
        <v/>
      </c>
      <c r="M912" s="20">
        <f>Inputs!$F$236/100*Inputs!$F$115*Inputs!$F$110/1000*Time!M$9*Operations!M889</f>
        <v/>
      </c>
      <c r="N912" s="20">
        <f>Inputs!$F$236/100*Inputs!$F$115*Inputs!$F$110/1000*Time!N$9*Operations!N889</f>
        <v/>
      </c>
      <c r="O912" s="20">
        <f>Inputs!$F$236/100*Inputs!$F$115*Inputs!$F$110/1000*Time!O$9*Operations!O889</f>
        <v/>
      </c>
      <c r="P912" s="20">
        <f>Inputs!$F$236/100*Inputs!$F$115*Inputs!$F$110/1000*Time!P$9*Operations!P889</f>
        <v/>
      </c>
      <c r="Q912" s="20">
        <f>Inputs!$F$236/100*Inputs!$F$115*Inputs!$F$110/1000*Time!Q$9*Operations!Q889</f>
        <v/>
      </c>
      <c r="R912" s="20">
        <f>Inputs!$F$236/100*Inputs!$F$115*Inputs!$F$110/1000*Time!R$9*Operations!R889</f>
        <v/>
      </c>
      <c r="S912" s="20">
        <f>Inputs!$F$236/100*Inputs!$F$115*Inputs!$F$110/1000*Time!S$9*Operations!S889</f>
        <v/>
      </c>
      <c r="T912" s="20">
        <f>Inputs!$F$236/100*Inputs!$F$115*Inputs!$F$110/1000*Time!T$9*Operations!T889</f>
        <v/>
      </c>
      <c r="U912" s="20">
        <f>Inputs!$F$236/100*Inputs!$F$115*Inputs!$F$110/1000*Time!U$9*Operations!U889</f>
        <v/>
      </c>
      <c r="V912" s="20">
        <f>Inputs!$F$236/100*Inputs!$F$115*Inputs!$F$110/1000*Time!V$9*Operations!V889</f>
        <v/>
      </c>
      <c r="W912" s="20">
        <f>Inputs!$F$236/100*Inputs!$F$115*Inputs!$F$110/1000*Time!W$9*Operations!W889</f>
        <v/>
      </c>
      <c r="X912" s="20">
        <f>Inputs!$F$236/100*Inputs!$F$115*Inputs!$F$110/1000*Time!X$9*Operations!X889</f>
        <v/>
      </c>
      <c r="Y912" s="20">
        <f>Inputs!$F$236/100*Inputs!$F$115*Inputs!$F$110/1000*Time!Y$9*Operations!Y889</f>
        <v/>
      </c>
      <c r="Z912" s="20">
        <f>Inputs!$F$236/100*Inputs!$F$115*Inputs!$F$110/1000*Time!Z$9*Operations!Z889</f>
        <v/>
      </c>
      <c r="AA912" s="20">
        <f>Inputs!$F$236/100*Inputs!$F$115*Inputs!$F$110/1000*Time!AA$9*Operations!AA889</f>
        <v/>
      </c>
      <c r="AB912" s="20">
        <f>Inputs!$F$236/100*Inputs!$F$115*Inputs!$F$110/1000*Time!AB$9*Operations!AB889</f>
        <v/>
      </c>
      <c r="AC912" s="20">
        <f>Inputs!$F$236/100*Inputs!$F$115*Inputs!$F$110/1000*Time!AC$9*Operations!AC889</f>
        <v/>
      </c>
      <c r="AD912" s="20">
        <f>Inputs!$F$236/100*Inputs!$F$115*Inputs!$F$110/1000*Time!AD$9*Operations!AD889</f>
        <v/>
      </c>
      <c r="AE912" s="20">
        <f>Inputs!$F$236/100*Inputs!$F$115*Inputs!$F$110/1000*Time!AE$9*Operations!AE889</f>
        <v/>
      </c>
      <c r="AF912" s="20">
        <f>Inputs!$F$236/100*Inputs!$F$115*Inputs!$F$110/1000*Time!AF$9*Operations!AF889</f>
        <v/>
      </c>
      <c r="AG912" s="20">
        <f>Inputs!$F$236/100*Inputs!$F$115*Inputs!$F$110/1000*Time!AG$9*Operations!AG889</f>
        <v/>
      </c>
      <c r="AH912" s="20">
        <f>Inputs!$F$236/100*Inputs!$F$115*Inputs!$F$110/1000*Time!AH$9*Operations!AH889</f>
        <v/>
      </c>
      <c r="AI912" s="20">
        <f>Inputs!$F$236/100*Inputs!$F$115*Inputs!$F$110/1000*Time!AI$9*Operations!AI889</f>
        <v/>
      </c>
      <c r="AJ912" s="20">
        <f>Inputs!$F$236/100*Inputs!$F$115*Inputs!$F$110/1000*Time!AJ$9*Operations!AJ889</f>
        <v/>
      </c>
      <c r="AK912" s="20">
        <f>Inputs!$F$236/100*Inputs!$F$115*Inputs!$F$110/1000*Time!AK$9*Operations!AK889</f>
        <v/>
      </c>
      <c r="AL912" s="20">
        <f>Inputs!$F$236/100*Inputs!$F$115*Inputs!$F$110/1000*Time!AL$9*Operations!AL889</f>
        <v/>
      </c>
      <c r="AM912" s="20">
        <f>Inputs!$F$236/100*Inputs!$F$115*Inputs!$F$110/1000*Time!AM$9*Operations!AM889</f>
        <v/>
      </c>
      <c r="AN912" s="20">
        <f>Inputs!$F$236/100*Inputs!$F$115*Inputs!$F$110/1000*Time!AN$9*Operations!AN889</f>
        <v/>
      </c>
      <c r="AO912" s="20">
        <f>Inputs!$F$236/100*Inputs!$F$115*Inputs!$F$110/1000*Time!AO$9*Operations!AO889</f>
        <v/>
      </c>
      <c r="AP912" s="20">
        <f>Inputs!$F$236/100*Inputs!$F$115*Inputs!$F$110/1000*Time!AP$9*Operations!AP889</f>
        <v/>
      </c>
      <c r="AQ912" s="20">
        <f>Inputs!$F$236/100*Inputs!$F$115*Inputs!$F$110/1000*Time!AQ$9*Operations!AQ889</f>
        <v/>
      </c>
      <c r="AR912" s="20">
        <f>Inputs!$F$236/100*Inputs!$F$115*Inputs!$F$110/1000*Time!AR$9*Operations!AR889</f>
        <v/>
      </c>
      <c r="AS912" s="20">
        <f>Inputs!$F$236/100*Inputs!$F$115*Inputs!$F$110/1000*Time!AS$9*Operations!AS889</f>
        <v/>
      </c>
      <c r="AT912" s="20">
        <f>Inputs!$F$236/100*Inputs!$F$115*Inputs!$F$110/1000*Time!AT$9*Operations!AT889</f>
        <v/>
      </c>
      <c r="AU912" s="20">
        <f>Inputs!$F$236/100*Inputs!$F$115*Inputs!$F$110/1000*Time!AU$9*Operations!AU889</f>
        <v/>
      </c>
    </row>
    <row r="913">
      <c r="D913" t="inlineStr">
        <is>
          <t>R3 Texas margin tax</t>
        </is>
      </c>
      <c r="E913" t="inlineStr">
        <is>
          <t>USD m</t>
        </is>
      </c>
      <c r="J913" s="20">
        <f>Inputs!$F$237/100*Inputs!$F$238/100*Operations!J908</f>
        <v/>
      </c>
      <c r="K913" s="20">
        <f>Inputs!$F$237/100*Inputs!$F$238/100*Operations!K908</f>
        <v/>
      </c>
      <c r="L913" s="20">
        <f>Inputs!$F$237/100*Inputs!$F$238/100*Operations!L908</f>
        <v/>
      </c>
      <c r="M913" s="20">
        <f>Inputs!$F$237/100*Inputs!$F$238/100*Operations!M908</f>
        <v/>
      </c>
      <c r="N913" s="20">
        <f>Inputs!$F$237/100*Inputs!$F$238/100*Operations!N908</f>
        <v/>
      </c>
      <c r="O913" s="20">
        <f>Inputs!$F$237/100*Inputs!$F$238/100*Operations!O908</f>
        <v/>
      </c>
      <c r="P913" s="20">
        <f>Inputs!$F$237/100*Inputs!$F$238/100*Operations!P908</f>
        <v/>
      </c>
      <c r="Q913" s="20">
        <f>Inputs!$F$237/100*Inputs!$F$238/100*Operations!Q908</f>
        <v/>
      </c>
      <c r="R913" s="20">
        <f>Inputs!$F$237/100*Inputs!$F$238/100*Operations!R908</f>
        <v/>
      </c>
      <c r="S913" s="20">
        <f>Inputs!$F$237/100*Inputs!$F$238/100*Operations!S908</f>
        <v/>
      </c>
      <c r="T913" s="20">
        <f>Inputs!$F$237/100*Inputs!$F$238/100*Operations!T908</f>
        <v/>
      </c>
      <c r="U913" s="20">
        <f>Inputs!$F$237/100*Inputs!$F$238/100*Operations!U908</f>
        <v/>
      </c>
      <c r="V913" s="20">
        <f>Inputs!$F$237/100*Inputs!$F$238/100*Operations!V908</f>
        <v/>
      </c>
      <c r="W913" s="20">
        <f>Inputs!$F$237/100*Inputs!$F$238/100*Operations!W908</f>
        <v/>
      </c>
      <c r="X913" s="20">
        <f>Inputs!$F$237/100*Inputs!$F$238/100*Operations!X908</f>
        <v/>
      </c>
      <c r="Y913" s="20">
        <f>Inputs!$F$237/100*Inputs!$F$238/100*Operations!Y908</f>
        <v/>
      </c>
      <c r="Z913" s="20">
        <f>Inputs!$F$237/100*Inputs!$F$238/100*Operations!Z908</f>
        <v/>
      </c>
      <c r="AA913" s="20">
        <f>Inputs!$F$237/100*Inputs!$F$238/100*Operations!AA908</f>
        <v/>
      </c>
      <c r="AB913" s="20">
        <f>Inputs!$F$237/100*Inputs!$F$238/100*Operations!AB908</f>
        <v/>
      </c>
      <c r="AC913" s="20">
        <f>Inputs!$F$237/100*Inputs!$F$238/100*Operations!AC908</f>
        <v/>
      </c>
      <c r="AD913" s="20">
        <f>Inputs!$F$237/100*Inputs!$F$238/100*Operations!AD908</f>
        <v/>
      </c>
      <c r="AE913" s="20">
        <f>Inputs!$F$237/100*Inputs!$F$238/100*Operations!AE908</f>
        <v/>
      </c>
      <c r="AF913" s="20">
        <f>Inputs!$F$237/100*Inputs!$F$238/100*Operations!AF908</f>
        <v/>
      </c>
      <c r="AG913" s="20">
        <f>Inputs!$F$237/100*Inputs!$F$238/100*Operations!AG908</f>
        <v/>
      </c>
      <c r="AH913" s="20">
        <f>Inputs!$F$237/100*Inputs!$F$238/100*Operations!AH908</f>
        <v/>
      </c>
      <c r="AI913" s="20">
        <f>Inputs!$F$237/100*Inputs!$F$238/100*Operations!AI908</f>
        <v/>
      </c>
      <c r="AJ913" s="20">
        <f>Inputs!$F$237/100*Inputs!$F$238/100*Operations!AJ908</f>
        <v/>
      </c>
      <c r="AK913" s="20">
        <f>Inputs!$F$237/100*Inputs!$F$238/100*Operations!AK908</f>
        <v/>
      </c>
      <c r="AL913" s="20">
        <f>Inputs!$F$237/100*Inputs!$F$238/100*Operations!AL908</f>
        <v/>
      </c>
      <c r="AM913" s="20">
        <f>Inputs!$F$237/100*Inputs!$F$238/100*Operations!AM908</f>
        <v/>
      </c>
      <c r="AN913" s="20">
        <f>Inputs!$F$237/100*Inputs!$F$238/100*Operations!AN908</f>
        <v/>
      </c>
      <c r="AO913" s="20">
        <f>Inputs!$F$237/100*Inputs!$F$238/100*Operations!AO908</f>
        <v/>
      </c>
      <c r="AP913" s="20">
        <f>Inputs!$F$237/100*Inputs!$F$238/100*Operations!AP908</f>
        <v/>
      </c>
      <c r="AQ913" s="20">
        <f>Inputs!$F$237/100*Inputs!$F$238/100*Operations!AQ908</f>
        <v/>
      </c>
      <c r="AR913" s="20">
        <f>Inputs!$F$237/100*Inputs!$F$238/100*Operations!AR908</f>
        <v/>
      </c>
      <c r="AS913" s="20">
        <f>Inputs!$F$237/100*Inputs!$F$238/100*Operations!AS908</f>
        <v/>
      </c>
      <c r="AT913" s="20">
        <f>Inputs!$F$237/100*Inputs!$F$238/100*Operations!AT908</f>
        <v/>
      </c>
      <c r="AU913" s="20">
        <f>Inputs!$F$237/100*Inputs!$F$238/100*Operations!AU908</f>
        <v/>
      </c>
    </row>
    <row r="914">
      <c r="D914" t="inlineStr">
        <is>
          <t>R3 EBITDA</t>
        </is>
      </c>
      <c r="E914" t="inlineStr">
        <is>
          <t>USD m</t>
        </is>
      </c>
      <c r="G914" s="20">
        <f>SUM(J914:AU914)</f>
        <v/>
      </c>
      <c r="J914" s="20">
        <f>Operations!J908-Operations!J910-Operations!J911-Operations!J912-Operations!J913</f>
        <v/>
      </c>
      <c r="K914" s="20">
        <f>Operations!K908-Operations!K910-Operations!K911-Operations!K912-Operations!K913</f>
        <v/>
      </c>
      <c r="L914" s="20">
        <f>Operations!L908-Operations!L910-Operations!L911-Operations!L912-Operations!L913</f>
        <v/>
      </c>
      <c r="M914" s="20">
        <f>Operations!M908-Operations!M910-Operations!M911-Operations!M912-Operations!M913</f>
        <v/>
      </c>
      <c r="N914" s="20">
        <f>Operations!N908-Operations!N910-Operations!N911-Operations!N912-Operations!N913</f>
        <v/>
      </c>
      <c r="O914" s="20">
        <f>Operations!O908-Operations!O910-Operations!O911-Operations!O912-Operations!O913</f>
        <v/>
      </c>
      <c r="P914" s="20">
        <f>Operations!P908-Operations!P910-Operations!P911-Operations!P912-Operations!P913</f>
        <v/>
      </c>
      <c r="Q914" s="20">
        <f>Operations!Q908-Operations!Q910-Operations!Q911-Operations!Q912-Operations!Q913</f>
        <v/>
      </c>
      <c r="R914" s="20">
        <f>Operations!R908-Operations!R910-Operations!R911-Operations!R912-Operations!R913</f>
        <v/>
      </c>
      <c r="S914" s="20">
        <f>Operations!S908-Operations!S910-Operations!S911-Operations!S912-Operations!S913</f>
        <v/>
      </c>
      <c r="T914" s="20">
        <f>Operations!T908-Operations!T910-Operations!T911-Operations!T912-Operations!T913</f>
        <v/>
      </c>
      <c r="U914" s="20">
        <f>Operations!U908-Operations!U910-Operations!U911-Operations!U912-Operations!U913</f>
        <v/>
      </c>
      <c r="V914" s="20">
        <f>Operations!V908-Operations!V910-Operations!V911-Operations!V912-Operations!V913</f>
        <v/>
      </c>
      <c r="W914" s="20">
        <f>Operations!W908-Operations!W910-Operations!W911-Operations!W912-Operations!W913</f>
        <v/>
      </c>
      <c r="X914" s="20">
        <f>Operations!X908-Operations!X910-Operations!X911-Operations!X912-Operations!X913</f>
        <v/>
      </c>
      <c r="Y914" s="20">
        <f>Operations!Y908-Operations!Y910-Operations!Y911-Operations!Y912-Operations!Y913</f>
        <v/>
      </c>
      <c r="Z914" s="20">
        <f>Operations!Z908-Operations!Z910-Operations!Z911-Operations!Z912-Operations!Z913</f>
        <v/>
      </c>
      <c r="AA914" s="20">
        <f>Operations!AA908-Operations!AA910-Operations!AA911-Operations!AA912-Operations!AA913</f>
        <v/>
      </c>
      <c r="AB914" s="20">
        <f>Operations!AB908-Operations!AB910-Operations!AB911-Operations!AB912-Operations!AB913</f>
        <v/>
      </c>
      <c r="AC914" s="20">
        <f>Operations!AC908-Operations!AC910-Operations!AC911-Operations!AC912-Operations!AC913</f>
        <v/>
      </c>
      <c r="AD914" s="20">
        <f>Operations!AD908-Operations!AD910-Operations!AD911-Operations!AD912-Operations!AD913</f>
        <v/>
      </c>
      <c r="AE914" s="20">
        <f>Operations!AE908-Operations!AE910-Operations!AE911-Operations!AE912-Operations!AE913</f>
        <v/>
      </c>
      <c r="AF914" s="20">
        <f>Operations!AF908-Operations!AF910-Operations!AF911-Operations!AF912-Operations!AF913</f>
        <v/>
      </c>
      <c r="AG914" s="20">
        <f>Operations!AG908-Operations!AG910-Operations!AG911-Operations!AG912-Operations!AG913</f>
        <v/>
      </c>
      <c r="AH914" s="20">
        <f>Operations!AH908-Operations!AH910-Operations!AH911-Operations!AH912-Operations!AH913</f>
        <v/>
      </c>
      <c r="AI914" s="20">
        <f>Operations!AI908-Operations!AI910-Operations!AI911-Operations!AI912-Operations!AI913</f>
        <v/>
      </c>
      <c r="AJ914" s="20">
        <f>Operations!AJ908-Operations!AJ910-Operations!AJ911-Operations!AJ912-Operations!AJ913</f>
        <v/>
      </c>
      <c r="AK914" s="20">
        <f>Operations!AK908-Operations!AK910-Operations!AK911-Operations!AK912-Operations!AK913</f>
        <v/>
      </c>
      <c r="AL914" s="20">
        <f>Operations!AL908-Operations!AL910-Operations!AL911-Operations!AL912-Operations!AL913</f>
        <v/>
      </c>
      <c r="AM914" s="20">
        <f>Operations!AM908-Operations!AM910-Operations!AM911-Operations!AM912-Operations!AM913</f>
        <v/>
      </c>
      <c r="AN914" s="20">
        <f>Operations!AN908-Operations!AN910-Operations!AN911-Operations!AN912-Operations!AN913</f>
        <v/>
      </c>
      <c r="AO914" s="20">
        <f>Operations!AO908-Operations!AO910-Operations!AO911-Operations!AO912-Operations!AO913</f>
        <v/>
      </c>
      <c r="AP914" s="20">
        <f>Operations!AP908-Operations!AP910-Operations!AP911-Operations!AP912-Operations!AP913</f>
        <v/>
      </c>
      <c r="AQ914" s="20">
        <f>Operations!AQ908-Operations!AQ910-Operations!AQ911-Operations!AQ912-Operations!AQ913</f>
        <v/>
      </c>
      <c r="AR914" s="20">
        <f>Operations!AR908-Operations!AR910-Operations!AR911-Operations!AR912-Operations!AR913</f>
        <v/>
      </c>
      <c r="AS914" s="20">
        <f>Operations!AS908-Operations!AS910-Operations!AS911-Operations!AS912-Operations!AS913</f>
        <v/>
      </c>
      <c r="AT914" s="20">
        <f>Operations!AT908-Operations!AT910-Operations!AT911-Operations!AT912-Operations!AT913</f>
        <v/>
      </c>
      <c r="AU914" s="20">
        <f>Operations!AU908-Operations!AU910-Operations!AU911-Operations!AU912-Operations!AU913</f>
        <v/>
      </c>
    </row>
    <row r="915">
      <c r="D915" t="inlineStr">
        <is>
          <t>R3 capex</t>
        </is>
      </c>
      <c r="E915" t="inlineStr">
        <is>
          <t>USD m</t>
        </is>
      </c>
      <c r="J915" s="20">
        <f>0</f>
        <v/>
      </c>
      <c r="K915" s="20">
        <f>0</f>
        <v/>
      </c>
      <c r="L915" s="20">
        <f>0</f>
        <v/>
      </c>
      <c r="M915" s="20">
        <f>0</f>
        <v/>
      </c>
      <c r="N915" s="20">
        <f>0</f>
        <v/>
      </c>
      <c r="O915" s="20">
        <f>0</f>
        <v/>
      </c>
      <c r="P915" s="20">
        <f>0</f>
        <v/>
      </c>
      <c r="Q915" s="20">
        <f>0</f>
        <v/>
      </c>
      <c r="R915" s="20">
        <f>0</f>
        <v/>
      </c>
      <c r="S915" s="20">
        <f>0</f>
        <v/>
      </c>
      <c r="T915" s="20">
        <f>0</f>
        <v/>
      </c>
      <c r="U915" s="20">
        <f>0</f>
        <v/>
      </c>
      <c r="V915" s="20">
        <f>0</f>
        <v/>
      </c>
      <c r="W915" s="20">
        <f>0</f>
        <v/>
      </c>
      <c r="X915" s="20">
        <f>0</f>
        <v/>
      </c>
      <c r="Y915" s="20">
        <f>0</f>
        <v/>
      </c>
      <c r="Z915" s="20">
        <f>0</f>
        <v/>
      </c>
      <c r="AA915" s="20">
        <f>0</f>
        <v/>
      </c>
      <c r="AB915" s="20">
        <f>0</f>
        <v/>
      </c>
      <c r="AC915" s="20">
        <f>0</f>
        <v/>
      </c>
      <c r="AD915" s="20">
        <f>0</f>
        <v/>
      </c>
      <c r="AE915" s="20">
        <f>0</f>
        <v/>
      </c>
      <c r="AF915" s="20">
        <f>0</f>
        <v/>
      </c>
      <c r="AG915" s="20">
        <f>0</f>
        <v/>
      </c>
      <c r="AH915" s="20">
        <f>0</f>
        <v/>
      </c>
      <c r="AI915" s="20">
        <f>0</f>
        <v/>
      </c>
      <c r="AJ915" s="20">
        <f>0</f>
        <v/>
      </c>
      <c r="AK915" s="20">
        <f>0</f>
        <v/>
      </c>
      <c r="AL915" s="20">
        <f>0</f>
        <v/>
      </c>
      <c r="AM915" s="20">
        <f>0</f>
        <v/>
      </c>
      <c r="AN915" s="20">
        <f>0</f>
        <v/>
      </c>
      <c r="AO915" s="20">
        <f>0</f>
        <v/>
      </c>
      <c r="AP915" s="20">
        <f>0</f>
        <v/>
      </c>
      <c r="AQ915" s="20">
        <f>0</f>
        <v/>
      </c>
      <c r="AR915" s="20">
        <f>0</f>
        <v/>
      </c>
      <c r="AS915" s="20">
        <f>0</f>
        <v/>
      </c>
      <c r="AT915" s="20">
        <f>0</f>
        <v/>
      </c>
      <c r="AU915" s="20">
        <f>0</f>
        <v/>
      </c>
    </row>
    <row r="916">
      <c r="D916" t="inlineStr">
        <is>
          <t>R3 decommissioning at end of life</t>
        </is>
      </c>
      <c r="E916" t="inlineStr">
        <is>
          <t>USD m</t>
        </is>
      </c>
      <c r="J916" s="20">
        <f>IF(Time!J$4=YEAR(Inputs!$F$112),Inputs!$F$115*Inputs!$F$110/1000*Time!J$9,0)</f>
        <v/>
      </c>
      <c r="K916" s="20">
        <f>IF(Time!K$4=YEAR(Inputs!$F$112),Inputs!$F$115*Inputs!$F$110/1000*Time!K$9,0)</f>
        <v/>
      </c>
      <c r="L916" s="20">
        <f>IF(Time!L$4=YEAR(Inputs!$F$112),Inputs!$F$115*Inputs!$F$110/1000*Time!L$9,0)</f>
        <v/>
      </c>
      <c r="M916" s="20">
        <f>IF(Time!M$4=YEAR(Inputs!$F$112),Inputs!$F$115*Inputs!$F$110/1000*Time!M$9,0)</f>
        <v/>
      </c>
      <c r="N916" s="20">
        <f>IF(Time!N$4=YEAR(Inputs!$F$112),Inputs!$F$115*Inputs!$F$110/1000*Time!N$9,0)</f>
        <v/>
      </c>
      <c r="O916" s="20">
        <f>IF(Time!O$4=YEAR(Inputs!$F$112),Inputs!$F$115*Inputs!$F$110/1000*Time!O$9,0)</f>
        <v/>
      </c>
      <c r="P916" s="20">
        <f>IF(Time!P$4=YEAR(Inputs!$F$112),Inputs!$F$115*Inputs!$F$110/1000*Time!P$9,0)</f>
        <v/>
      </c>
      <c r="Q916" s="20">
        <f>IF(Time!Q$4=YEAR(Inputs!$F$112),Inputs!$F$115*Inputs!$F$110/1000*Time!Q$9,0)</f>
        <v/>
      </c>
      <c r="R916" s="20">
        <f>IF(Time!R$4=YEAR(Inputs!$F$112),Inputs!$F$115*Inputs!$F$110/1000*Time!R$9,0)</f>
        <v/>
      </c>
      <c r="S916" s="20">
        <f>IF(Time!S$4=YEAR(Inputs!$F$112),Inputs!$F$115*Inputs!$F$110/1000*Time!S$9,0)</f>
        <v/>
      </c>
      <c r="T916" s="20">
        <f>IF(Time!T$4=YEAR(Inputs!$F$112),Inputs!$F$115*Inputs!$F$110/1000*Time!T$9,0)</f>
        <v/>
      </c>
      <c r="U916" s="20">
        <f>IF(Time!U$4=YEAR(Inputs!$F$112),Inputs!$F$115*Inputs!$F$110/1000*Time!U$9,0)</f>
        <v/>
      </c>
      <c r="V916" s="20">
        <f>IF(Time!V$4=YEAR(Inputs!$F$112),Inputs!$F$115*Inputs!$F$110/1000*Time!V$9,0)</f>
        <v/>
      </c>
      <c r="W916" s="20">
        <f>IF(Time!W$4=YEAR(Inputs!$F$112),Inputs!$F$115*Inputs!$F$110/1000*Time!W$9,0)</f>
        <v/>
      </c>
      <c r="X916" s="20">
        <f>IF(Time!X$4=YEAR(Inputs!$F$112),Inputs!$F$115*Inputs!$F$110/1000*Time!X$9,0)</f>
        <v/>
      </c>
      <c r="Y916" s="20">
        <f>IF(Time!Y$4=YEAR(Inputs!$F$112),Inputs!$F$115*Inputs!$F$110/1000*Time!Y$9,0)</f>
        <v/>
      </c>
      <c r="Z916" s="20">
        <f>IF(Time!Z$4=YEAR(Inputs!$F$112),Inputs!$F$115*Inputs!$F$110/1000*Time!Z$9,0)</f>
        <v/>
      </c>
      <c r="AA916" s="20">
        <f>IF(Time!AA$4=YEAR(Inputs!$F$112),Inputs!$F$115*Inputs!$F$110/1000*Time!AA$9,0)</f>
        <v/>
      </c>
      <c r="AB916" s="20">
        <f>IF(Time!AB$4=YEAR(Inputs!$F$112),Inputs!$F$115*Inputs!$F$110/1000*Time!AB$9,0)</f>
        <v/>
      </c>
      <c r="AC916" s="20">
        <f>IF(Time!AC$4=YEAR(Inputs!$F$112),Inputs!$F$115*Inputs!$F$110/1000*Time!AC$9,0)</f>
        <v/>
      </c>
      <c r="AD916" s="20">
        <f>IF(Time!AD$4=YEAR(Inputs!$F$112),Inputs!$F$115*Inputs!$F$110/1000*Time!AD$9,0)</f>
        <v/>
      </c>
      <c r="AE916" s="20">
        <f>IF(Time!AE$4=YEAR(Inputs!$F$112),Inputs!$F$115*Inputs!$F$110/1000*Time!AE$9,0)</f>
        <v/>
      </c>
      <c r="AF916" s="20">
        <f>IF(Time!AF$4=YEAR(Inputs!$F$112),Inputs!$F$115*Inputs!$F$110/1000*Time!AF$9,0)</f>
        <v/>
      </c>
      <c r="AG916" s="20">
        <f>IF(Time!AG$4=YEAR(Inputs!$F$112),Inputs!$F$115*Inputs!$F$110/1000*Time!AG$9,0)</f>
        <v/>
      </c>
      <c r="AH916" s="20">
        <f>IF(Time!AH$4=YEAR(Inputs!$F$112),Inputs!$F$115*Inputs!$F$110/1000*Time!AH$9,0)</f>
        <v/>
      </c>
      <c r="AI916" s="20">
        <f>IF(Time!AI$4=YEAR(Inputs!$F$112),Inputs!$F$115*Inputs!$F$110/1000*Time!AI$9,0)</f>
        <v/>
      </c>
      <c r="AJ916" s="20">
        <f>IF(Time!AJ$4=YEAR(Inputs!$F$112),Inputs!$F$115*Inputs!$F$110/1000*Time!AJ$9,0)</f>
        <v/>
      </c>
      <c r="AK916" s="20">
        <f>IF(Time!AK$4=YEAR(Inputs!$F$112),Inputs!$F$115*Inputs!$F$110/1000*Time!AK$9,0)</f>
        <v/>
      </c>
      <c r="AL916" s="20">
        <f>IF(Time!AL$4=YEAR(Inputs!$F$112),Inputs!$F$115*Inputs!$F$110/1000*Time!AL$9,0)</f>
        <v/>
      </c>
      <c r="AM916" s="20">
        <f>IF(Time!AM$4=YEAR(Inputs!$F$112),Inputs!$F$115*Inputs!$F$110/1000*Time!AM$9,0)</f>
        <v/>
      </c>
      <c r="AN916" s="20">
        <f>IF(Time!AN$4=YEAR(Inputs!$F$112),Inputs!$F$115*Inputs!$F$110/1000*Time!AN$9,0)</f>
        <v/>
      </c>
      <c r="AO916" s="20">
        <f>IF(Time!AO$4=YEAR(Inputs!$F$112),Inputs!$F$115*Inputs!$F$110/1000*Time!AO$9,0)</f>
        <v/>
      </c>
      <c r="AP916" s="20">
        <f>IF(Time!AP$4=YEAR(Inputs!$F$112),Inputs!$F$115*Inputs!$F$110/1000*Time!AP$9,0)</f>
        <v/>
      </c>
      <c r="AQ916" s="20">
        <f>IF(Time!AQ$4=YEAR(Inputs!$F$112),Inputs!$F$115*Inputs!$F$110/1000*Time!AQ$9,0)</f>
        <v/>
      </c>
      <c r="AR916" s="20">
        <f>IF(Time!AR$4=YEAR(Inputs!$F$112),Inputs!$F$115*Inputs!$F$110/1000*Time!AR$9,0)</f>
        <v/>
      </c>
      <c r="AS916" s="20">
        <f>IF(Time!AS$4=YEAR(Inputs!$F$112),Inputs!$F$115*Inputs!$F$110/1000*Time!AS$9,0)</f>
        <v/>
      </c>
      <c r="AT916" s="20">
        <f>IF(Time!AT$4=YEAR(Inputs!$F$112),Inputs!$F$115*Inputs!$F$110/1000*Time!AT$9,0)</f>
        <v/>
      </c>
      <c r="AU916" s="20">
        <f>IF(Time!AU$4=YEAR(Inputs!$F$112),Inputs!$F$115*Inputs!$F$110/1000*Time!AU$9,0)</f>
        <v/>
      </c>
    </row>
    <row r="917">
      <c r="D917" t="inlineStr">
        <is>
          <t>R3 pre-tax cash flow, 100% of asset</t>
        </is>
      </c>
      <c r="E917" t="inlineStr">
        <is>
          <t>USD m</t>
        </is>
      </c>
      <c r="G917" s="20">
        <f>SUM(J917:AU917)</f>
        <v/>
      </c>
      <c r="J917" s="20">
        <f>Operations!J914-Operations!J915-Operations!J916</f>
        <v/>
      </c>
      <c r="K917" s="20">
        <f>Operations!K914-Operations!K915-Operations!K916</f>
        <v/>
      </c>
      <c r="L917" s="20">
        <f>Operations!L914-Operations!L915-Operations!L916</f>
        <v/>
      </c>
      <c r="M917" s="20">
        <f>Operations!M914-Operations!M915-Operations!M916</f>
        <v/>
      </c>
      <c r="N917" s="20">
        <f>Operations!N914-Operations!N915-Operations!N916</f>
        <v/>
      </c>
      <c r="O917" s="20">
        <f>Operations!O914-Operations!O915-Operations!O916</f>
        <v/>
      </c>
      <c r="P917" s="20">
        <f>Operations!P914-Operations!P915-Operations!P916</f>
        <v/>
      </c>
      <c r="Q917" s="20">
        <f>Operations!Q914-Operations!Q915-Operations!Q916</f>
        <v/>
      </c>
      <c r="R917" s="20">
        <f>Operations!R914-Operations!R915-Operations!R916</f>
        <v/>
      </c>
      <c r="S917" s="20">
        <f>Operations!S914-Operations!S915-Operations!S916</f>
        <v/>
      </c>
      <c r="T917" s="20">
        <f>Operations!T914-Operations!T915-Operations!T916</f>
        <v/>
      </c>
      <c r="U917" s="20">
        <f>Operations!U914-Operations!U915-Operations!U916</f>
        <v/>
      </c>
      <c r="V917" s="20">
        <f>Operations!V914-Operations!V915-Operations!V916</f>
        <v/>
      </c>
      <c r="W917" s="20">
        <f>Operations!W914-Operations!W915-Operations!W916</f>
        <v/>
      </c>
      <c r="X917" s="20">
        <f>Operations!X914-Operations!X915-Operations!X916</f>
        <v/>
      </c>
      <c r="Y917" s="20">
        <f>Operations!Y914-Operations!Y915-Operations!Y916</f>
        <v/>
      </c>
      <c r="Z917" s="20">
        <f>Operations!Z914-Operations!Z915-Operations!Z916</f>
        <v/>
      </c>
      <c r="AA917" s="20">
        <f>Operations!AA914-Operations!AA915-Operations!AA916</f>
        <v/>
      </c>
      <c r="AB917" s="20">
        <f>Operations!AB914-Operations!AB915-Operations!AB916</f>
        <v/>
      </c>
      <c r="AC917" s="20">
        <f>Operations!AC914-Operations!AC915-Operations!AC916</f>
        <v/>
      </c>
      <c r="AD917" s="20">
        <f>Operations!AD914-Operations!AD915-Operations!AD916</f>
        <v/>
      </c>
      <c r="AE917" s="20">
        <f>Operations!AE914-Operations!AE915-Operations!AE916</f>
        <v/>
      </c>
      <c r="AF917" s="20">
        <f>Operations!AF914-Operations!AF915-Operations!AF916</f>
        <v/>
      </c>
      <c r="AG917" s="20">
        <f>Operations!AG914-Operations!AG915-Operations!AG916</f>
        <v/>
      </c>
      <c r="AH917" s="20">
        <f>Operations!AH914-Operations!AH915-Operations!AH916</f>
        <v/>
      </c>
      <c r="AI917" s="20">
        <f>Operations!AI914-Operations!AI915-Operations!AI916</f>
        <v/>
      </c>
      <c r="AJ917" s="20">
        <f>Operations!AJ914-Operations!AJ915-Operations!AJ916</f>
        <v/>
      </c>
      <c r="AK917" s="20">
        <f>Operations!AK914-Operations!AK915-Operations!AK916</f>
        <v/>
      </c>
      <c r="AL917" s="20">
        <f>Operations!AL914-Operations!AL915-Operations!AL916</f>
        <v/>
      </c>
      <c r="AM917" s="20">
        <f>Operations!AM914-Operations!AM915-Operations!AM916</f>
        <v/>
      </c>
      <c r="AN917" s="20">
        <f>Operations!AN914-Operations!AN915-Operations!AN916</f>
        <v/>
      </c>
      <c r="AO917" s="20">
        <f>Operations!AO914-Operations!AO915-Operations!AO916</f>
        <v/>
      </c>
      <c r="AP917" s="20">
        <f>Operations!AP914-Operations!AP915-Operations!AP916</f>
        <v/>
      </c>
      <c r="AQ917" s="20">
        <f>Operations!AQ914-Operations!AQ915-Operations!AQ916</f>
        <v/>
      </c>
      <c r="AR917" s="20">
        <f>Operations!AR914-Operations!AR915-Operations!AR916</f>
        <v/>
      </c>
      <c r="AS917" s="20">
        <f>Operations!AS914-Operations!AS915-Operations!AS916</f>
        <v/>
      </c>
      <c r="AT917" s="20">
        <f>Operations!AT914-Operations!AT915-Operations!AT916</f>
        <v/>
      </c>
      <c r="AU917" s="20">
        <f>Operations!AU914-Operations!AU915-Operations!AU916</f>
        <v/>
      </c>
    </row>
    <row r="918">
      <c r="D918" t="inlineStr">
        <is>
          <t>R3 fraction of year before flip</t>
        </is>
      </c>
      <c r="E918" t="inlineStr">
        <is>
          <t>fraction</t>
        </is>
      </c>
      <c r="J918" s="14">
        <f>MAX(0,MIN(Inputs!$F$224,Time!J$6)-Time!J$5)/Time!J$7</f>
        <v/>
      </c>
      <c r="K918" s="14">
        <f>MAX(0,MIN(Inputs!$F$224,Time!K$6)-Time!K$5)/Time!K$7</f>
        <v/>
      </c>
      <c r="L918" s="14">
        <f>MAX(0,MIN(Inputs!$F$224,Time!L$6)-Time!L$5)/Time!L$7</f>
        <v/>
      </c>
      <c r="M918" s="14">
        <f>MAX(0,MIN(Inputs!$F$224,Time!M$6)-Time!M$5)/Time!M$7</f>
        <v/>
      </c>
      <c r="N918" s="14">
        <f>MAX(0,MIN(Inputs!$F$224,Time!N$6)-Time!N$5)/Time!N$7</f>
        <v/>
      </c>
      <c r="O918" s="14">
        <f>MAX(0,MIN(Inputs!$F$224,Time!O$6)-Time!O$5)/Time!O$7</f>
        <v/>
      </c>
      <c r="P918" s="14">
        <f>MAX(0,MIN(Inputs!$F$224,Time!P$6)-Time!P$5)/Time!P$7</f>
        <v/>
      </c>
      <c r="Q918" s="14">
        <f>MAX(0,MIN(Inputs!$F$224,Time!Q$6)-Time!Q$5)/Time!Q$7</f>
        <v/>
      </c>
      <c r="R918" s="14">
        <f>MAX(0,MIN(Inputs!$F$224,Time!R$6)-Time!R$5)/Time!R$7</f>
        <v/>
      </c>
      <c r="S918" s="14">
        <f>MAX(0,MIN(Inputs!$F$224,Time!S$6)-Time!S$5)/Time!S$7</f>
        <v/>
      </c>
      <c r="T918" s="14">
        <f>MAX(0,MIN(Inputs!$F$224,Time!T$6)-Time!T$5)/Time!T$7</f>
        <v/>
      </c>
      <c r="U918" s="14">
        <f>MAX(0,MIN(Inputs!$F$224,Time!U$6)-Time!U$5)/Time!U$7</f>
        <v/>
      </c>
      <c r="V918" s="14">
        <f>MAX(0,MIN(Inputs!$F$224,Time!V$6)-Time!V$5)/Time!V$7</f>
        <v/>
      </c>
      <c r="W918" s="14">
        <f>MAX(0,MIN(Inputs!$F$224,Time!W$6)-Time!W$5)/Time!W$7</f>
        <v/>
      </c>
      <c r="X918" s="14">
        <f>MAX(0,MIN(Inputs!$F$224,Time!X$6)-Time!X$5)/Time!X$7</f>
        <v/>
      </c>
      <c r="Y918" s="14">
        <f>MAX(0,MIN(Inputs!$F$224,Time!Y$6)-Time!Y$5)/Time!Y$7</f>
        <v/>
      </c>
      <c r="Z918" s="14">
        <f>MAX(0,MIN(Inputs!$F$224,Time!Z$6)-Time!Z$5)/Time!Z$7</f>
        <v/>
      </c>
      <c r="AA918" s="14">
        <f>MAX(0,MIN(Inputs!$F$224,Time!AA$6)-Time!AA$5)/Time!AA$7</f>
        <v/>
      </c>
      <c r="AB918" s="14">
        <f>MAX(0,MIN(Inputs!$F$224,Time!AB$6)-Time!AB$5)/Time!AB$7</f>
        <v/>
      </c>
      <c r="AC918" s="14">
        <f>MAX(0,MIN(Inputs!$F$224,Time!AC$6)-Time!AC$5)/Time!AC$7</f>
        <v/>
      </c>
      <c r="AD918" s="14">
        <f>MAX(0,MIN(Inputs!$F$224,Time!AD$6)-Time!AD$5)/Time!AD$7</f>
        <v/>
      </c>
      <c r="AE918" s="14">
        <f>MAX(0,MIN(Inputs!$F$224,Time!AE$6)-Time!AE$5)/Time!AE$7</f>
        <v/>
      </c>
      <c r="AF918" s="14">
        <f>MAX(0,MIN(Inputs!$F$224,Time!AF$6)-Time!AF$5)/Time!AF$7</f>
        <v/>
      </c>
      <c r="AG918" s="14">
        <f>MAX(0,MIN(Inputs!$F$224,Time!AG$6)-Time!AG$5)/Time!AG$7</f>
        <v/>
      </c>
      <c r="AH918" s="14">
        <f>MAX(0,MIN(Inputs!$F$224,Time!AH$6)-Time!AH$5)/Time!AH$7</f>
        <v/>
      </c>
      <c r="AI918" s="14">
        <f>MAX(0,MIN(Inputs!$F$224,Time!AI$6)-Time!AI$5)/Time!AI$7</f>
        <v/>
      </c>
      <c r="AJ918" s="14">
        <f>MAX(0,MIN(Inputs!$F$224,Time!AJ$6)-Time!AJ$5)/Time!AJ$7</f>
        <v/>
      </c>
      <c r="AK918" s="14">
        <f>MAX(0,MIN(Inputs!$F$224,Time!AK$6)-Time!AK$5)/Time!AK$7</f>
        <v/>
      </c>
      <c r="AL918" s="14">
        <f>MAX(0,MIN(Inputs!$F$224,Time!AL$6)-Time!AL$5)/Time!AL$7</f>
        <v/>
      </c>
      <c r="AM918" s="14">
        <f>MAX(0,MIN(Inputs!$F$224,Time!AM$6)-Time!AM$5)/Time!AM$7</f>
        <v/>
      </c>
      <c r="AN918" s="14">
        <f>MAX(0,MIN(Inputs!$F$224,Time!AN$6)-Time!AN$5)/Time!AN$7</f>
        <v/>
      </c>
      <c r="AO918" s="14">
        <f>MAX(0,MIN(Inputs!$F$224,Time!AO$6)-Time!AO$5)/Time!AO$7</f>
        <v/>
      </c>
      <c r="AP918" s="14">
        <f>MAX(0,MIN(Inputs!$F$224,Time!AP$6)-Time!AP$5)/Time!AP$7</f>
        <v/>
      </c>
      <c r="AQ918" s="14">
        <f>MAX(0,MIN(Inputs!$F$224,Time!AQ$6)-Time!AQ$5)/Time!AQ$7</f>
        <v/>
      </c>
      <c r="AR918" s="14">
        <f>MAX(0,MIN(Inputs!$F$224,Time!AR$6)-Time!AR$5)/Time!AR$7</f>
        <v/>
      </c>
      <c r="AS918" s="14">
        <f>MAX(0,MIN(Inputs!$F$224,Time!AS$6)-Time!AS$5)/Time!AS$7</f>
        <v/>
      </c>
      <c r="AT918" s="14">
        <f>MAX(0,MIN(Inputs!$F$224,Time!AT$6)-Time!AT$5)/Time!AT$7</f>
        <v/>
      </c>
      <c r="AU918" s="14">
        <f>MAX(0,MIN(Inputs!$F$224,Time!AU$6)-Time!AU$5)/Time!AU$7</f>
        <v/>
      </c>
    </row>
    <row r="919">
      <c r="D919" t="inlineStr">
        <is>
          <t>R3 tax equity cash share</t>
        </is>
      </c>
      <c r="E919" t="inlineStr">
        <is>
          <t>fraction</t>
        </is>
      </c>
      <c r="J919" s="14">
        <f>Inputs!$F$221/100*Operations!J918+Inputs!$F$223/100*(1-Operations!J918)</f>
        <v/>
      </c>
      <c r="K919" s="14">
        <f>Inputs!$F$221/100*Operations!K918+Inputs!$F$223/100*(1-Operations!K918)</f>
        <v/>
      </c>
      <c r="L919" s="14">
        <f>Inputs!$F$221/100*Operations!L918+Inputs!$F$223/100*(1-Operations!L918)</f>
        <v/>
      </c>
      <c r="M919" s="14">
        <f>Inputs!$F$221/100*Operations!M918+Inputs!$F$223/100*(1-Operations!M918)</f>
        <v/>
      </c>
      <c r="N919" s="14">
        <f>Inputs!$F$221/100*Operations!N918+Inputs!$F$223/100*(1-Operations!N918)</f>
        <v/>
      </c>
      <c r="O919" s="14">
        <f>Inputs!$F$221/100*Operations!O918+Inputs!$F$223/100*(1-Operations!O918)</f>
        <v/>
      </c>
      <c r="P919" s="14">
        <f>Inputs!$F$221/100*Operations!P918+Inputs!$F$223/100*(1-Operations!P918)</f>
        <v/>
      </c>
      <c r="Q919" s="14">
        <f>Inputs!$F$221/100*Operations!Q918+Inputs!$F$223/100*(1-Operations!Q918)</f>
        <v/>
      </c>
      <c r="R919" s="14">
        <f>Inputs!$F$221/100*Operations!R918+Inputs!$F$223/100*(1-Operations!R918)</f>
        <v/>
      </c>
      <c r="S919" s="14">
        <f>Inputs!$F$221/100*Operations!S918+Inputs!$F$223/100*(1-Operations!S918)</f>
        <v/>
      </c>
      <c r="T919" s="14">
        <f>Inputs!$F$221/100*Operations!T918+Inputs!$F$223/100*(1-Operations!T918)</f>
        <v/>
      </c>
      <c r="U919" s="14">
        <f>Inputs!$F$221/100*Operations!U918+Inputs!$F$223/100*(1-Operations!U918)</f>
        <v/>
      </c>
      <c r="V919" s="14">
        <f>Inputs!$F$221/100*Operations!V918+Inputs!$F$223/100*(1-Operations!V918)</f>
        <v/>
      </c>
      <c r="W919" s="14">
        <f>Inputs!$F$221/100*Operations!W918+Inputs!$F$223/100*(1-Operations!W918)</f>
        <v/>
      </c>
      <c r="X919" s="14">
        <f>Inputs!$F$221/100*Operations!X918+Inputs!$F$223/100*(1-Operations!X918)</f>
        <v/>
      </c>
      <c r="Y919" s="14">
        <f>Inputs!$F$221/100*Operations!Y918+Inputs!$F$223/100*(1-Operations!Y918)</f>
        <v/>
      </c>
      <c r="Z919" s="14">
        <f>Inputs!$F$221/100*Operations!Z918+Inputs!$F$223/100*(1-Operations!Z918)</f>
        <v/>
      </c>
      <c r="AA919" s="14">
        <f>Inputs!$F$221/100*Operations!AA918+Inputs!$F$223/100*(1-Operations!AA918)</f>
        <v/>
      </c>
      <c r="AB919" s="14">
        <f>Inputs!$F$221/100*Operations!AB918+Inputs!$F$223/100*(1-Operations!AB918)</f>
        <v/>
      </c>
      <c r="AC919" s="14">
        <f>Inputs!$F$221/100*Operations!AC918+Inputs!$F$223/100*(1-Operations!AC918)</f>
        <v/>
      </c>
      <c r="AD919" s="14">
        <f>Inputs!$F$221/100*Operations!AD918+Inputs!$F$223/100*(1-Operations!AD918)</f>
        <v/>
      </c>
      <c r="AE919" s="14">
        <f>Inputs!$F$221/100*Operations!AE918+Inputs!$F$223/100*(1-Operations!AE918)</f>
        <v/>
      </c>
      <c r="AF919" s="14">
        <f>Inputs!$F$221/100*Operations!AF918+Inputs!$F$223/100*(1-Operations!AF918)</f>
        <v/>
      </c>
      <c r="AG919" s="14">
        <f>Inputs!$F$221/100*Operations!AG918+Inputs!$F$223/100*(1-Operations!AG918)</f>
        <v/>
      </c>
      <c r="AH919" s="14">
        <f>Inputs!$F$221/100*Operations!AH918+Inputs!$F$223/100*(1-Operations!AH918)</f>
        <v/>
      </c>
      <c r="AI919" s="14">
        <f>Inputs!$F$221/100*Operations!AI918+Inputs!$F$223/100*(1-Operations!AI918)</f>
        <v/>
      </c>
      <c r="AJ919" s="14">
        <f>Inputs!$F$221/100*Operations!AJ918+Inputs!$F$223/100*(1-Operations!AJ918)</f>
        <v/>
      </c>
      <c r="AK919" s="14">
        <f>Inputs!$F$221/100*Operations!AK918+Inputs!$F$223/100*(1-Operations!AK918)</f>
        <v/>
      </c>
      <c r="AL919" s="14">
        <f>Inputs!$F$221/100*Operations!AL918+Inputs!$F$223/100*(1-Operations!AL918)</f>
        <v/>
      </c>
      <c r="AM919" s="14">
        <f>Inputs!$F$221/100*Operations!AM918+Inputs!$F$223/100*(1-Operations!AM918)</f>
        <v/>
      </c>
      <c r="AN919" s="14">
        <f>Inputs!$F$221/100*Operations!AN918+Inputs!$F$223/100*(1-Operations!AN918)</f>
        <v/>
      </c>
      <c r="AO919" s="14">
        <f>Inputs!$F$221/100*Operations!AO918+Inputs!$F$223/100*(1-Operations!AO918)</f>
        <v/>
      </c>
      <c r="AP919" s="14">
        <f>Inputs!$F$221/100*Operations!AP918+Inputs!$F$223/100*(1-Operations!AP918)</f>
        <v/>
      </c>
      <c r="AQ919" s="14">
        <f>Inputs!$F$221/100*Operations!AQ918+Inputs!$F$223/100*(1-Operations!AQ918)</f>
        <v/>
      </c>
      <c r="AR919" s="14">
        <f>Inputs!$F$221/100*Operations!AR918+Inputs!$F$223/100*(1-Operations!AR918)</f>
        <v/>
      </c>
      <c r="AS919" s="14">
        <f>Inputs!$F$221/100*Operations!AS918+Inputs!$F$223/100*(1-Operations!AS918)</f>
        <v/>
      </c>
      <c r="AT919" s="14">
        <f>Inputs!$F$221/100*Operations!AT918+Inputs!$F$223/100*(1-Operations!AT918)</f>
        <v/>
      </c>
      <c r="AU919" s="14">
        <f>Inputs!$F$221/100*Operations!AU918+Inputs!$F$223/100*(1-Operations!AU918)</f>
        <v/>
      </c>
    </row>
    <row r="920">
      <c r="D920" t="inlineStr">
        <is>
          <t>R3 Mesa share of taxable income</t>
        </is>
      </c>
      <c r="E920" t="inlineStr">
        <is>
          <t>fraction</t>
        </is>
      </c>
      <c r="J920" s="14">
        <f>(1-Inputs!$F$222/100)*Operations!J918+(1-Inputs!$F$223/100)*(1-Operations!J918)</f>
        <v/>
      </c>
      <c r="K920" s="14">
        <f>(1-Inputs!$F$222/100)*Operations!K918+(1-Inputs!$F$223/100)*(1-Operations!K918)</f>
        <v/>
      </c>
      <c r="L920" s="14">
        <f>(1-Inputs!$F$222/100)*Operations!L918+(1-Inputs!$F$223/100)*(1-Operations!L918)</f>
        <v/>
      </c>
      <c r="M920" s="14">
        <f>(1-Inputs!$F$222/100)*Operations!M918+(1-Inputs!$F$223/100)*(1-Operations!M918)</f>
        <v/>
      </c>
      <c r="N920" s="14">
        <f>(1-Inputs!$F$222/100)*Operations!N918+(1-Inputs!$F$223/100)*(1-Operations!N918)</f>
        <v/>
      </c>
      <c r="O920" s="14">
        <f>(1-Inputs!$F$222/100)*Operations!O918+(1-Inputs!$F$223/100)*(1-Operations!O918)</f>
        <v/>
      </c>
      <c r="P920" s="14">
        <f>(1-Inputs!$F$222/100)*Operations!P918+(1-Inputs!$F$223/100)*(1-Operations!P918)</f>
        <v/>
      </c>
      <c r="Q920" s="14">
        <f>(1-Inputs!$F$222/100)*Operations!Q918+(1-Inputs!$F$223/100)*(1-Operations!Q918)</f>
        <v/>
      </c>
      <c r="R920" s="14">
        <f>(1-Inputs!$F$222/100)*Operations!R918+(1-Inputs!$F$223/100)*(1-Operations!R918)</f>
        <v/>
      </c>
      <c r="S920" s="14">
        <f>(1-Inputs!$F$222/100)*Operations!S918+(1-Inputs!$F$223/100)*(1-Operations!S918)</f>
        <v/>
      </c>
      <c r="T920" s="14">
        <f>(1-Inputs!$F$222/100)*Operations!T918+(1-Inputs!$F$223/100)*(1-Operations!T918)</f>
        <v/>
      </c>
      <c r="U920" s="14">
        <f>(1-Inputs!$F$222/100)*Operations!U918+(1-Inputs!$F$223/100)*(1-Operations!U918)</f>
        <v/>
      </c>
      <c r="V920" s="14">
        <f>(1-Inputs!$F$222/100)*Operations!V918+(1-Inputs!$F$223/100)*(1-Operations!V918)</f>
        <v/>
      </c>
      <c r="W920" s="14">
        <f>(1-Inputs!$F$222/100)*Operations!W918+(1-Inputs!$F$223/100)*(1-Operations!W918)</f>
        <v/>
      </c>
      <c r="X920" s="14">
        <f>(1-Inputs!$F$222/100)*Operations!X918+(1-Inputs!$F$223/100)*(1-Operations!X918)</f>
        <v/>
      </c>
      <c r="Y920" s="14">
        <f>(1-Inputs!$F$222/100)*Operations!Y918+(1-Inputs!$F$223/100)*(1-Operations!Y918)</f>
        <v/>
      </c>
      <c r="Z920" s="14">
        <f>(1-Inputs!$F$222/100)*Operations!Z918+(1-Inputs!$F$223/100)*(1-Operations!Z918)</f>
        <v/>
      </c>
      <c r="AA920" s="14">
        <f>(1-Inputs!$F$222/100)*Operations!AA918+(1-Inputs!$F$223/100)*(1-Operations!AA918)</f>
        <v/>
      </c>
      <c r="AB920" s="14">
        <f>(1-Inputs!$F$222/100)*Operations!AB918+(1-Inputs!$F$223/100)*(1-Operations!AB918)</f>
        <v/>
      </c>
      <c r="AC920" s="14">
        <f>(1-Inputs!$F$222/100)*Operations!AC918+(1-Inputs!$F$223/100)*(1-Operations!AC918)</f>
        <v/>
      </c>
      <c r="AD920" s="14">
        <f>(1-Inputs!$F$222/100)*Operations!AD918+(1-Inputs!$F$223/100)*(1-Operations!AD918)</f>
        <v/>
      </c>
      <c r="AE920" s="14">
        <f>(1-Inputs!$F$222/100)*Operations!AE918+(1-Inputs!$F$223/100)*(1-Operations!AE918)</f>
        <v/>
      </c>
      <c r="AF920" s="14">
        <f>(1-Inputs!$F$222/100)*Operations!AF918+(1-Inputs!$F$223/100)*(1-Operations!AF918)</f>
        <v/>
      </c>
      <c r="AG920" s="14">
        <f>(1-Inputs!$F$222/100)*Operations!AG918+(1-Inputs!$F$223/100)*(1-Operations!AG918)</f>
        <v/>
      </c>
      <c r="AH920" s="14">
        <f>(1-Inputs!$F$222/100)*Operations!AH918+(1-Inputs!$F$223/100)*(1-Operations!AH918)</f>
        <v/>
      </c>
      <c r="AI920" s="14">
        <f>(1-Inputs!$F$222/100)*Operations!AI918+(1-Inputs!$F$223/100)*(1-Operations!AI918)</f>
        <v/>
      </c>
      <c r="AJ920" s="14">
        <f>(1-Inputs!$F$222/100)*Operations!AJ918+(1-Inputs!$F$223/100)*(1-Operations!AJ918)</f>
        <v/>
      </c>
      <c r="AK920" s="14">
        <f>(1-Inputs!$F$222/100)*Operations!AK918+(1-Inputs!$F$223/100)*(1-Operations!AK918)</f>
        <v/>
      </c>
      <c r="AL920" s="14">
        <f>(1-Inputs!$F$222/100)*Operations!AL918+(1-Inputs!$F$223/100)*(1-Operations!AL918)</f>
        <v/>
      </c>
      <c r="AM920" s="14">
        <f>(1-Inputs!$F$222/100)*Operations!AM918+(1-Inputs!$F$223/100)*(1-Operations!AM918)</f>
        <v/>
      </c>
      <c r="AN920" s="14">
        <f>(1-Inputs!$F$222/100)*Operations!AN918+(1-Inputs!$F$223/100)*(1-Operations!AN918)</f>
        <v/>
      </c>
      <c r="AO920" s="14">
        <f>(1-Inputs!$F$222/100)*Operations!AO918+(1-Inputs!$F$223/100)*(1-Operations!AO918)</f>
        <v/>
      </c>
      <c r="AP920" s="14">
        <f>(1-Inputs!$F$222/100)*Operations!AP918+(1-Inputs!$F$223/100)*(1-Operations!AP918)</f>
        <v/>
      </c>
      <c r="AQ920" s="14">
        <f>(1-Inputs!$F$222/100)*Operations!AQ918+(1-Inputs!$F$223/100)*(1-Operations!AQ918)</f>
        <v/>
      </c>
      <c r="AR920" s="14">
        <f>(1-Inputs!$F$222/100)*Operations!AR918+(1-Inputs!$F$223/100)*(1-Operations!AR918)</f>
        <v/>
      </c>
      <c r="AS920" s="14">
        <f>(1-Inputs!$F$222/100)*Operations!AS918+(1-Inputs!$F$223/100)*(1-Operations!AS918)</f>
        <v/>
      </c>
      <c r="AT920" s="14">
        <f>(1-Inputs!$F$222/100)*Operations!AT918+(1-Inputs!$F$223/100)*(1-Operations!AT918)</f>
        <v/>
      </c>
      <c r="AU920" s="14">
        <f>(1-Inputs!$F$222/100)*Operations!AU918+(1-Inputs!$F$223/100)*(1-Operations!AU918)</f>
        <v/>
      </c>
    </row>
    <row r="921">
      <c r="D921" t="inlineStr">
        <is>
          <t>R3 Mesa share of cash flow</t>
        </is>
      </c>
      <c r="E921" t="inlineStr">
        <is>
          <t>USD m</t>
        </is>
      </c>
      <c r="G921" s="20">
        <f>SUM(J921:AU921)</f>
        <v/>
      </c>
      <c r="J921" s="20">
        <f>Operations!J917*(1-Operations!J919)*Operations!J891</f>
        <v/>
      </c>
      <c r="K921" s="20">
        <f>Operations!K917*(1-Operations!K919)*Operations!K891</f>
        <v/>
      </c>
      <c r="L921" s="20">
        <f>Operations!L917*(1-Operations!L919)*Operations!L891</f>
        <v/>
      </c>
      <c r="M921" s="20">
        <f>Operations!M917*(1-Operations!M919)*Operations!M891</f>
        <v/>
      </c>
      <c r="N921" s="20">
        <f>Operations!N917*(1-Operations!N919)*Operations!N891</f>
        <v/>
      </c>
      <c r="O921" s="20">
        <f>Operations!O917*(1-Operations!O919)*Operations!O891</f>
        <v/>
      </c>
      <c r="P921" s="20">
        <f>Operations!P917*(1-Operations!P919)*Operations!P891</f>
        <v/>
      </c>
      <c r="Q921" s="20">
        <f>Operations!Q917*(1-Operations!Q919)*Operations!Q891</f>
        <v/>
      </c>
      <c r="R921" s="20">
        <f>Operations!R917*(1-Operations!R919)*Operations!R891</f>
        <v/>
      </c>
      <c r="S921" s="20">
        <f>Operations!S917*(1-Operations!S919)*Operations!S891</f>
        <v/>
      </c>
      <c r="T921" s="20">
        <f>Operations!T917*(1-Operations!T919)*Operations!T891</f>
        <v/>
      </c>
      <c r="U921" s="20">
        <f>Operations!U917*(1-Operations!U919)*Operations!U891</f>
        <v/>
      </c>
      <c r="V921" s="20">
        <f>Operations!V917*(1-Operations!V919)*Operations!V891</f>
        <v/>
      </c>
      <c r="W921" s="20">
        <f>Operations!W917*(1-Operations!W919)*Operations!W891</f>
        <v/>
      </c>
      <c r="X921" s="20">
        <f>Operations!X917*(1-Operations!X919)*Operations!X891</f>
        <v/>
      </c>
      <c r="Y921" s="20">
        <f>Operations!Y917*(1-Operations!Y919)*Operations!Y891</f>
        <v/>
      </c>
      <c r="Z921" s="20">
        <f>Operations!Z917*(1-Operations!Z919)*Operations!Z891</f>
        <v/>
      </c>
      <c r="AA921" s="20">
        <f>Operations!AA917*(1-Operations!AA919)*Operations!AA891</f>
        <v/>
      </c>
      <c r="AB921" s="20">
        <f>Operations!AB917*(1-Operations!AB919)*Operations!AB891</f>
        <v/>
      </c>
      <c r="AC921" s="20">
        <f>Operations!AC917*(1-Operations!AC919)*Operations!AC891</f>
        <v/>
      </c>
      <c r="AD921" s="20">
        <f>Operations!AD917*(1-Operations!AD919)*Operations!AD891</f>
        <v/>
      </c>
      <c r="AE921" s="20">
        <f>Operations!AE917*(1-Operations!AE919)*Operations!AE891</f>
        <v/>
      </c>
      <c r="AF921" s="20">
        <f>Operations!AF917*(1-Operations!AF919)*Operations!AF891</f>
        <v/>
      </c>
      <c r="AG921" s="20">
        <f>Operations!AG917*(1-Operations!AG919)*Operations!AG891</f>
        <v/>
      </c>
      <c r="AH921" s="20">
        <f>Operations!AH917*(1-Operations!AH919)*Operations!AH891</f>
        <v/>
      </c>
      <c r="AI921" s="20">
        <f>Operations!AI917*(1-Operations!AI919)*Operations!AI891</f>
        <v/>
      </c>
      <c r="AJ921" s="20">
        <f>Operations!AJ917*(1-Operations!AJ919)*Operations!AJ891</f>
        <v/>
      </c>
      <c r="AK921" s="20">
        <f>Operations!AK917*(1-Operations!AK919)*Operations!AK891</f>
        <v/>
      </c>
      <c r="AL921" s="20">
        <f>Operations!AL917*(1-Operations!AL919)*Operations!AL891</f>
        <v/>
      </c>
      <c r="AM921" s="20">
        <f>Operations!AM917*(1-Operations!AM919)*Operations!AM891</f>
        <v/>
      </c>
      <c r="AN921" s="20">
        <f>Operations!AN917*(1-Operations!AN919)*Operations!AN891</f>
        <v/>
      </c>
      <c r="AO921" s="20">
        <f>Operations!AO917*(1-Operations!AO919)*Operations!AO891</f>
        <v/>
      </c>
      <c r="AP921" s="20">
        <f>Operations!AP917*(1-Operations!AP919)*Operations!AP891</f>
        <v/>
      </c>
      <c r="AQ921" s="20">
        <f>Operations!AQ917*(1-Operations!AQ919)*Operations!AQ891</f>
        <v/>
      </c>
      <c r="AR921" s="20">
        <f>Operations!AR917*(1-Operations!AR919)*Operations!AR891</f>
        <v/>
      </c>
      <c r="AS921" s="20">
        <f>Operations!AS917*(1-Operations!AS919)*Operations!AS891</f>
        <v/>
      </c>
      <c r="AT921" s="20">
        <f>Operations!AT917*(1-Operations!AT919)*Operations!AT891</f>
        <v/>
      </c>
      <c r="AU921" s="20">
        <f>Operations!AU917*(1-Operations!AU919)*Operations!AU891</f>
        <v/>
      </c>
    </row>
    <row r="922">
      <c r="D922" t="inlineStr">
        <is>
          <t>R3 Mesa taxable operating income</t>
        </is>
      </c>
      <c r="E922" t="inlineStr">
        <is>
          <t>USD m</t>
        </is>
      </c>
      <c r="J922" s="20">
        <f>Operations!J917*Operations!J920*Operations!J891</f>
        <v/>
      </c>
      <c r="K922" s="20">
        <f>Operations!K917*Operations!K920*Operations!K891</f>
        <v/>
      </c>
      <c r="L922" s="20">
        <f>Operations!L917*Operations!L920*Operations!L891</f>
        <v/>
      </c>
      <c r="M922" s="20">
        <f>Operations!M917*Operations!M920*Operations!M891</f>
        <v/>
      </c>
      <c r="N922" s="20">
        <f>Operations!N917*Operations!N920*Operations!N891</f>
        <v/>
      </c>
      <c r="O922" s="20">
        <f>Operations!O917*Operations!O920*Operations!O891</f>
        <v/>
      </c>
      <c r="P922" s="20">
        <f>Operations!P917*Operations!P920*Operations!P891</f>
        <v/>
      </c>
      <c r="Q922" s="20">
        <f>Operations!Q917*Operations!Q920*Operations!Q891</f>
        <v/>
      </c>
      <c r="R922" s="20">
        <f>Operations!R917*Operations!R920*Operations!R891</f>
        <v/>
      </c>
      <c r="S922" s="20">
        <f>Operations!S917*Operations!S920*Operations!S891</f>
        <v/>
      </c>
      <c r="T922" s="20">
        <f>Operations!T917*Operations!T920*Operations!T891</f>
        <v/>
      </c>
      <c r="U922" s="20">
        <f>Operations!U917*Operations!U920*Operations!U891</f>
        <v/>
      </c>
      <c r="V922" s="20">
        <f>Operations!V917*Operations!V920*Operations!V891</f>
        <v/>
      </c>
      <c r="W922" s="20">
        <f>Operations!W917*Operations!W920*Operations!W891</f>
        <v/>
      </c>
      <c r="X922" s="20">
        <f>Operations!X917*Operations!X920*Operations!X891</f>
        <v/>
      </c>
      <c r="Y922" s="20">
        <f>Operations!Y917*Operations!Y920*Operations!Y891</f>
        <v/>
      </c>
      <c r="Z922" s="20">
        <f>Operations!Z917*Operations!Z920*Operations!Z891</f>
        <v/>
      </c>
      <c r="AA922" s="20">
        <f>Operations!AA917*Operations!AA920*Operations!AA891</f>
        <v/>
      </c>
      <c r="AB922" s="20">
        <f>Operations!AB917*Operations!AB920*Operations!AB891</f>
        <v/>
      </c>
      <c r="AC922" s="20">
        <f>Operations!AC917*Operations!AC920*Operations!AC891</f>
        <v/>
      </c>
      <c r="AD922" s="20">
        <f>Operations!AD917*Operations!AD920*Operations!AD891</f>
        <v/>
      </c>
      <c r="AE922" s="20">
        <f>Operations!AE917*Operations!AE920*Operations!AE891</f>
        <v/>
      </c>
      <c r="AF922" s="20">
        <f>Operations!AF917*Operations!AF920*Operations!AF891</f>
        <v/>
      </c>
      <c r="AG922" s="20">
        <f>Operations!AG917*Operations!AG920*Operations!AG891</f>
        <v/>
      </c>
      <c r="AH922" s="20">
        <f>Operations!AH917*Operations!AH920*Operations!AH891</f>
        <v/>
      </c>
      <c r="AI922" s="20">
        <f>Operations!AI917*Operations!AI920*Operations!AI891</f>
        <v/>
      </c>
      <c r="AJ922" s="20">
        <f>Operations!AJ917*Operations!AJ920*Operations!AJ891</f>
        <v/>
      </c>
      <c r="AK922" s="20">
        <f>Operations!AK917*Operations!AK920*Operations!AK891</f>
        <v/>
      </c>
      <c r="AL922" s="20">
        <f>Operations!AL917*Operations!AL920*Operations!AL891</f>
        <v/>
      </c>
      <c r="AM922" s="20">
        <f>Operations!AM917*Operations!AM920*Operations!AM891</f>
        <v/>
      </c>
      <c r="AN922" s="20">
        <f>Operations!AN917*Operations!AN920*Operations!AN891</f>
        <v/>
      </c>
      <c r="AO922" s="20">
        <f>Operations!AO917*Operations!AO920*Operations!AO891</f>
        <v/>
      </c>
      <c r="AP922" s="20">
        <f>Operations!AP917*Operations!AP920*Operations!AP891</f>
        <v/>
      </c>
      <c r="AQ922" s="20">
        <f>Operations!AQ917*Operations!AQ920*Operations!AQ891</f>
        <v/>
      </c>
      <c r="AR922" s="20">
        <f>Operations!AR917*Operations!AR920*Operations!AR891</f>
        <v/>
      </c>
      <c r="AS922" s="20">
        <f>Operations!AS917*Operations!AS920*Operations!AS891</f>
        <v/>
      </c>
      <c r="AT922" s="20">
        <f>Operations!AT917*Operations!AT920*Operations!AT891</f>
        <v/>
      </c>
      <c r="AU922" s="20">
        <f>Operations!AU917*Operations!AU920*Operations!AU891</f>
        <v/>
      </c>
    </row>
    <row r="923">
      <c r="D923" t="inlineStr">
        <is>
          <t>R3 Mesa unlevered post-tax cash flow (before price shield)</t>
        </is>
      </c>
      <c r="E923" t="inlineStr">
        <is>
          <t>USD m</t>
        </is>
      </c>
      <c r="J923" s="20">
        <f>Operations!J921-Inputs!$F$241/100*Operations!J922</f>
        <v/>
      </c>
      <c r="K923" s="20">
        <f>Operations!K921-Inputs!$F$241/100*Operations!K922</f>
        <v/>
      </c>
      <c r="L923" s="20">
        <f>Operations!L921-Inputs!$F$241/100*Operations!L922</f>
        <v/>
      </c>
      <c r="M923" s="20">
        <f>Operations!M921-Inputs!$F$241/100*Operations!M922</f>
        <v/>
      </c>
      <c r="N923" s="20">
        <f>Operations!N921-Inputs!$F$241/100*Operations!N922</f>
        <v/>
      </c>
      <c r="O923" s="20">
        <f>Operations!O921-Inputs!$F$241/100*Operations!O922</f>
        <v/>
      </c>
      <c r="P923" s="20">
        <f>Operations!P921-Inputs!$F$241/100*Operations!P922</f>
        <v/>
      </c>
      <c r="Q923" s="20">
        <f>Operations!Q921-Inputs!$F$241/100*Operations!Q922</f>
        <v/>
      </c>
      <c r="R923" s="20">
        <f>Operations!R921-Inputs!$F$241/100*Operations!R922</f>
        <v/>
      </c>
      <c r="S923" s="20">
        <f>Operations!S921-Inputs!$F$241/100*Operations!S922</f>
        <v/>
      </c>
      <c r="T923" s="20">
        <f>Operations!T921-Inputs!$F$241/100*Operations!T922</f>
        <v/>
      </c>
      <c r="U923" s="20">
        <f>Operations!U921-Inputs!$F$241/100*Operations!U922</f>
        <v/>
      </c>
      <c r="V923" s="20">
        <f>Operations!V921-Inputs!$F$241/100*Operations!V922</f>
        <v/>
      </c>
      <c r="W923" s="20">
        <f>Operations!W921-Inputs!$F$241/100*Operations!W922</f>
        <v/>
      </c>
      <c r="X923" s="20">
        <f>Operations!X921-Inputs!$F$241/100*Operations!X922</f>
        <v/>
      </c>
      <c r="Y923" s="20">
        <f>Operations!Y921-Inputs!$F$241/100*Operations!Y922</f>
        <v/>
      </c>
      <c r="Z923" s="20">
        <f>Operations!Z921-Inputs!$F$241/100*Operations!Z922</f>
        <v/>
      </c>
      <c r="AA923" s="20">
        <f>Operations!AA921-Inputs!$F$241/100*Operations!AA922</f>
        <v/>
      </c>
      <c r="AB923" s="20">
        <f>Operations!AB921-Inputs!$F$241/100*Operations!AB922</f>
        <v/>
      </c>
      <c r="AC923" s="20">
        <f>Operations!AC921-Inputs!$F$241/100*Operations!AC922</f>
        <v/>
      </c>
      <c r="AD923" s="20">
        <f>Operations!AD921-Inputs!$F$241/100*Operations!AD922</f>
        <v/>
      </c>
      <c r="AE923" s="20">
        <f>Operations!AE921-Inputs!$F$241/100*Operations!AE922</f>
        <v/>
      </c>
      <c r="AF923" s="20">
        <f>Operations!AF921-Inputs!$F$241/100*Operations!AF922</f>
        <v/>
      </c>
      <c r="AG923" s="20">
        <f>Operations!AG921-Inputs!$F$241/100*Operations!AG922</f>
        <v/>
      </c>
      <c r="AH923" s="20">
        <f>Operations!AH921-Inputs!$F$241/100*Operations!AH922</f>
        <v/>
      </c>
      <c r="AI923" s="20">
        <f>Operations!AI921-Inputs!$F$241/100*Operations!AI922</f>
        <v/>
      </c>
      <c r="AJ923" s="20">
        <f>Operations!AJ921-Inputs!$F$241/100*Operations!AJ922</f>
        <v/>
      </c>
      <c r="AK923" s="20">
        <f>Operations!AK921-Inputs!$F$241/100*Operations!AK922</f>
        <v/>
      </c>
      <c r="AL923" s="20">
        <f>Operations!AL921-Inputs!$F$241/100*Operations!AL922</f>
        <v/>
      </c>
      <c r="AM923" s="20">
        <f>Operations!AM921-Inputs!$F$241/100*Operations!AM922</f>
        <v/>
      </c>
      <c r="AN923" s="20">
        <f>Operations!AN921-Inputs!$F$241/100*Operations!AN922</f>
        <v/>
      </c>
      <c r="AO923" s="20">
        <f>Operations!AO921-Inputs!$F$241/100*Operations!AO922</f>
        <v/>
      </c>
      <c r="AP923" s="20">
        <f>Operations!AP921-Inputs!$F$241/100*Operations!AP922</f>
        <v/>
      </c>
      <c r="AQ923" s="20">
        <f>Operations!AQ921-Inputs!$F$241/100*Operations!AQ922</f>
        <v/>
      </c>
      <c r="AR923" s="20">
        <f>Operations!AR921-Inputs!$F$241/100*Operations!AR922</f>
        <v/>
      </c>
      <c r="AS923" s="20">
        <f>Operations!AS921-Inputs!$F$241/100*Operations!AS922</f>
        <v/>
      </c>
      <c r="AT923" s="20">
        <f>Operations!AT921-Inputs!$F$241/100*Operations!AT922</f>
        <v/>
      </c>
      <c r="AU923" s="20">
        <f>Operations!AU921-Inputs!$F$241/100*Operations!AU922</f>
        <v/>
      </c>
    </row>
    <row r="924">
      <c r="D924" t="inlineStr">
        <is>
          <t>R3 contracted share of revenue</t>
        </is>
      </c>
      <c r="E924" t="inlineStr">
        <is>
          <t>fraction</t>
        </is>
      </c>
      <c r="J924" s="14">
        <f>IF(Operations!J908=0,0,Operations!J905/Operations!J908)</f>
        <v/>
      </c>
      <c r="K924" s="14">
        <f>IF(Operations!K908=0,0,Operations!K905/Operations!K908)</f>
        <v/>
      </c>
      <c r="L924" s="14">
        <f>IF(Operations!L908=0,0,Operations!L905/Operations!L908)</f>
        <v/>
      </c>
      <c r="M924" s="14">
        <f>IF(Operations!M908=0,0,Operations!M905/Operations!M908)</f>
        <v/>
      </c>
      <c r="N924" s="14">
        <f>IF(Operations!N908=0,0,Operations!N905/Operations!N908)</f>
        <v/>
      </c>
      <c r="O924" s="14">
        <f>IF(Operations!O908=0,0,Operations!O905/Operations!O908)</f>
        <v/>
      </c>
      <c r="P924" s="14">
        <f>IF(Operations!P908=0,0,Operations!P905/Operations!P908)</f>
        <v/>
      </c>
      <c r="Q924" s="14">
        <f>IF(Operations!Q908=0,0,Operations!Q905/Operations!Q908)</f>
        <v/>
      </c>
      <c r="R924" s="14">
        <f>IF(Operations!R908=0,0,Operations!R905/Operations!R908)</f>
        <v/>
      </c>
      <c r="S924" s="14">
        <f>IF(Operations!S908=0,0,Operations!S905/Operations!S908)</f>
        <v/>
      </c>
      <c r="T924" s="14">
        <f>IF(Operations!T908=0,0,Operations!T905/Operations!T908)</f>
        <v/>
      </c>
      <c r="U924" s="14">
        <f>IF(Operations!U908=0,0,Operations!U905/Operations!U908)</f>
        <v/>
      </c>
      <c r="V924" s="14">
        <f>IF(Operations!V908=0,0,Operations!V905/Operations!V908)</f>
        <v/>
      </c>
      <c r="W924" s="14">
        <f>IF(Operations!W908=0,0,Operations!W905/Operations!W908)</f>
        <v/>
      </c>
      <c r="X924" s="14">
        <f>IF(Operations!X908=0,0,Operations!X905/Operations!X908)</f>
        <v/>
      </c>
      <c r="Y924" s="14">
        <f>IF(Operations!Y908=0,0,Operations!Y905/Operations!Y908)</f>
        <v/>
      </c>
      <c r="Z924" s="14">
        <f>IF(Operations!Z908=0,0,Operations!Z905/Operations!Z908)</f>
        <v/>
      </c>
      <c r="AA924" s="14">
        <f>IF(Operations!AA908=0,0,Operations!AA905/Operations!AA908)</f>
        <v/>
      </c>
      <c r="AB924" s="14">
        <f>IF(Operations!AB908=0,0,Operations!AB905/Operations!AB908)</f>
        <v/>
      </c>
      <c r="AC924" s="14">
        <f>IF(Operations!AC908=0,0,Operations!AC905/Operations!AC908)</f>
        <v/>
      </c>
      <c r="AD924" s="14">
        <f>IF(Operations!AD908=0,0,Operations!AD905/Operations!AD908)</f>
        <v/>
      </c>
      <c r="AE924" s="14">
        <f>IF(Operations!AE908=0,0,Operations!AE905/Operations!AE908)</f>
        <v/>
      </c>
      <c r="AF924" s="14">
        <f>IF(Operations!AF908=0,0,Operations!AF905/Operations!AF908)</f>
        <v/>
      </c>
      <c r="AG924" s="14">
        <f>IF(Operations!AG908=0,0,Operations!AG905/Operations!AG908)</f>
        <v/>
      </c>
      <c r="AH924" s="14">
        <f>IF(Operations!AH908=0,0,Operations!AH905/Operations!AH908)</f>
        <v/>
      </c>
      <c r="AI924" s="14">
        <f>IF(Operations!AI908=0,0,Operations!AI905/Operations!AI908)</f>
        <v/>
      </c>
      <c r="AJ924" s="14">
        <f>IF(Operations!AJ908=0,0,Operations!AJ905/Operations!AJ908)</f>
        <v/>
      </c>
      <c r="AK924" s="14">
        <f>IF(Operations!AK908=0,0,Operations!AK905/Operations!AK908)</f>
        <v/>
      </c>
      <c r="AL924" s="14">
        <f>IF(Operations!AL908=0,0,Operations!AL905/Operations!AL908)</f>
        <v/>
      </c>
      <c r="AM924" s="14">
        <f>IF(Operations!AM908=0,0,Operations!AM905/Operations!AM908)</f>
        <v/>
      </c>
      <c r="AN924" s="14">
        <f>IF(Operations!AN908=0,0,Operations!AN905/Operations!AN908)</f>
        <v/>
      </c>
      <c r="AO924" s="14">
        <f>IF(Operations!AO908=0,0,Operations!AO905/Operations!AO908)</f>
        <v/>
      </c>
      <c r="AP924" s="14">
        <f>IF(Operations!AP908=0,0,Operations!AP905/Operations!AP908)</f>
        <v/>
      </c>
      <c r="AQ924" s="14">
        <f>IF(Operations!AQ908=0,0,Operations!AQ905/Operations!AQ908)</f>
        <v/>
      </c>
      <c r="AR924" s="14">
        <f>IF(Operations!AR908=0,0,Operations!AR905/Operations!AR908)</f>
        <v/>
      </c>
      <c r="AS924" s="14">
        <f>IF(Operations!AS908=0,0,Operations!AS905/Operations!AS908)</f>
        <v/>
      </c>
      <c r="AT924" s="14">
        <f>IF(Operations!AT908=0,0,Operations!AT905/Operations!AT908)</f>
        <v/>
      </c>
      <c r="AU924" s="14">
        <f>IF(Operations!AU908=0,0,Operations!AU905/Operations!AU908)</f>
        <v/>
      </c>
    </row>
    <row r="925">
      <c r="D925" t="inlineStr">
        <is>
          <t>R3 hedged share of revenue</t>
        </is>
      </c>
      <c r="E925" t="inlineStr">
        <is>
          <t>fraction</t>
        </is>
      </c>
      <c r="J925" s="14">
        <f>IF(Operations!J908=0,0,Operations!J906/Operations!J908)</f>
        <v/>
      </c>
      <c r="K925" s="14">
        <f>IF(Operations!K908=0,0,Operations!K906/Operations!K908)</f>
        <v/>
      </c>
      <c r="L925" s="14">
        <f>IF(Operations!L908=0,0,Operations!L906/Operations!L908)</f>
        <v/>
      </c>
      <c r="M925" s="14">
        <f>IF(Operations!M908=0,0,Operations!M906/Operations!M908)</f>
        <v/>
      </c>
      <c r="N925" s="14">
        <f>IF(Operations!N908=0,0,Operations!N906/Operations!N908)</f>
        <v/>
      </c>
      <c r="O925" s="14">
        <f>IF(Operations!O908=0,0,Operations!O906/Operations!O908)</f>
        <v/>
      </c>
      <c r="P925" s="14">
        <f>IF(Operations!P908=0,0,Operations!P906/Operations!P908)</f>
        <v/>
      </c>
      <c r="Q925" s="14">
        <f>IF(Operations!Q908=0,0,Operations!Q906/Operations!Q908)</f>
        <v/>
      </c>
      <c r="R925" s="14">
        <f>IF(Operations!R908=0,0,Operations!R906/Operations!R908)</f>
        <v/>
      </c>
      <c r="S925" s="14">
        <f>IF(Operations!S908=0,0,Operations!S906/Operations!S908)</f>
        <v/>
      </c>
      <c r="T925" s="14">
        <f>IF(Operations!T908=0,0,Operations!T906/Operations!T908)</f>
        <v/>
      </c>
      <c r="U925" s="14">
        <f>IF(Operations!U908=0,0,Operations!U906/Operations!U908)</f>
        <v/>
      </c>
      <c r="V925" s="14">
        <f>IF(Operations!V908=0,0,Operations!V906/Operations!V908)</f>
        <v/>
      </c>
      <c r="W925" s="14">
        <f>IF(Operations!W908=0,0,Operations!W906/Operations!W908)</f>
        <v/>
      </c>
      <c r="X925" s="14">
        <f>IF(Operations!X908=0,0,Operations!X906/Operations!X908)</f>
        <v/>
      </c>
      <c r="Y925" s="14">
        <f>IF(Operations!Y908=0,0,Operations!Y906/Operations!Y908)</f>
        <v/>
      </c>
      <c r="Z925" s="14">
        <f>IF(Operations!Z908=0,0,Operations!Z906/Operations!Z908)</f>
        <v/>
      </c>
      <c r="AA925" s="14">
        <f>IF(Operations!AA908=0,0,Operations!AA906/Operations!AA908)</f>
        <v/>
      </c>
      <c r="AB925" s="14">
        <f>IF(Operations!AB908=0,0,Operations!AB906/Operations!AB908)</f>
        <v/>
      </c>
      <c r="AC925" s="14">
        <f>IF(Operations!AC908=0,0,Operations!AC906/Operations!AC908)</f>
        <v/>
      </c>
      <c r="AD925" s="14">
        <f>IF(Operations!AD908=0,0,Operations!AD906/Operations!AD908)</f>
        <v/>
      </c>
      <c r="AE925" s="14">
        <f>IF(Operations!AE908=0,0,Operations!AE906/Operations!AE908)</f>
        <v/>
      </c>
      <c r="AF925" s="14">
        <f>IF(Operations!AF908=0,0,Operations!AF906/Operations!AF908)</f>
        <v/>
      </c>
      <c r="AG925" s="14">
        <f>IF(Operations!AG908=0,0,Operations!AG906/Operations!AG908)</f>
        <v/>
      </c>
      <c r="AH925" s="14">
        <f>IF(Operations!AH908=0,0,Operations!AH906/Operations!AH908)</f>
        <v/>
      </c>
      <c r="AI925" s="14">
        <f>IF(Operations!AI908=0,0,Operations!AI906/Operations!AI908)</f>
        <v/>
      </c>
      <c r="AJ925" s="14">
        <f>IF(Operations!AJ908=0,0,Operations!AJ906/Operations!AJ908)</f>
        <v/>
      </c>
      <c r="AK925" s="14">
        <f>IF(Operations!AK908=0,0,Operations!AK906/Operations!AK908)</f>
        <v/>
      </c>
      <c r="AL925" s="14">
        <f>IF(Operations!AL908=0,0,Operations!AL906/Operations!AL908)</f>
        <v/>
      </c>
      <c r="AM925" s="14">
        <f>IF(Operations!AM908=0,0,Operations!AM906/Operations!AM908)</f>
        <v/>
      </c>
      <c r="AN925" s="14">
        <f>IF(Operations!AN908=0,0,Operations!AN906/Operations!AN908)</f>
        <v/>
      </c>
      <c r="AO925" s="14">
        <f>IF(Operations!AO908=0,0,Operations!AO906/Operations!AO908)</f>
        <v/>
      </c>
      <c r="AP925" s="14">
        <f>IF(Operations!AP908=0,0,Operations!AP906/Operations!AP908)</f>
        <v/>
      </c>
      <c r="AQ925" s="14">
        <f>IF(Operations!AQ908=0,0,Operations!AQ906/Operations!AQ908)</f>
        <v/>
      </c>
      <c r="AR925" s="14">
        <f>IF(Operations!AR908=0,0,Operations!AR906/Operations!AR908)</f>
        <v/>
      </c>
      <c r="AS925" s="14">
        <f>IF(Operations!AS908=0,0,Operations!AS906/Operations!AS908)</f>
        <v/>
      </c>
      <c r="AT925" s="14">
        <f>IF(Operations!AT908=0,0,Operations!AT906/Operations!AT908)</f>
        <v/>
      </c>
      <c r="AU925" s="14">
        <f>IF(Operations!AU908=0,0,Operations!AU906/Operations!AU908)</f>
        <v/>
      </c>
    </row>
    <row r="926">
      <c r="D926" t="inlineStr">
        <is>
          <t>R3 merchant share of revenue</t>
        </is>
      </c>
      <c r="E926" t="inlineStr">
        <is>
          <t>fraction</t>
        </is>
      </c>
      <c r="J926" s="14">
        <f>1-Operations!J924-Operations!J925</f>
        <v/>
      </c>
      <c r="K926" s="14">
        <f>1-Operations!K924-Operations!K925</f>
        <v/>
      </c>
      <c r="L926" s="14">
        <f>1-Operations!L924-Operations!L925</f>
        <v/>
      </c>
      <c r="M926" s="14">
        <f>1-Operations!M924-Operations!M925</f>
        <v/>
      </c>
      <c r="N926" s="14">
        <f>1-Operations!N924-Operations!N925</f>
        <v/>
      </c>
      <c r="O926" s="14">
        <f>1-Operations!O924-Operations!O925</f>
        <v/>
      </c>
      <c r="P926" s="14">
        <f>1-Operations!P924-Operations!P925</f>
        <v/>
      </c>
      <c r="Q926" s="14">
        <f>1-Operations!Q924-Operations!Q925</f>
        <v/>
      </c>
      <c r="R926" s="14">
        <f>1-Operations!R924-Operations!R925</f>
        <v/>
      </c>
      <c r="S926" s="14">
        <f>1-Operations!S924-Operations!S925</f>
        <v/>
      </c>
      <c r="T926" s="14">
        <f>1-Operations!T924-Operations!T925</f>
        <v/>
      </c>
      <c r="U926" s="14">
        <f>1-Operations!U924-Operations!U925</f>
        <v/>
      </c>
      <c r="V926" s="14">
        <f>1-Operations!V924-Operations!V925</f>
        <v/>
      </c>
      <c r="W926" s="14">
        <f>1-Operations!W924-Operations!W925</f>
        <v/>
      </c>
      <c r="X926" s="14">
        <f>1-Operations!X924-Operations!X925</f>
        <v/>
      </c>
      <c r="Y926" s="14">
        <f>1-Operations!Y924-Operations!Y925</f>
        <v/>
      </c>
      <c r="Z926" s="14">
        <f>1-Operations!Z924-Operations!Z925</f>
        <v/>
      </c>
      <c r="AA926" s="14">
        <f>1-Operations!AA924-Operations!AA925</f>
        <v/>
      </c>
      <c r="AB926" s="14">
        <f>1-Operations!AB924-Operations!AB925</f>
        <v/>
      </c>
      <c r="AC926" s="14">
        <f>1-Operations!AC924-Operations!AC925</f>
        <v/>
      </c>
      <c r="AD926" s="14">
        <f>1-Operations!AD924-Operations!AD925</f>
        <v/>
      </c>
      <c r="AE926" s="14">
        <f>1-Operations!AE924-Operations!AE925</f>
        <v/>
      </c>
      <c r="AF926" s="14">
        <f>1-Operations!AF924-Operations!AF925</f>
        <v/>
      </c>
      <c r="AG926" s="14">
        <f>1-Operations!AG924-Operations!AG925</f>
        <v/>
      </c>
      <c r="AH926" s="14">
        <f>1-Operations!AH924-Operations!AH925</f>
        <v/>
      </c>
      <c r="AI926" s="14">
        <f>1-Operations!AI924-Operations!AI925</f>
        <v/>
      </c>
      <c r="AJ926" s="14">
        <f>1-Operations!AJ924-Operations!AJ925</f>
        <v/>
      </c>
      <c r="AK926" s="14">
        <f>1-Operations!AK924-Operations!AK925</f>
        <v/>
      </c>
      <c r="AL926" s="14">
        <f>1-Operations!AL924-Operations!AL925</f>
        <v/>
      </c>
      <c r="AM926" s="14">
        <f>1-Operations!AM924-Operations!AM925</f>
        <v/>
      </c>
      <c r="AN926" s="14">
        <f>1-Operations!AN924-Operations!AN925</f>
        <v/>
      </c>
      <c r="AO926" s="14">
        <f>1-Operations!AO924-Operations!AO925</f>
        <v/>
      </c>
      <c r="AP926" s="14">
        <f>1-Operations!AP924-Operations!AP925</f>
        <v/>
      </c>
      <c r="AQ926" s="14">
        <f>1-Operations!AQ924-Operations!AQ925</f>
        <v/>
      </c>
      <c r="AR926" s="14">
        <f>1-Operations!AR924-Operations!AR925</f>
        <v/>
      </c>
      <c r="AS926" s="14">
        <f>1-Operations!AS924-Operations!AS925</f>
        <v/>
      </c>
      <c r="AT926" s="14">
        <f>1-Operations!AT924-Operations!AT925</f>
        <v/>
      </c>
      <c r="AU926" s="14">
        <f>1-Operations!AU924-Operations!AU925</f>
        <v/>
      </c>
    </row>
    <row r="927">
      <c r="D927" t="inlineStr">
        <is>
          <t>R3 Mesa-share contracted revenue</t>
        </is>
      </c>
      <c r="E927" t="inlineStr">
        <is>
          <t>USD m</t>
        </is>
      </c>
      <c r="J927" s="20">
        <f>Operations!J905*Operations!J891*(1-Operations!J919)</f>
        <v/>
      </c>
      <c r="K927" s="20">
        <f>Operations!K905*Operations!K891*(1-Operations!K919)</f>
        <v/>
      </c>
      <c r="L927" s="20">
        <f>Operations!L905*Operations!L891*(1-Operations!L919)</f>
        <v/>
      </c>
      <c r="M927" s="20">
        <f>Operations!M905*Operations!M891*(1-Operations!M919)</f>
        <v/>
      </c>
      <c r="N927" s="20">
        <f>Operations!N905*Operations!N891*(1-Operations!N919)</f>
        <v/>
      </c>
      <c r="O927" s="20">
        <f>Operations!O905*Operations!O891*(1-Operations!O919)</f>
        <v/>
      </c>
      <c r="P927" s="20">
        <f>Operations!P905*Operations!P891*(1-Operations!P919)</f>
        <v/>
      </c>
      <c r="Q927" s="20">
        <f>Operations!Q905*Operations!Q891*(1-Operations!Q919)</f>
        <v/>
      </c>
      <c r="R927" s="20">
        <f>Operations!R905*Operations!R891*(1-Operations!R919)</f>
        <v/>
      </c>
      <c r="S927" s="20">
        <f>Operations!S905*Operations!S891*(1-Operations!S919)</f>
        <v/>
      </c>
      <c r="T927" s="20">
        <f>Operations!T905*Operations!T891*(1-Operations!T919)</f>
        <v/>
      </c>
      <c r="U927" s="20">
        <f>Operations!U905*Operations!U891*(1-Operations!U919)</f>
        <v/>
      </c>
      <c r="V927" s="20">
        <f>Operations!V905*Operations!V891*(1-Operations!V919)</f>
        <v/>
      </c>
      <c r="W927" s="20">
        <f>Operations!W905*Operations!W891*(1-Operations!W919)</f>
        <v/>
      </c>
      <c r="X927" s="20">
        <f>Operations!X905*Operations!X891*(1-Operations!X919)</f>
        <v/>
      </c>
      <c r="Y927" s="20">
        <f>Operations!Y905*Operations!Y891*(1-Operations!Y919)</f>
        <v/>
      </c>
      <c r="Z927" s="20">
        <f>Operations!Z905*Operations!Z891*(1-Operations!Z919)</f>
        <v/>
      </c>
      <c r="AA927" s="20">
        <f>Operations!AA905*Operations!AA891*(1-Operations!AA919)</f>
        <v/>
      </c>
      <c r="AB927" s="20">
        <f>Operations!AB905*Operations!AB891*(1-Operations!AB919)</f>
        <v/>
      </c>
      <c r="AC927" s="20">
        <f>Operations!AC905*Operations!AC891*(1-Operations!AC919)</f>
        <v/>
      </c>
      <c r="AD927" s="20">
        <f>Operations!AD905*Operations!AD891*(1-Operations!AD919)</f>
        <v/>
      </c>
      <c r="AE927" s="20">
        <f>Operations!AE905*Operations!AE891*(1-Operations!AE919)</f>
        <v/>
      </c>
      <c r="AF927" s="20">
        <f>Operations!AF905*Operations!AF891*(1-Operations!AF919)</f>
        <v/>
      </c>
      <c r="AG927" s="20">
        <f>Operations!AG905*Operations!AG891*(1-Operations!AG919)</f>
        <v/>
      </c>
      <c r="AH927" s="20">
        <f>Operations!AH905*Operations!AH891*(1-Operations!AH919)</f>
        <v/>
      </c>
      <c r="AI927" s="20">
        <f>Operations!AI905*Operations!AI891*(1-Operations!AI919)</f>
        <v/>
      </c>
      <c r="AJ927" s="20">
        <f>Operations!AJ905*Operations!AJ891*(1-Operations!AJ919)</f>
        <v/>
      </c>
      <c r="AK927" s="20">
        <f>Operations!AK905*Operations!AK891*(1-Operations!AK919)</f>
        <v/>
      </c>
      <c r="AL927" s="20">
        <f>Operations!AL905*Operations!AL891*(1-Operations!AL919)</f>
        <v/>
      </c>
      <c r="AM927" s="20">
        <f>Operations!AM905*Operations!AM891*(1-Operations!AM919)</f>
        <v/>
      </c>
      <c r="AN927" s="20">
        <f>Operations!AN905*Operations!AN891*(1-Operations!AN919)</f>
        <v/>
      </c>
      <c r="AO927" s="20">
        <f>Operations!AO905*Operations!AO891*(1-Operations!AO919)</f>
        <v/>
      </c>
      <c r="AP927" s="20">
        <f>Operations!AP905*Operations!AP891*(1-Operations!AP919)</f>
        <v/>
      </c>
      <c r="AQ927" s="20">
        <f>Operations!AQ905*Operations!AQ891*(1-Operations!AQ919)</f>
        <v/>
      </c>
      <c r="AR927" s="20">
        <f>Operations!AR905*Operations!AR891*(1-Operations!AR919)</f>
        <v/>
      </c>
      <c r="AS927" s="20">
        <f>Operations!AS905*Operations!AS891*(1-Operations!AS919)</f>
        <v/>
      </c>
      <c r="AT927" s="20">
        <f>Operations!AT905*Operations!AT891*(1-Operations!AT919)</f>
        <v/>
      </c>
      <c r="AU927" s="20">
        <f>Operations!AU905*Operations!AU891*(1-Operations!AU919)</f>
        <v/>
      </c>
    </row>
    <row r="928">
      <c r="D928" t="inlineStr">
        <is>
          <t>R3 Mesa-share hedged revenue</t>
        </is>
      </c>
      <c r="E928" t="inlineStr">
        <is>
          <t>USD m</t>
        </is>
      </c>
      <c r="J928" s="20">
        <f>Operations!J906*Operations!J891*(1-Operations!J919)</f>
        <v/>
      </c>
      <c r="K928" s="20">
        <f>Operations!K906*Operations!K891*(1-Operations!K919)</f>
        <v/>
      </c>
      <c r="L928" s="20">
        <f>Operations!L906*Operations!L891*(1-Operations!L919)</f>
        <v/>
      </c>
      <c r="M928" s="20">
        <f>Operations!M906*Operations!M891*(1-Operations!M919)</f>
        <v/>
      </c>
      <c r="N928" s="20">
        <f>Operations!N906*Operations!N891*(1-Operations!N919)</f>
        <v/>
      </c>
      <c r="O928" s="20">
        <f>Operations!O906*Operations!O891*(1-Operations!O919)</f>
        <v/>
      </c>
      <c r="P928" s="20">
        <f>Operations!P906*Operations!P891*(1-Operations!P919)</f>
        <v/>
      </c>
      <c r="Q928" s="20">
        <f>Operations!Q906*Operations!Q891*(1-Operations!Q919)</f>
        <v/>
      </c>
      <c r="R928" s="20">
        <f>Operations!R906*Operations!R891*(1-Operations!R919)</f>
        <v/>
      </c>
      <c r="S928" s="20">
        <f>Operations!S906*Operations!S891*(1-Operations!S919)</f>
        <v/>
      </c>
      <c r="T928" s="20">
        <f>Operations!T906*Operations!T891*(1-Operations!T919)</f>
        <v/>
      </c>
      <c r="U928" s="20">
        <f>Operations!U906*Operations!U891*(1-Operations!U919)</f>
        <v/>
      </c>
      <c r="V928" s="20">
        <f>Operations!V906*Operations!V891*(1-Operations!V919)</f>
        <v/>
      </c>
      <c r="W928" s="20">
        <f>Operations!W906*Operations!W891*(1-Operations!W919)</f>
        <v/>
      </c>
      <c r="X928" s="20">
        <f>Operations!X906*Operations!X891*(1-Operations!X919)</f>
        <v/>
      </c>
      <c r="Y928" s="20">
        <f>Operations!Y906*Operations!Y891*(1-Operations!Y919)</f>
        <v/>
      </c>
      <c r="Z928" s="20">
        <f>Operations!Z906*Operations!Z891*(1-Operations!Z919)</f>
        <v/>
      </c>
      <c r="AA928" s="20">
        <f>Operations!AA906*Operations!AA891*(1-Operations!AA919)</f>
        <v/>
      </c>
      <c r="AB928" s="20">
        <f>Operations!AB906*Operations!AB891*(1-Operations!AB919)</f>
        <v/>
      </c>
      <c r="AC928" s="20">
        <f>Operations!AC906*Operations!AC891*(1-Operations!AC919)</f>
        <v/>
      </c>
      <c r="AD928" s="20">
        <f>Operations!AD906*Operations!AD891*(1-Operations!AD919)</f>
        <v/>
      </c>
      <c r="AE928" s="20">
        <f>Operations!AE906*Operations!AE891*(1-Operations!AE919)</f>
        <v/>
      </c>
      <c r="AF928" s="20">
        <f>Operations!AF906*Operations!AF891*(1-Operations!AF919)</f>
        <v/>
      </c>
      <c r="AG928" s="20">
        <f>Operations!AG906*Operations!AG891*(1-Operations!AG919)</f>
        <v/>
      </c>
      <c r="AH928" s="20">
        <f>Operations!AH906*Operations!AH891*(1-Operations!AH919)</f>
        <v/>
      </c>
      <c r="AI928" s="20">
        <f>Operations!AI906*Operations!AI891*(1-Operations!AI919)</f>
        <v/>
      </c>
      <c r="AJ928" s="20">
        <f>Operations!AJ906*Operations!AJ891*(1-Operations!AJ919)</f>
        <v/>
      </c>
      <c r="AK928" s="20">
        <f>Operations!AK906*Operations!AK891*(1-Operations!AK919)</f>
        <v/>
      </c>
      <c r="AL928" s="20">
        <f>Operations!AL906*Operations!AL891*(1-Operations!AL919)</f>
        <v/>
      </c>
      <c r="AM928" s="20">
        <f>Operations!AM906*Operations!AM891*(1-Operations!AM919)</f>
        <v/>
      </c>
      <c r="AN928" s="20">
        <f>Operations!AN906*Operations!AN891*(1-Operations!AN919)</f>
        <v/>
      </c>
      <c r="AO928" s="20">
        <f>Operations!AO906*Operations!AO891*(1-Operations!AO919)</f>
        <v/>
      </c>
      <c r="AP928" s="20">
        <f>Operations!AP906*Operations!AP891*(1-Operations!AP919)</f>
        <v/>
      </c>
      <c r="AQ928" s="20">
        <f>Operations!AQ906*Operations!AQ891*(1-Operations!AQ919)</f>
        <v/>
      </c>
      <c r="AR928" s="20">
        <f>Operations!AR906*Operations!AR891*(1-Operations!AR919)</f>
        <v/>
      </c>
      <c r="AS928" s="20">
        <f>Operations!AS906*Operations!AS891*(1-Operations!AS919)</f>
        <v/>
      </c>
      <c r="AT928" s="20">
        <f>Operations!AT906*Operations!AT891*(1-Operations!AT919)</f>
        <v/>
      </c>
      <c r="AU928" s="20">
        <f>Operations!AU906*Operations!AU891*(1-Operations!AU919)</f>
        <v/>
      </c>
    </row>
    <row r="929">
      <c r="D929" t="inlineStr">
        <is>
          <t>R3 Mesa-share merchant revenue</t>
        </is>
      </c>
      <c r="E929" t="inlineStr">
        <is>
          <t>USD m</t>
        </is>
      </c>
      <c r="J929" s="20">
        <f>Operations!J909*Operations!J891*(1-Operations!J919)</f>
        <v/>
      </c>
      <c r="K929" s="20">
        <f>Operations!K909*Operations!K891*(1-Operations!K919)</f>
        <v/>
      </c>
      <c r="L929" s="20">
        <f>Operations!L909*Operations!L891*(1-Operations!L919)</f>
        <v/>
      </c>
      <c r="M929" s="20">
        <f>Operations!M909*Operations!M891*(1-Operations!M919)</f>
        <v/>
      </c>
      <c r="N929" s="20">
        <f>Operations!N909*Operations!N891*(1-Operations!N919)</f>
        <v/>
      </c>
      <c r="O929" s="20">
        <f>Operations!O909*Operations!O891*(1-Operations!O919)</f>
        <v/>
      </c>
      <c r="P929" s="20">
        <f>Operations!P909*Operations!P891*(1-Operations!P919)</f>
        <v/>
      </c>
      <c r="Q929" s="20">
        <f>Operations!Q909*Operations!Q891*(1-Operations!Q919)</f>
        <v/>
      </c>
      <c r="R929" s="20">
        <f>Operations!R909*Operations!R891*(1-Operations!R919)</f>
        <v/>
      </c>
      <c r="S929" s="20">
        <f>Operations!S909*Operations!S891*(1-Operations!S919)</f>
        <v/>
      </c>
      <c r="T929" s="20">
        <f>Operations!T909*Operations!T891*(1-Operations!T919)</f>
        <v/>
      </c>
      <c r="U929" s="20">
        <f>Operations!U909*Operations!U891*(1-Operations!U919)</f>
        <v/>
      </c>
      <c r="V929" s="20">
        <f>Operations!V909*Operations!V891*(1-Operations!V919)</f>
        <v/>
      </c>
      <c r="W929" s="20">
        <f>Operations!W909*Operations!W891*(1-Operations!W919)</f>
        <v/>
      </c>
      <c r="X929" s="20">
        <f>Operations!X909*Operations!X891*(1-Operations!X919)</f>
        <v/>
      </c>
      <c r="Y929" s="20">
        <f>Operations!Y909*Operations!Y891*(1-Operations!Y919)</f>
        <v/>
      </c>
      <c r="Z929" s="20">
        <f>Operations!Z909*Operations!Z891*(1-Operations!Z919)</f>
        <v/>
      </c>
      <c r="AA929" s="20">
        <f>Operations!AA909*Operations!AA891*(1-Operations!AA919)</f>
        <v/>
      </c>
      <c r="AB929" s="20">
        <f>Operations!AB909*Operations!AB891*(1-Operations!AB919)</f>
        <v/>
      </c>
      <c r="AC929" s="20">
        <f>Operations!AC909*Operations!AC891*(1-Operations!AC919)</f>
        <v/>
      </c>
      <c r="AD929" s="20">
        <f>Operations!AD909*Operations!AD891*(1-Operations!AD919)</f>
        <v/>
      </c>
      <c r="AE929" s="20">
        <f>Operations!AE909*Operations!AE891*(1-Operations!AE919)</f>
        <v/>
      </c>
      <c r="AF929" s="20">
        <f>Operations!AF909*Operations!AF891*(1-Operations!AF919)</f>
        <v/>
      </c>
      <c r="AG929" s="20">
        <f>Operations!AG909*Operations!AG891*(1-Operations!AG919)</f>
        <v/>
      </c>
      <c r="AH929" s="20">
        <f>Operations!AH909*Operations!AH891*(1-Operations!AH919)</f>
        <v/>
      </c>
      <c r="AI929" s="20">
        <f>Operations!AI909*Operations!AI891*(1-Operations!AI919)</f>
        <v/>
      </c>
      <c r="AJ929" s="20">
        <f>Operations!AJ909*Operations!AJ891*(1-Operations!AJ919)</f>
        <v/>
      </c>
      <c r="AK929" s="20">
        <f>Operations!AK909*Operations!AK891*(1-Operations!AK919)</f>
        <v/>
      </c>
      <c r="AL929" s="20">
        <f>Operations!AL909*Operations!AL891*(1-Operations!AL919)</f>
        <v/>
      </c>
      <c r="AM929" s="20">
        <f>Operations!AM909*Operations!AM891*(1-Operations!AM919)</f>
        <v/>
      </c>
      <c r="AN929" s="20">
        <f>Operations!AN909*Operations!AN891*(1-Operations!AN919)</f>
        <v/>
      </c>
      <c r="AO929" s="20">
        <f>Operations!AO909*Operations!AO891*(1-Operations!AO919)</f>
        <v/>
      </c>
      <c r="AP929" s="20">
        <f>Operations!AP909*Operations!AP891*(1-Operations!AP919)</f>
        <v/>
      </c>
      <c r="AQ929" s="20">
        <f>Operations!AQ909*Operations!AQ891*(1-Operations!AQ919)</f>
        <v/>
      </c>
      <c r="AR929" s="20">
        <f>Operations!AR909*Operations!AR891*(1-Operations!AR919)</f>
        <v/>
      </c>
      <c r="AS929" s="20">
        <f>Operations!AS909*Operations!AS891*(1-Operations!AS919)</f>
        <v/>
      </c>
      <c r="AT929" s="20">
        <f>Operations!AT909*Operations!AT891*(1-Operations!AT919)</f>
        <v/>
      </c>
      <c r="AU929" s="20">
        <f>Operations!AU909*Operations!AU891*(1-Operations!AU919)</f>
        <v/>
      </c>
    </row>
    <row r="930">
      <c r="D930" t="inlineStr">
        <is>
          <t>R3 Mesa-share revenue</t>
        </is>
      </c>
      <c r="E930" t="inlineStr">
        <is>
          <t>USD m</t>
        </is>
      </c>
      <c r="J930" s="20">
        <f>Operations!J908*Operations!J891*(1-Operations!J919)</f>
        <v/>
      </c>
      <c r="K930" s="20">
        <f>Operations!K908*Operations!K891*(1-Operations!K919)</f>
        <v/>
      </c>
      <c r="L930" s="20">
        <f>Operations!L908*Operations!L891*(1-Operations!L919)</f>
        <v/>
      </c>
      <c r="M930" s="20">
        <f>Operations!M908*Operations!M891*(1-Operations!M919)</f>
        <v/>
      </c>
      <c r="N930" s="20">
        <f>Operations!N908*Operations!N891*(1-Operations!N919)</f>
        <v/>
      </c>
      <c r="O930" s="20">
        <f>Operations!O908*Operations!O891*(1-Operations!O919)</f>
        <v/>
      </c>
      <c r="P930" s="20">
        <f>Operations!P908*Operations!P891*(1-Operations!P919)</f>
        <v/>
      </c>
      <c r="Q930" s="20">
        <f>Operations!Q908*Operations!Q891*(1-Operations!Q919)</f>
        <v/>
      </c>
      <c r="R930" s="20">
        <f>Operations!R908*Operations!R891*(1-Operations!R919)</f>
        <v/>
      </c>
      <c r="S930" s="20">
        <f>Operations!S908*Operations!S891*(1-Operations!S919)</f>
        <v/>
      </c>
      <c r="T930" s="20">
        <f>Operations!T908*Operations!T891*(1-Operations!T919)</f>
        <v/>
      </c>
      <c r="U930" s="20">
        <f>Operations!U908*Operations!U891*(1-Operations!U919)</f>
        <v/>
      </c>
      <c r="V930" s="20">
        <f>Operations!V908*Operations!V891*(1-Operations!V919)</f>
        <v/>
      </c>
      <c r="W930" s="20">
        <f>Operations!W908*Operations!W891*(1-Operations!W919)</f>
        <v/>
      </c>
      <c r="X930" s="20">
        <f>Operations!X908*Operations!X891*(1-Operations!X919)</f>
        <v/>
      </c>
      <c r="Y930" s="20">
        <f>Operations!Y908*Operations!Y891*(1-Operations!Y919)</f>
        <v/>
      </c>
      <c r="Z930" s="20">
        <f>Operations!Z908*Operations!Z891*(1-Operations!Z919)</f>
        <v/>
      </c>
      <c r="AA930" s="20">
        <f>Operations!AA908*Operations!AA891*(1-Operations!AA919)</f>
        <v/>
      </c>
      <c r="AB930" s="20">
        <f>Operations!AB908*Operations!AB891*(1-Operations!AB919)</f>
        <v/>
      </c>
      <c r="AC930" s="20">
        <f>Operations!AC908*Operations!AC891*(1-Operations!AC919)</f>
        <v/>
      </c>
      <c r="AD930" s="20">
        <f>Operations!AD908*Operations!AD891*(1-Operations!AD919)</f>
        <v/>
      </c>
      <c r="AE930" s="20">
        <f>Operations!AE908*Operations!AE891*(1-Operations!AE919)</f>
        <v/>
      </c>
      <c r="AF930" s="20">
        <f>Operations!AF908*Operations!AF891*(1-Operations!AF919)</f>
        <v/>
      </c>
      <c r="AG930" s="20">
        <f>Operations!AG908*Operations!AG891*(1-Operations!AG919)</f>
        <v/>
      </c>
      <c r="AH930" s="20">
        <f>Operations!AH908*Operations!AH891*(1-Operations!AH919)</f>
        <v/>
      </c>
      <c r="AI930" s="20">
        <f>Operations!AI908*Operations!AI891*(1-Operations!AI919)</f>
        <v/>
      </c>
      <c r="AJ930" s="20">
        <f>Operations!AJ908*Operations!AJ891*(1-Operations!AJ919)</f>
        <v/>
      </c>
      <c r="AK930" s="20">
        <f>Operations!AK908*Operations!AK891*(1-Operations!AK919)</f>
        <v/>
      </c>
      <c r="AL930" s="20">
        <f>Operations!AL908*Operations!AL891*(1-Operations!AL919)</f>
        <v/>
      </c>
      <c r="AM930" s="20">
        <f>Operations!AM908*Operations!AM891*(1-Operations!AM919)</f>
        <v/>
      </c>
      <c r="AN930" s="20">
        <f>Operations!AN908*Operations!AN891*(1-Operations!AN919)</f>
        <v/>
      </c>
      <c r="AO930" s="20">
        <f>Operations!AO908*Operations!AO891*(1-Operations!AO919)</f>
        <v/>
      </c>
      <c r="AP930" s="20">
        <f>Operations!AP908*Operations!AP891*(1-Operations!AP919)</f>
        <v/>
      </c>
      <c r="AQ930" s="20">
        <f>Operations!AQ908*Operations!AQ891*(1-Operations!AQ919)</f>
        <v/>
      </c>
      <c r="AR930" s="20">
        <f>Operations!AR908*Operations!AR891*(1-Operations!AR919)</f>
        <v/>
      </c>
      <c r="AS930" s="20">
        <f>Operations!AS908*Operations!AS891*(1-Operations!AS919)</f>
        <v/>
      </c>
      <c r="AT930" s="20">
        <f>Operations!AT908*Operations!AT891*(1-Operations!AT919)</f>
        <v/>
      </c>
      <c r="AU930" s="20">
        <f>Operations!AU908*Operations!AU891*(1-Operations!AU919)</f>
        <v/>
      </c>
    </row>
    <row r="931">
      <c r="D931" t="inlineStr">
        <is>
          <t>R3 PTC generated (99% to tax equity before flip)</t>
        </is>
      </c>
      <c r="E931" t="inlineStr">
        <is>
          <t>USD m</t>
        </is>
      </c>
      <c r="J931" s="20">
        <f>Operations!J896*MAX(0,MIN(DATE(YEAR(Inputs!$F$111)+Inputs!$F$229,MONTH(Inputs!$F$111),DAY(Inputs!$F$111)),Time!J$6)-MAX(Inputs!$F$111,Time!J$5))/Time!J$7*Inputs!J81/1000</f>
        <v/>
      </c>
      <c r="K931" s="20">
        <f>Operations!K896*MAX(0,MIN(DATE(YEAR(Inputs!$F$111)+Inputs!$F$229,MONTH(Inputs!$F$111),DAY(Inputs!$F$111)),Time!K$6)-MAX(Inputs!$F$111,Time!K$5))/Time!K$7*Inputs!K81/1000</f>
        <v/>
      </c>
      <c r="L931" s="20">
        <f>Operations!L896*MAX(0,MIN(DATE(YEAR(Inputs!$F$111)+Inputs!$F$229,MONTH(Inputs!$F$111),DAY(Inputs!$F$111)),Time!L$6)-MAX(Inputs!$F$111,Time!L$5))/Time!L$7*Inputs!L81/1000</f>
        <v/>
      </c>
      <c r="M931" s="20">
        <f>Operations!M896*MAX(0,MIN(DATE(YEAR(Inputs!$F$111)+Inputs!$F$229,MONTH(Inputs!$F$111),DAY(Inputs!$F$111)),Time!M$6)-MAX(Inputs!$F$111,Time!M$5))/Time!M$7*Inputs!M81/1000</f>
        <v/>
      </c>
      <c r="N931" s="20">
        <f>Operations!N896*MAX(0,MIN(DATE(YEAR(Inputs!$F$111)+Inputs!$F$229,MONTH(Inputs!$F$111),DAY(Inputs!$F$111)),Time!N$6)-MAX(Inputs!$F$111,Time!N$5))/Time!N$7*Inputs!N81/1000</f>
        <v/>
      </c>
      <c r="O931" s="20">
        <f>Operations!O896*MAX(0,MIN(DATE(YEAR(Inputs!$F$111)+Inputs!$F$229,MONTH(Inputs!$F$111),DAY(Inputs!$F$111)),Time!O$6)-MAX(Inputs!$F$111,Time!O$5))/Time!O$7*Inputs!O81/1000</f>
        <v/>
      </c>
      <c r="P931" s="20">
        <f>Operations!P896*MAX(0,MIN(DATE(YEAR(Inputs!$F$111)+Inputs!$F$229,MONTH(Inputs!$F$111),DAY(Inputs!$F$111)),Time!P$6)-MAX(Inputs!$F$111,Time!P$5))/Time!P$7*Inputs!P81/1000</f>
        <v/>
      </c>
      <c r="Q931" s="20">
        <f>Operations!Q896*MAX(0,MIN(DATE(YEAR(Inputs!$F$111)+Inputs!$F$229,MONTH(Inputs!$F$111),DAY(Inputs!$F$111)),Time!Q$6)-MAX(Inputs!$F$111,Time!Q$5))/Time!Q$7*Inputs!Q81/1000</f>
        <v/>
      </c>
      <c r="R931" s="20">
        <f>Operations!R896*MAX(0,MIN(DATE(YEAR(Inputs!$F$111)+Inputs!$F$229,MONTH(Inputs!$F$111),DAY(Inputs!$F$111)),Time!R$6)-MAX(Inputs!$F$111,Time!R$5))/Time!R$7*Inputs!R81/1000</f>
        <v/>
      </c>
      <c r="S931" s="20">
        <f>Operations!S896*MAX(0,MIN(DATE(YEAR(Inputs!$F$111)+Inputs!$F$229,MONTH(Inputs!$F$111),DAY(Inputs!$F$111)),Time!S$6)-MAX(Inputs!$F$111,Time!S$5))/Time!S$7*Inputs!S81/1000</f>
        <v/>
      </c>
      <c r="T931" s="20">
        <f>Operations!T896*MAX(0,MIN(DATE(YEAR(Inputs!$F$111)+Inputs!$F$229,MONTH(Inputs!$F$111),DAY(Inputs!$F$111)),Time!T$6)-MAX(Inputs!$F$111,Time!T$5))/Time!T$7*Inputs!T81/1000</f>
        <v/>
      </c>
      <c r="U931" s="20">
        <f>Operations!U896*MAX(0,MIN(DATE(YEAR(Inputs!$F$111)+Inputs!$F$229,MONTH(Inputs!$F$111),DAY(Inputs!$F$111)),Time!U$6)-MAX(Inputs!$F$111,Time!U$5))/Time!U$7*Inputs!U81/1000</f>
        <v/>
      </c>
      <c r="V931" s="20">
        <f>Operations!V896*MAX(0,MIN(DATE(YEAR(Inputs!$F$111)+Inputs!$F$229,MONTH(Inputs!$F$111),DAY(Inputs!$F$111)),Time!V$6)-MAX(Inputs!$F$111,Time!V$5))/Time!V$7*Inputs!V81/1000</f>
        <v/>
      </c>
      <c r="W931" s="20">
        <f>Operations!W896*MAX(0,MIN(DATE(YEAR(Inputs!$F$111)+Inputs!$F$229,MONTH(Inputs!$F$111),DAY(Inputs!$F$111)),Time!W$6)-MAX(Inputs!$F$111,Time!W$5))/Time!W$7*Inputs!W81/1000</f>
        <v/>
      </c>
      <c r="X931" s="20">
        <f>Operations!X896*MAX(0,MIN(DATE(YEAR(Inputs!$F$111)+Inputs!$F$229,MONTH(Inputs!$F$111),DAY(Inputs!$F$111)),Time!X$6)-MAX(Inputs!$F$111,Time!X$5))/Time!X$7*Inputs!X81/1000</f>
        <v/>
      </c>
      <c r="Y931" s="20">
        <f>Operations!Y896*MAX(0,MIN(DATE(YEAR(Inputs!$F$111)+Inputs!$F$229,MONTH(Inputs!$F$111),DAY(Inputs!$F$111)),Time!Y$6)-MAX(Inputs!$F$111,Time!Y$5))/Time!Y$7*Inputs!Y81/1000</f>
        <v/>
      </c>
      <c r="Z931" s="20">
        <f>Operations!Z896*MAX(0,MIN(DATE(YEAR(Inputs!$F$111)+Inputs!$F$229,MONTH(Inputs!$F$111),DAY(Inputs!$F$111)),Time!Z$6)-MAX(Inputs!$F$111,Time!Z$5))/Time!Z$7*Inputs!Z81/1000</f>
        <v/>
      </c>
      <c r="AA931" s="20">
        <f>Operations!AA896*MAX(0,MIN(DATE(YEAR(Inputs!$F$111)+Inputs!$F$229,MONTH(Inputs!$F$111),DAY(Inputs!$F$111)),Time!AA$6)-MAX(Inputs!$F$111,Time!AA$5))/Time!AA$7*Inputs!AA81/1000</f>
        <v/>
      </c>
      <c r="AB931" s="20">
        <f>Operations!AB896*MAX(0,MIN(DATE(YEAR(Inputs!$F$111)+Inputs!$F$229,MONTH(Inputs!$F$111),DAY(Inputs!$F$111)),Time!AB$6)-MAX(Inputs!$F$111,Time!AB$5))/Time!AB$7*Inputs!AB81/1000</f>
        <v/>
      </c>
      <c r="AC931" s="20">
        <f>Operations!AC896*MAX(0,MIN(DATE(YEAR(Inputs!$F$111)+Inputs!$F$229,MONTH(Inputs!$F$111),DAY(Inputs!$F$111)),Time!AC$6)-MAX(Inputs!$F$111,Time!AC$5))/Time!AC$7*Inputs!AC81/1000</f>
        <v/>
      </c>
      <c r="AD931" s="20">
        <f>Operations!AD896*MAX(0,MIN(DATE(YEAR(Inputs!$F$111)+Inputs!$F$229,MONTH(Inputs!$F$111),DAY(Inputs!$F$111)),Time!AD$6)-MAX(Inputs!$F$111,Time!AD$5))/Time!AD$7*Inputs!AD81/1000</f>
        <v/>
      </c>
      <c r="AE931" s="20">
        <f>Operations!AE896*MAX(0,MIN(DATE(YEAR(Inputs!$F$111)+Inputs!$F$229,MONTH(Inputs!$F$111),DAY(Inputs!$F$111)),Time!AE$6)-MAX(Inputs!$F$111,Time!AE$5))/Time!AE$7*Inputs!AE81/1000</f>
        <v/>
      </c>
      <c r="AF931" s="20">
        <f>Operations!AF896*MAX(0,MIN(DATE(YEAR(Inputs!$F$111)+Inputs!$F$229,MONTH(Inputs!$F$111),DAY(Inputs!$F$111)),Time!AF$6)-MAX(Inputs!$F$111,Time!AF$5))/Time!AF$7*Inputs!AF81/1000</f>
        <v/>
      </c>
      <c r="AG931" s="20">
        <f>Operations!AG896*MAX(0,MIN(DATE(YEAR(Inputs!$F$111)+Inputs!$F$229,MONTH(Inputs!$F$111),DAY(Inputs!$F$111)),Time!AG$6)-MAX(Inputs!$F$111,Time!AG$5))/Time!AG$7*Inputs!AG81/1000</f>
        <v/>
      </c>
      <c r="AH931" s="20">
        <f>Operations!AH896*MAX(0,MIN(DATE(YEAR(Inputs!$F$111)+Inputs!$F$229,MONTH(Inputs!$F$111),DAY(Inputs!$F$111)),Time!AH$6)-MAX(Inputs!$F$111,Time!AH$5))/Time!AH$7*Inputs!AH81/1000</f>
        <v/>
      </c>
      <c r="AI931" s="20">
        <f>Operations!AI896*MAX(0,MIN(DATE(YEAR(Inputs!$F$111)+Inputs!$F$229,MONTH(Inputs!$F$111),DAY(Inputs!$F$111)),Time!AI$6)-MAX(Inputs!$F$111,Time!AI$5))/Time!AI$7*Inputs!AI81/1000</f>
        <v/>
      </c>
      <c r="AJ931" s="20">
        <f>Operations!AJ896*MAX(0,MIN(DATE(YEAR(Inputs!$F$111)+Inputs!$F$229,MONTH(Inputs!$F$111),DAY(Inputs!$F$111)),Time!AJ$6)-MAX(Inputs!$F$111,Time!AJ$5))/Time!AJ$7*Inputs!AJ81/1000</f>
        <v/>
      </c>
      <c r="AK931" s="20">
        <f>Operations!AK896*MAX(0,MIN(DATE(YEAR(Inputs!$F$111)+Inputs!$F$229,MONTH(Inputs!$F$111),DAY(Inputs!$F$111)),Time!AK$6)-MAX(Inputs!$F$111,Time!AK$5))/Time!AK$7*Inputs!AK81/1000</f>
        <v/>
      </c>
      <c r="AL931" s="20">
        <f>Operations!AL896*MAX(0,MIN(DATE(YEAR(Inputs!$F$111)+Inputs!$F$229,MONTH(Inputs!$F$111),DAY(Inputs!$F$111)),Time!AL$6)-MAX(Inputs!$F$111,Time!AL$5))/Time!AL$7*Inputs!AL81/1000</f>
        <v/>
      </c>
      <c r="AM931" s="20">
        <f>Operations!AM896*MAX(0,MIN(DATE(YEAR(Inputs!$F$111)+Inputs!$F$229,MONTH(Inputs!$F$111),DAY(Inputs!$F$111)),Time!AM$6)-MAX(Inputs!$F$111,Time!AM$5))/Time!AM$7*Inputs!AM81/1000</f>
        <v/>
      </c>
      <c r="AN931" s="20">
        <f>Operations!AN896*MAX(0,MIN(DATE(YEAR(Inputs!$F$111)+Inputs!$F$229,MONTH(Inputs!$F$111),DAY(Inputs!$F$111)),Time!AN$6)-MAX(Inputs!$F$111,Time!AN$5))/Time!AN$7*Inputs!AN81/1000</f>
        <v/>
      </c>
      <c r="AO931" s="20">
        <f>Operations!AO896*MAX(0,MIN(DATE(YEAR(Inputs!$F$111)+Inputs!$F$229,MONTH(Inputs!$F$111),DAY(Inputs!$F$111)),Time!AO$6)-MAX(Inputs!$F$111,Time!AO$5))/Time!AO$7*Inputs!AO81/1000</f>
        <v/>
      </c>
      <c r="AP931" s="20">
        <f>Operations!AP896*MAX(0,MIN(DATE(YEAR(Inputs!$F$111)+Inputs!$F$229,MONTH(Inputs!$F$111),DAY(Inputs!$F$111)),Time!AP$6)-MAX(Inputs!$F$111,Time!AP$5))/Time!AP$7*Inputs!AP81/1000</f>
        <v/>
      </c>
      <c r="AQ931" s="20">
        <f>Operations!AQ896*MAX(0,MIN(DATE(YEAR(Inputs!$F$111)+Inputs!$F$229,MONTH(Inputs!$F$111),DAY(Inputs!$F$111)),Time!AQ$6)-MAX(Inputs!$F$111,Time!AQ$5))/Time!AQ$7*Inputs!AQ81/1000</f>
        <v/>
      </c>
      <c r="AR931" s="20">
        <f>Operations!AR896*MAX(0,MIN(DATE(YEAR(Inputs!$F$111)+Inputs!$F$229,MONTH(Inputs!$F$111),DAY(Inputs!$F$111)),Time!AR$6)-MAX(Inputs!$F$111,Time!AR$5))/Time!AR$7*Inputs!AR81/1000</f>
        <v/>
      </c>
      <c r="AS931" s="20">
        <f>Operations!AS896*MAX(0,MIN(DATE(YEAR(Inputs!$F$111)+Inputs!$F$229,MONTH(Inputs!$F$111),DAY(Inputs!$F$111)),Time!AS$6)-MAX(Inputs!$F$111,Time!AS$5))/Time!AS$7*Inputs!AS81/1000</f>
        <v/>
      </c>
      <c r="AT931" s="20">
        <f>Operations!AT896*MAX(0,MIN(DATE(YEAR(Inputs!$F$111)+Inputs!$F$229,MONTH(Inputs!$F$111),DAY(Inputs!$F$111)),Time!AT$6)-MAX(Inputs!$F$111,Time!AT$5))/Time!AT$7*Inputs!AT81/1000</f>
        <v/>
      </c>
      <c r="AU931" s="20">
        <f>Operations!AU896*MAX(0,MIN(DATE(YEAR(Inputs!$F$111)+Inputs!$F$229,MONTH(Inputs!$F$111),DAY(Inputs!$F$111)),Time!AU$6)-MAX(Inputs!$F$111,Time!AU$5))/Time!AU$7*Inputs!AU81/1000</f>
        <v/>
      </c>
    </row>
    <row r="932">
      <c r="D932" s="19" t="inlineStr">
        <is>
          <t>R4 Peeler Draw Solar (single-axis tracking PV)</t>
        </is>
      </c>
    </row>
    <row r="933">
      <c r="D933" t="inlineStr">
        <is>
          <t>R4 operating fraction</t>
        </is>
      </c>
      <c r="E933" t="inlineStr">
        <is>
          <t>fraction</t>
        </is>
      </c>
      <c r="J933" s="14">
        <f>MAX(0,MIN(Inputs!$F$123,Time!J$6)-MAX(Inputs!$F$122,Time!J$5))/Time!J$7</f>
        <v/>
      </c>
      <c r="K933" s="14">
        <f>MAX(0,MIN(Inputs!$F$123,Time!K$6)-MAX(Inputs!$F$122,Time!K$5))/Time!K$7</f>
        <v/>
      </c>
      <c r="L933" s="14">
        <f>MAX(0,MIN(Inputs!$F$123,Time!L$6)-MAX(Inputs!$F$122,Time!L$5))/Time!L$7</f>
        <v/>
      </c>
      <c r="M933" s="14">
        <f>MAX(0,MIN(Inputs!$F$123,Time!M$6)-MAX(Inputs!$F$122,Time!M$5))/Time!M$7</f>
        <v/>
      </c>
      <c r="N933" s="14">
        <f>MAX(0,MIN(Inputs!$F$123,Time!N$6)-MAX(Inputs!$F$122,Time!N$5))/Time!N$7</f>
        <v/>
      </c>
      <c r="O933" s="14">
        <f>MAX(0,MIN(Inputs!$F$123,Time!O$6)-MAX(Inputs!$F$122,Time!O$5))/Time!O$7</f>
        <v/>
      </c>
      <c r="P933" s="14">
        <f>MAX(0,MIN(Inputs!$F$123,Time!P$6)-MAX(Inputs!$F$122,Time!P$5))/Time!P$7</f>
        <v/>
      </c>
      <c r="Q933" s="14">
        <f>MAX(0,MIN(Inputs!$F$123,Time!Q$6)-MAX(Inputs!$F$122,Time!Q$5))/Time!Q$7</f>
        <v/>
      </c>
      <c r="R933" s="14">
        <f>MAX(0,MIN(Inputs!$F$123,Time!R$6)-MAX(Inputs!$F$122,Time!R$5))/Time!R$7</f>
        <v/>
      </c>
      <c r="S933" s="14">
        <f>MAX(0,MIN(Inputs!$F$123,Time!S$6)-MAX(Inputs!$F$122,Time!S$5))/Time!S$7</f>
        <v/>
      </c>
      <c r="T933" s="14">
        <f>MAX(0,MIN(Inputs!$F$123,Time!T$6)-MAX(Inputs!$F$122,Time!T$5))/Time!T$7</f>
        <v/>
      </c>
      <c r="U933" s="14">
        <f>MAX(0,MIN(Inputs!$F$123,Time!U$6)-MAX(Inputs!$F$122,Time!U$5))/Time!U$7</f>
        <v/>
      </c>
      <c r="V933" s="14">
        <f>MAX(0,MIN(Inputs!$F$123,Time!V$6)-MAX(Inputs!$F$122,Time!V$5))/Time!V$7</f>
        <v/>
      </c>
      <c r="W933" s="14">
        <f>MAX(0,MIN(Inputs!$F$123,Time!W$6)-MAX(Inputs!$F$122,Time!W$5))/Time!W$7</f>
        <v/>
      </c>
      <c r="X933" s="14">
        <f>MAX(0,MIN(Inputs!$F$123,Time!X$6)-MAX(Inputs!$F$122,Time!X$5))/Time!X$7</f>
        <v/>
      </c>
      <c r="Y933" s="14">
        <f>MAX(0,MIN(Inputs!$F$123,Time!Y$6)-MAX(Inputs!$F$122,Time!Y$5))/Time!Y$7</f>
        <v/>
      </c>
      <c r="Z933" s="14">
        <f>MAX(0,MIN(Inputs!$F$123,Time!Z$6)-MAX(Inputs!$F$122,Time!Z$5))/Time!Z$7</f>
        <v/>
      </c>
      <c r="AA933" s="14">
        <f>MAX(0,MIN(Inputs!$F$123,Time!AA$6)-MAX(Inputs!$F$122,Time!AA$5))/Time!AA$7</f>
        <v/>
      </c>
      <c r="AB933" s="14">
        <f>MAX(0,MIN(Inputs!$F$123,Time!AB$6)-MAX(Inputs!$F$122,Time!AB$5))/Time!AB$7</f>
        <v/>
      </c>
      <c r="AC933" s="14">
        <f>MAX(0,MIN(Inputs!$F$123,Time!AC$6)-MAX(Inputs!$F$122,Time!AC$5))/Time!AC$7</f>
        <v/>
      </c>
      <c r="AD933" s="14">
        <f>MAX(0,MIN(Inputs!$F$123,Time!AD$6)-MAX(Inputs!$F$122,Time!AD$5))/Time!AD$7</f>
        <v/>
      </c>
      <c r="AE933" s="14">
        <f>MAX(0,MIN(Inputs!$F$123,Time!AE$6)-MAX(Inputs!$F$122,Time!AE$5))/Time!AE$7</f>
        <v/>
      </c>
      <c r="AF933" s="14">
        <f>MAX(0,MIN(Inputs!$F$123,Time!AF$6)-MAX(Inputs!$F$122,Time!AF$5))/Time!AF$7</f>
        <v/>
      </c>
      <c r="AG933" s="14">
        <f>MAX(0,MIN(Inputs!$F$123,Time!AG$6)-MAX(Inputs!$F$122,Time!AG$5))/Time!AG$7</f>
        <v/>
      </c>
      <c r="AH933" s="14">
        <f>MAX(0,MIN(Inputs!$F$123,Time!AH$6)-MAX(Inputs!$F$122,Time!AH$5))/Time!AH$7</f>
        <v/>
      </c>
      <c r="AI933" s="14">
        <f>MAX(0,MIN(Inputs!$F$123,Time!AI$6)-MAX(Inputs!$F$122,Time!AI$5))/Time!AI$7</f>
        <v/>
      </c>
      <c r="AJ933" s="14">
        <f>MAX(0,MIN(Inputs!$F$123,Time!AJ$6)-MAX(Inputs!$F$122,Time!AJ$5))/Time!AJ$7</f>
        <v/>
      </c>
      <c r="AK933" s="14">
        <f>MAX(0,MIN(Inputs!$F$123,Time!AK$6)-MAX(Inputs!$F$122,Time!AK$5))/Time!AK$7</f>
        <v/>
      </c>
      <c r="AL933" s="14">
        <f>MAX(0,MIN(Inputs!$F$123,Time!AL$6)-MAX(Inputs!$F$122,Time!AL$5))/Time!AL$7</f>
        <v/>
      </c>
      <c r="AM933" s="14">
        <f>MAX(0,MIN(Inputs!$F$123,Time!AM$6)-MAX(Inputs!$F$122,Time!AM$5))/Time!AM$7</f>
        <v/>
      </c>
      <c r="AN933" s="14">
        <f>MAX(0,MIN(Inputs!$F$123,Time!AN$6)-MAX(Inputs!$F$122,Time!AN$5))/Time!AN$7</f>
        <v/>
      </c>
      <c r="AO933" s="14">
        <f>MAX(0,MIN(Inputs!$F$123,Time!AO$6)-MAX(Inputs!$F$122,Time!AO$5))/Time!AO$7</f>
        <v/>
      </c>
      <c r="AP933" s="14">
        <f>MAX(0,MIN(Inputs!$F$123,Time!AP$6)-MAX(Inputs!$F$122,Time!AP$5))/Time!AP$7</f>
        <v/>
      </c>
      <c r="AQ933" s="14">
        <f>MAX(0,MIN(Inputs!$F$123,Time!AQ$6)-MAX(Inputs!$F$122,Time!AQ$5))/Time!AQ$7</f>
        <v/>
      </c>
      <c r="AR933" s="14">
        <f>MAX(0,MIN(Inputs!$F$123,Time!AR$6)-MAX(Inputs!$F$122,Time!AR$5))/Time!AR$7</f>
        <v/>
      </c>
      <c r="AS933" s="14">
        <f>MAX(0,MIN(Inputs!$F$123,Time!AS$6)-MAX(Inputs!$F$122,Time!AS$5))/Time!AS$7</f>
        <v/>
      </c>
      <c r="AT933" s="14">
        <f>MAX(0,MIN(Inputs!$F$123,Time!AT$6)-MAX(Inputs!$F$122,Time!AT$5))/Time!AT$7</f>
        <v/>
      </c>
      <c r="AU933" s="14">
        <f>MAX(0,MIN(Inputs!$F$123,Time!AU$6)-MAX(Inputs!$F$122,Time!AU$5))/Time!AU$7</f>
        <v/>
      </c>
    </row>
    <row r="934">
      <c r="D934" t="inlineStr">
        <is>
          <t>R4 owned fraction</t>
        </is>
      </c>
      <c r="E934" t="inlineStr">
        <is>
          <t>fraction</t>
        </is>
      </c>
      <c r="J934" s="14">
        <f>MAX(0,MIN(Inputs!$F$123,Time!J$6)-MAX(MAX(Inputs!$F$124,Inputs!$F$122),Time!J$5))/Time!J$7</f>
        <v/>
      </c>
      <c r="K934" s="14">
        <f>MAX(0,MIN(Inputs!$F$123,Time!K$6)-MAX(MAX(Inputs!$F$124,Inputs!$F$122),Time!K$5))/Time!K$7</f>
        <v/>
      </c>
      <c r="L934" s="14">
        <f>MAX(0,MIN(Inputs!$F$123,Time!L$6)-MAX(MAX(Inputs!$F$124,Inputs!$F$122),Time!L$5))/Time!L$7</f>
        <v/>
      </c>
      <c r="M934" s="14">
        <f>MAX(0,MIN(Inputs!$F$123,Time!M$6)-MAX(MAX(Inputs!$F$124,Inputs!$F$122),Time!M$5))/Time!M$7</f>
        <v/>
      </c>
      <c r="N934" s="14">
        <f>MAX(0,MIN(Inputs!$F$123,Time!N$6)-MAX(MAX(Inputs!$F$124,Inputs!$F$122),Time!N$5))/Time!N$7</f>
        <v/>
      </c>
      <c r="O934" s="14">
        <f>MAX(0,MIN(Inputs!$F$123,Time!O$6)-MAX(MAX(Inputs!$F$124,Inputs!$F$122),Time!O$5))/Time!O$7</f>
        <v/>
      </c>
      <c r="P934" s="14">
        <f>MAX(0,MIN(Inputs!$F$123,Time!P$6)-MAX(MAX(Inputs!$F$124,Inputs!$F$122),Time!P$5))/Time!P$7</f>
        <v/>
      </c>
      <c r="Q934" s="14">
        <f>MAX(0,MIN(Inputs!$F$123,Time!Q$6)-MAX(MAX(Inputs!$F$124,Inputs!$F$122),Time!Q$5))/Time!Q$7</f>
        <v/>
      </c>
      <c r="R934" s="14">
        <f>MAX(0,MIN(Inputs!$F$123,Time!R$6)-MAX(MAX(Inputs!$F$124,Inputs!$F$122),Time!R$5))/Time!R$7</f>
        <v/>
      </c>
      <c r="S934" s="14">
        <f>MAX(0,MIN(Inputs!$F$123,Time!S$6)-MAX(MAX(Inputs!$F$124,Inputs!$F$122),Time!S$5))/Time!S$7</f>
        <v/>
      </c>
      <c r="T934" s="14">
        <f>MAX(0,MIN(Inputs!$F$123,Time!T$6)-MAX(MAX(Inputs!$F$124,Inputs!$F$122),Time!T$5))/Time!T$7</f>
        <v/>
      </c>
      <c r="U934" s="14">
        <f>MAX(0,MIN(Inputs!$F$123,Time!U$6)-MAX(MAX(Inputs!$F$124,Inputs!$F$122),Time!U$5))/Time!U$7</f>
        <v/>
      </c>
      <c r="V934" s="14">
        <f>MAX(0,MIN(Inputs!$F$123,Time!V$6)-MAX(MAX(Inputs!$F$124,Inputs!$F$122),Time!V$5))/Time!V$7</f>
        <v/>
      </c>
      <c r="W934" s="14">
        <f>MAX(0,MIN(Inputs!$F$123,Time!W$6)-MAX(MAX(Inputs!$F$124,Inputs!$F$122),Time!W$5))/Time!W$7</f>
        <v/>
      </c>
      <c r="X934" s="14">
        <f>MAX(0,MIN(Inputs!$F$123,Time!X$6)-MAX(MAX(Inputs!$F$124,Inputs!$F$122),Time!X$5))/Time!X$7</f>
        <v/>
      </c>
      <c r="Y934" s="14">
        <f>MAX(0,MIN(Inputs!$F$123,Time!Y$6)-MAX(MAX(Inputs!$F$124,Inputs!$F$122),Time!Y$5))/Time!Y$7</f>
        <v/>
      </c>
      <c r="Z934" s="14">
        <f>MAX(0,MIN(Inputs!$F$123,Time!Z$6)-MAX(MAX(Inputs!$F$124,Inputs!$F$122),Time!Z$5))/Time!Z$7</f>
        <v/>
      </c>
      <c r="AA934" s="14">
        <f>MAX(0,MIN(Inputs!$F$123,Time!AA$6)-MAX(MAX(Inputs!$F$124,Inputs!$F$122),Time!AA$5))/Time!AA$7</f>
        <v/>
      </c>
      <c r="AB934" s="14">
        <f>MAX(0,MIN(Inputs!$F$123,Time!AB$6)-MAX(MAX(Inputs!$F$124,Inputs!$F$122),Time!AB$5))/Time!AB$7</f>
        <v/>
      </c>
      <c r="AC934" s="14">
        <f>MAX(0,MIN(Inputs!$F$123,Time!AC$6)-MAX(MAX(Inputs!$F$124,Inputs!$F$122),Time!AC$5))/Time!AC$7</f>
        <v/>
      </c>
      <c r="AD934" s="14">
        <f>MAX(0,MIN(Inputs!$F$123,Time!AD$6)-MAX(MAX(Inputs!$F$124,Inputs!$F$122),Time!AD$5))/Time!AD$7</f>
        <v/>
      </c>
      <c r="AE934" s="14">
        <f>MAX(0,MIN(Inputs!$F$123,Time!AE$6)-MAX(MAX(Inputs!$F$124,Inputs!$F$122),Time!AE$5))/Time!AE$7</f>
        <v/>
      </c>
      <c r="AF934" s="14">
        <f>MAX(0,MIN(Inputs!$F$123,Time!AF$6)-MAX(MAX(Inputs!$F$124,Inputs!$F$122),Time!AF$5))/Time!AF$7</f>
        <v/>
      </c>
      <c r="AG934" s="14">
        <f>MAX(0,MIN(Inputs!$F$123,Time!AG$6)-MAX(MAX(Inputs!$F$124,Inputs!$F$122),Time!AG$5))/Time!AG$7</f>
        <v/>
      </c>
      <c r="AH934" s="14">
        <f>MAX(0,MIN(Inputs!$F$123,Time!AH$6)-MAX(MAX(Inputs!$F$124,Inputs!$F$122),Time!AH$5))/Time!AH$7</f>
        <v/>
      </c>
      <c r="AI934" s="14">
        <f>MAX(0,MIN(Inputs!$F$123,Time!AI$6)-MAX(MAX(Inputs!$F$124,Inputs!$F$122),Time!AI$5))/Time!AI$7</f>
        <v/>
      </c>
      <c r="AJ934" s="14">
        <f>MAX(0,MIN(Inputs!$F$123,Time!AJ$6)-MAX(MAX(Inputs!$F$124,Inputs!$F$122),Time!AJ$5))/Time!AJ$7</f>
        <v/>
      </c>
      <c r="AK934" s="14">
        <f>MAX(0,MIN(Inputs!$F$123,Time!AK$6)-MAX(MAX(Inputs!$F$124,Inputs!$F$122),Time!AK$5))/Time!AK$7</f>
        <v/>
      </c>
      <c r="AL934" s="14">
        <f>MAX(0,MIN(Inputs!$F$123,Time!AL$6)-MAX(MAX(Inputs!$F$124,Inputs!$F$122),Time!AL$5))/Time!AL$7</f>
        <v/>
      </c>
      <c r="AM934" s="14">
        <f>MAX(0,MIN(Inputs!$F$123,Time!AM$6)-MAX(MAX(Inputs!$F$124,Inputs!$F$122),Time!AM$5))/Time!AM$7</f>
        <v/>
      </c>
      <c r="AN934" s="14">
        <f>MAX(0,MIN(Inputs!$F$123,Time!AN$6)-MAX(MAX(Inputs!$F$124,Inputs!$F$122),Time!AN$5))/Time!AN$7</f>
        <v/>
      </c>
      <c r="AO934" s="14">
        <f>MAX(0,MIN(Inputs!$F$123,Time!AO$6)-MAX(MAX(Inputs!$F$124,Inputs!$F$122),Time!AO$5))/Time!AO$7</f>
        <v/>
      </c>
      <c r="AP934" s="14">
        <f>MAX(0,MIN(Inputs!$F$123,Time!AP$6)-MAX(MAX(Inputs!$F$124,Inputs!$F$122),Time!AP$5))/Time!AP$7</f>
        <v/>
      </c>
      <c r="AQ934" s="14">
        <f>MAX(0,MIN(Inputs!$F$123,Time!AQ$6)-MAX(MAX(Inputs!$F$124,Inputs!$F$122),Time!AQ$5))/Time!AQ$7</f>
        <v/>
      </c>
      <c r="AR934" s="14">
        <f>MAX(0,MIN(Inputs!$F$123,Time!AR$6)-MAX(MAX(Inputs!$F$124,Inputs!$F$122),Time!AR$5))/Time!AR$7</f>
        <v/>
      </c>
      <c r="AS934" s="14">
        <f>MAX(0,MIN(Inputs!$F$123,Time!AS$6)-MAX(MAX(Inputs!$F$124,Inputs!$F$122),Time!AS$5))/Time!AS$7</f>
        <v/>
      </c>
      <c r="AT934" s="14">
        <f>MAX(0,MIN(Inputs!$F$123,Time!AT$6)-MAX(MAX(Inputs!$F$124,Inputs!$F$122),Time!AT$5))/Time!AT$7</f>
        <v/>
      </c>
      <c r="AU934" s="14">
        <f>MAX(0,MIN(Inputs!$F$123,Time!AU$6)-MAX(MAX(Inputs!$F$124,Inputs!$F$122),Time!AU$5))/Time!AU$7</f>
        <v/>
      </c>
    </row>
    <row r="935">
      <c r="D935" t="inlineStr">
        <is>
          <t>R4 owned share of operating period</t>
        </is>
      </c>
      <c r="E935" t="inlineStr">
        <is>
          <t>fraction</t>
        </is>
      </c>
      <c r="J935" s="14">
        <f>IF(Operations!J933&gt;0,Operations!J934/Operations!J933,0)</f>
        <v/>
      </c>
      <c r="K935" s="14">
        <f>IF(Operations!K933&gt;0,Operations!K934/Operations!K933,0)</f>
        <v/>
      </c>
      <c r="L935" s="14">
        <f>IF(Operations!L933&gt;0,Operations!L934/Operations!L933,0)</f>
        <v/>
      </c>
      <c r="M935" s="14">
        <f>IF(Operations!M933&gt;0,Operations!M934/Operations!M933,0)</f>
        <v/>
      </c>
      <c r="N935" s="14">
        <f>IF(Operations!N933&gt;0,Operations!N934/Operations!N933,0)</f>
        <v/>
      </c>
      <c r="O935" s="14">
        <f>IF(Operations!O933&gt;0,Operations!O934/Operations!O933,0)</f>
        <v/>
      </c>
      <c r="P935" s="14">
        <f>IF(Operations!P933&gt;0,Operations!P934/Operations!P933,0)</f>
        <v/>
      </c>
      <c r="Q935" s="14">
        <f>IF(Operations!Q933&gt;0,Operations!Q934/Operations!Q933,0)</f>
        <v/>
      </c>
      <c r="R935" s="14">
        <f>IF(Operations!R933&gt;0,Operations!R934/Operations!R933,0)</f>
        <v/>
      </c>
      <c r="S935" s="14">
        <f>IF(Operations!S933&gt;0,Operations!S934/Operations!S933,0)</f>
        <v/>
      </c>
      <c r="T935" s="14">
        <f>IF(Operations!T933&gt;0,Operations!T934/Operations!T933,0)</f>
        <v/>
      </c>
      <c r="U935" s="14">
        <f>IF(Operations!U933&gt;0,Operations!U934/Operations!U933,0)</f>
        <v/>
      </c>
      <c r="V935" s="14">
        <f>IF(Operations!V933&gt;0,Operations!V934/Operations!V933,0)</f>
        <v/>
      </c>
      <c r="W935" s="14">
        <f>IF(Operations!W933&gt;0,Operations!W934/Operations!W933,0)</f>
        <v/>
      </c>
      <c r="X935" s="14">
        <f>IF(Operations!X933&gt;0,Operations!X934/Operations!X933,0)</f>
        <v/>
      </c>
      <c r="Y935" s="14">
        <f>IF(Operations!Y933&gt;0,Operations!Y934/Operations!Y933,0)</f>
        <v/>
      </c>
      <c r="Z935" s="14">
        <f>IF(Operations!Z933&gt;0,Operations!Z934/Operations!Z933,0)</f>
        <v/>
      </c>
      <c r="AA935" s="14">
        <f>IF(Operations!AA933&gt;0,Operations!AA934/Operations!AA933,0)</f>
        <v/>
      </c>
      <c r="AB935" s="14">
        <f>IF(Operations!AB933&gt;0,Operations!AB934/Operations!AB933,0)</f>
        <v/>
      </c>
      <c r="AC935" s="14">
        <f>IF(Operations!AC933&gt;0,Operations!AC934/Operations!AC933,0)</f>
        <v/>
      </c>
      <c r="AD935" s="14">
        <f>IF(Operations!AD933&gt;0,Operations!AD934/Operations!AD933,0)</f>
        <v/>
      </c>
      <c r="AE935" s="14">
        <f>IF(Operations!AE933&gt;0,Operations!AE934/Operations!AE933,0)</f>
        <v/>
      </c>
      <c r="AF935" s="14">
        <f>IF(Operations!AF933&gt;0,Operations!AF934/Operations!AF933,0)</f>
        <v/>
      </c>
      <c r="AG935" s="14">
        <f>IF(Operations!AG933&gt;0,Operations!AG934/Operations!AG933,0)</f>
        <v/>
      </c>
      <c r="AH935" s="14">
        <f>IF(Operations!AH933&gt;0,Operations!AH934/Operations!AH933,0)</f>
        <v/>
      </c>
      <c r="AI935" s="14">
        <f>IF(Operations!AI933&gt;0,Operations!AI934/Operations!AI933,0)</f>
        <v/>
      </c>
      <c r="AJ935" s="14">
        <f>IF(Operations!AJ933&gt;0,Operations!AJ934/Operations!AJ933,0)</f>
        <v/>
      </c>
      <c r="AK935" s="14">
        <f>IF(Operations!AK933&gt;0,Operations!AK934/Operations!AK933,0)</f>
        <v/>
      </c>
      <c r="AL935" s="14">
        <f>IF(Operations!AL933&gt;0,Operations!AL934/Operations!AL933,0)</f>
        <v/>
      </c>
      <c r="AM935" s="14">
        <f>IF(Operations!AM933&gt;0,Operations!AM934/Operations!AM933,0)</f>
        <v/>
      </c>
      <c r="AN935" s="14">
        <f>IF(Operations!AN933&gt;0,Operations!AN934/Operations!AN933,0)</f>
        <v/>
      </c>
      <c r="AO935" s="14">
        <f>IF(Operations!AO933&gt;0,Operations!AO934/Operations!AO933,0)</f>
        <v/>
      </c>
      <c r="AP935" s="14">
        <f>IF(Operations!AP933&gt;0,Operations!AP934/Operations!AP933,0)</f>
        <v/>
      </c>
      <c r="AQ935" s="14">
        <f>IF(Operations!AQ933&gt;0,Operations!AQ934/Operations!AQ933,0)</f>
        <v/>
      </c>
      <c r="AR935" s="14">
        <f>IF(Operations!AR933&gt;0,Operations!AR934/Operations!AR933,0)</f>
        <v/>
      </c>
      <c r="AS935" s="14">
        <f>IF(Operations!AS933&gt;0,Operations!AS934/Operations!AS933,0)</f>
        <v/>
      </c>
      <c r="AT935" s="14">
        <f>IF(Operations!AT933&gt;0,Operations!AT934/Operations!AT933,0)</f>
        <v/>
      </c>
      <c r="AU935" s="14">
        <f>IF(Operations!AU933&gt;0,Operations!AU934/Operations!AU933,0)</f>
        <v/>
      </c>
    </row>
    <row r="936">
      <c r="D936" t="inlineStr">
        <is>
          <t>R4 own hub ATC</t>
        </is>
      </c>
      <c r="E936" t="inlineStr">
        <is>
          <t>USD/MWh</t>
        </is>
      </c>
      <c r="J936" s="18">
        <f>Operations!J795</f>
        <v/>
      </c>
      <c r="K936" s="18">
        <f>Operations!K795</f>
        <v/>
      </c>
      <c r="L936" s="18">
        <f>Operations!L795</f>
        <v/>
      </c>
      <c r="M936" s="18">
        <f>Operations!M795</f>
        <v/>
      </c>
      <c r="N936" s="18">
        <f>Operations!N795</f>
        <v/>
      </c>
      <c r="O936" s="18">
        <f>Operations!O795</f>
        <v/>
      </c>
      <c r="P936" s="18">
        <f>Operations!P795</f>
        <v/>
      </c>
      <c r="Q936" s="18">
        <f>Operations!Q795</f>
        <v/>
      </c>
      <c r="R936" s="18">
        <f>Operations!R795</f>
        <v/>
      </c>
      <c r="S936" s="18">
        <f>Operations!S795</f>
        <v/>
      </c>
      <c r="T936" s="18">
        <f>Operations!T795</f>
        <v/>
      </c>
      <c r="U936" s="18">
        <f>Operations!U795</f>
        <v/>
      </c>
      <c r="V936" s="18">
        <f>Operations!V795</f>
        <v/>
      </c>
      <c r="W936" s="18">
        <f>Operations!W795</f>
        <v/>
      </c>
      <c r="X936" s="18">
        <f>Operations!X795</f>
        <v/>
      </c>
      <c r="Y936" s="18">
        <f>Operations!Y795</f>
        <v/>
      </c>
      <c r="Z936" s="18">
        <f>Operations!Z795</f>
        <v/>
      </c>
      <c r="AA936" s="18">
        <f>Operations!AA795</f>
        <v/>
      </c>
      <c r="AB936" s="18">
        <f>Operations!AB795</f>
        <v/>
      </c>
      <c r="AC936" s="18">
        <f>Operations!AC795</f>
        <v/>
      </c>
      <c r="AD936" s="18">
        <f>Operations!AD795</f>
        <v/>
      </c>
      <c r="AE936" s="18">
        <f>Operations!AE795</f>
        <v/>
      </c>
      <c r="AF936" s="18">
        <f>Operations!AF795</f>
        <v/>
      </c>
      <c r="AG936" s="18">
        <f>Operations!AG795</f>
        <v/>
      </c>
      <c r="AH936" s="18">
        <f>Operations!AH795</f>
        <v/>
      </c>
      <c r="AI936" s="18">
        <f>Operations!AI795</f>
        <v/>
      </c>
      <c r="AJ936" s="18">
        <f>Operations!AJ795</f>
        <v/>
      </c>
      <c r="AK936" s="18">
        <f>Operations!AK795</f>
        <v/>
      </c>
      <c r="AL936" s="18">
        <f>Operations!AL795</f>
        <v/>
      </c>
      <c r="AM936" s="18">
        <f>Operations!AM795</f>
        <v/>
      </c>
      <c r="AN936" s="18">
        <f>Operations!AN795</f>
        <v/>
      </c>
      <c r="AO936" s="18">
        <f>Operations!AO795</f>
        <v/>
      </c>
      <c r="AP936" s="18">
        <f>Operations!AP795</f>
        <v/>
      </c>
      <c r="AQ936" s="18">
        <f>Operations!AQ795</f>
        <v/>
      </c>
      <c r="AR936" s="18">
        <f>Operations!AR795</f>
        <v/>
      </c>
      <c r="AS936" s="18">
        <f>Operations!AS795</f>
        <v/>
      </c>
      <c r="AT936" s="18">
        <f>Operations!AT795</f>
        <v/>
      </c>
      <c r="AU936" s="18">
        <f>Operations!AU795</f>
        <v/>
      </c>
    </row>
    <row r="937">
      <c r="D937" t="inlineStr">
        <is>
          <t>R4 volume factor</t>
        </is>
      </c>
      <c r="E937" t="inlineStr">
        <is>
          <t>factor</t>
        </is>
      </c>
      <c r="J937" s="14">
        <f>CHOOSE(Operations!$F$789,1,Inputs!$F$128/100,Inputs!$F$129/100,Operations!$F$30/100)</f>
        <v/>
      </c>
      <c r="K937" s="14">
        <f>CHOOSE(Operations!$F$789,1,Inputs!$F$128/100,Inputs!$F$129/100,Operations!$F$30/100)</f>
        <v/>
      </c>
      <c r="L937" s="14">
        <f>CHOOSE(Operations!$F$789,1,Inputs!$F$128/100,Inputs!$F$129/100,Operations!$F$30/100)</f>
        <v/>
      </c>
      <c r="M937" s="14">
        <f>CHOOSE(Operations!$F$789,1,Inputs!$F$128/100,Inputs!$F$129/100,Operations!$F$30/100)</f>
        <v/>
      </c>
      <c r="N937" s="14">
        <f>CHOOSE(Operations!$F$789,1,Inputs!$F$128/100,Inputs!$F$129/100,Operations!$F$30/100)</f>
        <v/>
      </c>
      <c r="O937" s="14">
        <f>CHOOSE(Operations!$F$789,1,Inputs!$F$128/100,Inputs!$F$129/100,Operations!$F$30/100)</f>
        <v/>
      </c>
      <c r="P937" s="14">
        <f>CHOOSE(Operations!$F$789,1,Inputs!$F$128/100,Inputs!$F$129/100,Operations!$F$30/100)</f>
        <v/>
      </c>
      <c r="Q937" s="14">
        <f>CHOOSE(Operations!$F$789,1,Inputs!$F$128/100,Inputs!$F$129/100,Operations!$F$30/100)</f>
        <v/>
      </c>
      <c r="R937" s="14">
        <f>CHOOSE(Operations!$F$789,1,Inputs!$F$128/100,Inputs!$F$129/100,Operations!$F$30/100)</f>
        <v/>
      </c>
      <c r="S937" s="14">
        <f>CHOOSE(Operations!$F$789,1,Inputs!$F$128/100,Inputs!$F$129/100,Operations!$F$30/100)</f>
        <v/>
      </c>
      <c r="T937" s="14">
        <f>CHOOSE(Operations!$F$789,1,Inputs!$F$128/100,Inputs!$F$129/100,Operations!$F$30/100)</f>
        <v/>
      </c>
      <c r="U937" s="14">
        <f>CHOOSE(Operations!$F$789,1,Inputs!$F$128/100,Inputs!$F$129/100,Operations!$F$30/100)</f>
        <v/>
      </c>
      <c r="V937" s="14">
        <f>CHOOSE(Operations!$F$789,1,Inputs!$F$128/100,Inputs!$F$129/100,Operations!$F$30/100)</f>
        <v/>
      </c>
      <c r="W937" s="14">
        <f>CHOOSE(Operations!$F$789,1,Inputs!$F$128/100,Inputs!$F$129/100,Operations!$F$30/100)</f>
        <v/>
      </c>
      <c r="X937" s="14">
        <f>CHOOSE(Operations!$F$789,1,Inputs!$F$128/100,Inputs!$F$129/100,Operations!$F$30/100)</f>
        <v/>
      </c>
      <c r="Y937" s="14">
        <f>CHOOSE(Operations!$F$789,1,Inputs!$F$128/100,Inputs!$F$129/100,Operations!$F$30/100)</f>
        <v/>
      </c>
      <c r="Z937" s="14">
        <f>CHOOSE(Operations!$F$789,1,Inputs!$F$128/100,Inputs!$F$129/100,Operations!$F$30/100)</f>
        <v/>
      </c>
      <c r="AA937" s="14">
        <f>CHOOSE(Operations!$F$789,1,Inputs!$F$128/100,Inputs!$F$129/100,Operations!$F$30/100)</f>
        <v/>
      </c>
      <c r="AB937" s="14">
        <f>CHOOSE(Operations!$F$789,1,Inputs!$F$128/100,Inputs!$F$129/100,Operations!$F$30/100)</f>
        <v/>
      </c>
      <c r="AC937" s="14">
        <f>CHOOSE(Operations!$F$789,1,Inputs!$F$128/100,Inputs!$F$129/100,Operations!$F$30/100)</f>
        <v/>
      </c>
      <c r="AD937" s="14">
        <f>CHOOSE(Operations!$F$789,1,Inputs!$F$128/100,Inputs!$F$129/100,Operations!$F$30/100)</f>
        <v/>
      </c>
      <c r="AE937" s="14">
        <f>CHOOSE(Operations!$F$789,1,Inputs!$F$128/100,Inputs!$F$129/100,Operations!$F$30/100)</f>
        <v/>
      </c>
      <c r="AF937" s="14">
        <f>CHOOSE(Operations!$F$789,1,Inputs!$F$128/100,Inputs!$F$129/100,Operations!$F$30/100)</f>
        <v/>
      </c>
      <c r="AG937" s="14">
        <f>CHOOSE(Operations!$F$789,1,Inputs!$F$128/100,Inputs!$F$129/100,Operations!$F$30/100)</f>
        <v/>
      </c>
      <c r="AH937" s="14">
        <f>CHOOSE(Operations!$F$789,1,Inputs!$F$128/100,Inputs!$F$129/100,Operations!$F$30/100)</f>
        <v/>
      </c>
      <c r="AI937" s="14">
        <f>CHOOSE(Operations!$F$789,1,Inputs!$F$128/100,Inputs!$F$129/100,Operations!$F$30/100)</f>
        <v/>
      </c>
      <c r="AJ937" s="14">
        <f>CHOOSE(Operations!$F$789,1,Inputs!$F$128/100,Inputs!$F$129/100,Operations!$F$30/100)</f>
        <v/>
      </c>
      <c r="AK937" s="14">
        <f>CHOOSE(Operations!$F$789,1,Inputs!$F$128/100,Inputs!$F$129/100,Operations!$F$30/100)</f>
        <v/>
      </c>
      <c r="AL937" s="14">
        <f>CHOOSE(Operations!$F$789,1,Inputs!$F$128/100,Inputs!$F$129/100,Operations!$F$30/100)</f>
        <v/>
      </c>
      <c r="AM937" s="14">
        <f>CHOOSE(Operations!$F$789,1,Inputs!$F$128/100,Inputs!$F$129/100,Operations!$F$30/100)</f>
        <v/>
      </c>
      <c r="AN937" s="14">
        <f>CHOOSE(Operations!$F$789,1,Inputs!$F$128/100,Inputs!$F$129/100,Operations!$F$30/100)</f>
        <v/>
      </c>
      <c r="AO937" s="14">
        <f>CHOOSE(Operations!$F$789,1,Inputs!$F$128/100,Inputs!$F$129/100,Operations!$F$30/100)</f>
        <v/>
      </c>
      <c r="AP937" s="14">
        <f>CHOOSE(Operations!$F$789,1,Inputs!$F$128/100,Inputs!$F$129/100,Operations!$F$30/100)</f>
        <v/>
      </c>
      <c r="AQ937" s="14">
        <f>CHOOSE(Operations!$F$789,1,Inputs!$F$128/100,Inputs!$F$129/100,Operations!$F$30/100)</f>
        <v/>
      </c>
      <c r="AR937" s="14">
        <f>CHOOSE(Operations!$F$789,1,Inputs!$F$128/100,Inputs!$F$129/100,Operations!$F$30/100)</f>
        <v/>
      </c>
      <c r="AS937" s="14">
        <f>CHOOSE(Operations!$F$789,1,Inputs!$F$128/100,Inputs!$F$129/100,Operations!$F$30/100)</f>
        <v/>
      </c>
      <c r="AT937" s="14">
        <f>CHOOSE(Operations!$F$789,1,Inputs!$F$128/100,Inputs!$F$129/100,Operations!$F$30/100)</f>
        <v/>
      </c>
      <c r="AU937" s="14">
        <f>CHOOSE(Operations!$F$789,1,Inputs!$F$128/100,Inputs!$F$129/100,Operations!$F$30/100)</f>
        <v/>
      </c>
    </row>
    <row r="938">
      <c r="D938" t="inlineStr">
        <is>
          <t>R4 degradation factor</t>
        </is>
      </c>
      <c r="E938" t="inlineStr">
        <is>
          <t>factor</t>
        </is>
      </c>
      <c r="J938" s="14">
        <f>(1-Inputs!$F$130/100)^MAX(0,Time!J$4-Inputs!$F$131)</f>
        <v/>
      </c>
      <c r="K938" s="14">
        <f>(1-Inputs!$F$130/100)^MAX(0,Time!K$4-Inputs!$F$131)</f>
        <v/>
      </c>
      <c r="L938" s="14">
        <f>(1-Inputs!$F$130/100)^MAX(0,Time!L$4-Inputs!$F$131)</f>
        <v/>
      </c>
      <c r="M938" s="14">
        <f>(1-Inputs!$F$130/100)^MAX(0,Time!M$4-Inputs!$F$131)</f>
        <v/>
      </c>
      <c r="N938" s="14">
        <f>(1-Inputs!$F$130/100)^MAX(0,Time!N$4-Inputs!$F$131)</f>
        <v/>
      </c>
      <c r="O938" s="14">
        <f>(1-Inputs!$F$130/100)^MAX(0,Time!O$4-Inputs!$F$131)</f>
        <v/>
      </c>
      <c r="P938" s="14">
        <f>(1-Inputs!$F$130/100)^MAX(0,Time!P$4-Inputs!$F$131)</f>
        <v/>
      </c>
      <c r="Q938" s="14">
        <f>(1-Inputs!$F$130/100)^MAX(0,Time!Q$4-Inputs!$F$131)</f>
        <v/>
      </c>
      <c r="R938" s="14">
        <f>(1-Inputs!$F$130/100)^MAX(0,Time!R$4-Inputs!$F$131)</f>
        <v/>
      </c>
      <c r="S938" s="14">
        <f>(1-Inputs!$F$130/100)^MAX(0,Time!S$4-Inputs!$F$131)</f>
        <v/>
      </c>
      <c r="T938" s="14">
        <f>(1-Inputs!$F$130/100)^MAX(0,Time!T$4-Inputs!$F$131)</f>
        <v/>
      </c>
      <c r="U938" s="14">
        <f>(1-Inputs!$F$130/100)^MAX(0,Time!U$4-Inputs!$F$131)</f>
        <v/>
      </c>
      <c r="V938" s="14">
        <f>(1-Inputs!$F$130/100)^MAX(0,Time!V$4-Inputs!$F$131)</f>
        <v/>
      </c>
      <c r="W938" s="14">
        <f>(1-Inputs!$F$130/100)^MAX(0,Time!W$4-Inputs!$F$131)</f>
        <v/>
      </c>
      <c r="X938" s="14">
        <f>(1-Inputs!$F$130/100)^MAX(0,Time!X$4-Inputs!$F$131)</f>
        <v/>
      </c>
      <c r="Y938" s="14">
        <f>(1-Inputs!$F$130/100)^MAX(0,Time!Y$4-Inputs!$F$131)</f>
        <v/>
      </c>
      <c r="Z938" s="14">
        <f>(1-Inputs!$F$130/100)^MAX(0,Time!Z$4-Inputs!$F$131)</f>
        <v/>
      </c>
      <c r="AA938" s="14">
        <f>(1-Inputs!$F$130/100)^MAX(0,Time!AA$4-Inputs!$F$131)</f>
        <v/>
      </c>
      <c r="AB938" s="14">
        <f>(1-Inputs!$F$130/100)^MAX(0,Time!AB$4-Inputs!$F$131)</f>
        <v/>
      </c>
      <c r="AC938" s="14">
        <f>(1-Inputs!$F$130/100)^MAX(0,Time!AC$4-Inputs!$F$131)</f>
        <v/>
      </c>
      <c r="AD938" s="14">
        <f>(1-Inputs!$F$130/100)^MAX(0,Time!AD$4-Inputs!$F$131)</f>
        <v/>
      </c>
      <c r="AE938" s="14">
        <f>(1-Inputs!$F$130/100)^MAX(0,Time!AE$4-Inputs!$F$131)</f>
        <v/>
      </c>
      <c r="AF938" s="14">
        <f>(1-Inputs!$F$130/100)^MAX(0,Time!AF$4-Inputs!$F$131)</f>
        <v/>
      </c>
      <c r="AG938" s="14">
        <f>(1-Inputs!$F$130/100)^MAX(0,Time!AG$4-Inputs!$F$131)</f>
        <v/>
      </c>
      <c r="AH938" s="14">
        <f>(1-Inputs!$F$130/100)^MAX(0,Time!AH$4-Inputs!$F$131)</f>
        <v/>
      </c>
      <c r="AI938" s="14">
        <f>(1-Inputs!$F$130/100)^MAX(0,Time!AI$4-Inputs!$F$131)</f>
        <v/>
      </c>
      <c r="AJ938" s="14">
        <f>(1-Inputs!$F$130/100)^MAX(0,Time!AJ$4-Inputs!$F$131)</f>
        <v/>
      </c>
      <c r="AK938" s="14">
        <f>(1-Inputs!$F$130/100)^MAX(0,Time!AK$4-Inputs!$F$131)</f>
        <v/>
      </c>
      <c r="AL938" s="14">
        <f>(1-Inputs!$F$130/100)^MAX(0,Time!AL$4-Inputs!$F$131)</f>
        <v/>
      </c>
      <c r="AM938" s="14">
        <f>(1-Inputs!$F$130/100)^MAX(0,Time!AM$4-Inputs!$F$131)</f>
        <v/>
      </c>
      <c r="AN938" s="14">
        <f>(1-Inputs!$F$130/100)^MAX(0,Time!AN$4-Inputs!$F$131)</f>
        <v/>
      </c>
      <c r="AO938" s="14">
        <f>(1-Inputs!$F$130/100)^MAX(0,Time!AO$4-Inputs!$F$131)</f>
        <v/>
      </c>
      <c r="AP938" s="14">
        <f>(1-Inputs!$F$130/100)^MAX(0,Time!AP$4-Inputs!$F$131)</f>
        <v/>
      </c>
      <c r="AQ938" s="14">
        <f>(1-Inputs!$F$130/100)^MAX(0,Time!AQ$4-Inputs!$F$131)</f>
        <v/>
      </c>
      <c r="AR938" s="14">
        <f>(1-Inputs!$F$130/100)^MAX(0,Time!AR$4-Inputs!$F$131)</f>
        <v/>
      </c>
      <c r="AS938" s="14">
        <f>(1-Inputs!$F$130/100)^MAX(0,Time!AS$4-Inputs!$F$131)</f>
        <v/>
      </c>
      <c r="AT938" s="14">
        <f>(1-Inputs!$F$130/100)^MAX(0,Time!AT$4-Inputs!$F$131)</f>
        <v/>
      </c>
      <c r="AU938" s="14">
        <f>(1-Inputs!$F$130/100)^MAX(0,Time!AU$4-Inputs!$F$131)</f>
        <v/>
      </c>
    </row>
    <row r="939">
      <c r="D939" t="inlineStr">
        <is>
          <t>R4 curtailment</t>
        </is>
      </c>
      <c r="E939" t="inlineStr">
        <is>
          <t>fraction</t>
        </is>
      </c>
      <c r="J939" s="14">
        <f>(IF(Time!J$4&gt;=Inputs!$F$61,Inputs!$F$67,Inputs!$F$66+(Inputs!$F$67-Inputs!$F$66)*(Time!J$4-Inputs!$F$23)/(Inputs!$F$61-Inputs!$F$23))+Operations!$F$791)/100</f>
        <v/>
      </c>
      <c r="K939" s="14">
        <f>(IF(Time!K$4&gt;=Inputs!$F$61,Inputs!$F$67,Inputs!$F$66+(Inputs!$F$67-Inputs!$F$66)*(Time!K$4-Inputs!$F$23)/(Inputs!$F$61-Inputs!$F$23))+Operations!$F$791)/100</f>
        <v/>
      </c>
      <c r="L939" s="14">
        <f>(IF(Time!L$4&gt;=Inputs!$F$61,Inputs!$F$67,Inputs!$F$66+(Inputs!$F$67-Inputs!$F$66)*(Time!L$4-Inputs!$F$23)/(Inputs!$F$61-Inputs!$F$23))+Operations!$F$791)/100</f>
        <v/>
      </c>
      <c r="M939" s="14">
        <f>(IF(Time!M$4&gt;=Inputs!$F$61,Inputs!$F$67,Inputs!$F$66+(Inputs!$F$67-Inputs!$F$66)*(Time!M$4-Inputs!$F$23)/(Inputs!$F$61-Inputs!$F$23))+Operations!$F$791)/100</f>
        <v/>
      </c>
      <c r="N939" s="14">
        <f>(IF(Time!N$4&gt;=Inputs!$F$61,Inputs!$F$67,Inputs!$F$66+(Inputs!$F$67-Inputs!$F$66)*(Time!N$4-Inputs!$F$23)/(Inputs!$F$61-Inputs!$F$23))+Operations!$F$791)/100</f>
        <v/>
      </c>
      <c r="O939" s="14">
        <f>(IF(Time!O$4&gt;=Inputs!$F$61,Inputs!$F$67,Inputs!$F$66+(Inputs!$F$67-Inputs!$F$66)*(Time!O$4-Inputs!$F$23)/(Inputs!$F$61-Inputs!$F$23))+Operations!$F$791)/100</f>
        <v/>
      </c>
      <c r="P939" s="14">
        <f>(IF(Time!P$4&gt;=Inputs!$F$61,Inputs!$F$67,Inputs!$F$66+(Inputs!$F$67-Inputs!$F$66)*(Time!P$4-Inputs!$F$23)/(Inputs!$F$61-Inputs!$F$23))+Operations!$F$791)/100</f>
        <v/>
      </c>
      <c r="Q939" s="14">
        <f>(IF(Time!Q$4&gt;=Inputs!$F$61,Inputs!$F$67,Inputs!$F$66+(Inputs!$F$67-Inputs!$F$66)*(Time!Q$4-Inputs!$F$23)/(Inputs!$F$61-Inputs!$F$23))+Operations!$F$791)/100</f>
        <v/>
      </c>
      <c r="R939" s="14">
        <f>(IF(Time!R$4&gt;=Inputs!$F$61,Inputs!$F$67,Inputs!$F$66+(Inputs!$F$67-Inputs!$F$66)*(Time!R$4-Inputs!$F$23)/(Inputs!$F$61-Inputs!$F$23))+Operations!$F$791)/100</f>
        <v/>
      </c>
      <c r="S939" s="14">
        <f>(IF(Time!S$4&gt;=Inputs!$F$61,Inputs!$F$67,Inputs!$F$66+(Inputs!$F$67-Inputs!$F$66)*(Time!S$4-Inputs!$F$23)/(Inputs!$F$61-Inputs!$F$23))+Operations!$F$791)/100</f>
        <v/>
      </c>
      <c r="T939" s="14">
        <f>(IF(Time!T$4&gt;=Inputs!$F$61,Inputs!$F$67,Inputs!$F$66+(Inputs!$F$67-Inputs!$F$66)*(Time!T$4-Inputs!$F$23)/(Inputs!$F$61-Inputs!$F$23))+Operations!$F$791)/100</f>
        <v/>
      </c>
      <c r="U939" s="14">
        <f>(IF(Time!U$4&gt;=Inputs!$F$61,Inputs!$F$67,Inputs!$F$66+(Inputs!$F$67-Inputs!$F$66)*(Time!U$4-Inputs!$F$23)/(Inputs!$F$61-Inputs!$F$23))+Operations!$F$791)/100</f>
        <v/>
      </c>
      <c r="V939" s="14">
        <f>(IF(Time!V$4&gt;=Inputs!$F$61,Inputs!$F$67,Inputs!$F$66+(Inputs!$F$67-Inputs!$F$66)*(Time!V$4-Inputs!$F$23)/(Inputs!$F$61-Inputs!$F$23))+Operations!$F$791)/100</f>
        <v/>
      </c>
      <c r="W939" s="14">
        <f>(IF(Time!W$4&gt;=Inputs!$F$61,Inputs!$F$67,Inputs!$F$66+(Inputs!$F$67-Inputs!$F$66)*(Time!W$4-Inputs!$F$23)/(Inputs!$F$61-Inputs!$F$23))+Operations!$F$791)/100</f>
        <v/>
      </c>
      <c r="X939" s="14">
        <f>(IF(Time!X$4&gt;=Inputs!$F$61,Inputs!$F$67,Inputs!$F$66+(Inputs!$F$67-Inputs!$F$66)*(Time!X$4-Inputs!$F$23)/(Inputs!$F$61-Inputs!$F$23))+Operations!$F$791)/100</f>
        <v/>
      </c>
      <c r="Y939" s="14">
        <f>(IF(Time!Y$4&gt;=Inputs!$F$61,Inputs!$F$67,Inputs!$F$66+(Inputs!$F$67-Inputs!$F$66)*(Time!Y$4-Inputs!$F$23)/(Inputs!$F$61-Inputs!$F$23))+Operations!$F$791)/100</f>
        <v/>
      </c>
      <c r="Z939" s="14">
        <f>(IF(Time!Z$4&gt;=Inputs!$F$61,Inputs!$F$67,Inputs!$F$66+(Inputs!$F$67-Inputs!$F$66)*(Time!Z$4-Inputs!$F$23)/(Inputs!$F$61-Inputs!$F$23))+Operations!$F$791)/100</f>
        <v/>
      </c>
      <c r="AA939" s="14">
        <f>(IF(Time!AA$4&gt;=Inputs!$F$61,Inputs!$F$67,Inputs!$F$66+(Inputs!$F$67-Inputs!$F$66)*(Time!AA$4-Inputs!$F$23)/(Inputs!$F$61-Inputs!$F$23))+Operations!$F$791)/100</f>
        <v/>
      </c>
      <c r="AB939" s="14">
        <f>(IF(Time!AB$4&gt;=Inputs!$F$61,Inputs!$F$67,Inputs!$F$66+(Inputs!$F$67-Inputs!$F$66)*(Time!AB$4-Inputs!$F$23)/(Inputs!$F$61-Inputs!$F$23))+Operations!$F$791)/100</f>
        <v/>
      </c>
      <c r="AC939" s="14">
        <f>(IF(Time!AC$4&gt;=Inputs!$F$61,Inputs!$F$67,Inputs!$F$66+(Inputs!$F$67-Inputs!$F$66)*(Time!AC$4-Inputs!$F$23)/(Inputs!$F$61-Inputs!$F$23))+Operations!$F$791)/100</f>
        <v/>
      </c>
      <c r="AD939" s="14">
        <f>(IF(Time!AD$4&gt;=Inputs!$F$61,Inputs!$F$67,Inputs!$F$66+(Inputs!$F$67-Inputs!$F$66)*(Time!AD$4-Inputs!$F$23)/(Inputs!$F$61-Inputs!$F$23))+Operations!$F$791)/100</f>
        <v/>
      </c>
      <c r="AE939" s="14">
        <f>(IF(Time!AE$4&gt;=Inputs!$F$61,Inputs!$F$67,Inputs!$F$66+(Inputs!$F$67-Inputs!$F$66)*(Time!AE$4-Inputs!$F$23)/(Inputs!$F$61-Inputs!$F$23))+Operations!$F$791)/100</f>
        <v/>
      </c>
      <c r="AF939" s="14">
        <f>(IF(Time!AF$4&gt;=Inputs!$F$61,Inputs!$F$67,Inputs!$F$66+(Inputs!$F$67-Inputs!$F$66)*(Time!AF$4-Inputs!$F$23)/(Inputs!$F$61-Inputs!$F$23))+Operations!$F$791)/100</f>
        <v/>
      </c>
      <c r="AG939" s="14">
        <f>(IF(Time!AG$4&gt;=Inputs!$F$61,Inputs!$F$67,Inputs!$F$66+(Inputs!$F$67-Inputs!$F$66)*(Time!AG$4-Inputs!$F$23)/(Inputs!$F$61-Inputs!$F$23))+Operations!$F$791)/100</f>
        <v/>
      </c>
      <c r="AH939" s="14">
        <f>(IF(Time!AH$4&gt;=Inputs!$F$61,Inputs!$F$67,Inputs!$F$66+(Inputs!$F$67-Inputs!$F$66)*(Time!AH$4-Inputs!$F$23)/(Inputs!$F$61-Inputs!$F$23))+Operations!$F$791)/100</f>
        <v/>
      </c>
      <c r="AI939" s="14">
        <f>(IF(Time!AI$4&gt;=Inputs!$F$61,Inputs!$F$67,Inputs!$F$66+(Inputs!$F$67-Inputs!$F$66)*(Time!AI$4-Inputs!$F$23)/(Inputs!$F$61-Inputs!$F$23))+Operations!$F$791)/100</f>
        <v/>
      </c>
      <c r="AJ939" s="14">
        <f>(IF(Time!AJ$4&gt;=Inputs!$F$61,Inputs!$F$67,Inputs!$F$66+(Inputs!$F$67-Inputs!$F$66)*(Time!AJ$4-Inputs!$F$23)/(Inputs!$F$61-Inputs!$F$23))+Operations!$F$791)/100</f>
        <v/>
      </c>
      <c r="AK939" s="14">
        <f>(IF(Time!AK$4&gt;=Inputs!$F$61,Inputs!$F$67,Inputs!$F$66+(Inputs!$F$67-Inputs!$F$66)*(Time!AK$4-Inputs!$F$23)/(Inputs!$F$61-Inputs!$F$23))+Operations!$F$791)/100</f>
        <v/>
      </c>
      <c r="AL939" s="14">
        <f>(IF(Time!AL$4&gt;=Inputs!$F$61,Inputs!$F$67,Inputs!$F$66+(Inputs!$F$67-Inputs!$F$66)*(Time!AL$4-Inputs!$F$23)/(Inputs!$F$61-Inputs!$F$23))+Operations!$F$791)/100</f>
        <v/>
      </c>
      <c r="AM939" s="14">
        <f>(IF(Time!AM$4&gt;=Inputs!$F$61,Inputs!$F$67,Inputs!$F$66+(Inputs!$F$67-Inputs!$F$66)*(Time!AM$4-Inputs!$F$23)/(Inputs!$F$61-Inputs!$F$23))+Operations!$F$791)/100</f>
        <v/>
      </c>
      <c r="AN939" s="14">
        <f>(IF(Time!AN$4&gt;=Inputs!$F$61,Inputs!$F$67,Inputs!$F$66+(Inputs!$F$67-Inputs!$F$66)*(Time!AN$4-Inputs!$F$23)/(Inputs!$F$61-Inputs!$F$23))+Operations!$F$791)/100</f>
        <v/>
      </c>
      <c r="AO939" s="14">
        <f>(IF(Time!AO$4&gt;=Inputs!$F$61,Inputs!$F$67,Inputs!$F$66+(Inputs!$F$67-Inputs!$F$66)*(Time!AO$4-Inputs!$F$23)/(Inputs!$F$61-Inputs!$F$23))+Operations!$F$791)/100</f>
        <v/>
      </c>
      <c r="AP939" s="14">
        <f>(IF(Time!AP$4&gt;=Inputs!$F$61,Inputs!$F$67,Inputs!$F$66+(Inputs!$F$67-Inputs!$F$66)*(Time!AP$4-Inputs!$F$23)/(Inputs!$F$61-Inputs!$F$23))+Operations!$F$791)/100</f>
        <v/>
      </c>
      <c r="AQ939" s="14">
        <f>(IF(Time!AQ$4&gt;=Inputs!$F$61,Inputs!$F$67,Inputs!$F$66+(Inputs!$F$67-Inputs!$F$66)*(Time!AQ$4-Inputs!$F$23)/(Inputs!$F$61-Inputs!$F$23))+Operations!$F$791)/100</f>
        <v/>
      </c>
      <c r="AR939" s="14">
        <f>(IF(Time!AR$4&gt;=Inputs!$F$61,Inputs!$F$67,Inputs!$F$66+(Inputs!$F$67-Inputs!$F$66)*(Time!AR$4-Inputs!$F$23)/(Inputs!$F$61-Inputs!$F$23))+Operations!$F$791)/100</f>
        <v/>
      </c>
      <c r="AS939" s="14">
        <f>(IF(Time!AS$4&gt;=Inputs!$F$61,Inputs!$F$67,Inputs!$F$66+(Inputs!$F$67-Inputs!$F$66)*(Time!AS$4-Inputs!$F$23)/(Inputs!$F$61-Inputs!$F$23))+Operations!$F$791)/100</f>
        <v/>
      </c>
      <c r="AT939" s="14">
        <f>(IF(Time!AT$4&gt;=Inputs!$F$61,Inputs!$F$67,Inputs!$F$66+(Inputs!$F$67-Inputs!$F$66)*(Time!AT$4-Inputs!$F$23)/(Inputs!$F$61-Inputs!$F$23))+Operations!$F$791)/100</f>
        <v/>
      </c>
      <c r="AU939" s="14">
        <f>(IF(Time!AU$4&gt;=Inputs!$F$61,Inputs!$F$67,Inputs!$F$66+(Inputs!$F$67-Inputs!$F$66)*(Time!AU$4-Inputs!$F$23)/(Inputs!$F$61-Inputs!$F$23))+Operations!$F$791)/100</f>
        <v/>
      </c>
    </row>
    <row r="940">
      <c r="D940" t="inlineStr">
        <is>
          <t>R4 net generation, full year</t>
        </is>
      </c>
      <c r="E940" t="inlineStr">
        <is>
          <t>GWh</t>
        </is>
      </c>
      <c r="J940" s="20">
        <f>Inputs!$F$127*Operations!J937*Inputs!$F$185/100*Operations!J938*(1-Operations!J939)</f>
        <v/>
      </c>
      <c r="K940" s="20">
        <f>Inputs!$F$127*Operations!K937*Inputs!$F$185/100*Operations!K938*(1-Operations!K939)</f>
        <v/>
      </c>
      <c r="L940" s="20">
        <f>Inputs!$F$127*Operations!L937*Inputs!$F$185/100*Operations!L938*(1-Operations!L939)</f>
        <v/>
      </c>
      <c r="M940" s="20">
        <f>Inputs!$F$127*Operations!M937*Inputs!$F$185/100*Operations!M938*(1-Operations!M939)</f>
        <v/>
      </c>
      <c r="N940" s="20">
        <f>Inputs!$F$127*Operations!N937*Inputs!$F$185/100*Operations!N938*(1-Operations!N939)</f>
        <v/>
      </c>
      <c r="O940" s="20">
        <f>Inputs!$F$127*Operations!O937*Inputs!$F$185/100*Operations!O938*(1-Operations!O939)</f>
        <v/>
      </c>
      <c r="P940" s="20">
        <f>Inputs!$F$127*Operations!P937*Inputs!$F$185/100*Operations!P938*(1-Operations!P939)</f>
        <v/>
      </c>
      <c r="Q940" s="20">
        <f>Inputs!$F$127*Operations!Q937*Inputs!$F$185/100*Operations!Q938*(1-Operations!Q939)</f>
        <v/>
      </c>
      <c r="R940" s="20">
        <f>Inputs!$F$127*Operations!R937*Inputs!$F$185/100*Operations!R938*(1-Operations!R939)</f>
        <v/>
      </c>
      <c r="S940" s="20">
        <f>Inputs!$F$127*Operations!S937*Inputs!$F$185/100*Operations!S938*(1-Operations!S939)</f>
        <v/>
      </c>
      <c r="T940" s="20">
        <f>Inputs!$F$127*Operations!T937*Inputs!$F$185/100*Operations!T938*(1-Operations!T939)</f>
        <v/>
      </c>
      <c r="U940" s="20">
        <f>Inputs!$F$127*Operations!U937*Inputs!$F$185/100*Operations!U938*(1-Operations!U939)</f>
        <v/>
      </c>
      <c r="V940" s="20">
        <f>Inputs!$F$127*Operations!V937*Inputs!$F$185/100*Operations!V938*(1-Operations!V939)</f>
        <v/>
      </c>
      <c r="W940" s="20">
        <f>Inputs!$F$127*Operations!W937*Inputs!$F$185/100*Operations!W938*(1-Operations!W939)</f>
        <v/>
      </c>
      <c r="X940" s="20">
        <f>Inputs!$F$127*Operations!X937*Inputs!$F$185/100*Operations!X938*(1-Operations!X939)</f>
        <v/>
      </c>
      <c r="Y940" s="20">
        <f>Inputs!$F$127*Operations!Y937*Inputs!$F$185/100*Operations!Y938*(1-Operations!Y939)</f>
        <v/>
      </c>
      <c r="Z940" s="20">
        <f>Inputs!$F$127*Operations!Z937*Inputs!$F$185/100*Operations!Z938*(1-Operations!Z939)</f>
        <v/>
      </c>
      <c r="AA940" s="20">
        <f>Inputs!$F$127*Operations!AA937*Inputs!$F$185/100*Operations!AA938*(1-Operations!AA939)</f>
        <v/>
      </c>
      <c r="AB940" s="20">
        <f>Inputs!$F$127*Operations!AB937*Inputs!$F$185/100*Operations!AB938*(1-Operations!AB939)</f>
        <v/>
      </c>
      <c r="AC940" s="20">
        <f>Inputs!$F$127*Operations!AC937*Inputs!$F$185/100*Operations!AC938*(1-Operations!AC939)</f>
        <v/>
      </c>
      <c r="AD940" s="20">
        <f>Inputs!$F$127*Operations!AD937*Inputs!$F$185/100*Operations!AD938*(1-Operations!AD939)</f>
        <v/>
      </c>
      <c r="AE940" s="20">
        <f>Inputs!$F$127*Operations!AE937*Inputs!$F$185/100*Operations!AE938*(1-Operations!AE939)</f>
        <v/>
      </c>
      <c r="AF940" s="20">
        <f>Inputs!$F$127*Operations!AF937*Inputs!$F$185/100*Operations!AF938*(1-Operations!AF939)</f>
        <v/>
      </c>
      <c r="AG940" s="20">
        <f>Inputs!$F$127*Operations!AG937*Inputs!$F$185/100*Operations!AG938*(1-Operations!AG939)</f>
        <v/>
      </c>
      <c r="AH940" s="20">
        <f>Inputs!$F$127*Operations!AH937*Inputs!$F$185/100*Operations!AH938*(1-Operations!AH939)</f>
        <v/>
      </c>
      <c r="AI940" s="20">
        <f>Inputs!$F$127*Operations!AI937*Inputs!$F$185/100*Operations!AI938*(1-Operations!AI939)</f>
        <v/>
      </c>
      <c r="AJ940" s="20">
        <f>Inputs!$F$127*Operations!AJ937*Inputs!$F$185/100*Operations!AJ938*(1-Operations!AJ939)</f>
        <v/>
      </c>
      <c r="AK940" s="20">
        <f>Inputs!$F$127*Operations!AK937*Inputs!$F$185/100*Operations!AK938*(1-Operations!AK939)</f>
        <v/>
      </c>
      <c r="AL940" s="20">
        <f>Inputs!$F$127*Operations!AL937*Inputs!$F$185/100*Operations!AL938*(1-Operations!AL939)</f>
        <v/>
      </c>
      <c r="AM940" s="20">
        <f>Inputs!$F$127*Operations!AM937*Inputs!$F$185/100*Operations!AM938*(1-Operations!AM939)</f>
        <v/>
      </c>
      <c r="AN940" s="20">
        <f>Inputs!$F$127*Operations!AN937*Inputs!$F$185/100*Operations!AN938*(1-Operations!AN939)</f>
        <v/>
      </c>
      <c r="AO940" s="20">
        <f>Inputs!$F$127*Operations!AO937*Inputs!$F$185/100*Operations!AO938*(1-Operations!AO939)</f>
        <v/>
      </c>
      <c r="AP940" s="20">
        <f>Inputs!$F$127*Operations!AP937*Inputs!$F$185/100*Operations!AP938*(1-Operations!AP939)</f>
        <v/>
      </c>
      <c r="AQ940" s="20">
        <f>Inputs!$F$127*Operations!AQ937*Inputs!$F$185/100*Operations!AQ938*(1-Operations!AQ939)</f>
        <v/>
      </c>
      <c r="AR940" s="20">
        <f>Inputs!$F$127*Operations!AR937*Inputs!$F$185/100*Operations!AR938*(1-Operations!AR939)</f>
        <v/>
      </c>
      <c r="AS940" s="20">
        <f>Inputs!$F$127*Operations!AS937*Inputs!$F$185/100*Operations!AS938*(1-Operations!AS939)</f>
        <v/>
      </c>
      <c r="AT940" s="20">
        <f>Inputs!$F$127*Operations!AT937*Inputs!$F$185/100*Operations!AT938*(1-Operations!AT939)</f>
        <v/>
      </c>
      <c r="AU940" s="20">
        <f>Inputs!$F$127*Operations!AU937*Inputs!$F$185/100*Operations!AU938*(1-Operations!AU939)</f>
        <v/>
      </c>
    </row>
    <row r="941">
      <c r="D941" t="inlineStr">
        <is>
          <t>R4 net generation</t>
        </is>
      </c>
      <c r="E941" t="inlineStr">
        <is>
          <t>GWh</t>
        </is>
      </c>
      <c r="G941" s="20">
        <f>SUM(J941:AU941)</f>
        <v/>
      </c>
      <c r="J941" s="20">
        <f>Operations!J940*Operations!J933</f>
        <v/>
      </c>
      <c r="K941" s="20">
        <f>Operations!K940*Operations!K933</f>
        <v/>
      </c>
      <c r="L941" s="20">
        <f>Operations!L940*Operations!L933</f>
        <v/>
      </c>
      <c r="M941" s="20">
        <f>Operations!M940*Operations!M933</f>
        <v/>
      </c>
      <c r="N941" s="20">
        <f>Operations!N940*Operations!N933</f>
        <v/>
      </c>
      <c r="O941" s="20">
        <f>Operations!O940*Operations!O933</f>
        <v/>
      </c>
      <c r="P941" s="20">
        <f>Operations!P940*Operations!P933</f>
        <v/>
      </c>
      <c r="Q941" s="20">
        <f>Operations!Q940*Operations!Q933</f>
        <v/>
      </c>
      <c r="R941" s="20">
        <f>Operations!R940*Operations!R933</f>
        <v/>
      </c>
      <c r="S941" s="20">
        <f>Operations!S940*Operations!S933</f>
        <v/>
      </c>
      <c r="T941" s="20">
        <f>Operations!T940*Operations!T933</f>
        <v/>
      </c>
      <c r="U941" s="20">
        <f>Operations!U940*Operations!U933</f>
        <v/>
      </c>
      <c r="V941" s="20">
        <f>Operations!V940*Operations!V933</f>
        <v/>
      </c>
      <c r="W941" s="20">
        <f>Operations!W940*Operations!W933</f>
        <v/>
      </c>
      <c r="X941" s="20">
        <f>Operations!X940*Operations!X933</f>
        <v/>
      </c>
      <c r="Y941" s="20">
        <f>Operations!Y940*Operations!Y933</f>
        <v/>
      </c>
      <c r="Z941" s="20">
        <f>Operations!Z940*Operations!Z933</f>
        <v/>
      </c>
      <c r="AA941" s="20">
        <f>Operations!AA940*Operations!AA933</f>
        <v/>
      </c>
      <c r="AB941" s="20">
        <f>Operations!AB940*Operations!AB933</f>
        <v/>
      </c>
      <c r="AC941" s="20">
        <f>Operations!AC940*Operations!AC933</f>
        <v/>
      </c>
      <c r="AD941" s="20">
        <f>Operations!AD940*Operations!AD933</f>
        <v/>
      </c>
      <c r="AE941" s="20">
        <f>Operations!AE940*Operations!AE933</f>
        <v/>
      </c>
      <c r="AF941" s="20">
        <f>Operations!AF940*Operations!AF933</f>
        <v/>
      </c>
      <c r="AG941" s="20">
        <f>Operations!AG940*Operations!AG933</f>
        <v/>
      </c>
      <c r="AH941" s="20">
        <f>Operations!AH940*Operations!AH933</f>
        <v/>
      </c>
      <c r="AI941" s="20">
        <f>Operations!AI940*Operations!AI933</f>
        <v/>
      </c>
      <c r="AJ941" s="20">
        <f>Operations!AJ940*Operations!AJ933</f>
        <v/>
      </c>
      <c r="AK941" s="20">
        <f>Operations!AK940*Operations!AK933</f>
        <v/>
      </c>
      <c r="AL941" s="20">
        <f>Operations!AL940*Operations!AL933</f>
        <v/>
      </c>
      <c r="AM941" s="20">
        <f>Operations!AM940*Operations!AM933</f>
        <v/>
      </c>
      <c r="AN941" s="20">
        <f>Operations!AN940*Operations!AN933</f>
        <v/>
      </c>
      <c r="AO941" s="20">
        <f>Operations!AO940*Operations!AO933</f>
        <v/>
      </c>
      <c r="AP941" s="20">
        <f>Operations!AP940*Operations!AP933</f>
        <v/>
      </c>
      <c r="AQ941" s="20">
        <f>Operations!AQ940*Operations!AQ933</f>
        <v/>
      </c>
      <c r="AR941" s="20">
        <f>Operations!AR940*Operations!AR933</f>
        <v/>
      </c>
      <c r="AS941" s="20">
        <f>Operations!AS940*Operations!AS933</f>
        <v/>
      </c>
      <c r="AT941" s="20">
        <f>Operations!AT940*Operations!AT933</f>
        <v/>
      </c>
      <c r="AU941" s="20">
        <f>Operations!AU940*Operations!AU933</f>
        <v/>
      </c>
    </row>
    <row r="942">
      <c r="D942" t="inlineStr">
        <is>
          <t>R4 hub capture ratio</t>
        </is>
      </c>
      <c r="E942" t="inlineStr">
        <is>
          <t>ratio</t>
        </is>
      </c>
      <c r="J942" s="14">
        <f>Operations!J801</f>
        <v/>
      </c>
      <c r="K942" s="14">
        <f>Operations!K801</f>
        <v/>
      </c>
      <c r="L942" s="14">
        <f>Operations!L801</f>
        <v/>
      </c>
      <c r="M942" s="14">
        <f>Operations!M801</f>
        <v/>
      </c>
      <c r="N942" s="14">
        <f>Operations!N801</f>
        <v/>
      </c>
      <c r="O942" s="14">
        <f>Operations!O801</f>
        <v/>
      </c>
      <c r="P942" s="14">
        <f>Operations!P801</f>
        <v/>
      </c>
      <c r="Q942" s="14">
        <f>Operations!Q801</f>
        <v/>
      </c>
      <c r="R942" s="14">
        <f>Operations!R801</f>
        <v/>
      </c>
      <c r="S942" s="14">
        <f>Operations!S801</f>
        <v/>
      </c>
      <c r="T942" s="14">
        <f>Operations!T801</f>
        <v/>
      </c>
      <c r="U942" s="14">
        <f>Operations!U801</f>
        <v/>
      </c>
      <c r="V942" s="14">
        <f>Operations!V801</f>
        <v/>
      </c>
      <c r="W942" s="14">
        <f>Operations!W801</f>
        <v/>
      </c>
      <c r="X942" s="14">
        <f>Operations!X801</f>
        <v/>
      </c>
      <c r="Y942" s="14">
        <f>Operations!Y801</f>
        <v/>
      </c>
      <c r="Z942" s="14">
        <f>Operations!Z801</f>
        <v/>
      </c>
      <c r="AA942" s="14">
        <f>Operations!AA801</f>
        <v/>
      </c>
      <c r="AB942" s="14">
        <f>Operations!AB801</f>
        <v/>
      </c>
      <c r="AC942" s="14">
        <f>Operations!AC801</f>
        <v/>
      </c>
      <c r="AD942" s="14">
        <f>Operations!AD801</f>
        <v/>
      </c>
      <c r="AE942" s="14">
        <f>Operations!AE801</f>
        <v/>
      </c>
      <c r="AF942" s="14">
        <f>Operations!AF801</f>
        <v/>
      </c>
      <c r="AG942" s="14">
        <f>Operations!AG801</f>
        <v/>
      </c>
      <c r="AH942" s="14">
        <f>Operations!AH801</f>
        <v/>
      </c>
      <c r="AI942" s="14">
        <f>Operations!AI801</f>
        <v/>
      </c>
      <c r="AJ942" s="14">
        <f>Operations!AJ801</f>
        <v/>
      </c>
      <c r="AK942" s="14">
        <f>Operations!AK801</f>
        <v/>
      </c>
      <c r="AL942" s="14">
        <f>Operations!AL801</f>
        <v/>
      </c>
      <c r="AM942" s="14">
        <f>Operations!AM801</f>
        <v/>
      </c>
      <c r="AN942" s="14">
        <f>Operations!AN801</f>
        <v/>
      </c>
      <c r="AO942" s="14">
        <f>Operations!AO801</f>
        <v/>
      </c>
      <c r="AP942" s="14">
        <f>Operations!AP801</f>
        <v/>
      </c>
      <c r="AQ942" s="14">
        <f>Operations!AQ801</f>
        <v/>
      </c>
      <c r="AR942" s="14">
        <f>Operations!AR801</f>
        <v/>
      </c>
      <c r="AS942" s="14">
        <f>Operations!AS801</f>
        <v/>
      </c>
      <c r="AT942" s="14">
        <f>Operations!AT801</f>
        <v/>
      </c>
      <c r="AU942" s="14">
        <f>Operations!AU801</f>
        <v/>
      </c>
    </row>
    <row r="943">
      <c r="D943" t="inlineStr">
        <is>
          <t>R4 node capture ratio</t>
        </is>
      </c>
      <c r="E943" t="inlineStr">
        <is>
          <t>ratio</t>
        </is>
      </c>
      <c r="J943" s="14">
        <f>Operations!J942-Inputs!$F$52</f>
        <v/>
      </c>
      <c r="K943" s="14">
        <f>Operations!K942-Inputs!$F$52</f>
        <v/>
      </c>
      <c r="L943" s="14">
        <f>Operations!L942-Inputs!$F$52</f>
        <v/>
      </c>
      <c r="M943" s="14">
        <f>Operations!M942-Inputs!$F$52</f>
        <v/>
      </c>
      <c r="N943" s="14">
        <f>Operations!N942-Inputs!$F$52</f>
        <v/>
      </c>
      <c r="O943" s="14">
        <f>Operations!O942-Inputs!$F$52</f>
        <v/>
      </c>
      <c r="P943" s="14">
        <f>Operations!P942-Inputs!$F$52</f>
        <v/>
      </c>
      <c r="Q943" s="14">
        <f>Operations!Q942-Inputs!$F$52</f>
        <v/>
      </c>
      <c r="R943" s="14">
        <f>Operations!R942-Inputs!$F$52</f>
        <v/>
      </c>
      <c r="S943" s="14">
        <f>Operations!S942-Inputs!$F$52</f>
        <v/>
      </c>
      <c r="T943" s="14">
        <f>Operations!T942-Inputs!$F$52</f>
        <v/>
      </c>
      <c r="U943" s="14">
        <f>Operations!U942-Inputs!$F$52</f>
        <v/>
      </c>
      <c r="V943" s="14">
        <f>Operations!V942-Inputs!$F$52</f>
        <v/>
      </c>
      <c r="W943" s="14">
        <f>Operations!W942-Inputs!$F$52</f>
        <v/>
      </c>
      <c r="X943" s="14">
        <f>Operations!X942-Inputs!$F$52</f>
        <v/>
      </c>
      <c r="Y943" s="14">
        <f>Operations!Y942-Inputs!$F$52</f>
        <v/>
      </c>
      <c r="Z943" s="14">
        <f>Operations!Z942-Inputs!$F$52</f>
        <v/>
      </c>
      <c r="AA943" s="14">
        <f>Operations!AA942-Inputs!$F$52</f>
        <v/>
      </c>
      <c r="AB943" s="14">
        <f>Operations!AB942-Inputs!$F$52</f>
        <v/>
      </c>
      <c r="AC943" s="14">
        <f>Operations!AC942-Inputs!$F$52</f>
        <v/>
      </c>
      <c r="AD943" s="14">
        <f>Operations!AD942-Inputs!$F$52</f>
        <v/>
      </c>
      <c r="AE943" s="14">
        <f>Operations!AE942-Inputs!$F$52</f>
        <v/>
      </c>
      <c r="AF943" s="14">
        <f>Operations!AF942-Inputs!$F$52</f>
        <v/>
      </c>
      <c r="AG943" s="14">
        <f>Operations!AG942-Inputs!$F$52</f>
        <v/>
      </c>
      <c r="AH943" s="14">
        <f>Operations!AH942-Inputs!$F$52</f>
        <v/>
      </c>
      <c r="AI943" s="14">
        <f>Operations!AI942-Inputs!$F$52</f>
        <v/>
      </c>
      <c r="AJ943" s="14">
        <f>Operations!AJ942-Inputs!$F$52</f>
        <v/>
      </c>
      <c r="AK943" s="14">
        <f>Operations!AK942-Inputs!$F$52</f>
        <v/>
      </c>
      <c r="AL943" s="14">
        <f>Operations!AL942-Inputs!$F$52</f>
        <v/>
      </c>
      <c r="AM943" s="14">
        <f>Operations!AM942-Inputs!$F$52</f>
        <v/>
      </c>
      <c r="AN943" s="14">
        <f>Operations!AN942-Inputs!$F$52</f>
        <v/>
      </c>
      <c r="AO943" s="14">
        <f>Operations!AO942-Inputs!$F$52</f>
        <v/>
      </c>
      <c r="AP943" s="14">
        <f>Operations!AP942-Inputs!$F$52</f>
        <v/>
      </c>
      <c r="AQ943" s="14">
        <f>Operations!AQ942-Inputs!$F$52</f>
        <v/>
      </c>
      <c r="AR943" s="14">
        <f>Operations!AR942-Inputs!$F$52</f>
        <v/>
      </c>
      <c r="AS943" s="14">
        <f>Operations!AS942-Inputs!$F$52</f>
        <v/>
      </c>
      <c r="AT943" s="14">
        <f>Operations!AT942-Inputs!$F$52</f>
        <v/>
      </c>
      <c r="AU943" s="14">
        <f>Operations!AU942-Inputs!$F$52</f>
        <v/>
      </c>
    </row>
    <row r="944">
      <c r="D944" t="inlineStr">
        <is>
          <t>R4 realized node price</t>
        </is>
      </c>
      <c r="E944" t="inlineStr">
        <is>
          <t>USD/MWh</t>
        </is>
      </c>
      <c r="J944" s="18">
        <f>Operations!J936*Operations!J943</f>
        <v/>
      </c>
      <c r="K944" s="18">
        <f>Operations!K936*Operations!K943</f>
        <v/>
      </c>
      <c r="L944" s="18">
        <f>Operations!L936*Operations!L943</f>
        <v/>
      </c>
      <c r="M944" s="18">
        <f>Operations!M936*Operations!M943</f>
        <v/>
      </c>
      <c r="N944" s="18">
        <f>Operations!N936*Operations!N943</f>
        <v/>
      </c>
      <c r="O944" s="18">
        <f>Operations!O936*Operations!O943</f>
        <v/>
      </c>
      <c r="P944" s="18">
        <f>Operations!P936*Operations!P943</f>
        <v/>
      </c>
      <c r="Q944" s="18">
        <f>Operations!Q936*Operations!Q943</f>
        <v/>
      </c>
      <c r="R944" s="18">
        <f>Operations!R936*Operations!R943</f>
        <v/>
      </c>
      <c r="S944" s="18">
        <f>Operations!S936*Operations!S943</f>
        <v/>
      </c>
      <c r="T944" s="18">
        <f>Operations!T936*Operations!T943</f>
        <v/>
      </c>
      <c r="U944" s="18">
        <f>Operations!U936*Operations!U943</f>
        <v/>
      </c>
      <c r="V944" s="18">
        <f>Operations!V936*Operations!V943</f>
        <v/>
      </c>
      <c r="W944" s="18">
        <f>Operations!W936*Operations!W943</f>
        <v/>
      </c>
      <c r="X944" s="18">
        <f>Operations!X936*Operations!X943</f>
        <v/>
      </c>
      <c r="Y944" s="18">
        <f>Operations!Y936*Operations!Y943</f>
        <v/>
      </c>
      <c r="Z944" s="18">
        <f>Operations!Z936*Operations!Z943</f>
        <v/>
      </c>
      <c r="AA944" s="18">
        <f>Operations!AA936*Operations!AA943</f>
        <v/>
      </c>
      <c r="AB944" s="18">
        <f>Operations!AB936*Operations!AB943</f>
        <v/>
      </c>
      <c r="AC944" s="18">
        <f>Operations!AC936*Operations!AC943</f>
        <v/>
      </c>
      <c r="AD944" s="18">
        <f>Operations!AD936*Operations!AD943</f>
        <v/>
      </c>
      <c r="AE944" s="18">
        <f>Operations!AE936*Operations!AE943</f>
        <v/>
      </c>
      <c r="AF944" s="18">
        <f>Operations!AF936*Operations!AF943</f>
        <v/>
      </c>
      <c r="AG944" s="18">
        <f>Operations!AG936*Operations!AG943</f>
        <v/>
      </c>
      <c r="AH944" s="18">
        <f>Operations!AH936*Operations!AH943</f>
        <v/>
      </c>
      <c r="AI944" s="18">
        <f>Operations!AI936*Operations!AI943</f>
        <v/>
      </c>
      <c r="AJ944" s="18">
        <f>Operations!AJ936*Operations!AJ943</f>
        <v/>
      </c>
      <c r="AK944" s="18">
        <f>Operations!AK936*Operations!AK943</f>
        <v/>
      </c>
      <c r="AL944" s="18">
        <f>Operations!AL936*Operations!AL943</f>
        <v/>
      </c>
      <c r="AM944" s="18">
        <f>Operations!AM936*Operations!AM943</f>
        <v/>
      </c>
      <c r="AN944" s="18">
        <f>Operations!AN936*Operations!AN943</f>
        <v/>
      </c>
      <c r="AO944" s="18">
        <f>Operations!AO936*Operations!AO943</f>
        <v/>
      </c>
      <c r="AP944" s="18">
        <f>Operations!AP936*Operations!AP943</f>
        <v/>
      </c>
      <c r="AQ944" s="18">
        <f>Operations!AQ936*Operations!AQ943</f>
        <v/>
      </c>
      <c r="AR944" s="18">
        <f>Operations!AR936*Operations!AR943</f>
        <v/>
      </c>
      <c r="AS944" s="18">
        <f>Operations!AS936*Operations!AS943</f>
        <v/>
      </c>
      <c r="AT944" s="18">
        <f>Operations!AT936*Operations!AT943</f>
        <v/>
      </c>
      <c r="AU944" s="18">
        <f>Operations!AU936*Operations!AU943</f>
        <v/>
      </c>
    </row>
    <row r="945">
      <c r="D945" t="inlineStr">
        <is>
          <t>R4 shape hedge term fraction</t>
        </is>
      </c>
      <c r="E945" t="inlineStr">
        <is>
          <t>fraction</t>
        </is>
      </c>
      <c r="J945" s="14">
        <f>MAX(0,MIN(Inputs!$F$203,Time!J$6)-MAX(Inputs!$F$202-1,Time!J$5))/Time!J$7</f>
        <v/>
      </c>
      <c r="K945" s="14">
        <f>MAX(0,MIN(Inputs!$F$203,Time!K$6)-MAX(Inputs!$F$202-1,Time!K$5))/Time!K$7</f>
        <v/>
      </c>
      <c r="L945" s="14">
        <f>MAX(0,MIN(Inputs!$F$203,Time!L$6)-MAX(Inputs!$F$202-1,Time!L$5))/Time!L$7</f>
        <v/>
      </c>
      <c r="M945" s="14">
        <f>MAX(0,MIN(Inputs!$F$203,Time!M$6)-MAX(Inputs!$F$202-1,Time!M$5))/Time!M$7</f>
        <v/>
      </c>
      <c r="N945" s="14">
        <f>MAX(0,MIN(Inputs!$F$203,Time!N$6)-MAX(Inputs!$F$202-1,Time!N$5))/Time!N$7</f>
        <v/>
      </c>
      <c r="O945" s="14">
        <f>MAX(0,MIN(Inputs!$F$203,Time!O$6)-MAX(Inputs!$F$202-1,Time!O$5))/Time!O$7</f>
        <v/>
      </c>
      <c r="P945" s="14">
        <f>MAX(0,MIN(Inputs!$F$203,Time!P$6)-MAX(Inputs!$F$202-1,Time!P$5))/Time!P$7</f>
        <v/>
      </c>
      <c r="Q945" s="14">
        <f>MAX(0,MIN(Inputs!$F$203,Time!Q$6)-MAX(Inputs!$F$202-1,Time!Q$5))/Time!Q$7</f>
        <v/>
      </c>
      <c r="R945" s="14">
        <f>MAX(0,MIN(Inputs!$F$203,Time!R$6)-MAX(Inputs!$F$202-1,Time!R$5))/Time!R$7</f>
        <v/>
      </c>
      <c r="S945" s="14">
        <f>MAX(0,MIN(Inputs!$F$203,Time!S$6)-MAX(Inputs!$F$202-1,Time!S$5))/Time!S$7</f>
        <v/>
      </c>
      <c r="T945" s="14">
        <f>MAX(0,MIN(Inputs!$F$203,Time!T$6)-MAX(Inputs!$F$202-1,Time!T$5))/Time!T$7</f>
        <v/>
      </c>
      <c r="U945" s="14">
        <f>MAX(0,MIN(Inputs!$F$203,Time!U$6)-MAX(Inputs!$F$202-1,Time!U$5))/Time!U$7</f>
        <v/>
      </c>
      <c r="V945" s="14">
        <f>MAX(0,MIN(Inputs!$F$203,Time!V$6)-MAX(Inputs!$F$202-1,Time!V$5))/Time!V$7</f>
        <v/>
      </c>
      <c r="W945" s="14">
        <f>MAX(0,MIN(Inputs!$F$203,Time!W$6)-MAX(Inputs!$F$202-1,Time!W$5))/Time!W$7</f>
        <v/>
      </c>
      <c r="X945" s="14">
        <f>MAX(0,MIN(Inputs!$F$203,Time!X$6)-MAX(Inputs!$F$202-1,Time!X$5))/Time!X$7</f>
        <v/>
      </c>
      <c r="Y945" s="14">
        <f>MAX(0,MIN(Inputs!$F$203,Time!Y$6)-MAX(Inputs!$F$202-1,Time!Y$5))/Time!Y$7</f>
        <v/>
      </c>
      <c r="Z945" s="14">
        <f>MAX(0,MIN(Inputs!$F$203,Time!Z$6)-MAX(Inputs!$F$202-1,Time!Z$5))/Time!Z$7</f>
        <v/>
      </c>
      <c r="AA945" s="14">
        <f>MAX(0,MIN(Inputs!$F$203,Time!AA$6)-MAX(Inputs!$F$202-1,Time!AA$5))/Time!AA$7</f>
        <v/>
      </c>
      <c r="AB945" s="14">
        <f>MAX(0,MIN(Inputs!$F$203,Time!AB$6)-MAX(Inputs!$F$202-1,Time!AB$5))/Time!AB$7</f>
        <v/>
      </c>
      <c r="AC945" s="14">
        <f>MAX(0,MIN(Inputs!$F$203,Time!AC$6)-MAX(Inputs!$F$202-1,Time!AC$5))/Time!AC$7</f>
        <v/>
      </c>
      <c r="AD945" s="14">
        <f>MAX(0,MIN(Inputs!$F$203,Time!AD$6)-MAX(Inputs!$F$202-1,Time!AD$5))/Time!AD$7</f>
        <v/>
      </c>
      <c r="AE945" s="14">
        <f>MAX(0,MIN(Inputs!$F$203,Time!AE$6)-MAX(Inputs!$F$202-1,Time!AE$5))/Time!AE$7</f>
        <v/>
      </c>
      <c r="AF945" s="14">
        <f>MAX(0,MIN(Inputs!$F$203,Time!AF$6)-MAX(Inputs!$F$202-1,Time!AF$5))/Time!AF$7</f>
        <v/>
      </c>
      <c r="AG945" s="14">
        <f>MAX(0,MIN(Inputs!$F$203,Time!AG$6)-MAX(Inputs!$F$202-1,Time!AG$5))/Time!AG$7</f>
        <v/>
      </c>
      <c r="AH945" s="14">
        <f>MAX(0,MIN(Inputs!$F$203,Time!AH$6)-MAX(Inputs!$F$202-1,Time!AH$5))/Time!AH$7</f>
        <v/>
      </c>
      <c r="AI945" s="14">
        <f>MAX(0,MIN(Inputs!$F$203,Time!AI$6)-MAX(Inputs!$F$202-1,Time!AI$5))/Time!AI$7</f>
        <v/>
      </c>
      <c r="AJ945" s="14">
        <f>MAX(0,MIN(Inputs!$F$203,Time!AJ$6)-MAX(Inputs!$F$202-1,Time!AJ$5))/Time!AJ$7</f>
        <v/>
      </c>
      <c r="AK945" s="14">
        <f>MAX(0,MIN(Inputs!$F$203,Time!AK$6)-MAX(Inputs!$F$202-1,Time!AK$5))/Time!AK$7</f>
        <v/>
      </c>
      <c r="AL945" s="14">
        <f>MAX(0,MIN(Inputs!$F$203,Time!AL$6)-MAX(Inputs!$F$202-1,Time!AL$5))/Time!AL$7</f>
        <v/>
      </c>
      <c r="AM945" s="14">
        <f>MAX(0,MIN(Inputs!$F$203,Time!AM$6)-MAX(Inputs!$F$202-1,Time!AM$5))/Time!AM$7</f>
        <v/>
      </c>
      <c r="AN945" s="14">
        <f>MAX(0,MIN(Inputs!$F$203,Time!AN$6)-MAX(Inputs!$F$202-1,Time!AN$5))/Time!AN$7</f>
        <v/>
      </c>
      <c r="AO945" s="14">
        <f>MAX(0,MIN(Inputs!$F$203,Time!AO$6)-MAX(Inputs!$F$202-1,Time!AO$5))/Time!AO$7</f>
        <v/>
      </c>
      <c r="AP945" s="14">
        <f>MAX(0,MIN(Inputs!$F$203,Time!AP$6)-MAX(Inputs!$F$202-1,Time!AP$5))/Time!AP$7</f>
        <v/>
      </c>
      <c r="AQ945" s="14">
        <f>MAX(0,MIN(Inputs!$F$203,Time!AQ$6)-MAX(Inputs!$F$202-1,Time!AQ$5))/Time!AQ$7</f>
        <v/>
      </c>
      <c r="AR945" s="14">
        <f>MAX(0,MIN(Inputs!$F$203,Time!AR$6)-MAX(Inputs!$F$202-1,Time!AR$5))/Time!AR$7</f>
        <v/>
      </c>
      <c r="AS945" s="14">
        <f>MAX(0,MIN(Inputs!$F$203,Time!AS$6)-MAX(Inputs!$F$202-1,Time!AS$5))/Time!AS$7</f>
        <v/>
      </c>
      <c r="AT945" s="14">
        <f>MAX(0,MIN(Inputs!$F$203,Time!AT$6)-MAX(Inputs!$F$202-1,Time!AT$5))/Time!AT$7</f>
        <v/>
      </c>
      <c r="AU945" s="14">
        <f>MAX(0,MIN(Inputs!$F$203,Time!AU$6)-MAX(Inputs!$F$202-1,Time!AU$5))/Time!AU$7</f>
        <v/>
      </c>
    </row>
    <row r="946">
      <c r="D946" t="inlineStr">
        <is>
          <t>R4 shape hedge volume</t>
        </is>
      </c>
      <c r="E946" t="inlineStr">
        <is>
          <t>GWh</t>
        </is>
      </c>
      <c r="J946" s="20">
        <f>Inputs!$F$200*Operations!J945</f>
        <v/>
      </c>
      <c r="K946" s="20">
        <f>Inputs!$F$200*Operations!K945</f>
        <v/>
      </c>
      <c r="L946" s="20">
        <f>Inputs!$F$200*Operations!L945</f>
        <v/>
      </c>
      <c r="M946" s="20">
        <f>Inputs!$F$200*Operations!M945</f>
        <v/>
      </c>
      <c r="N946" s="20">
        <f>Inputs!$F$200*Operations!N945</f>
        <v/>
      </c>
      <c r="O946" s="20">
        <f>Inputs!$F$200*Operations!O945</f>
        <v/>
      </c>
      <c r="P946" s="20">
        <f>Inputs!$F$200*Operations!P945</f>
        <v/>
      </c>
      <c r="Q946" s="20">
        <f>Inputs!$F$200*Operations!Q945</f>
        <v/>
      </c>
      <c r="R946" s="20">
        <f>Inputs!$F$200*Operations!R945</f>
        <v/>
      </c>
      <c r="S946" s="20">
        <f>Inputs!$F$200*Operations!S945</f>
        <v/>
      </c>
      <c r="T946" s="20">
        <f>Inputs!$F$200*Operations!T945</f>
        <v/>
      </c>
      <c r="U946" s="20">
        <f>Inputs!$F$200*Operations!U945</f>
        <v/>
      </c>
      <c r="V946" s="20">
        <f>Inputs!$F$200*Operations!V945</f>
        <v/>
      </c>
      <c r="W946" s="20">
        <f>Inputs!$F$200*Operations!W945</f>
        <v/>
      </c>
      <c r="X946" s="20">
        <f>Inputs!$F$200*Operations!X945</f>
        <v/>
      </c>
      <c r="Y946" s="20">
        <f>Inputs!$F$200*Operations!Y945</f>
        <v/>
      </c>
      <c r="Z946" s="20">
        <f>Inputs!$F$200*Operations!Z945</f>
        <v/>
      </c>
      <c r="AA946" s="20">
        <f>Inputs!$F$200*Operations!AA945</f>
        <v/>
      </c>
      <c r="AB946" s="20">
        <f>Inputs!$F$200*Operations!AB945</f>
        <v/>
      </c>
      <c r="AC946" s="20">
        <f>Inputs!$F$200*Operations!AC945</f>
        <v/>
      </c>
      <c r="AD946" s="20">
        <f>Inputs!$F$200*Operations!AD945</f>
        <v/>
      </c>
      <c r="AE946" s="20">
        <f>Inputs!$F$200*Operations!AE945</f>
        <v/>
      </c>
      <c r="AF946" s="20">
        <f>Inputs!$F$200*Operations!AF945</f>
        <v/>
      </c>
      <c r="AG946" s="20">
        <f>Inputs!$F$200*Operations!AG945</f>
        <v/>
      </c>
      <c r="AH946" s="20">
        <f>Inputs!$F$200*Operations!AH945</f>
        <v/>
      </c>
      <c r="AI946" s="20">
        <f>Inputs!$F$200*Operations!AI945</f>
        <v/>
      </c>
      <c r="AJ946" s="20">
        <f>Inputs!$F$200*Operations!AJ945</f>
        <v/>
      </c>
      <c r="AK946" s="20">
        <f>Inputs!$F$200*Operations!AK945</f>
        <v/>
      </c>
      <c r="AL946" s="20">
        <f>Inputs!$F$200*Operations!AL945</f>
        <v/>
      </c>
      <c r="AM946" s="20">
        <f>Inputs!$F$200*Operations!AM945</f>
        <v/>
      </c>
      <c r="AN946" s="20">
        <f>Inputs!$F$200*Operations!AN945</f>
        <v/>
      </c>
      <c r="AO946" s="20">
        <f>Inputs!$F$200*Operations!AO945</f>
        <v/>
      </c>
      <c r="AP946" s="20">
        <f>Inputs!$F$200*Operations!AP945</f>
        <v/>
      </c>
      <c r="AQ946" s="20">
        <f>Inputs!$F$200*Operations!AQ945</f>
        <v/>
      </c>
      <c r="AR946" s="20">
        <f>Inputs!$F$200*Operations!AR945</f>
        <v/>
      </c>
      <c r="AS946" s="20">
        <f>Inputs!$F$200*Operations!AS945</f>
        <v/>
      </c>
      <c r="AT946" s="20">
        <f>Inputs!$F$200*Operations!AT945</f>
        <v/>
      </c>
      <c r="AU946" s="20">
        <f>Inputs!$F$200*Operations!AU945</f>
        <v/>
      </c>
    </row>
    <row r="947">
      <c r="D947" t="inlineStr">
        <is>
          <t>R4 shape hedge settlement (strike less hub x shape factor)</t>
        </is>
      </c>
      <c r="E947" t="inlineStr">
        <is>
          <t>USD m</t>
        </is>
      </c>
      <c r="G947" s="20">
        <f>SUM(J947:AU947)</f>
        <v/>
      </c>
      <c r="J947" s="20">
        <f>Operations!J946*(Inputs!$F$201-Operations!J936*Operations!J942)/1000</f>
        <v/>
      </c>
      <c r="K947" s="20">
        <f>Operations!K946*(Inputs!$F$201-Operations!K936*Operations!K942)/1000</f>
        <v/>
      </c>
      <c r="L947" s="20">
        <f>Operations!L946*(Inputs!$F$201-Operations!L936*Operations!L942)/1000</f>
        <v/>
      </c>
      <c r="M947" s="20">
        <f>Operations!M946*(Inputs!$F$201-Operations!M936*Operations!M942)/1000</f>
        <v/>
      </c>
      <c r="N947" s="20">
        <f>Operations!N946*(Inputs!$F$201-Operations!N936*Operations!N942)/1000</f>
        <v/>
      </c>
      <c r="O947" s="20">
        <f>Operations!O946*(Inputs!$F$201-Operations!O936*Operations!O942)/1000</f>
        <v/>
      </c>
      <c r="P947" s="20">
        <f>Operations!P946*(Inputs!$F$201-Operations!P936*Operations!P942)/1000</f>
        <v/>
      </c>
      <c r="Q947" s="20">
        <f>Operations!Q946*(Inputs!$F$201-Operations!Q936*Operations!Q942)/1000</f>
        <v/>
      </c>
      <c r="R947" s="20">
        <f>Operations!R946*(Inputs!$F$201-Operations!R936*Operations!R942)/1000</f>
        <v/>
      </c>
      <c r="S947" s="20">
        <f>Operations!S946*(Inputs!$F$201-Operations!S936*Operations!S942)/1000</f>
        <v/>
      </c>
      <c r="T947" s="20">
        <f>Operations!T946*(Inputs!$F$201-Operations!T936*Operations!T942)/1000</f>
        <v/>
      </c>
      <c r="U947" s="20">
        <f>Operations!U946*(Inputs!$F$201-Operations!U936*Operations!U942)/1000</f>
        <v/>
      </c>
      <c r="V947" s="20">
        <f>Operations!V946*(Inputs!$F$201-Operations!V936*Operations!V942)/1000</f>
        <v/>
      </c>
      <c r="W947" s="20">
        <f>Operations!W946*(Inputs!$F$201-Operations!W936*Operations!W942)/1000</f>
        <v/>
      </c>
      <c r="X947" s="20">
        <f>Operations!X946*(Inputs!$F$201-Operations!X936*Operations!X942)/1000</f>
        <v/>
      </c>
      <c r="Y947" s="20">
        <f>Operations!Y946*(Inputs!$F$201-Operations!Y936*Operations!Y942)/1000</f>
        <v/>
      </c>
      <c r="Z947" s="20">
        <f>Operations!Z946*(Inputs!$F$201-Operations!Z936*Operations!Z942)/1000</f>
        <v/>
      </c>
      <c r="AA947" s="20">
        <f>Operations!AA946*(Inputs!$F$201-Operations!AA936*Operations!AA942)/1000</f>
        <v/>
      </c>
      <c r="AB947" s="20">
        <f>Operations!AB946*(Inputs!$F$201-Operations!AB936*Operations!AB942)/1000</f>
        <v/>
      </c>
      <c r="AC947" s="20">
        <f>Operations!AC946*(Inputs!$F$201-Operations!AC936*Operations!AC942)/1000</f>
        <v/>
      </c>
      <c r="AD947" s="20">
        <f>Operations!AD946*(Inputs!$F$201-Operations!AD936*Operations!AD942)/1000</f>
        <v/>
      </c>
      <c r="AE947" s="20">
        <f>Operations!AE946*(Inputs!$F$201-Operations!AE936*Operations!AE942)/1000</f>
        <v/>
      </c>
      <c r="AF947" s="20">
        <f>Operations!AF946*(Inputs!$F$201-Operations!AF936*Operations!AF942)/1000</f>
        <v/>
      </c>
      <c r="AG947" s="20">
        <f>Operations!AG946*(Inputs!$F$201-Operations!AG936*Operations!AG942)/1000</f>
        <v/>
      </c>
      <c r="AH947" s="20">
        <f>Operations!AH946*(Inputs!$F$201-Operations!AH936*Operations!AH942)/1000</f>
        <v/>
      </c>
      <c r="AI947" s="20">
        <f>Operations!AI946*(Inputs!$F$201-Operations!AI936*Operations!AI942)/1000</f>
        <v/>
      </c>
      <c r="AJ947" s="20">
        <f>Operations!AJ946*(Inputs!$F$201-Operations!AJ936*Operations!AJ942)/1000</f>
        <v/>
      </c>
      <c r="AK947" s="20">
        <f>Operations!AK946*(Inputs!$F$201-Operations!AK936*Operations!AK942)/1000</f>
        <v/>
      </c>
      <c r="AL947" s="20">
        <f>Operations!AL946*(Inputs!$F$201-Operations!AL936*Operations!AL942)/1000</f>
        <v/>
      </c>
      <c r="AM947" s="20">
        <f>Operations!AM946*(Inputs!$F$201-Operations!AM936*Operations!AM942)/1000</f>
        <v/>
      </c>
      <c r="AN947" s="20">
        <f>Operations!AN946*(Inputs!$F$201-Operations!AN936*Operations!AN942)/1000</f>
        <v/>
      </c>
      <c r="AO947" s="20">
        <f>Operations!AO946*(Inputs!$F$201-Operations!AO936*Operations!AO942)/1000</f>
        <v/>
      </c>
      <c r="AP947" s="20">
        <f>Operations!AP946*(Inputs!$F$201-Operations!AP936*Operations!AP942)/1000</f>
        <v/>
      </c>
      <c r="AQ947" s="20">
        <f>Operations!AQ946*(Inputs!$F$201-Operations!AQ936*Operations!AQ942)/1000</f>
        <v/>
      </c>
      <c r="AR947" s="20">
        <f>Operations!AR946*(Inputs!$F$201-Operations!AR936*Operations!AR942)/1000</f>
        <v/>
      </c>
      <c r="AS947" s="20">
        <f>Operations!AS946*(Inputs!$F$201-Operations!AS936*Operations!AS942)/1000</f>
        <v/>
      </c>
      <c r="AT947" s="20">
        <f>Operations!AT946*(Inputs!$F$201-Operations!AT936*Operations!AT942)/1000</f>
        <v/>
      </c>
      <c r="AU947" s="20">
        <f>Operations!AU946*(Inputs!$F$201-Operations!AU936*Operations!AU942)/1000</f>
        <v/>
      </c>
    </row>
    <row r="948">
      <c r="D948" t="inlineStr">
        <is>
          <t>R4 generation sold at node</t>
        </is>
      </c>
      <c r="E948" t="inlineStr">
        <is>
          <t>GWh</t>
        </is>
      </c>
      <c r="J948" s="20">
        <f>Operations!J941</f>
        <v/>
      </c>
      <c r="K948" s="20">
        <f>Operations!K941</f>
        <v/>
      </c>
      <c r="L948" s="20">
        <f>Operations!L941</f>
        <v/>
      </c>
      <c r="M948" s="20">
        <f>Operations!M941</f>
        <v/>
      </c>
      <c r="N948" s="20">
        <f>Operations!N941</f>
        <v/>
      </c>
      <c r="O948" s="20">
        <f>Operations!O941</f>
        <v/>
      </c>
      <c r="P948" s="20">
        <f>Operations!P941</f>
        <v/>
      </c>
      <c r="Q948" s="20">
        <f>Operations!Q941</f>
        <v/>
      </c>
      <c r="R948" s="20">
        <f>Operations!R941</f>
        <v/>
      </c>
      <c r="S948" s="20">
        <f>Operations!S941</f>
        <v/>
      </c>
      <c r="T948" s="20">
        <f>Operations!T941</f>
        <v/>
      </c>
      <c r="U948" s="20">
        <f>Operations!U941</f>
        <v/>
      </c>
      <c r="V948" s="20">
        <f>Operations!V941</f>
        <v/>
      </c>
      <c r="W948" s="20">
        <f>Operations!W941</f>
        <v/>
      </c>
      <c r="X948" s="20">
        <f>Operations!X941</f>
        <v/>
      </c>
      <c r="Y948" s="20">
        <f>Operations!Y941</f>
        <v/>
      </c>
      <c r="Z948" s="20">
        <f>Operations!Z941</f>
        <v/>
      </c>
      <c r="AA948" s="20">
        <f>Operations!AA941</f>
        <v/>
      </c>
      <c r="AB948" s="20">
        <f>Operations!AB941</f>
        <v/>
      </c>
      <c r="AC948" s="20">
        <f>Operations!AC941</f>
        <v/>
      </c>
      <c r="AD948" s="20">
        <f>Operations!AD941</f>
        <v/>
      </c>
      <c r="AE948" s="20">
        <f>Operations!AE941</f>
        <v/>
      </c>
      <c r="AF948" s="20">
        <f>Operations!AF941</f>
        <v/>
      </c>
      <c r="AG948" s="20">
        <f>Operations!AG941</f>
        <v/>
      </c>
      <c r="AH948" s="20">
        <f>Operations!AH941</f>
        <v/>
      </c>
      <c r="AI948" s="20">
        <f>Operations!AI941</f>
        <v/>
      </c>
      <c r="AJ948" s="20">
        <f>Operations!AJ941</f>
        <v/>
      </c>
      <c r="AK948" s="20">
        <f>Operations!AK941</f>
        <v/>
      </c>
      <c r="AL948" s="20">
        <f>Operations!AL941</f>
        <v/>
      </c>
      <c r="AM948" s="20">
        <f>Operations!AM941</f>
        <v/>
      </c>
      <c r="AN948" s="20">
        <f>Operations!AN941</f>
        <v/>
      </c>
      <c r="AO948" s="20">
        <f>Operations!AO941</f>
        <v/>
      </c>
      <c r="AP948" s="20">
        <f>Operations!AP941</f>
        <v/>
      </c>
      <c r="AQ948" s="20">
        <f>Operations!AQ941</f>
        <v/>
      </c>
      <c r="AR948" s="20">
        <f>Operations!AR941</f>
        <v/>
      </c>
      <c r="AS948" s="20">
        <f>Operations!AS941</f>
        <v/>
      </c>
      <c r="AT948" s="20">
        <f>Operations!AT941</f>
        <v/>
      </c>
      <c r="AU948" s="20">
        <f>Operations!AU941</f>
        <v/>
      </c>
    </row>
    <row r="949">
      <c r="D949" t="inlineStr">
        <is>
          <t>R4 contracted revenue</t>
        </is>
      </c>
      <c r="E949" t="inlineStr">
        <is>
          <t>USD m</t>
        </is>
      </c>
      <c r="J949" s="20">
        <f>0</f>
        <v/>
      </c>
      <c r="K949" s="20">
        <f>0</f>
        <v/>
      </c>
      <c r="L949" s="20">
        <f>0</f>
        <v/>
      </c>
      <c r="M949" s="20">
        <f>0</f>
        <v/>
      </c>
      <c r="N949" s="20">
        <f>0</f>
        <v/>
      </c>
      <c r="O949" s="20">
        <f>0</f>
        <v/>
      </c>
      <c r="P949" s="20">
        <f>0</f>
        <v/>
      </c>
      <c r="Q949" s="20">
        <f>0</f>
        <v/>
      </c>
      <c r="R949" s="20">
        <f>0</f>
        <v/>
      </c>
      <c r="S949" s="20">
        <f>0</f>
        <v/>
      </c>
      <c r="T949" s="20">
        <f>0</f>
        <v/>
      </c>
      <c r="U949" s="20">
        <f>0</f>
        <v/>
      </c>
      <c r="V949" s="20">
        <f>0</f>
        <v/>
      </c>
      <c r="W949" s="20">
        <f>0</f>
        <v/>
      </c>
      <c r="X949" s="20">
        <f>0</f>
        <v/>
      </c>
      <c r="Y949" s="20">
        <f>0</f>
        <v/>
      </c>
      <c r="Z949" s="20">
        <f>0</f>
        <v/>
      </c>
      <c r="AA949" s="20">
        <f>0</f>
        <v/>
      </c>
      <c r="AB949" s="20">
        <f>0</f>
        <v/>
      </c>
      <c r="AC949" s="20">
        <f>0</f>
        <v/>
      </c>
      <c r="AD949" s="20">
        <f>0</f>
        <v/>
      </c>
      <c r="AE949" s="20">
        <f>0</f>
        <v/>
      </c>
      <c r="AF949" s="20">
        <f>0</f>
        <v/>
      </c>
      <c r="AG949" s="20">
        <f>0</f>
        <v/>
      </c>
      <c r="AH949" s="20">
        <f>0</f>
        <v/>
      </c>
      <c r="AI949" s="20">
        <f>0</f>
        <v/>
      </c>
      <c r="AJ949" s="20">
        <f>0</f>
        <v/>
      </c>
      <c r="AK949" s="20">
        <f>0</f>
        <v/>
      </c>
      <c r="AL949" s="20">
        <f>0</f>
        <v/>
      </c>
      <c r="AM949" s="20">
        <f>0</f>
        <v/>
      </c>
      <c r="AN949" s="20">
        <f>0</f>
        <v/>
      </c>
      <c r="AO949" s="20">
        <f>0</f>
        <v/>
      </c>
      <c r="AP949" s="20">
        <f>0</f>
        <v/>
      </c>
      <c r="AQ949" s="20">
        <f>0</f>
        <v/>
      </c>
      <c r="AR949" s="20">
        <f>0</f>
        <v/>
      </c>
      <c r="AS949" s="20">
        <f>0</f>
        <v/>
      </c>
      <c r="AT949" s="20">
        <f>0</f>
        <v/>
      </c>
      <c r="AU949" s="20">
        <f>0</f>
        <v/>
      </c>
    </row>
    <row r="950">
      <c r="D950" t="inlineStr">
        <is>
          <t>R4 hedged revenue (volume x strike)</t>
        </is>
      </c>
      <c r="E950" t="inlineStr">
        <is>
          <t>USD m</t>
        </is>
      </c>
      <c r="J950" s="20">
        <f>Operations!J946*Inputs!$F$201/1000</f>
        <v/>
      </c>
      <c r="K950" s="20">
        <f>Operations!K946*Inputs!$F$201/1000</f>
        <v/>
      </c>
      <c r="L950" s="20">
        <f>Operations!L946*Inputs!$F$201/1000</f>
        <v/>
      </c>
      <c r="M950" s="20">
        <f>Operations!M946*Inputs!$F$201/1000</f>
        <v/>
      </c>
      <c r="N950" s="20">
        <f>Operations!N946*Inputs!$F$201/1000</f>
        <v/>
      </c>
      <c r="O950" s="20">
        <f>Operations!O946*Inputs!$F$201/1000</f>
        <v/>
      </c>
      <c r="P950" s="20">
        <f>Operations!P946*Inputs!$F$201/1000</f>
        <v/>
      </c>
      <c r="Q950" s="20">
        <f>Operations!Q946*Inputs!$F$201/1000</f>
        <v/>
      </c>
      <c r="R950" s="20">
        <f>Operations!R946*Inputs!$F$201/1000</f>
        <v/>
      </c>
      <c r="S950" s="20">
        <f>Operations!S946*Inputs!$F$201/1000</f>
        <v/>
      </c>
      <c r="T950" s="20">
        <f>Operations!T946*Inputs!$F$201/1000</f>
        <v/>
      </c>
      <c r="U950" s="20">
        <f>Operations!U946*Inputs!$F$201/1000</f>
        <v/>
      </c>
      <c r="V950" s="20">
        <f>Operations!V946*Inputs!$F$201/1000</f>
        <v/>
      </c>
      <c r="W950" s="20">
        <f>Operations!W946*Inputs!$F$201/1000</f>
        <v/>
      </c>
      <c r="X950" s="20">
        <f>Operations!X946*Inputs!$F$201/1000</f>
        <v/>
      </c>
      <c r="Y950" s="20">
        <f>Operations!Y946*Inputs!$F$201/1000</f>
        <v/>
      </c>
      <c r="Z950" s="20">
        <f>Operations!Z946*Inputs!$F$201/1000</f>
        <v/>
      </c>
      <c r="AA950" s="20">
        <f>Operations!AA946*Inputs!$F$201/1000</f>
        <v/>
      </c>
      <c r="AB950" s="20">
        <f>Operations!AB946*Inputs!$F$201/1000</f>
        <v/>
      </c>
      <c r="AC950" s="20">
        <f>Operations!AC946*Inputs!$F$201/1000</f>
        <v/>
      </c>
      <c r="AD950" s="20">
        <f>Operations!AD946*Inputs!$F$201/1000</f>
        <v/>
      </c>
      <c r="AE950" s="20">
        <f>Operations!AE946*Inputs!$F$201/1000</f>
        <v/>
      </c>
      <c r="AF950" s="20">
        <f>Operations!AF946*Inputs!$F$201/1000</f>
        <v/>
      </c>
      <c r="AG950" s="20">
        <f>Operations!AG946*Inputs!$F$201/1000</f>
        <v/>
      </c>
      <c r="AH950" s="20">
        <f>Operations!AH946*Inputs!$F$201/1000</f>
        <v/>
      </c>
      <c r="AI950" s="20">
        <f>Operations!AI946*Inputs!$F$201/1000</f>
        <v/>
      </c>
      <c r="AJ950" s="20">
        <f>Operations!AJ946*Inputs!$F$201/1000</f>
        <v/>
      </c>
      <c r="AK950" s="20">
        <f>Operations!AK946*Inputs!$F$201/1000</f>
        <v/>
      </c>
      <c r="AL950" s="20">
        <f>Operations!AL946*Inputs!$F$201/1000</f>
        <v/>
      </c>
      <c r="AM950" s="20">
        <f>Operations!AM946*Inputs!$F$201/1000</f>
        <v/>
      </c>
      <c r="AN950" s="20">
        <f>Operations!AN946*Inputs!$F$201/1000</f>
        <v/>
      </c>
      <c r="AO950" s="20">
        <f>Operations!AO946*Inputs!$F$201/1000</f>
        <v/>
      </c>
      <c r="AP950" s="20">
        <f>Operations!AP946*Inputs!$F$201/1000</f>
        <v/>
      </c>
      <c r="AQ950" s="20">
        <f>Operations!AQ946*Inputs!$F$201/1000</f>
        <v/>
      </c>
      <c r="AR950" s="20">
        <f>Operations!AR946*Inputs!$F$201/1000</f>
        <v/>
      </c>
      <c r="AS950" s="20">
        <f>Operations!AS946*Inputs!$F$201/1000</f>
        <v/>
      </c>
      <c r="AT950" s="20">
        <f>Operations!AT946*Inputs!$F$201/1000</f>
        <v/>
      </c>
      <c r="AU950" s="20">
        <f>Operations!AU946*Inputs!$F$201/1000</f>
        <v/>
      </c>
    </row>
    <row r="951">
      <c r="D951" t="inlineStr">
        <is>
          <t>R4 market revenue at node</t>
        </is>
      </c>
      <c r="E951" t="inlineStr">
        <is>
          <t>USD m</t>
        </is>
      </c>
      <c r="G951" s="20">
        <f>SUM(J951:AU951)</f>
        <v/>
      </c>
      <c r="J951" s="20">
        <f>Operations!J948*Operations!J944/1000</f>
        <v/>
      </c>
      <c r="K951" s="20">
        <f>Operations!K948*Operations!K944/1000</f>
        <v/>
      </c>
      <c r="L951" s="20">
        <f>Operations!L948*Operations!L944/1000</f>
        <v/>
      </c>
      <c r="M951" s="20">
        <f>Operations!M948*Operations!M944/1000</f>
        <v/>
      </c>
      <c r="N951" s="20">
        <f>Operations!N948*Operations!N944/1000</f>
        <v/>
      </c>
      <c r="O951" s="20">
        <f>Operations!O948*Operations!O944/1000</f>
        <v/>
      </c>
      <c r="P951" s="20">
        <f>Operations!P948*Operations!P944/1000</f>
        <v/>
      </c>
      <c r="Q951" s="20">
        <f>Operations!Q948*Operations!Q944/1000</f>
        <v/>
      </c>
      <c r="R951" s="20">
        <f>Operations!R948*Operations!R944/1000</f>
        <v/>
      </c>
      <c r="S951" s="20">
        <f>Operations!S948*Operations!S944/1000</f>
        <v/>
      </c>
      <c r="T951" s="20">
        <f>Operations!T948*Operations!T944/1000</f>
        <v/>
      </c>
      <c r="U951" s="20">
        <f>Operations!U948*Operations!U944/1000</f>
        <v/>
      </c>
      <c r="V951" s="20">
        <f>Operations!V948*Operations!V944/1000</f>
        <v/>
      </c>
      <c r="W951" s="20">
        <f>Operations!W948*Operations!W944/1000</f>
        <v/>
      </c>
      <c r="X951" s="20">
        <f>Operations!X948*Operations!X944/1000</f>
        <v/>
      </c>
      <c r="Y951" s="20">
        <f>Operations!Y948*Operations!Y944/1000</f>
        <v/>
      </c>
      <c r="Z951" s="20">
        <f>Operations!Z948*Operations!Z944/1000</f>
        <v/>
      </c>
      <c r="AA951" s="20">
        <f>Operations!AA948*Operations!AA944/1000</f>
        <v/>
      </c>
      <c r="AB951" s="20">
        <f>Operations!AB948*Operations!AB944/1000</f>
        <v/>
      </c>
      <c r="AC951" s="20">
        <f>Operations!AC948*Operations!AC944/1000</f>
        <v/>
      </c>
      <c r="AD951" s="20">
        <f>Operations!AD948*Operations!AD944/1000</f>
        <v/>
      </c>
      <c r="AE951" s="20">
        <f>Operations!AE948*Operations!AE944/1000</f>
        <v/>
      </c>
      <c r="AF951" s="20">
        <f>Operations!AF948*Operations!AF944/1000</f>
        <v/>
      </c>
      <c r="AG951" s="20">
        <f>Operations!AG948*Operations!AG944/1000</f>
        <v/>
      </c>
      <c r="AH951" s="20">
        <f>Operations!AH948*Operations!AH944/1000</f>
        <v/>
      </c>
      <c r="AI951" s="20">
        <f>Operations!AI948*Operations!AI944/1000</f>
        <v/>
      </c>
      <c r="AJ951" s="20">
        <f>Operations!AJ948*Operations!AJ944/1000</f>
        <v/>
      </c>
      <c r="AK951" s="20">
        <f>Operations!AK948*Operations!AK944/1000</f>
        <v/>
      </c>
      <c r="AL951" s="20">
        <f>Operations!AL948*Operations!AL944/1000</f>
        <v/>
      </c>
      <c r="AM951" s="20">
        <f>Operations!AM948*Operations!AM944/1000</f>
        <v/>
      </c>
      <c r="AN951" s="20">
        <f>Operations!AN948*Operations!AN944/1000</f>
        <v/>
      </c>
      <c r="AO951" s="20">
        <f>Operations!AO948*Operations!AO944/1000</f>
        <v/>
      </c>
      <c r="AP951" s="20">
        <f>Operations!AP948*Operations!AP944/1000</f>
        <v/>
      </c>
      <c r="AQ951" s="20">
        <f>Operations!AQ948*Operations!AQ944/1000</f>
        <v/>
      </c>
      <c r="AR951" s="20">
        <f>Operations!AR948*Operations!AR944/1000</f>
        <v/>
      </c>
      <c r="AS951" s="20">
        <f>Operations!AS948*Operations!AS944/1000</f>
        <v/>
      </c>
      <c r="AT951" s="20">
        <f>Operations!AT948*Operations!AT944/1000</f>
        <v/>
      </c>
      <c r="AU951" s="20">
        <f>Operations!AU948*Operations!AU944/1000</f>
        <v/>
      </c>
    </row>
    <row r="952">
      <c r="D952" t="inlineStr">
        <is>
          <t>R4 total revenue</t>
        </is>
      </c>
      <c r="E952" t="inlineStr">
        <is>
          <t>USD m</t>
        </is>
      </c>
      <c r="G952" s="20">
        <f>SUM(J952:AU952)</f>
        <v/>
      </c>
      <c r="J952" s="20">
        <f>Operations!J951+Operations!J947</f>
        <v/>
      </c>
      <c r="K952" s="20">
        <f>Operations!K951+Operations!K947</f>
        <v/>
      </c>
      <c r="L952" s="20">
        <f>Operations!L951+Operations!L947</f>
        <v/>
      </c>
      <c r="M952" s="20">
        <f>Operations!M951+Operations!M947</f>
        <v/>
      </c>
      <c r="N952" s="20">
        <f>Operations!N951+Operations!N947</f>
        <v/>
      </c>
      <c r="O952" s="20">
        <f>Operations!O951+Operations!O947</f>
        <v/>
      </c>
      <c r="P952" s="20">
        <f>Operations!P951+Operations!P947</f>
        <v/>
      </c>
      <c r="Q952" s="20">
        <f>Operations!Q951+Operations!Q947</f>
        <v/>
      </c>
      <c r="R952" s="20">
        <f>Operations!R951+Operations!R947</f>
        <v/>
      </c>
      <c r="S952" s="20">
        <f>Operations!S951+Operations!S947</f>
        <v/>
      </c>
      <c r="T952" s="20">
        <f>Operations!T951+Operations!T947</f>
        <v/>
      </c>
      <c r="U952" s="20">
        <f>Operations!U951+Operations!U947</f>
        <v/>
      </c>
      <c r="V952" s="20">
        <f>Operations!V951+Operations!V947</f>
        <v/>
      </c>
      <c r="W952" s="20">
        <f>Operations!W951+Operations!W947</f>
        <v/>
      </c>
      <c r="X952" s="20">
        <f>Operations!X951+Operations!X947</f>
        <v/>
      </c>
      <c r="Y952" s="20">
        <f>Operations!Y951+Operations!Y947</f>
        <v/>
      </c>
      <c r="Z952" s="20">
        <f>Operations!Z951+Operations!Z947</f>
        <v/>
      </c>
      <c r="AA952" s="20">
        <f>Operations!AA951+Operations!AA947</f>
        <v/>
      </c>
      <c r="AB952" s="20">
        <f>Operations!AB951+Operations!AB947</f>
        <v/>
      </c>
      <c r="AC952" s="20">
        <f>Operations!AC951+Operations!AC947</f>
        <v/>
      </c>
      <c r="AD952" s="20">
        <f>Operations!AD951+Operations!AD947</f>
        <v/>
      </c>
      <c r="AE952" s="20">
        <f>Operations!AE951+Operations!AE947</f>
        <v/>
      </c>
      <c r="AF952" s="20">
        <f>Operations!AF951+Operations!AF947</f>
        <v/>
      </c>
      <c r="AG952" s="20">
        <f>Operations!AG951+Operations!AG947</f>
        <v/>
      </c>
      <c r="AH952" s="20">
        <f>Operations!AH951+Operations!AH947</f>
        <v/>
      </c>
      <c r="AI952" s="20">
        <f>Operations!AI951+Operations!AI947</f>
        <v/>
      </c>
      <c r="AJ952" s="20">
        <f>Operations!AJ951+Operations!AJ947</f>
        <v/>
      </c>
      <c r="AK952" s="20">
        <f>Operations!AK951+Operations!AK947</f>
        <v/>
      </c>
      <c r="AL952" s="20">
        <f>Operations!AL951+Operations!AL947</f>
        <v/>
      </c>
      <c r="AM952" s="20">
        <f>Operations!AM951+Operations!AM947</f>
        <v/>
      </c>
      <c r="AN952" s="20">
        <f>Operations!AN951+Operations!AN947</f>
        <v/>
      </c>
      <c r="AO952" s="20">
        <f>Operations!AO951+Operations!AO947</f>
        <v/>
      </c>
      <c r="AP952" s="20">
        <f>Operations!AP951+Operations!AP947</f>
        <v/>
      </c>
      <c r="AQ952" s="20">
        <f>Operations!AQ951+Operations!AQ947</f>
        <v/>
      </c>
      <c r="AR952" s="20">
        <f>Operations!AR951+Operations!AR947</f>
        <v/>
      </c>
      <c r="AS952" s="20">
        <f>Operations!AS951+Operations!AS947</f>
        <v/>
      </c>
      <c r="AT952" s="20">
        <f>Operations!AT951+Operations!AT947</f>
        <v/>
      </c>
      <c r="AU952" s="20">
        <f>Operations!AU951+Operations!AU947</f>
        <v/>
      </c>
    </row>
    <row r="953">
      <c r="D953" t="inlineStr">
        <is>
          <t>R4 merchant revenue (total less contracted and hedged)</t>
        </is>
      </c>
      <c r="E953" t="inlineStr">
        <is>
          <t>USD m</t>
        </is>
      </c>
      <c r="J953" s="20">
        <f>Operations!J952-Operations!J949-Operations!J950</f>
        <v/>
      </c>
      <c r="K953" s="20">
        <f>Operations!K952-Operations!K949-Operations!K950</f>
        <v/>
      </c>
      <c r="L953" s="20">
        <f>Operations!L952-Operations!L949-Operations!L950</f>
        <v/>
      </c>
      <c r="M953" s="20">
        <f>Operations!M952-Operations!M949-Operations!M950</f>
        <v/>
      </c>
      <c r="N953" s="20">
        <f>Operations!N952-Operations!N949-Operations!N950</f>
        <v/>
      </c>
      <c r="O953" s="20">
        <f>Operations!O952-Operations!O949-Operations!O950</f>
        <v/>
      </c>
      <c r="P953" s="20">
        <f>Operations!P952-Operations!P949-Operations!P950</f>
        <v/>
      </c>
      <c r="Q953" s="20">
        <f>Operations!Q952-Operations!Q949-Operations!Q950</f>
        <v/>
      </c>
      <c r="R953" s="20">
        <f>Operations!R952-Operations!R949-Operations!R950</f>
        <v/>
      </c>
      <c r="S953" s="20">
        <f>Operations!S952-Operations!S949-Operations!S950</f>
        <v/>
      </c>
      <c r="T953" s="20">
        <f>Operations!T952-Operations!T949-Operations!T950</f>
        <v/>
      </c>
      <c r="U953" s="20">
        <f>Operations!U952-Operations!U949-Operations!U950</f>
        <v/>
      </c>
      <c r="V953" s="20">
        <f>Operations!V952-Operations!V949-Operations!V950</f>
        <v/>
      </c>
      <c r="W953" s="20">
        <f>Operations!W952-Operations!W949-Operations!W950</f>
        <v/>
      </c>
      <c r="X953" s="20">
        <f>Operations!X952-Operations!X949-Operations!X950</f>
        <v/>
      </c>
      <c r="Y953" s="20">
        <f>Operations!Y952-Operations!Y949-Operations!Y950</f>
        <v/>
      </c>
      <c r="Z953" s="20">
        <f>Operations!Z952-Operations!Z949-Operations!Z950</f>
        <v/>
      </c>
      <c r="AA953" s="20">
        <f>Operations!AA952-Operations!AA949-Operations!AA950</f>
        <v/>
      </c>
      <c r="AB953" s="20">
        <f>Operations!AB952-Operations!AB949-Operations!AB950</f>
        <v/>
      </c>
      <c r="AC953" s="20">
        <f>Operations!AC952-Operations!AC949-Operations!AC950</f>
        <v/>
      </c>
      <c r="AD953" s="20">
        <f>Operations!AD952-Operations!AD949-Operations!AD950</f>
        <v/>
      </c>
      <c r="AE953" s="20">
        <f>Operations!AE952-Operations!AE949-Operations!AE950</f>
        <v/>
      </c>
      <c r="AF953" s="20">
        <f>Operations!AF952-Operations!AF949-Operations!AF950</f>
        <v/>
      </c>
      <c r="AG953" s="20">
        <f>Operations!AG952-Operations!AG949-Operations!AG950</f>
        <v/>
      </c>
      <c r="AH953" s="20">
        <f>Operations!AH952-Operations!AH949-Operations!AH950</f>
        <v/>
      </c>
      <c r="AI953" s="20">
        <f>Operations!AI952-Operations!AI949-Operations!AI950</f>
        <v/>
      </c>
      <c r="AJ953" s="20">
        <f>Operations!AJ952-Operations!AJ949-Operations!AJ950</f>
        <v/>
      </c>
      <c r="AK953" s="20">
        <f>Operations!AK952-Operations!AK949-Operations!AK950</f>
        <v/>
      </c>
      <c r="AL953" s="20">
        <f>Operations!AL952-Operations!AL949-Operations!AL950</f>
        <v/>
      </c>
      <c r="AM953" s="20">
        <f>Operations!AM952-Operations!AM949-Operations!AM950</f>
        <v/>
      </c>
      <c r="AN953" s="20">
        <f>Operations!AN952-Operations!AN949-Operations!AN950</f>
        <v/>
      </c>
      <c r="AO953" s="20">
        <f>Operations!AO952-Operations!AO949-Operations!AO950</f>
        <v/>
      </c>
      <c r="AP953" s="20">
        <f>Operations!AP952-Operations!AP949-Operations!AP950</f>
        <v/>
      </c>
      <c r="AQ953" s="20">
        <f>Operations!AQ952-Operations!AQ949-Operations!AQ950</f>
        <v/>
      </c>
      <c r="AR953" s="20">
        <f>Operations!AR952-Operations!AR949-Operations!AR950</f>
        <v/>
      </c>
      <c r="AS953" s="20">
        <f>Operations!AS952-Operations!AS949-Operations!AS950</f>
        <v/>
      </c>
      <c r="AT953" s="20">
        <f>Operations!AT952-Operations!AT949-Operations!AT950</f>
        <v/>
      </c>
      <c r="AU953" s="20">
        <f>Operations!AU952-Operations!AU949-Operations!AU950</f>
        <v/>
      </c>
    </row>
    <row r="954">
      <c r="D954" t="inlineStr">
        <is>
          <t>R4 opex (O&amp;M, land, insurance, property tax, site)</t>
        </is>
      </c>
      <c r="E954" t="inlineStr">
        <is>
          <t>USD m</t>
        </is>
      </c>
      <c r="J954" s="20">
        <f>Inputs!$F$125*Inputs!$F$121/1000*Time!J$9*Time!J$10*Operations!J933*Operations!$F$792</f>
        <v/>
      </c>
      <c r="K954" s="20">
        <f>Inputs!$F$125*Inputs!$F$121/1000*Time!K$9*Time!K$10*Operations!K933*Operations!$F$792</f>
        <v/>
      </c>
      <c r="L954" s="20">
        <f>Inputs!$F$125*Inputs!$F$121/1000*Time!L$9*Time!L$10*Operations!L933*Operations!$F$792</f>
        <v/>
      </c>
      <c r="M954" s="20">
        <f>Inputs!$F$125*Inputs!$F$121/1000*Time!M$9*Time!M$10*Operations!M933*Operations!$F$792</f>
        <v/>
      </c>
      <c r="N954" s="20">
        <f>Inputs!$F$125*Inputs!$F$121/1000*Time!N$9*Time!N$10*Operations!N933*Operations!$F$792</f>
        <v/>
      </c>
      <c r="O954" s="20">
        <f>Inputs!$F$125*Inputs!$F$121/1000*Time!O$9*Time!O$10*Operations!O933*Operations!$F$792</f>
        <v/>
      </c>
      <c r="P954" s="20">
        <f>Inputs!$F$125*Inputs!$F$121/1000*Time!P$9*Time!P$10*Operations!P933*Operations!$F$792</f>
        <v/>
      </c>
      <c r="Q954" s="20">
        <f>Inputs!$F$125*Inputs!$F$121/1000*Time!Q$9*Time!Q$10*Operations!Q933*Operations!$F$792</f>
        <v/>
      </c>
      <c r="R954" s="20">
        <f>Inputs!$F$125*Inputs!$F$121/1000*Time!R$9*Time!R$10*Operations!R933*Operations!$F$792</f>
        <v/>
      </c>
      <c r="S954" s="20">
        <f>Inputs!$F$125*Inputs!$F$121/1000*Time!S$9*Time!S$10*Operations!S933*Operations!$F$792</f>
        <v/>
      </c>
      <c r="T954" s="20">
        <f>Inputs!$F$125*Inputs!$F$121/1000*Time!T$9*Time!T$10*Operations!T933*Operations!$F$792</f>
        <v/>
      </c>
      <c r="U954" s="20">
        <f>Inputs!$F$125*Inputs!$F$121/1000*Time!U$9*Time!U$10*Operations!U933*Operations!$F$792</f>
        <v/>
      </c>
      <c r="V954" s="20">
        <f>Inputs!$F$125*Inputs!$F$121/1000*Time!V$9*Time!V$10*Operations!V933*Operations!$F$792</f>
        <v/>
      </c>
      <c r="W954" s="20">
        <f>Inputs!$F$125*Inputs!$F$121/1000*Time!W$9*Time!W$10*Operations!W933*Operations!$F$792</f>
        <v/>
      </c>
      <c r="X954" s="20">
        <f>Inputs!$F$125*Inputs!$F$121/1000*Time!X$9*Time!X$10*Operations!X933*Operations!$F$792</f>
        <v/>
      </c>
      <c r="Y954" s="20">
        <f>Inputs!$F$125*Inputs!$F$121/1000*Time!Y$9*Time!Y$10*Operations!Y933*Operations!$F$792</f>
        <v/>
      </c>
      <c r="Z954" s="20">
        <f>Inputs!$F$125*Inputs!$F$121/1000*Time!Z$9*Time!Z$10*Operations!Z933*Operations!$F$792</f>
        <v/>
      </c>
      <c r="AA954" s="20">
        <f>Inputs!$F$125*Inputs!$F$121/1000*Time!AA$9*Time!AA$10*Operations!AA933*Operations!$F$792</f>
        <v/>
      </c>
      <c r="AB954" s="20">
        <f>Inputs!$F$125*Inputs!$F$121/1000*Time!AB$9*Time!AB$10*Operations!AB933*Operations!$F$792</f>
        <v/>
      </c>
      <c r="AC954" s="20">
        <f>Inputs!$F$125*Inputs!$F$121/1000*Time!AC$9*Time!AC$10*Operations!AC933*Operations!$F$792</f>
        <v/>
      </c>
      <c r="AD954" s="20">
        <f>Inputs!$F$125*Inputs!$F$121/1000*Time!AD$9*Time!AD$10*Operations!AD933*Operations!$F$792</f>
        <v/>
      </c>
      <c r="AE954" s="20">
        <f>Inputs!$F$125*Inputs!$F$121/1000*Time!AE$9*Time!AE$10*Operations!AE933*Operations!$F$792</f>
        <v/>
      </c>
      <c r="AF954" s="20">
        <f>Inputs!$F$125*Inputs!$F$121/1000*Time!AF$9*Time!AF$10*Operations!AF933*Operations!$F$792</f>
        <v/>
      </c>
      <c r="AG954" s="20">
        <f>Inputs!$F$125*Inputs!$F$121/1000*Time!AG$9*Time!AG$10*Operations!AG933*Operations!$F$792</f>
        <v/>
      </c>
      <c r="AH954" s="20">
        <f>Inputs!$F$125*Inputs!$F$121/1000*Time!AH$9*Time!AH$10*Operations!AH933*Operations!$F$792</f>
        <v/>
      </c>
      <c r="AI954" s="20">
        <f>Inputs!$F$125*Inputs!$F$121/1000*Time!AI$9*Time!AI$10*Operations!AI933*Operations!$F$792</f>
        <v/>
      </c>
      <c r="AJ954" s="20">
        <f>Inputs!$F$125*Inputs!$F$121/1000*Time!AJ$9*Time!AJ$10*Operations!AJ933*Operations!$F$792</f>
        <v/>
      </c>
      <c r="AK954" s="20">
        <f>Inputs!$F$125*Inputs!$F$121/1000*Time!AK$9*Time!AK$10*Operations!AK933*Operations!$F$792</f>
        <v/>
      </c>
      <c r="AL954" s="20">
        <f>Inputs!$F$125*Inputs!$F$121/1000*Time!AL$9*Time!AL$10*Operations!AL933*Operations!$F$792</f>
        <v/>
      </c>
      <c r="AM954" s="20">
        <f>Inputs!$F$125*Inputs!$F$121/1000*Time!AM$9*Time!AM$10*Operations!AM933*Operations!$F$792</f>
        <v/>
      </c>
      <c r="AN954" s="20">
        <f>Inputs!$F$125*Inputs!$F$121/1000*Time!AN$9*Time!AN$10*Operations!AN933*Operations!$F$792</f>
        <v/>
      </c>
      <c r="AO954" s="20">
        <f>Inputs!$F$125*Inputs!$F$121/1000*Time!AO$9*Time!AO$10*Operations!AO933*Operations!$F$792</f>
        <v/>
      </c>
      <c r="AP954" s="20">
        <f>Inputs!$F$125*Inputs!$F$121/1000*Time!AP$9*Time!AP$10*Operations!AP933*Operations!$F$792</f>
        <v/>
      </c>
      <c r="AQ954" s="20">
        <f>Inputs!$F$125*Inputs!$F$121/1000*Time!AQ$9*Time!AQ$10*Operations!AQ933*Operations!$F$792</f>
        <v/>
      </c>
      <c r="AR954" s="20">
        <f>Inputs!$F$125*Inputs!$F$121/1000*Time!AR$9*Time!AR$10*Operations!AR933*Operations!$F$792</f>
        <v/>
      </c>
      <c r="AS954" s="20">
        <f>Inputs!$F$125*Inputs!$F$121/1000*Time!AS$9*Time!AS$10*Operations!AS933*Operations!$F$792</f>
        <v/>
      </c>
      <c r="AT954" s="20">
        <f>Inputs!$F$125*Inputs!$F$121/1000*Time!AT$9*Time!AT$10*Operations!AT933*Operations!$F$792</f>
        <v/>
      </c>
      <c r="AU954" s="20">
        <f>Inputs!$F$125*Inputs!$F$121/1000*Time!AU$9*Time!AU$10*Operations!AU933*Operations!$F$792</f>
        <v/>
      </c>
    </row>
    <row r="955">
      <c r="D955" t="inlineStr">
        <is>
          <t>R4 land lease (in opex)</t>
        </is>
      </c>
      <c r="E955" t="inlineStr">
        <is>
          <t>USD m</t>
        </is>
      </c>
      <c r="J955" s="20">
        <f>0</f>
        <v/>
      </c>
      <c r="K955" s="20">
        <f>0</f>
        <v/>
      </c>
      <c r="L955" s="20">
        <f>0</f>
        <v/>
      </c>
      <c r="M955" s="20">
        <f>0</f>
        <v/>
      </c>
      <c r="N955" s="20">
        <f>0</f>
        <v/>
      </c>
      <c r="O955" s="20">
        <f>0</f>
        <v/>
      </c>
      <c r="P955" s="20">
        <f>0</f>
        <v/>
      </c>
      <c r="Q955" s="20">
        <f>0</f>
        <v/>
      </c>
      <c r="R955" s="20">
        <f>0</f>
        <v/>
      </c>
      <c r="S955" s="20">
        <f>0</f>
        <v/>
      </c>
      <c r="T955" s="20">
        <f>0</f>
        <v/>
      </c>
      <c r="U955" s="20">
        <f>0</f>
        <v/>
      </c>
      <c r="V955" s="20">
        <f>0</f>
        <v/>
      </c>
      <c r="W955" s="20">
        <f>0</f>
        <v/>
      </c>
      <c r="X955" s="20">
        <f>0</f>
        <v/>
      </c>
      <c r="Y955" s="20">
        <f>0</f>
        <v/>
      </c>
      <c r="Z955" s="20">
        <f>0</f>
        <v/>
      </c>
      <c r="AA955" s="20">
        <f>0</f>
        <v/>
      </c>
      <c r="AB955" s="20">
        <f>0</f>
        <v/>
      </c>
      <c r="AC955" s="20">
        <f>0</f>
        <v/>
      </c>
      <c r="AD955" s="20">
        <f>0</f>
        <v/>
      </c>
      <c r="AE955" s="20">
        <f>0</f>
        <v/>
      </c>
      <c r="AF955" s="20">
        <f>0</f>
        <v/>
      </c>
      <c r="AG955" s="20">
        <f>0</f>
        <v/>
      </c>
      <c r="AH955" s="20">
        <f>0</f>
        <v/>
      </c>
      <c r="AI955" s="20">
        <f>0</f>
        <v/>
      </c>
      <c r="AJ955" s="20">
        <f>0</f>
        <v/>
      </c>
      <c r="AK955" s="20">
        <f>0</f>
        <v/>
      </c>
      <c r="AL955" s="20">
        <f>0</f>
        <v/>
      </c>
      <c r="AM955" s="20">
        <f>0</f>
        <v/>
      </c>
      <c r="AN955" s="20">
        <f>0</f>
        <v/>
      </c>
      <c r="AO955" s="20">
        <f>0</f>
        <v/>
      </c>
      <c r="AP955" s="20">
        <f>0</f>
        <v/>
      </c>
      <c r="AQ955" s="20">
        <f>0</f>
        <v/>
      </c>
      <c r="AR955" s="20">
        <f>0</f>
        <v/>
      </c>
      <c r="AS955" s="20">
        <f>0</f>
        <v/>
      </c>
      <c r="AT955" s="20">
        <f>0</f>
        <v/>
      </c>
      <c r="AU955" s="20">
        <f>0</f>
        <v/>
      </c>
    </row>
    <row r="956">
      <c r="D956" t="inlineStr">
        <is>
          <t>R4 decommissioning surety cost</t>
        </is>
      </c>
      <c r="E956" t="inlineStr">
        <is>
          <t>USD m</t>
        </is>
      </c>
      <c r="J956" s="20">
        <f>Inputs!$F$236/100*Inputs!$F$126*Inputs!$F$121/1000*Time!J$9*Operations!J933</f>
        <v/>
      </c>
      <c r="K956" s="20">
        <f>Inputs!$F$236/100*Inputs!$F$126*Inputs!$F$121/1000*Time!K$9*Operations!K933</f>
        <v/>
      </c>
      <c r="L956" s="20">
        <f>Inputs!$F$236/100*Inputs!$F$126*Inputs!$F$121/1000*Time!L$9*Operations!L933</f>
        <v/>
      </c>
      <c r="M956" s="20">
        <f>Inputs!$F$236/100*Inputs!$F$126*Inputs!$F$121/1000*Time!M$9*Operations!M933</f>
        <v/>
      </c>
      <c r="N956" s="20">
        <f>Inputs!$F$236/100*Inputs!$F$126*Inputs!$F$121/1000*Time!N$9*Operations!N933</f>
        <v/>
      </c>
      <c r="O956" s="20">
        <f>Inputs!$F$236/100*Inputs!$F$126*Inputs!$F$121/1000*Time!O$9*Operations!O933</f>
        <v/>
      </c>
      <c r="P956" s="20">
        <f>Inputs!$F$236/100*Inputs!$F$126*Inputs!$F$121/1000*Time!P$9*Operations!P933</f>
        <v/>
      </c>
      <c r="Q956" s="20">
        <f>Inputs!$F$236/100*Inputs!$F$126*Inputs!$F$121/1000*Time!Q$9*Operations!Q933</f>
        <v/>
      </c>
      <c r="R956" s="20">
        <f>Inputs!$F$236/100*Inputs!$F$126*Inputs!$F$121/1000*Time!R$9*Operations!R933</f>
        <v/>
      </c>
      <c r="S956" s="20">
        <f>Inputs!$F$236/100*Inputs!$F$126*Inputs!$F$121/1000*Time!S$9*Operations!S933</f>
        <v/>
      </c>
      <c r="T956" s="20">
        <f>Inputs!$F$236/100*Inputs!$F$126*Inputs!$F$121/1000*Time!T$9*Operations!T933</f>
        <v/>
      </c>
      <c r="U956" s="20">
        <f>Inputs!$F$236/100*Inputs!$F$126*Inputs!$F$121/1000*Time!U$9*Operations!U933</f>
        <v/>
      </c>
      <c r="V956" s="20">
        <f>Inputs!$F$236/100*Inputs!$F$126*Inputs!$F$121/1000*Time!V$9*Operations!V933</f>
        <v/>
      </c>
      <c r="W956" s="20">
        <f>Inputs!$F$236/100*Inputs!$F$126*Inputs!$F$121/1000*Time!W$9*Operations!W933</f>
        <v/>
      </c>
      <c r="X956" s="20">
        <f>Inputs!$F$236/100*Inputs!$F$126*Inputs!$F$121/1000*Time!X$9*Operations!X933</f>
        <v/>
      </c>
      <c r="Y956" s="20">
        <f>Inputs!$F$236/100*Inputs!$F$126*Inputs!$F$121/1000*Time!Y$9*Operations!Y933</f>
        <v/>
      </c>
      <c r="Z956" s="20">
        <f>Inputs!$F$236/100*Inputs!$F$126*Inputs!$F$121/1000*Time!Z$9*Operations!Z933</f>
        <v/>
      </c>
      <c r="AA956" s="20">
        <f>Inputs!$F$236/100*Inputs!$F$126*Inputs!$F$121/1000*Time!AA$9*Operations!AA933</f>
        <v/>
      </c>
      <c r="AB956" s="20">
        <f>Inputs!$F$236/100*Inputs!$F$126*Inputs!$F$121/1000*Time!AB$9*Operations!AB933</f>
        <v/>
      </c>
      <c r="AC956" s="20">
        <f>Inputs!$F$236/100*Inputs!$F$126*Inputs!$F$121/1000*Time!AC$9*Operations!AC933</f>
        <v/>
      </c>
      <c r="AD956" s="20">
        <f>Inputs!$F$236/100*Inputs!$F$126*Inputs!$F$121/1000*Time!AD$9*Operations!AD933</f>
        <v/>
      </c>
      <c r="AE956" s="20">
        <f>Inputs!$F$236/100*Inputs!$F$126*Inputs!$F$121/1000*Time!AE$9*Operations!AE933</f>
        <v/>
      </c>
      <c r="AF956" s="20">
        <f>Inputs!$F$236/100*Inputs!$F$126*Inputs!$F$121/1000*Time!AF$9*Operations!AF933</f>
        <v/>
      </c>
      <c r="AG956" s="20">
        <f>Inputs!$F$236/100*Inputs!$F$126*Inputs!$F$121/1000*Time!AG$9*Operations!AG933</f>
        <v/>
      </c>
      <c r="AH956" s="20">
        <f>Inputs!$F$236/100*Inputs!$F$126*Inputs!$F$121/1000*Time!AH$9*Operations!AH933</f>
        <v/>
      </c>
      <c r="AI956" s="20">
        <f>Inputs!$F$236/100*Inputs!$F$126*Inputs!$F$121/1000*Time!AI$9*Operations!AI933</f>
        <v/>
      </c>
      <c r="AJ956" s="20">
        <f>Inputs!$F$236/100*Inputs!$F$126*Inputs!$F$121/1000*Time!AJ$9*Operations!AJ933</f>
        <v/>
      </c>
      <c r="AK956" s="20">
        <f>Inputs!$F$236/100*Inputs!$F$126*Inputs!$F$121/1000*Time!AK$9*Operations!AK933</f>
        <v/>
      </c>
      <c r="AL956" s="20">
        <f>Inputs!$F$236/100*Inputs!$F$126*Inputs!$F$121/1000*Time!AL$9*Operations!AL933</f>
        <v/>
      </c>
      <c r="AM956" s="20">
        <f>Inputs!$F$236/100*Inputs!$F$126*Inputs!$F$121/1000*Time!AM$9*Operations!AM933</f>
        <v/>
      </c>
      <c r="AN956" s="20">
        <f>Inputs!$F$236/100*Inputs!$F$126*Inputs!$F$121/1000*Time!AN$9*Operations!AN933</f>
        <v/>
      </c>
      <c r="AO956" s="20">
        <f>Inputs!$F$236/100*Inputs!$F$126*Inputs!$F$121/1000*Time!AO$9*Operations!AO933</f>
        <v/>
      </c>
      <c r="AP956" s="20">
        <f>Inputs!$F$236/100*Inputs!$F$126*Inputs!$F$121/1000*Time!AP$9*Operations!AP933</f>
        <v/>
      </c>
      <c r="AQ956" s="20">
        <f>Inputs!$F$236/100*Inputs!$F$126*Inputs!$F$121/1000*Time!AQ$9*Operations!AQ933</f>
        <v/>
      </c>
      <c r="AR956" s="20">
        <f>Inputs!$F$236/100*Inputs!$F$126*Inputs!$F$121/1000*Time!AR$9*Operations!AR933</f>
        <v/>
      </c>
      <c r="AS956" s="20">
        <f>Inputs!$F$236/100*Inputs!$F$126*Inputs!$F$121/1000*Time!AS$9*Operations!AS933</f>
        <v/>
      </c>
      <c r="AT956" s="20">
        <f>Inputs!$F$236/100*Inputs!$F$126*Inputs!$F$121/1000*Time!AT$9*Operations!AT933</f>
        <v/>
      </c>
      <c r="AU956" s="20">
        <f>Inputs!$F$236/100*Inputs!$F$126*Inputs!$F$121/1000*Time!AU$9*Operations!AU933</f>
        <v/>
      </c>
    </row>
    <row r="957">
      <c r="D957" t="inlineStr">
        <is>
          <t>R4 Texas margin tax</t>
        </is>
      </c>
      <c r="E957" t="inlineStr">
        <is>
          <t>USD m</t>
        </is>
      </c>
      <c r="J957" s="20">
        <f>Inputs!$F$237/100*Inputs!$F$238/100*Operations!J952</f>
        <v/>
      </c>
      <c r="K957" s="20">
        <f>Inputs!$F$237/100*Inputs!$F$238/100*Operations!K952</f>
        <v/>
      </c>
      <c r="L957" s="20">
        <f>Inputs!$F$237/100*Inputs!$F$238/100*Operations!L952</f>
        <v/>
      </c>
      <c r="M957" s="20">
        <f>Inputs!$F$237/100*Inputs!$F$238/100*Operations!M952</f>
        <v/>
      </c>
      <c r="N957" s="20">
        <f>Inputs!$F$237/100*Inputs!$F$238/100*Operations!N952</f>
        <v/>
      </c>
      <c r="O957" s="20">
        <f>Inputs!$F$237/100*Inputs!$F$238/100*Operations!O952</f>
        <v/>
      </c>
      <c r="P957" s="20">
        <f>Inputs!$F$237/100*Inputs!$F$238/100*Operations!P952</f>
        <v/>
      </c>
      <c r="Q957" s="20">
        <f>Inputs!$F$237/100*Inputs!$F$238/100*Operations!Q952</f>
        <v/>
      </c>
      <c r="R957" s="20">
        <f>Inputs!$F$237/100*Inputs!$F$238/100*Operations!R952</f>
        <v/>
      </c>
      <c r="S957" s="20">
        <f>Inputs!$F$237/100*Inputs!$F$238/100*Operations!S952</f>
        <v/>
      </c>
      <c r="T957" s="20">
        <f>Inputs!$F$237/100*Inputs!$F$238/100*Operations!T952</f>
        <v/>
      </c>
      <c r="U957" s="20">
        <f>Inputs!$F$237/100*Inputs!$F$238/100*Operations!U952</f>
        <v/>
      </c>
      <c r="V957" s="20">
        <f>Inputs!$F$237/100*Inputs!$F$238/100*Operations!V952</f>
        <v/>
      </c>
      <c r="W957" s="20">
        <f>Inputs!$F$237/100*Inputs!$F$238/100*Operations!W952</f>
        <v/>
      </c>
      <c r="X957" s="20">
        <f>Inputs!$F$237/100*Inputs!$F$238/100*Operations!X952</f>
        <v/>
      </c>
      <c r="Y957" s="20">
        <f>Inputs!$F$237/100*Inputs!$F$238/100*Operations!Y952</f>
        <v/>
      </c>
      <c r="Z957" s="20">
        <f>Inputs!$F$237/100*Inputs!$F$238/100*Operations!Z952</f>
        <v/>
      </c>
      <c r="AA957" s="20">
        <f>Inputs!$F$237/100*Inputs!$F$238/100*Operations!AA952</f>
        <v/>
      </c>
      <c r="AB957" s="20">
        <f>Inputs!$F$237/100*Inputs!$F$238/100*Operations!AB952</f>
        <v/>
      </c>
      <c r="AC957" s="20">
        <f>Inputs!$F$237/100*Inputs!$F$238/100*Operations!AC952</f>
        <v/>
      </c>
      <c r="AD957" s="20">
        <f>Inputs!$F$237/100*Inputs!$F$238/100*Operations!AD952</f>
        <v/>
      </c>
      <c r="AE957" s="20">
        <f>Inputs!$F$237/100*Inputs!$F$238/100*Operations!AE952</f>
        <v/>
      </c>
      <c r="AF957" s="20">
        <f>Inputs!$F$237/100*Inputs!$F$238/100*Operations!AF952</f>
        <v/>
      </c>
      <c r="AG957" s="20">
        <f>Inputs!$F$237/100*Inputs!$F$238/100*Operations!AG952</f>
        <v/>
      </c>
      <c r="AH957" s="20">
        <f>Inputs!$F$237/100*Inputs!$F$238/100*Operations!AH952</f>
        <v/>
      </c>
      <c r="AI957" s="20">
        <f>Inputs!$F$237/100*Inputs!$F$238/100*Operations!AI952</f>
        <v/>
      </c>
      <c r="AJ957" s="20">
        <f>Inputs!$F$237/100*Inputs!$F$238/100*Operations!AJ952</f>
        <v/>
      </c>
      <c r="AK957" s="20">
        <f>Inputs!$F$237/100*Inputs!$F$238/100*Operations!AK952</f>
        <v/>
      </c>
      <c r="AL957" s="20">
        <f>Inputs!$F$237/100*Inputs!$F$238/100*Operations!AL952</f>
        <v/>
      </c>
      <c r="AM957" s="20">
        <f>Inputs!$F$237/100*Inputs!$F$238/100*Operations!AM952</f>
        <v/>
      </c>
      <c r="AN957" s="20">
        <f>Inputs!$F$237/100*Inputs!$F$238/100*Operations!AN952</f>
        <v/>
      </c>
      <c r="AO957" s="20">
        <f>Inputs!$F$237/100*Inputs!$F$238/100*Operations!AO952</f>
        <v/>
      </c>
      <c r="AP957" s="20">
        <f>Inputs!$F$237/100*Inputs!$F$238/100*Operations!AP952</f>
        <v/>
      </c>
      <c r="AQ957" s="20">
        <f>Inputs!$F$237/100*Inputs!$F$238/100*Operations!AQ952</f>
        <v/>
      </c>
      <c r="AR957" s="20">
        <f>Inputs!$F$237/100*Inputs!$F$238/100*Operations!AR952</f>
        <v/>
      </c>
      <c r="AS957" s="20">
        <f>Inputs!$F$237/100*Inputs!$F$238/100*Operations!AS952</f>
        <v/>
      </c>
      <c r="AT957" s="20">
        <f>Inputs!$F$237/100*Inputs!$F$238/100*Operations!AT952</f>
        <v/>
      </c>
      <c r="AU957" s="20">
        <f>Inputs!$F$237/100*Inputs!$F$238/100*Operations!AU952</f>
        <v/>
      </c>
    </row>
    <row r="958">
      <c r="D958" t="inlineStr">
        <is>
          <t>R4 EBITDA</t>
        </is>
      </c>
      <c r="E958" t="inlineStr">
        <is>
          <t>USD m</t>
        </is>
      </c>
      <c r="G958" s="20">
        <f>SUM(J958:AU958)</f>
        <v/>
      </c>
      <c r="J958" s="20">
        <f>Operations!J952-Operations!J954-Operations!J955-Operations!J956-Operations!J957</f>
        <v/>
      </c>
      <c r="K958" s="20">
        <f>Operations!K952-Operations!K954-Operations!K955-Operations!K956-Operations!K957</f>
        <v/>
      </c>
      <c r="L958" s="20">
        <f>Operations!L952-Operations!L954-Operations!L955-Operations!L956-Operations!L957</f>
        <v/>
      </c>
      <c r="M958" s="20">
        <f>Operations!M952-Operations!M954-Operations!M955-Operations!M956-Operations!M957</f>
        <v/>
      </c>
      <c r="N958" s="20">
        <f>Operations!N952-Operations!N954-Operations!N955-Operations!N956-Operations!N957</f>
        <v/>
      </c>
      <c r="O958" s="20">
        <f>Operations!O952-Operations!O954-Operations!O955-Operations!O956-Operations!O957</f>
        <v/>
      </c>
      <c r="P958" s="20">
        <f>Operations!P952-Operations!P954-Operations!P955-Operations!P956-Operations!P957</f>
        <v/>
      </c>
      <c r="Q958" s="20">
        <f>Operations!Q952-Operations!Q954-Operations!Q955-Operations!Q956-Operations!Q957</f>
        <v/>
      </c>
      <c r="R958" s="20">
        <f>Operations!R952-Operations!R954-Operations!R955-Operations!R956-Operations!R957</f>
        <v/>
      </c>
      <c r="S958" s="20">
        <f>Operations!S952-Operations!S954-Operations!S955-Operations!S956-Operations!S957</f>
        <v/>
      </c>
      <c r="T958" s="20">
        <f>Operations!T952-Operations!T954-Operations!T955-Operations!T956-Operations!T957</f>
        <v/>
      </c>
      <c r="U958" s="20">
        <f>Operations!U952-Operations!U954-Operations!U955-Operations!U956-Operations!U957</f>
        <v/>
      </c>
      <c r="V958" s="20">
        <f>Operations!V952-Operations!V954-Operations!V955-Operations!V956-Operations!V957</f>
        <v/>
      </c>
      <c r="W958" s="20">
        <f>Operations!W952-Operations!W954-Operations!W955-Operations!W956-Operations!W957</f>
        <v/>
      </c>
      <c r="X958" s="20">
        <f>Operations!X952-Operations!X954-Operations!X955-Operations!X956-Operations!X957</f>
        <v/>
      </c>
      <c r="Y958" s="20">
        <f>Operations!Y952-Operations!Y954-Operations!Y955-Operations!Y956-Operations!Y957</f>
        <v/>
      </c>
      <c r="Z958" s="20">
        <f>Operations!Z952-Operations!Z954-Operations!Z955-Operations!Z956-Operations!Z957</f>
        <v/>
      </c>
      <c r="AA958" s="20">
        <f>Operations!AA952-Operations!AA954-Operations!AA955-Operations!AA956-Operations!AA957</f>
        <v/>
      </c>
      <c r="AB958" s="20">
        <f>Operations!AB952-Operations!AB954-Operations!AB955-Operations!AB956-Operations!AB957</f>
        <v/>
      </c>
      <c r="AC958" s="20">
        <f>Operations!AC952-Operations!AC954-Operations!AC955-Operations!AC956-Operations!AC957</f>
        <v/>
      </c>
      <c r="AD958" s="20">
        <f>Operations!AD952-Operations!AD954-Operations!AD955-Operations!AD956-Operations!AD957</f>
        <v/>
      </c>
      <c r="AE958" s="20">
        <f>Operations!AE952-Operations!AE954-Operations!AE955-Operations!AE956-Operations!AE957</f>
        <v/>
      </c>
      <c r="AF958" s="20">
        <f>Operations!AF952-Operations!AF954-Operations!AF955-Operations!AF956-Operations!AF957</f>
        <v/>
      </c>
      <c r="AG958" s="20">
        <f>Operations!AG952-Operations!AG954-Operations!AG955-Operations!AG956-Operations!AG957</f>
        <v/>
      </c>
      <c r="AH958" s="20">
        <f>Operations!AH952-Operations!AH954-Operations!AH955-Operations!AH956-Operations!AH957</f>
        <v/>
      </c>
      <c r="AI958" s="20">
        <f>Operations!AI952-Operations!AI954-Operations!AI955-Operations!AI956-Operations!AI957</f>
        <v/>
      </c>
      <c r="AJ958" s="20">
        <f>Operations!AJ952-Operations!AJ954-Operations!AJ955-Operations!AJ956-Operations!AJ957</f>
        <v/>
      </c>
      <c r="AK958" s="20">
        <f>Operations!AK952-Operations!AK954-Operations!AK955-Operations!AK956-Operations!AK957</f>
        <v/>
      </c>
      <c r="AL958" s="20">
        <f>Operations!AL952-Operations!AL954-Operations!AL955-Operations!AL956-Operations!AL957</f>
        <v/>
      </c>
      <c r="AM958" s="20">
        <f>Operations!AM952-Operations!AM954-Operations!AM955-Operations!AM956-Operations!AM957</f>
        <v/>
      </c>
      <c r="AN958" s="20">
        <f>Operations!AN952-Operations!AN954-Operations!AN955-Operations!AN956-Operations!AN957</f>
        <v/>
      </c>
      <c r="AO958" s="20">
        <f>Operations!AO952-Operations!AO954-Operations!AO955-Operations!AO956-Operations!AO957</f>
        <v/>
      </c>
      <c r="AP958" s="20">
        <f>Operations!AP952-Operations!AP954-Operations!AP955-Operations!AP956-Operations!AP957</f>
        <v/>
      </c>
      <c r="AQ958" s="20">
        <f>Operations!AQ952-Operations!AQ954-Operations!AQ955-Operations!AQ956-Operations!AQ957</f>
        <v/>
      </c>
      <c r="AR958" s="20">
        <f>Operations!AR952-Operations!AR954-Operations!AR955-Operations!AR956-Operations!AR957</f>
        <v/>
      </c>
      <c r="AS958" s="20">
        <f>Operations!AS952-Operations!AS954-Operations!AS955-Operations!AS956-Operations!AS957</f>
        <v/>
      </c>
      <c r="AT958" s="20">
        <f>Operations!AT952-Operations!AT954-Operations!AT955-Operations!AT956-Operations!AT957</f>
        <v/>
      </c>
      <c r="AU958" s="20">
        <f>Operations!AU952-Operations!AU954-Operations!AU955-Operations!AU956-Operations!AU957</f>
        <v/>
      </c>
    </row>
    <row r="959">
      <c r="D959" t="inlineStr">
        <is>
          <t>R4 capex</t>
        </is>
      </c>
      <c r="E959" t="inlineStr">
        <is>
          <t>USD m</t>
        </is>
      </c>
      <c r="J959" s="20">
        <f>0</f>
        <v/>
      </c>
      <c r="K959" s="20">
        <f>0</f>
        <v/>
      </c>
      <c r="L959" s="20">
        <f>0</f>
        <v/>
      </c>
      <c r="M959" s="20">
        <f>0</f>
        <v/>
      </c>
      <c r="N959" s="20">
        <f>0</f>
        <v/>
      </c>
      <c r="O959" s="20">
        <f>0</f>
        <v/>
      </c>
      <c r="P959" s="20">
        <f>0</f>
        <v/>
      </c>
      <c r="Q959" s="20">
        <f>0</f>
        <v/>
      </c>
      <c r="R959" s="20">
        <f>0</f>
        <v/>
      </c>
      <c r="S959" s="20">
        <f>0</f>
        <v/>
      </c>
      <c r="T959" s="20">
        <f>0</f>
        <v/>
      </c>
      <c r="U959" s="20">
        <f>0</f>
        <v/>
      </c>
      <c r="V959" s="20">
        <f>0</f>
        <v/>
      </c>
      <c r="W959" s="20">
        <f>0</f>
        <v/>
      </c>
      <c r="X959" s="20">
        <f>0</f>
        <v/>
      </c>
      <c r="Y959" s="20">
        <f>0</f>
        <v/>
      </c>
      <c r="Z959" s="20">
        <f>0</f>
        <v/>
      </c>
      <c r="AA959" s="20">
        <f>0</f>
        <v/>
      </c>
      <c r="AB959" s="20">
        <f>0</f>
        <v/>
      </c>
      <c r="AC959" s="20">
        <f>0</f>
        <v/>
      </c>
      <c r="AD959" s="20">
        <f>0</f>
        <v/>
      </c>
      <c r="AE959" s="20">
        <f>0</f>
        <v/>
      </c>
      <c r="AF959" s="20">
        <f>0</f>
        <v/>
      </c>
      <c r="AG959" s="20">
        <f>0</f>
        <v/>
      </c>
      <c r="AH959" s="20">
        <f>0</f>
        <v/>
      </c>
      <c r="AI959" s="20">
        <f>0</f>
        <v/>
      </c>
      <c r="AJ959" s="20">
        <f>0</f>
        <v/>
      </c>
      <c r="AK959" s="20">
        <f>0</f>
        <v/>
      </c>
      <c r="AL959" s="20">
        <f>0</f>
        <v/>
      </c>
      <c r="AM959" s="20">
        <f>0</f>
        <v/>
      </c>
      <c r="AN959" s="20">
        <f>0</f>
        <v/>
      </c>
      <c r="AO959" s="20">
        <f>0</f>
        <v/>
      </c>
      <c r="AP959" s="20">
        <f>0</f>
        <v/>
      </c>
      <c r="AQ959" s="20">
        <f>0</f>
        <v/>
      </c>
      <c r="AR959" s="20">
        <f>0</f>
        <v/>
      </c>
      <c r="AS959" s="20">
        <f>0</f>
        <v/>
      </c>
      <c r="AT959" s="20">
        <f>0</f>
        <v/>
      </c>
      <c r="AU959" s="20">
        <f>0</f>
        <v/>
      </c>
    </row>
    <row r="960">
      <c r="D960" t="inlineStr">
        <is>
          <t>R4 decommissioning at end of life</t>
        </is>
      </c>
      <c r="E960" t="inlineStr">
        <is>
          <t>USD m</t>
        </is>
      </c>
      <c r="J960" s="20">
        <f>IF(Time!J$4=YEAR(Inputs!$F$123),Inputs!$F$126*Inputs!$F$121/1000*Time!J$9,0)</f>
        <v/>
      </c>
      <c r="K960" s="20">
        <f>IF(Time!K$4=YEAR(Inputs!$F$123),Inputs!$F$126*Inputs!$F$121/1000*Time!K$9,0)</f>
        <v/>
      </c>
      <c r="L960" s="20">
        <f>IF(Time!L$4=YEAR(Inputs!$F$123),Inputs!$F$126*Inputs!$F$121/1000*Time!L$9,0)</f>
        <v/>
      </c>
      <c r="M960" s="20">
        <f>IF(Time!M$4=YEAR(Inputs!$F$123),Inputs!$F$126*Inputs!$F$121/1000*Time!M$9,0)</f>
        <v/>
      </c>
      <c r="N960" s="20">
        <f>IF(Time!N$4=YEAR(Inputs!$F$123),Inputs!$F$126*Inputs!$F$121/1000*Time!N$9,0)</f>
        <v/>
      </c>
      <c r="O960" s="20">
        <f>IF(Time!O$4=YEAR(Inputs!$F$123),Inputs!$F$126*Inputs!$F$121/1000*Time!O$9,0)</f>
        <v/>
      </c>
      <c r="P960" s="20">
        <f>IF(Time!P$4=YEAR(Inputs!$F$123),Inputs!$F$126*Inputs!$F$121/1000*Time!P$9,0)</f>
        <v/>
      </c>
      <c r="Q960" s="20">
        <f>IF(Time!Q$4=YEAR(Inputs!$F$123),Inputs!$F$126*Inputs!$F$121/1000*Time!Q$9,0)</f>
        <v/>
      </c>
      <c r="R960" s="20">
        <f>IF(Time!R$4=YEAR(Inputs!$F$123),Inputs!$F$126*Inputs!$F$121/1000*Time!R$9,0)</f>
        <v/>
      </c>
      <c r="S960" s="20">
        <f>IF(Time!S$4=YEAR(Inputs!$F$123),Inputs!$F$126*Inputs!$F$121/1000*Time!S$9,0)</f>
        <v/>
      </c>
      <c r="T960" s="20">
        <f>IF(Time!T$4=YEAR(Inputs!$F$123),Inputs!$F$126*Inputs!$F$121/1000*Time!T$9,0)</f>
        <v/>
      </c>
      <c r="U960" s="20">
        <f>IF(Time!U$4=YEAR(Inputs!$F$123),Inputs!$F$126*Inputs!$F$121/1000*Time!U$9,0)</f>
        <v/>
      </c>
      <c r="V960" s="20">
        <f>IF(Time!V$4=YEAR(Inputs!$F$123),Inputs!$F$126*Inputs!$F$121/1000*Time!V$9,0)</f>
        <v/>
      </c>
      <c r="W960" s="20">
        <f>IF(Time!W$4=YEAR(Inputs!$F$123),Inputs!$F$126*Inputs!$F$121/1000*Time!W$9,0)</f>
        <v/>
      </c>
      <c r="X960" s="20">
        <f>IF(Time!X$4=YEAR(Inputs!$F$123),Inputs!$F$126*Inputs!$F$121/1000*Time!X$9,0)</f>
        <v/>
      </c>
      <c r="Y960" s="20">
        <f>IF(Time!Y$4=YEAR(Inputs!$F$123),Inputs!$F$126*Inputs!$F$121/1000*Time!Y$9,0)</f>
        <v/>
      </c>
      <c r="Z960" s="20">
        <f>IF(Time!Z$4=YEAR(Inputs!$F$123),Inputs!$F$126*Inputs!$F$121/1000*Time!Z$9,0)</f>
        <v/>
      </c>
      <c r="AA960" s="20">
        <f>IF(Time!AA$4=YEAR(Inputs!$F$123),Inputs!$F$126*Inputs!$F$121/1000*Time!AA$9,0)</f>
        <v/>
      </c>
      <c r="AB960" s="20">
        <f>IF(Time!AB$4=YEAR(Inputs!$F$123),Inputs!$F$126*Inputs!$F$121/1000*Time!AB$9,0)</f>
        <v/>
      </c>
      <c r="AC960" s="20">
        <f>IF(Time!AC$4=YEAR(Inputs!$F$123),Inputs!$F$126*Inputs!$F$121/1000*Time!AC$9,0)</f>
        <v/>
      </c>
      <c r="AD960" s="20">
        <f>IF(Time!AD$4=YEAR(Inputs!$F$123),Inputs!$F$126*Inputs!$F$121/1000*Time!AD$9,0)</f>
        <v/>
      </c>
      <c r="AE960" s="20">
        <f>IF(Time!AE$4=YEAR(Inputs!$F$123),Inputs!$F$126*Inputs!$F$121/1000*Time!AE$9,0)</f>
        <v/>
      </c>
      <c r="AF960" s="20">
        <f>IF(Time!AF$4=YEAR(Inputs!$F$123),Inputs!$F$126*Inputs!$F$121/1000*Time!AF$9,0)</f>
        <v/>
      </c>
      <c r="AG960" s="20">
        <f>IF(Time!AG$4=YEAR(Inputs!$F$123),Inputs!$F$126*Inputs!$F$121/1000*Time!AG$9,0)</f>
        <v/>
      </c>
      <c r="AH960" s="20">
        <f>IF(Time!AH$4=YEAR(Inputs!$F$123),Inputs!$F$126*Inputs!$F$121/1000*Time!AH$9,0)</f>
        <v/>
      </c>
      <c r="AI960" s="20">
        <f>IF(Time!AI$4=YEAR(Inputs!$F$123),Inputs!$F$126*Inputs!$F$121/1000*Time!AI$9,0)</f>
        <v/>
      </c>
      <c r="AJ960" s="20">
        <f>IF(Time!AJ$4=YEAR(Inputs!$F$123),Inputs!$F$126*Inputs!$F$121/1000*Time!AJ$9,0)</f>
        <v/>
      </c>
      <c r="AK960" s="20">
        <f>IF(Time!AK$4=YEAR(Inputs!$F$123),Inputs!$F$126*Inputs!$F$121/1000*Time!AK$9,0)</f>
        <v/>
      </c>
      <c r="AL960" s="20">
        <f>IF(Time!AL$4=YEAR(Inputs!$F$123),Inputs!$F$126*Inputs!$F$121/1000*Time!AL$9,0)</f>
        <v/>
      </c>
      <c r="AM960" s="20">
        <f>IF(Time!AM$4=YEAR(Inputs!$F$123),Inputs!$F$126*Inputs!$F$121/1000*Time!AM$9,0)</f>
        <v/>
      </c>
      <c r="AN960" s="20">
        <f>IF(Time!AN$4=YEAR(Inputs!$F$123),Inputs!$F$126*Inputs!$F$121/1000*Time!AN$9,0)</f>
        <v/>
      </c>
      <c r="AO960" s="20">
        <f>IF(Time!AO$4=YEAR(Inputs!$F$123),Inputs!$F$126*Inputs!$F$121/1000*Time!AO$9,0)</f>
        <v/>
      </c>
      <c r="AP960" s="20">
        <f>IF(Time!AP$4=YEAR(Inputs!$F$123),Inputs!$F$126*Inputs!$F$121/1000*Time!AP$9,0)</f>
        <v/>
      </c>
      <c r="AQ960" s="20">
        <f>IF(Time!AQ$4=YEAR(Inputs!$F$123),Inputs!$F$126*Inputs!$F$121/1000*Time!AQ$9,0)</f>
        <v/>
      </c>
      <c r="AR960" s="20">
        <f>IF(Time!AR$4=YEAR(Inputs!$F$123),Inputs!$F$126*Inputs!$F$121/1000*Time!AR$9,0)</f>
        <v/>
      </c>
      <c r="AS960" s="20">
        <f>IF(Time!AS$4=YEAR(Inputs!$F$123),Inputs!$F$126*Inputs!$F$121/1000*Time!AS$9,0)</f>
        <v/>
      </c>
      <c r="AT960" s="20">
        <f>IF(Time!AT$4=YEAR(Inputs!$F$123),Inputs!$F$126*Inputs!$F$121/1000*Time!AT$9,0)</f>
        <v/>
      </c>
      <c r="AU960" s="20">
        <f>IF(Time!AU$4=YEAR(Inputs!$F$123),Inputs!$F$126*Inputs!$F$121/1000*Time!AU$9,0)</f>
        <v/>
      </c>
    </row>
    <row r="961">
      <c r="D961" t="inlineStr">
        <is>
          <t>R4 pre-tax cash flow, 100% of asset</t>
        </is>
      </c>
      <c r="E961" t="inlineStr">
        <is>
          <t>USD m</t>
        </is>
      </c>
      <c r="G961" s="20">
        <f>SUM(J961:AU961)</f>
        <v/>
      </c>
      <c r="J961" s="20">
        <f>Operations!J958-Operations!J959-Operations!J960</f>
        <v/>
      </c>
      <c r="K961" s="20">
        <f>Operations!K958-Operations!K959-Operations!K960</f>
        <v/>
      </c>
      <c r="L961" s="20">
        <f>Operations!L958-Operations!L959-Operations!L960</f>
        <v/>
      </c>
      <c r="M961" s="20">
        <f>Operations!M958-Operations!M959-Operations!M960</f>
        <v/>
      </c>
      <c r="N961" s="20">
        <f>Operations!N958-Operations!N959-Operations!N960</f>
        <v/>
      </c>
      <c r="O961" s="20">
        <f>Operations!O958-Operations!O959-Operations!O960</f>
        <v/>
      </c>
      <c r="P961" s="20">
        <f>Operations!P958-Operations!P959-Operations!P960</f>
        <v/>
      </c>
      <c r="Q961" s="20">
        <f>Operations!Q958-Operations!Q959-Operations!Q960</f>
        <v/>
      </c>
      <c r="R961" s="20">
        <f>Operations!R958-Operations!R959-Operations!R960</f>
        <v/>
      </c>
      <c r="S961" s="20">
        <f>Operations!S958-Operations!S959-Operations!S960</f>
        <v/>
      </c>
      <c r="T961" s="20">
        <f>Operations!T958-Operations!T959-Operations!T960</f>
        <v/>
      </c>
      <c r="U961" s="20">
        <f>Operations!U958-Operations!U959-Operations!U960</f>
        <v/>
      </c>
      <c r="V961" s="20">
        <f>Operations!V958-Operations!V959-Operations!V960</f>
        <v/>
      </c>
      <c r="W961" s="20">
        <f>Operations!W958-Operations!W959-Operations!W960</f>
        <v/>
      </c>
      <c r="X961" s="20">
        <f>Operations!X958-Operations!X959-Operations!X960</f>
        <v/>
      </c>
      <c r="Y961" s="20">
        <f>Operations!Y958-Operations!Y959-Operations!Y960</f>
        <v/>
      </c>
      <c r="Z961" s="20">
        <f>Operations!Z958-Operations!Z959-Operations!Z960</f>
        <v/>
      </c>
      <c r="AA961" s="20">
        <f>Operations!AA958-Operations!AA959-Operations!AA960</f>
        <v/>
      </c>
      <c r="AB961" s="20">
        <f>Operations!AB958-Operations!AB959-Operations!AB960</f>
        <v/>
      </c>
      <c r="AC961" s="20">
        <f>Operations!AC958-Operations!AC959-Operations!AC960</f>
        <v/>
      </c>
      <c r="AD961" s="20">
        <f>Operations!AD958-Operations!AD959-Operations!AD960</f>
        <v/>
      </c>
      <c r="AE961" s="20">
        <f>Operations!AE958-Operations!AE959-Operations!AE960</f>
        <v/>
      </c>
      <c r="AF961" s="20">
        <f>Operations!AF958-Operations!AF959-Operations!AF960</f>
        <v/>
      </c>
      <c r="AG961" s="20">
        <f>Operations!AG958-Operations!AG959-Operations!AG960</f>
        <v/>
      </c>
      <c r="AH961" s="20">
        <f>Operations!AH958-Operations!AH959-Operations!AH960</f>
        <v/>
      </c>
      <c r="AI961" s="20">
        <f>Operations!AI958-Operations!AI959-Operations!AI960</f>
        <v/>
      </c>
      <c r="AJ961" s="20">
        <f>Operations!AJ958-Operations!AJ959-Operations!AJ960</f>
        <v/>
      </c>
      <c r="AK961" s="20">
        <f>Operations!AK958-Operations!AK959-Operations!AK960</f>
        <v/>
      </c>
      <c r="AL961" s="20">
        <f>Operations!AL958-Operations!AL959-Operations!AL960</f>
        <v/>
      </c>
      <c r="AM961" s="20">
        <f>Operations!AM958-Operations!AM959-Operations!AM960</f>
        <v/>
      </c>
      <c r="AN961" s="20">
        <f>Operations!AN958-Operations!AN959-Operations!AN960</f>
        <v/>
      </c>
      <c r="AO961" s="20">
        <f>Operations!AO958-Operations!AO959-Operations!AO960</f>
        <v/>
      </c>
      <c r="AP961" s="20">
        <f>Operations!AP958-Operations!AP959-Operations!AP960</f>
        <v/>
      </c>
      <c r="AQ961" s="20">
        <f>Operations!AQ958-Operations!AQ959-Operations!AQ960</f>
        <v/>
      </c>
      <c r="AR961" s="20">
        <f>Operations!AR958-Operations!AR959-Operations!AR960</f>
        <v/>
      </c>
      <c r="AS961" s="20">
        <f>Operations!AS958-Operations!AS959-Operations!AS960</f>
        <v/>
      </c>
      <c r="AT961" s="20">
        <f>Operations!AT958-Operations!AT959-Operations!AT960</f>
        <v/>
      </c>
      <c r="AU961" s="20">
        <f>Operations!AU958-Operations!AU959-Operations!AU960</f>
        <v/>
      </c>
    </row>
    <row r="962">
      <c r="D962" t="inlineStr">
        <is>
          <t>R4 tax equity cash share</t>
        </is>
      </c>
      <c r="E962" t="inlineStr">
        <is>
          <t>fraction</t>
        </is>
      </c>
      <c r="J962" s="14">
        <f>0</f>
        <v/>
      </c>
      <c r="K962" s="14">
        <f>0</f>
        <v/>
      </c>
      <c r="L962" s="14">
        <f>0</f>
        <v/>
      </c>
      <c r="M962" s="14">
        <f>0</f>
        <v/>
      </c>
      <c r="N962" s="14">
        <f>0</f>
        <v/>
      </c>
      <c r="O962" s="14">
        <f>0</f>
        <v/>
      </c>
      <c r="P962" s="14">
        <f>0</f>
        <v/>
      </c>
      <c r="Q962" s="14">
        <f>0</f>
        <v/>
      </c>
      <c r="R962" s="14">
        <f>0</f>
        <v/>
      </c>
      <c r="S962" s="14">
        <f>0</f>
        <v/>
      </c>
      <c r="T962" s="14">
        <f>0</f>
        <v/>
      </c>
      <c r="U962" s="14">
        <f>0</f>
        <v/>
      </c>
      <c r="V962" s="14">
        <f>0</f>
        <v/>
      </c>
      <c r="W962" s="14">
        <f>0</f>
        <v/>
      </c>
      <c r="X962" s="14">
        <f>0</f>
        <v/>
      </c>
      <c r="Y962" s="14">
        <f>0</f>
        <v/>
      </c>
      <c r="Z962" s="14">
        <f>0</f>
        <v/>
      </c>
      <c r="AA962" s="14">
        <f>0</f>
        <v/>
      </c>
      <c r="AB962" s="14">
        <f>0</f>
        <v/>
      </c>
      <c r="AC962" s="14">
        <f>0</f>
        <v/>
      </c>
      <c r="AD962" s="14">
        <f>0</f>
        <v/>
      </c>
      <c r="AE962" s="14">
        <f>0</f>
        <v/>
      </c>
      <c r="AF962" s="14">
        <f>0</f>
        <v/>
      </c>
      <c r="AG962" s="14">
        <f>0</f>
        <v/>
      </c>
      <c r="AH962" s="14">
        <f>0</f>
        <v/>
      </c>
      <c r="AI962" s="14">
        <f>0</f>
        <v/>
      </c>
      <c r="AJ962" s="14">
        <f>0</f>
        <v/>
      </c>
      <c r="AK962" s="14">
        <f>0</f>
        <v/>
      </c>
      <c r="AL962" s="14">
        <f>0</f>
        <v/>
      </c>
      <c r="AM962" s="14">
        <f>0</f>
        <v/>
      </c>
      <c r="AN962" s="14">
        <f>0</f>
        <v/>
      </c>
      <c r="AO962" s="14">
        <f>0</f>
        <v/>
      </c>
      <c r="AP962" s="14">
        <f>0</f>
        <v/>
      </c>
      <c r="AQ962" s="14">
        <f>0</f>
        <v/>
      </c>
      <c r="AR962" s="14">
        <f>0</f>
        <v/>
      </c>
      <c r="AS962" s="14">
        <f>0</f>
        <v/>
      </c>
      <c r="AT962" s="14">
        <f>0</f>
        <v/>
      </c>
      <c r="AU962" s="14">
        <f>0</f>
        <v/>
      </c>
    </row>
    <row r="963">
      <c r="D963" t="inlineStr">
        <is>
          <t>R4 Mesa share of taxable income</t>
        </is>
      </c>
      <c r="E963" t="inlineStr">
        <is>
          <t>fraction</t>
        </is>
      </c>
      <c r="J963" s="14">
        <f>1</f>
        <v/>
      </c>
      <c r="K963" s="14">
        <f>1</f>
        <v/>
      </c>
      <c r="L963" s="14">
        <f>1</f>
        <v/>
      </c>
      <c r="M963" s="14">
        <f>1</f>
        <v/>
      </c>
      <c r="N963" s="14">
        <f>1</f>
        <v/>
      </c>
      <c r="O963" s="14">
        <f>1</f>
        <v/>
      </c>
      <c r="P963" s="14">
        <f>1</f>
        <v/>
      </c>
      <c r="Q963" s="14">
        <f>1</f>
        <v/>
      </c>
      <c r="R963" s="14">
        <f>1</f>
        <v/>
      </c>
      <c r="S963" s="14">
        <f>1</f>
        <v/>
      </c>
      <c r="T963" s="14">
        <f>1</f>
        <v/>
      </c>
      <c r="U963" s="14">
        <f>1</f>
        <v/>
      </c>
      <c r="V963" s="14">
        <f>1</f>
        <v/>
      </c>
      <c r="W963" s="14">
        <f>1</f>
        <v/>
      </c>
      <c r="X963" s="14">
        <f>1</f>
        <v/>
      </c>
      <c r="Y963" s="14">
        <f>1</f>
        <v/>
      </c>
      <c r="Z963" s="14">
        <f>1</f>
        <v/>
      </c>
      <c r="AA963" s="14">
        <f>1</f>
        <v/>
      </c>
      <c r="AB963" s="14">
        <f>1</f>
        <v/>
      </c>
      <c r="AC963" s="14">
        <f>1</f>
        <v/>
      </c>
      <c r="AD963" s="14">
        <f>1</f>
        <v/>
      </c>
      <c r="AE963" s="14">
        <f>1</f>
        <v/>
      </c>
      <c r="AF963" s="14">
        <f>1</f>
        <v/>
      </c>
      <c r="AG963" s="14">
        <f>1</f>
        <v/>
      </c>
      <c r="AH963" s="14">
        <f>1</f>
        <v/>
      </c>
      <c r="AI963" s="14">
        <f>1</f>
        <v/>
      </c>
      <c r="AJ963" s="14">
        <f>1</f>
        <v/>
      </c>
      <c r="AK963" s="14">
        <f>1</f>
        <v/>
      </c>
      <c r="AL963" s="14">
        <f>1</f>
        <v/>
      </c>
      <c r="AM963" s="14">
        <f>1</f>
        <v/>
      </c>
      <c r="AN963" s="14">
        <f>1</f>
        <v/>
      </c>
      <c r="AO963" s="14">
        <f>1</f>
        <v/>
      </c>
      <c r="AP963" s="14">
        <f>1</f>
        <v/>
      </c>
      <c r="AQ963" s="14">
        <f>1</f>
        <v/>
      </c>
      <c r="AR963" s="14">
        <f>1</f>
        <v/>
      </c>
      <c r="AS963" s="14">
        <f>1</f>
        <v/>
      </c>
      <c r="AT963" s="14">
        <f>1</f>
        <v/>
      </c>
      <c r="AU963" s="14">
        <f>1</f>
        <v/>
      </c>
    </row>
    <row r="964">
      <c r="D964" t="inlineStr">
        <is>
          <t>R4 Mesa share of cash flow</t>
        </is>
      </c>
      <c r="E964" t="inlineStr">
        <is>
          <t>USD m</t>
        </is>
      </c>
      <c r="G964" s="20">
        <f>SUM(J964:AU964)</f>
        <v/>
      </c>
      <c r="J964" s="20">
        <f>Operations!J961*(1-Operations!J962)*Operations!J935</f>
        <v/>
      </c>
      <c r="K964" s="20">
        <f>Operations!K961*(1-Operations!K962)*Operations!K935</f>
        <v/>
      </c>
      <c r="L964" s="20">
        <f>Operations!L961*(1-Operations!L962)*Operations!L935</f>
        <v/>
      </c>
      <c r="M964" s="20">
        <f>Operations!M961*(1-Operations!M962)*Operations!M935</f>
        <v/>
      </c>
      <c r="N964" s="20">
        <f>Operations!N961*(1-Operations!N962)*Operations!N935</f>
        <v/>
      </c>
      <c r="O964" s="20">
        <f>Operations!O961*(1-Operations!O962)*Operations!O935</f>
        <v/>
      </c>
      <c r="P964" s="20">
        <f>Operations!P961*(1-Operations!P962)*Operations!P935</f>
        <v/>
      </c>
      <c r="Q964" s="20">
        <f>Operations!Q961*(1-Operations!Q962)*Operations!Q935</f>
        <v/>
      </c>
      <c r="R964" s="20">
        <f>Operations!R961*(1-Operations!R962)*Operations!R935</f>
        <v/>
      </c>
      <c r="S964" s="20">
        <f>Operations!S961*(1-Operations!S962)*Operations!S935</f>
        <v/>
      </c>
      <c r="T964" s="20">
        <f>Operations!T961*(1-Operations!T962)*Operations!T935</f>
        <v/>
      </c>
      <c r="U964" s="20">
        <f>Operations!U961*(1-Operations!U962)*Operations!U935</f>
        <v/>
      </c>
      <c r="V964" s="20">
        <f>Operations!V961*(1-Operations!V962)*Operations!V935</f>
        <v/>
      </c>
      <c r="W964" s="20">
        <f>Operations!W961*(1-Operations!W962)*Operations!W935</f>
        <v/>
      </c>
      <c r="X964" s="20">
        <f>Operations!X961*(1-Operations!X962)*Operations!X935</f>
        <v/>
      </c>
      <c r="Y964" s="20">
        <f>Operations!Y961*(1-Operations!Y962)*Operations!Y935</f>
        <v/>
      </c>
      <c r="Z964" s="20">
        <f>Operations!Z961*(1-Operations!Z962)*Operations!Z935</f>
        <v/>
      </c>
      <c r="AA964" s="20">
        <f>Operations!AA961*(1-Operations!AA962)*Operations!AA935</f>
        <v/>
      </c>
      <c r="AB964" s="20">
        <f>Operations!AB961*(1-Operations!AB962)*Operations!AB935</f>
        <v/>
      </c>
      <c r="AC964" s="20">
        <f>Operations!AC961*(1-Operations!AC962)*Operations!AC935</f>
        <v/>
      </c>
      <c r="AD964" s="20">
        <f>Operations!AD961*(1-Operations!AD962)*Operations!AD935</f>
        <v/>
      </c>
      <c r="AE964" s="20">
        <f>Operations!AE961*(1-Operations!AE962)*Operations!AE935</f>
        <v/>
      </c>
      <c r="AF964" s="20">
        <f>Operations!AF961*(1-Operations!AF962)*Operations!AF935</f>
        <v/>
      </c>
      <c r="AG964" s="20">
        <f>Operations!AG961*(1-Operations!AG962)*Operations!AG935</f>
        <v/>
      </c>
      <c r="AH964" s="20">
        <f>Operations!AH961*(1-Operations!AH962)*Operations!AH935</f>
        <v/>
      </c>
      <c r="AI964" s="20">
        <f>Operations!AI961*(1-Operations!AI962)*Operations!AI935</f>
        <v/>
      </c>
      <c r="AJ964" s="20">
        <f>Operations!AJ961*(1-Operations!AJ962)*Operations!AJ935</f>
        <v/>
      </c>
      <c r="AK964" s="20">
        <f>Operations!AK961*(1-Operations!AK962)*Operations!AK935</f>
        <v/>
      </c>
      <c r="AL964" s="20">
        <f>Operations!AL961*(1-Operations!AL962)*Operations!AL935</f>
        <v/>
      </c>
      <c r="AM964" s="20">
        <f>Operations!AM961*(1-Operations!AM962)*Operations!AM935</f>
        <v/>
      </c>
      <c r="AN964" s="20">
        <f>Operations!AN961*(1-Operations!AN962)*Operations!AN935</f>
        <v/>
      </c>
      <c r="AO964" s="20">
        <f>Operations!AO961*(1-Operations!AO962)*Operations!AO935</f>
        <v/>
      </c>
      <c r="AP964" s="20">
        <f>Operations!AP961*(1-Operations!AP962)*Operations!AP935</f>
        <v/>
      </c>
      <c r="AQ964" s="20">
        <f>Operations!AQ961*(1-Operations!AQ962)*Operations!AQ935</f>
        <v/>
      </c>
      <c r="AR964" s="20">
        <f>Operations!AR961*(1-Operations!AR962)*Operations!AR935</f>
        <v/>
      </c>
      <c r="AS964" s="20">
        <f>Operations!AS961*(1-Operations!AS962)*Operations!AS935</f>
        <v/>
      </c>
      <c r="AT964" s="20">
        <f>Operations!AT961*(1-Operations!AT962)*Operations!AT935</f>
        <v/>
      </c>
      <c r="AU964" s="20">
        <f>Operations!AU961*(1-Operations!AU962)*Operations!AU935</f>
        <v/>
      </c>
    </row>
    <row r="965">
      <c r="D965" t="inlineStr">
        <is>
          <t>R4 Mesa taxable operating income</t>
        </is>
      </c>
      <c r="E965" t="inlineStr">
        <is>
          <t>USD m</t>
        </is>
      </c>
      <c r="J965" s="20">
        <f>Operations!J961*Operations!J963*Operations!J935</f>
        <v/>
      </c>
      <c r="K965" s="20">
        <f>Operations!K961*Operations!K963*Operations!K935</f>
        <v/>
      </c>
      <c r="L965" s="20">
        <f>Operations!L961*Operations!L963*Operations!L935</f>
        <v/>
      </c>
      <c r="M965" s="20">
        <f>Operations!M961*Operations!M963*Operations!M935</f>
        <v/>
      </c>
      <c r="N965" s="20">
        <f>Operations!N961*Operations!N963*Operations!N935</f>
        <v/>
      </c>
      <c r="O965" s="20">
        <f>Operations!O961*Operations!O963*Operations!O935</f>
        <v/>
      </c>
      <c r="P965" s="20">
        <f>Operations!P961*Operations!P963*Operations!P935</f>
        <v/>
      </c>
      <c r="Q965" s="20">
        <f>Operations!Q961*Operations!Q963*Operations!Q935</f>
        <v/>
      </c>
      <c r="R965" s="20">
        <f>Operations!R961*Operations!R963*Operations!R935</f>
        <v/>
      </c>
      <c r="S965" s="20">
        <f>Operations!S961*Operations!S963*Operations!S935</f>
        <v/>
      </c>
      <c r="T965" s="20">
        <f>Operations!T961*Operations!T963*Operations!T935</f>
        <v/>
      </c>
      <c r="U965" s="20">
        <f>Operations!U961*Operations!U963*Operations!U935</f>
        <v/>
      </c>
      <c r="V965" s="20">
        <f>Operations!V961*Operations!V963*Operations!V935</f>
        <v/>
      </c>
      <c r="W965" s="20">
        <f>Operations!W961*Operations!W963*Operations!W935</f>
        <v/>
      </c>
      <c r="X965" s="20">
        <f>Operations!X961*Operations!X963*Operations!X935</f>
        <v/>
      </c>
      <c r="Y965" s="20">
        <f>Operations!Y961*Operations!Y963*Operations!Y935</f>
        <v/>
      </c>
      <c r="Z965" s="20">
        <f>Operations!Z961*Operations!Z963*Operations!Z935</f>
        <v/>
      </c>
      <c r="AA965" s="20">
        <f>Operations!AA961*Operations!AA963*Operations!AA935</f>
        <v/>
      </c>
      <c r="AB965" s="20">
        <f>Operations!AB961*Operations!AB963*Operations!AB935</f>
        <v/>
      </c>
      <c r="AC965" s="20">
        <f>Operations!AC961*Operations!AC963*Operations!AC935</f>
        <v/>
      </c>
      <c r="AD965" s="20">
        <f>Operations!AD961*Operations!AD963*Operations!AD935</f>
        <v/>
      </c>
      <c r="AE965" s="20">
        <f>Operations!AE961*Operations!AE963*Operations!AE935</f>
        <v/>
      </c>
      <c r="AF965" s="20">
        <f>Operations!AF961*Operations!AF963*Operations!AF935</f>
        <v/>
      </c>
      <c r="AG965" s="20">
        <f>Operations!AG961*Operations!AG963*Operations!AG935</f>
        <v/>
      </c>
      <c r="AH965" s="20">
        <f>Operations!AH961*Operations!AH963*Operations!AH935</f>
        <v/>
      </c>
      <c r="AI965" s="20">
        <f>Operations!AI961*Operations!AI963*Operations!AI935</f>
        <v/>
      </c>
      <c r="AJ965" s="20">
        <f>Operations!AJ961*Operations!AJ963*Operations!AJ935</f>
        <v/>
      </c>
      <c r="AK965" s="20">
        <f>Operations!AK961*Operations!AK963*Operations!AK935</f>
        <v/>
      </c>
      <c r="AL965" s="20">
        <f>Operations!AL961*Operations!AL963*Operations!AL935</f>
        <v/>
      </c>
      <c r="AM965" s="20">
        <f>Operations!AM961*Operations!AM963*Operations!AM935</f>
        <v/>
      </c>
      <c r="AN965" s="20">
        <f>Operations!AN961*Operations!AN963*Operations!AN935</f>
        <v/>
      </c>
      <c r="AO965" s="20">
        <f>Operations!AO961*Operations!AO963*Operations!AO935</f>
        <v/>
      </c>
      <c r="AP965" s="20">
        <f>Operations!AP961*Operations!AP963*Operations!AP935</f>
        <v/>
      </c>
      <c r="AQ965" s="20">
        <f>Operations!AQ961*Operations!AQ963*Operations!AQ935</f>
        <v/>
      </c>
      <c r="AR965" s="20">
        <f>Operations!AR961*Operations!AR963*Operations!AR935</f>
        <v/>
      </c>
      <c r="AS965" s="20">
        <f>Operations!AS961*Operations!AS963*Operations!AS935</f>
        <v/>
      </c>
      <c r="AT965" s="20">
        <f>Operations!AT961*Operations!AT963*Operations!AT935</f>
        <v/>
      </c>
      <c r="AU965" s="20">
        <f>Operations!AU961*Operations!AU963*Operations!AU935</f>
        <v/>
      </c>
    </row>
    <row r="966">
      <c r="D966" t="inlineStr">
        <is>
          <t>R4 Mesa unlevered post-tax cash flow (before price shield)</t>
        </is>
      </c>
      <c r="E966" t="inlineStr">
        <is>
          <t>USD m</t>
        </is>
      </c>
      <c r="J966" s="20">
        <f>Operations!J964-Inputs!$F$241/100*Operations!J965</f>
        <v/>
      </c>
      <c r="K966" s="20">
        <f>Operations!K964-Inputs!$F$241/100*Operations!K965</f>
        <v/>
      </c>
      <c r="L966" s="20">
        <f>Operations!L964-Inputs!$F$241/100*Operations!L965</f>
        <v/>
      </c>
      <c r="M966" s="20">
        <f>Operations!M964-Inputs!$F$241/100*Operations!M965</f>
        <v/>
      </c>
      <c r="N966" s="20">
        <f>Operations!N964-Inputs!$F$241/100*Operations!N965</f>
        <v/>
      </c>
      <c r="O966" s="20">
        <f>Operations!O964-Inputs!$F$241/100*Operations!O965</f>
        <v/>
      </c>
      <c r="P966" s="20">
        <f>Operations!P964-Inputs!$F$241/100*Operations!P965</f>
        <v/>
      </c>
      <c r="Q966" s="20">
        <f>Operations!Q964-Inputs!$F$241/100*Operations!Q965</f>
        <v/>
      </c>
      <c r="R966" s="20">
        <f>Operations!R964-Inputs!$F$241/100*Operations!R965</f>
        <v/>
      </c>
      <c r="S966" s="20">
        <f>Operations!S964-Inputs!$F$241/100*Operations!S965</f>
        <v/>
      </c>
      <c r="T966" s="20">
        <f>Operations!T964-Inputs!$F$241/100*Operations!T965</f>
        <v/>
      </c>
      <c r="U966" s="20">
        <f>Operations!U964-Inputs!$F$241/100*Operations!U965</f>
        <v/>
      </c>
      <c r="V966" s="20">
        <f>Operations!V964-Inputs!$F$241/100*Operations!V965</f>
        <v/>
      </c>
      <c r="W966" s="20">
        <f>Operations!W964-Inputs!$F$241/100*Operations!W965</f>
        <v/>
      </c>
      <c r="X966" s="20">
        <f>Operations!X964-Inputs!$F$241/100*Operations!X965</f>
        <v/>
      </c>
      <c r="Y966" s="20">
        <f>Operations!Y964-Inputs!$F$241/100*Operations!Y965</f>
        <v/>
      </c>
      <c r="Z966" s="20">
        <f>Operations!Z964-Inputs!$F$241/100*Operations!Z965</f>
        <v/>
      </c>
      <c r="AA966" s="20">
        <f>Operations!AA964-Inputs!$F$241/100*Operations!AA965</f>
        <v/>
      </c>
      <c r="AB966" s="20">
        <f>Operations!AB964-Inputs!$F$241/100*Operations!AB965</f>
        <v/>
      </c>
      <c r="AC966" s="20">
        <f>Operations!AC964-Inputs!$F$241/100*Operations!AC965</f>
        <v/>
      </c>
      <c r="AD966" s="20">
        <f>Operations!AD964-Inputs!$F$241/100*Operations!AD965</f>
        <v/>
      </c>
      <c r="AE966" s="20">
        <f>Operations!AE964-Inputs!$F$241/100*Operations!AE965</f>
        <v/>
      </c>
      <c r="AF966" s="20">
        <f>Operations!AF964-Inputs!$F$241/100*Operations!AF965</f>
        <v/>
      </c>
      <c r="AG966" s="20">
        <f>Operations!AG964-Inputs!$F$241/100*Operations!AG965</f>
        <v/>
      </c>
      <c r="AH966" s="20">
        <f>Operations!AH964-Inputs!$F$241/100*Operations!AH965</f>
        <v/>
      </c>
      <c r="AI966" s="20">
        <f>Operations!AI964-Inputs!$F$241/100*Operations!AI965</f>
        <v/>
      </c>
      <c r="AJ966" s="20">
        <f>Operations!AJ964-Inputs!$F$241/100*Operations!AJ965</f>
        <v/>
      </c>
      <c r="AK966" s="20">
        <f>Operations!AK964-Inputs!$F$241/100*Operations!AK965</f>
        <v/>
      </c>
      <c r="AL966" s="20">
        <f>Operations!AL964-Inputs!$F$241/100*Operations!AL965</f>
        <v/>
      </c>
      <c r="AM966" s="20">
        <f>Operations!AM964-Inputs!$F$241/100*Operations!AM965</f>
        <v/>
      </c>
      <c r="AN966" s="20">
        <f>Operations!AN964-Inputs!$F$241/100*Operations!AN965</f>
        <v/>
      </c>
      <c r="AO966" s="20">
        <f>Operations!AO964-Inputs!$F$241/100*Operations!AO965</f>
        <v/>
      </c>
      <c r="AP966" s="20">
        <f>Operations!AP964-Inputs!$F$241/100*Operations!AP965</f>
        <v/>
      </c>
      <c r="AQ966" s="20">
        <f>Operations!AQ964-Inputs!$F$241/100*Operations!AQ965</f>
        <v/>
      </c>
      <c r="AR966" s="20">
        <f>Operations!AR964-Inputs!$F$241/100*Operations!AR965</f>
        <v/>
      </c>
      <c r="AS966" s="20">
        <f>Operations!AS964-Inputs!$F$241/100*Operations!AS965</f>
        <v/>
      </c>
      <c r="AT966" s="20">
        <f>Operations!AT964-Inputs!$F$241/100*Operations!AT965</f>
        <v/>
      </c>
      <c r="AU966" s="20">
        <f>Operations!AU964-Inputs!$F$241/100*Operations!AU965</f>
        <v/>
      </c>
    </row>
    <row r="967">
      <c r="D967" t="inlineStr">
        <is>
          <t>R4 contracted share of revenue</t>
        </is>
      </c>
      <c r="E967" t="inlineStr">
        <is>
          <t>fraction</t>
        </is>
      </c>
      <c r="J967" s="14">
        <f>IF(Operations!J952=0,0,Operations!J949/Operations!J952)</f>
        <v/>
      </c>
      <c r="K967" s="14">
        <f>IF(Operations!K952=0,0,Operations!K949/Operations!K952)</f>
        <v/>
      </c>
      <c r="L967" s="14">
        <f>IF(Operations!L952=0,0,Operations!L949/Operations!L952)</f>
        <v/>
      </c>
      <c r="M967" s="14">
        <f>IF(Operations!M952=0,0,Operations!M949/Operations!M952)</f>
        <v/>
      </c>
      <c r="N967" s="14">
        <f>IF(Operations!N952=0,0,Operations!N949/Operations!N952)</f>
        <v/>
      </c>
      <c r="O967" s="14">
        <f>IF(Operations!O952=0,0,Operations!O949/Operations!O952)</f>
        <v/>
      </c>
      <c r="P967" s="14">
        <f>IF(Operations!P952=0,0,Operations!P949/Operations!P952)</f>
        <v/>
      </c>
      <c r="Q967" s="14">
        <f>IF(Operations!Q952=0,0,Operations!Q949/Operations!Q952)</f>
        <v/>
      </c>
      <c r="R967" s="14">
        <f>IF(Operations!R952=0,0,Operations!R949/Operations!R952)</f>
        <v/>
      </c>
      <c r="S967" s="14">
        <f>IF(Operations!S952=0,0,Operations!S949/Operations!S952)</f>
        <v/>
      </c>
      <c r="T967" s="14">
        <f>IF(Operations!T952=0,0,Operations!T949/Operations!T952)</f>
        <v/>
      </c>
      <c r="U967" s="14">
        <f>IF(Operations!U952=0,0,Operations!U949/Operations!U952)</f>
        <v/>
      </c>
      <c r="V967" s="14">
        <f>IF(Operations!V952=0,0,Operations!V949/Operations!V952)</f>
        <v/>
      </c>
      <c r="W967" s="14">
        <f>IF(Operations!W952=0,0,Operations!W949/Operations!W952)</f>
        <v/>
      </c>
      <c r="X967" s="14">
        <f>IF(Operations!X952=0,0,Operations!X949/Operations!X952)</f>
        <v/>
      </c>
      <c r="Y967" s="14">
        <f>IF(Operations!Y952=0,0,Operations!Y949/Operations!Y952)</f>
        <v/>
      </c>
      <c r="Z967" s="14">
        <f>IF(Operations!Z952=0,0,Operations!Z949/Operations!Z952)</f>
        <v/>
      </c>
      <c r="AA967" s="14">
        <f>IF(Operations!AA952=0,0,Operations!AA949/Operations!AA952)</f>
        <v/>
      </c>
      <c r="AB967" s="14">
        <f>IF(Operations!AB952=0,0,Operations!AB949/Operations!AB952)</f>
        <v/>
      </c>
      <c r="AC967" s="14">
        <f>IF(Operations!AC952=0,0,Operations!AC949/Operations!AC952)</f>
        <v/>
      </c>
      <c r="AD967" s="14">
        <f>IF(Operations!AD952=0,0,Operations!AD949/Operations!AD952)</f>
        <v/>
      </c>
      <c r="AE967" s="14">
        <f>IF(Operations!AE952=0,0,Operations!AE949/Operations!AE952)</f>
        <v/>
      </c>
      <c r="AF967" s="14">
        <f>IF(Operations!AF952=0,0,Operations!AF949/Operations!AF952)</f>
        <v/>
      </c>
      <c r="AG967" s="14">
        <f>IF(Operations!AG952=0,0,Operations!AG949/Operations!AG952)</f>
        <v/>
      </c>
      <c r="AH967" s="14">
        <f>IF(Operations!AH952=0,0,Operations!AH949/Operations!AH952)</f>
        <v/>
      </c>
      <c r="AI967" s="14">
        <f>IF(Operations!AI952=0,0,Operations!AI949/Operations!AI952)</f>
        <v/>
      </c>
      <c r="AJ967" s="14">
        <f>IF(Operations!AJ952=0,0,Operations!AJ949/Operations!AJ952)</f>
        <v/>
      </c>
      <c r="AK967" s="14">
        <f>IF(Operations!AK952=0,0,Operations!AK949/Operations!AK952)</f>
        <v/>
      </c>
      <c r="AL967" s="14">
        <f>IF(Operations!AL952=0,0,Operations!AL949/Operations!AL952)</f>
        <v/>
      </c>
      <c r="AM967" s="14">
        <f>IF(Operations!AM952=0,0,Operations!AM949/Operations!AM952)</f>
        <v/>
      </c>
      <c r="AN967" s="14">
        <f>IF(Operations!AN952=0,0,Operations!AN949/Operations!AN952)</f>
        <v/>
      </c>
      <c r="AO967" s="14">
        <f>IF(Operations!AO952=0,0,Operations!AO949/Operations!AO952)</f>
        <v/>
      </c>
      <c r="AP967" s="14">
        <f>IF(Operations!AP952=0,0,Operations!AP949/Operations!AP952)</f>
        <v/>
      </c>
      <c r="AQ967" s="14">
        <f>IF(Operations!AQ952=0,0,Operations!AQ949/Operations!AQ952)</f>
        <v/>
      </c>
      <c r="AR967" s="14">
        <f>IF(Operations!AR952=0,0,Operations!AR949/Operations!AR952)</f>
        <v/>
      </c>
      <c r="AS967" s="14">
        <f>IF(Operations!AS952=0,0,Operations!AS949/Operations!AS952)</f>
        <v/>
      </c>
      <c r="AT967" s="14">
        <f>IF(Operations!AT952=0,0,Operations!AT949/Operations!AT952)</f>
        <v/>
      </c>
      <c r="AU967" s="14">
        <f>IF(Operations!AU952=0,0,Operations!AU949/Operations!AU952)</f>
        <v/>
      </c>
    </row>
    <row r="968">
      <c r="D968" t="inlineStr">
        <is>
          <t>R4 hedged share of revenue</t>
        </is>
      </c>
      <c r="E968" t="inlineStr">
        <is>
          <t>fraction</t>
        </is>
      </c>
      <c r="J968" s="14">
        <f>IF(Operations!J952=0,0,Operations!J950/Operations!J952)</f>
        <v/>
      </c>
      <c r="K968" s="14">
        <f>IF(Operations!K952=0,0,Operations!K950/Operations!K952)</f>
        <v/>
      </c>
      <c r="L968" s="14">
        <f>IF(Operations!L952=0,0,Operations!L950/Operations!L952)</f>
        <v/>
      </c>
      <c r="M968" s="14">
        <f>IF(Operations!M952=0,0,Operations!M950/Operations!M952)</f>
        <v/>
      </c>
      <c r="N968" s="14">
        <f>IF(Operations!N952=0,0,Operations!N950/Operations!N952)</f>
        <v/>
      </c>
      <c r="O968" s="14">
        <f>IF(Operations!O952=0,0,Operations!O950/Operations!O952)</f>
        <v/>
      </c>
      <c r="P968" s="14">
        <f>IF(Operations!P952=0,0,Operations!P950/Operations!P952)</f>
        <v/>
      </c>
      <c r="Q968" s="14">
        <f>IF(Operations!Q952=0,0,Operations!Q950/Operations!Q952)</f>
        <v/>
      </c>
      <c r="R968" s="14">
        <f>IF(Operations!R952=0,0,Operations!R950/Operations!R952)</f>
        <v/>
      </c>
      <c r="S968" s="14">
        <f>IF(Operations!S952=0,0,Operations!S950/Operations!S952)</f>
        <v/>
      </c>
      <c r="T968" s="14">
        <f>IF(Operations!T952=0,0,Operations!T950/Operations!T952)</f>
        <v/>
      </c>
      <c r="U968" s="14">
        <f>IF(Operations!U952=0,0,Operations!U950/Operations!U952)</f>
        <v/>
      </c>
      <c r="V968" s="14">
        <f>IF(Operations!V952=0,0,Operations!V950/Operations!V952)</f>
        <v/>
      </c>
      <c r="W968" s="14">
        <f>IF(Operations!W952=0,0,Operations!W950/Operations!W952)</f>
        <v/>
      </c>
      <c r="X968" s="14">
        <f>IF(Operations!X952=0,0,Operations!X950/Operations!X952)</f>
        <v/>
      </c>
      <c r="Y968" s="14">
        <f>IF(Operations!Y952=0,0,Operations!Y950/Operations!Y952)</f>
        <v/>
      </c>
      <c r="Z968" s="14">
        <f>IF(Operations!Z952=0,0,Operations!Z950/Operations!Z952)</f>
        <v/>
      </c>
      <c r="AA968" s="14">
        <f>IF(Operations!AA952=0,0,Operations!AA950/Operations!AA952)</f>
        <v/>
      </c>
      <c r="AB968" s="14">
        <f>IF(Operations!AB952=0,0,Operations!AB950/Operations!AB952)</f>
        <v/>
      </c>
      <c r="AC968" s="14">
        <f>IF(Operations!AC952=0,0,Operations!AC950/Operations!AC952)</f>
        <v/>
      </c>
      <c r="AD968" s="14">
        <f>IF(Operations!AD952=0,0,Operations!AD950/Operations!AD952)</f>
        <v/>
      </c>
      <c r="AE968" s="14">
        <f>IF(Operations!AE952=0,0,Operations!AE950/Operations!AE952)</f>
        <v/>
      </c>
      <c r="AF968" s="14">
        <f>IF(Operations!AF952=0,0,Operations!AF950/Operations!AF952)</f>
        <v/>
      </c>
      <c r="AG968" s="14">
        <f>IF(Operations!AG952=0,0,Operations!AG950/Operations!AG952)</f>
        <v/>
      </c>
      <c r="AH968" s="14">
        <f>IF(Operations!AH952=0,0,Operations!AH950/Operations!AH952)</f>
        <v/>
      </c>
      <c r="AI968" s="14">
        <f>IF(Operations!AI952=0,0,Operations!AI950/Operations!AI952)</f>
        <v/>
      </c>
      <c r="AJ968" s="14">
        <f>IF(Operations!AJ952=0,0,Operations!AJ950/Operations!AJ952)</f>
        <v/>
      </c>
      <c r="AK968" s="14">
        <f>IF(Operations!AK952=0,0,Operations!AK950/Operations!AK952)</f>
        <v/>
      </c>
      <c r="AL968" s="14">
        <f>IF(Operations!AL952=0,0,Operations!AL950/Operations!AL952)</f>
        <v/>
      </c>
      <c r="AM968" s="14">
        <f>IF(Operations!AM952=0,0,Operations!AM950/Operations!AM952)</f>
        <v/>
      </c>
      <c r="AN968" s="14">
        <f>IF(Operations!AN952=0,0,Operations!AN950/Operations!AN952)</f>
        <v/>
      </c>
      <c r="AO968" s="14">
        <f>IF(Operations!AO952=0,0,Operations!AO950/Operations!AO952)</f>
        <v/>
      </c>
      <c r="AP968" s="14">
        <f>IF(Operations!AP952=0,0,Operations!AP950/Operations!AP952)</f>
        <v/>
      </c>
      <c r="AQ968" s="14">
        <f>IF(Operations!AQ952=0,0,Operations!AQ950/Operations!AQ952)</f>
        <v/>
      </c>
      <c r="AR968" s="14">
        <f>IF(Operations!AR952=0,0,Operations!AR950/Operations!AR952)</f>
        <v/>
      </c>
      <c r="AS968" s="14">
        <f>IF(Operations!AS952=0,0,Operations!AS950/Operations!AS952)</f>
        <v/>
      </c>
      <c r="AT968" s="14">
        <f>IF(Operations!AT952=0,0,Operations!AT950/Operations!AT952)</f>
        <v/>
      </c>
      <c r="AU968" s="14">
        <f>IF(Operations!AU952=0,0,Operations!AU950/Operations!AU952)</f>
        <v/>
      </c>
    </row>
    <row r="969">
      <c r="D969" t="inlineStr">
        <is>
          <t>R4 merchant share of revenue</t>
        </is>
      </c>
      <c r="E969" t="inlineStr">
        <is>
          <t>fraction</t>
        </is>
      </c>
      <c r="J969" s="14">
        <f>1-Operations!J967-Operations!J968</f>
        <v/>
      </c>
      <c r="K969" s="14">
        <f>1-Operations!K967-Operations!K968</f>
        <v/>
      </c>
      <c r="L969" s="14">
        <f>1-Operations!L967-Operations!L968</f>
        <v/>
      </c>
      <c r="M969" s="14">
        <f>1-Operations!M967-Operations!M968</f>
        <v/>
      </c>
      <c r="N969" s="14">
        <f>1-Operations!N967-Operations!N968</f>
        <v/>
      </c>
      <c r="O969" s="14">
        <f>1-Operations!O967-Operations!O968</f>
        <v/>
      </c>
      <c r="P969" s="14">
        <f>1-Operations!P967-Operations!P968</f>
        <v/>
      </c>
      <c r="Q969" s="14">
        <f>1-Operations!Q967-Operations!Q968</f>
        <v/>
      </c>
      <c r="R969" s="14">
        <f>1-Operations!R967-Operations!R968</f>
        <v/>
      </c>
      <c r="S969" s="14">
        <f>1-Operations!S967-Operations!S968</f>
        <v/>
      </c>
      <c r="T969" s="14">
        <f>1-Operations!T967-Operations!T968</f>
        <v/>
      </c>
      <c r="U969" s="14">
        <f>1-Operations!U967-Operations!U968</f>
        <v/>
      </c>
      <c r="V969" s="14">
        <f>1-Operations!V967-Operations!V968</f>
        <v/>
      </c>
      <c r="W969" s="14">
        <f>1-Operations!W967-Operations!W968</f>
        <v/>
      </c>
      <c r="X969" s="14">
        <f>1-Operations!X967-Operations!X968</f>
        <v/>
      </c>
      <c r="Y969" s="14">
        <f>1-Operations!Y967-Operations!Y968</f>
        <v/>
      </c>
      <c r="Z969" s="14">
        <f>1-Operations!Z967-Operations!Z968</f>
        <v/>
      </c>
      <c r="AA969" s="14">
        <f>1-Operations!AA967-Operations!AA968</f>
        <v/>
      </c>
      <c r="AB969" s="14">
        <f>1-Operations!AB967-Operations!AB968</f>
        <v/>
      </c>
      <c r="AC969" s="14">
        <f>1-Operations!AC967-Operations!AC968</f>
        <v/>
      </c>
      <c r="AD969" s="14">
        <f>1-Operations!AD967-Operations!AD968</f>
        <v/>
      </c>
      <c r="AE969" s="14">
        <f>1-Operations!AE967-Operations!AE968</f>
        <v/>
      </c>
      <c r="AF969" s="14">
        <f>1-Operations!AF967-Operations!AF968</f>
        <v/>
      </c>
      <c r="AG969" s="14">
        <f>1-Operations!AG967-Operations!AG968</f>
        <v/>
      </c>
      <c r="AH969" s="14">
        <f>1-Operations!AH967-Operations!AH968</f>
        <v/>
      </c>
      <c r="AI969" s="14">
        <f>1-Operations!AI967-Operations!AI968</f>
        <v/>
      </c>
      <c r="AJ969" s="14">
        <f>1-Operations!AJ967-Operations!AJ968</f>
        <v/>
      </c>
      <c r="AK969" s="14">
        <f>1-Operations!AK967-Operations!AK968</f>
        <v/>
      </c>
      <c r="AL969" s="14">
        <f>1-Operations!AL967-Operations!AL968</f>
        <v/>
      </c>
      <c r="AM969" s="14">
        <f>1-Operations!AM967-Operations!AM968</f>
        <v/>
      </c>
      <c r="AN969" s="14">
        <f>1-Operations!AN967-Operations!AN968</f>
        <v/>
      </c>
      <c r="AO969" s="14">
        <f>1-Operations!AO967-Operations!AO968</f>
        <v/>
      </c>
      <c r="AP969" s="14">
        <f>1-Operations!AP967-Operations!AP968</f>
        <v/>
      </c>
      <c r="AQ969" s="14">
        <f>1-Operations!AQ967-Operations!AQ968</f>
        <v/>
      </c>
      <c r="AR969" s="14">
        <f>1-Operations!AR967-Operations!AR968</f>
        <v/>
      </c>
      <c r="AS969" s="14">
        <f>1-Operations!AS967-Operations!AS968</f>
        <v/>
      </c>
      <c r="AT969" s="14">
        <f>1-Operations!AT967-Operations!AT968</f>
        <v/>
      </c>
      <c r="AU969" s="14">
        <f>1-Operations!AU967-Operations!AU968</f>
        <v/>
      </c>
    </row>
    <row r="970">
      <c r="D970" t="inlineStr">
        <is>
          <t>R4 Mesa-share contracted revenue</t>
        </is>
      </c>
      <c r="E970" t="inlineStr">
        <is>
          <t>USD m</t>
        </is>
      </c>
      <c r="J970" s="20">
        <f>Operations!J949*Operations!J935*(1-Operations!J962)</f>
        <v/>
      </c>
      <c r="K970" s="20">
        <f>Operations!K949*Operations!K935*(1-Operations!K962)</f>
        <v/>
      </c>
      <c r="L970" s="20">
        <f>Operations!L949*Operations!L935*(1-Operations!L962)</f>
        <v/>
      </c>
      <c r="M970" s="20">
        <f>Operations!M949*Operations!M935*(1-Operations!M962)</f>
        <v/>
      </c>
      <c r="N970" s="20">
        <f>Operations!N949*Operations!N935*(1-Operations!N962)</f>
        <v/>
      </c>
      <c r="O970" s="20">
        <f>Operations!O949*Operations!O935*(1-Operations!O962)</f>
        <v/>
      </c>
      <c r="P970" s="20">
        <f>Operations!P949*Operations!P935*(1-Operations!P962)</f>
        <v/>
      </c>
      <c r="Q970" s="20">
        <f>Operations!Q949*Operations!Q935*(1-Operations!Q962)</f>
        <v/>
      </c>
      <c r="R970" s="20">
        <f>Operations!R949*Operations!R935*(1-Operations!R962)</f>
        <v/>
      </c>
      <c r="S970" s="20">
        <f>Operations!S949*Operations!S935*(1-Operations!S962)</f>
        <v/>
      </c>
      <c r="T970" s="20">
        <f>Operations!T949*Operations!T935*(1-Operations!T962)</f>
        <v/>
      </c>
      <c r="U970" s="20">
        <f>Operations!U949*Operations!U935*(1-Operations!U962)</f>
        <v/>
      </c>
      <c r="V970" s="20">
        <f>Operations!V949*Operations!V935*(1-Operations!V962)</f>
        <v/>
      </c>
      <c r="W970" s="20">
        <f>Operations!W949*Operations!W935*(1-Operations!W962)</f>
        <v/>
      </c>
      <c r="X970" s="20">
        <f>Operations!X949*Operations!X935*(1-Operations!X962)</f>
        <v/>
      </c>
      <c r="Y970" s="20">
        <f>Operations!Y949*Operations!Y935*(1-Operations!Y962)</f>
        <v/>
      </c>
      <c r="Z970" s="20">
        <f>Operations!Z949*Operations!Z935*(1-Operations!Z962)</f>
        <v/>
      </c>
      <c r="AA970" s="20">
        <f>Operations!AA949*Operations!AA935*(1-Operations!AA962)</f>
        <v/>
      </c>
      <c r="AB970" s="20">
        <f>Operations!AB949*Operations!AB935*(1-Operations!AB962)</f>
        <v/>
      </c>
      <c r="AC970" s="20">
        <f>Operations!AC949*Operations!AC935*(1-Operations!AC962)</f>
        <v/>
      </c>
      <c r="AD970" s="20">
        <f>Operations!AD949*Operations!AD935*(1-Operations!AD962)</f>
        <v/>
      </c>
      <c r="AE970" s="20">
        <f>Operations!AE949*Operations!AE935*(1-Operations!AE962)</f>
        <v/>
      </c>
      <c r="AF970" s="20">
        <f>Operations!AF949*Operations!AF935*(1-Operations!AF962)</f>
        <v/>
      </c>
      <c r="AG970" s="20">
        <f>Operations!AG949*Operations!AG935*(1-Operations!AG962)</f>
        <v/>
      </c>
      <c r="AH970" s="20">
        <f>Operations!AH949*Operations!AH935*(1-Operations!AH962)</f>
        <v/>
      </c>
      <c r="AI970" s="20">
        <f>Operations!AI949*Operations!AI935*(1-Operations!AI962)</f>
        <v/>
      </c>
      <c r="AJ970" s="20">
        <f>Operations!AJ949*Operations!AJ935*(1-Operations!AJ962)</f>
        <v/>
      </c>
      <c r="AK970" s="20">
        <f>Operations!AK949*Operations!AK935*(1-Operations!AK962)</f>
        <v/>
      </c>
      <c r="AL970" s="20">
        <f>Operations!AL949*Operations!AL935*(1-Operations!AL962)</f>
        <v/>
      </c>
      <c r="AM970" s="20">
        <f>Operations!AM949*Operations!AM935*(1-Operations!AM962)</f>
        <v/>
      </c>
      <c r="AN970" s="20">
        <f>Operations!AN949*Operations!AN935*(1-Operations!AN962)</f>
        <v/>
      </c>
      <c r="AO970" s="20">
        <f>Operations!AO949*Operations!AO935*(1-Operations!AO962)</f>
        <v/>
      </c>
      <c r="AP970" s="20">
        <f>Operations!AP949*Operations!AP935*(1-Operations!AP962)</f>
        <v/>
      </c>
      <c r="AQ970" s="20">
        <f>Operations!AQ949*Operations!AQ935*(1-Operations!AQ962)</f>
        <v/>
      </c>
      <c r="AR970" s="20">
        <f>Operations!AR949*Operations!AR935*(1-Operations!AR962)</f>
        <v/>
      </c>
      <c r="AS970" s="20">
        <f>Operations!AS949*Operations!AS935*(1-Operations!AS962)</f>
        <v/>
      </c>
      <c r="AT970" s="20">
        <f>Operations!AT949*Operations!AT935*(1-Operations!AT962)</f>
        <v/>
      </c>
      <c r="AU970" s="20">
        <f>Operations!AU949*Operations!AU935*(1-Operations!AU962)</f>
        <v/>
      </c>
    </row>
    <row r="971">
      <c r="D971" t="inlineStr">
        <is>
          <t>R4 Mesa-share hedged revenue</t>
        </is>
      </c>
      <c r="E971" t="inlineStr">
        <is>
          <t>USD m</t>
        </is>
      </c>
      <c r="J971" s="20">
        <f>Operations!J950*Operations!J935*(1-Operations!J962)</f>
        <v/>
      </c>
      <c r="K971" s="20">
        <f>Operations!K950*Operations!K935*(1-Operations!K962)</f>
        <v/>
      </c>
      <c r="L971" s="20">
        <f>Operations!L950*Operations!L935*(1-Operations!L962)</f>
        <v/>
      </c>
      <c r="M971" s="20">
        <f>Operations!M950*Operations!M935*(1-Operations!M962)</f>
        <v/>
      </c>
      <c r="N971" s="20">
        <f>Operations!N950*Operations!N935*(1-Operations!N962)</f>
        <v/>
      </c>
      <c r="O971" s="20">
        <f>Operations!O950*Operations!O935*(1-Operations!O962)</f>
        <v/>
      </c>
      <c r="P971" s="20">
        <f>Operations!P950*Operations!P935*(1-Operations!P962)</f>
        <v/>
      </c>
      <c r="Q971" s="20">
        <f>Operations!Q950*Operations!Q935*(1-Operations!Q962)</f>
        <v/>
      </c>
      <c r="R971" s="20">
        <f>Operations!R950*Operations!R935*(1-Operations!R962)</f>
        <v/>
      </c>
      <c r="S971" s="20">
        <f>Operations!S950*Operations!S935*(1-Operations!S962)</f>
        <v/>
      </c>
      <c r="T971" s="20">
        <f>Operations!T950*Operations!T935*(1-Operations!T962)</f>
        <v/>
      </c>
      <c r="U971" s="20">
        <f>Operations!U950*Operations!U935*(1-Operations!U962)</f>
        <v/>
      </c>
      <c r="V971" s="20">
        <f>Operations!V950*Operations!V935*(1-Operations!V962)</f>
        <v/>
      </c>
      <c r="W971" s="20">
        <f>Operations!W950*Operations!W935*(1-Operations!W962)</f>
        <v/>
      </c>
      <c r="X971" s="20">
        <f>Operations!X950*Operations!X935*(1-Operations!X962)</f>
        <v/>
      </c>
      <c r="Y971" s="20">
        <f>Operations!Y950*Operations!Y935*(1-Operations!Y962)</f>
        <v/>
      </c>
      <c r="Z971" s="20">
        <f>Operations!Z950*Operations!Z935*(1-Operations!Z962)</f>
        <v/>
      </c>
      <c r="AA971" s="20">
        <f>Operations!AA950*Operations!AA935*(1-Operations!AA962)</f>
        <v/>
      </c>
      <c r="AB971" s="20">
        <f>Operations!AB950*Operations!AB935*(1-Operations!AB962)</f>
        <v/>
      </c>
      <c r="AC971" s="20">
        <f>Operations!AC950*Operations!AC935*(1-Operations!AC962)</f>
        <v/>
      </c>
      <c r="AD971" s="20">
        <f>Operations!AD950*Operations!AD935*(1-Operations!AD962)</f>
        <v/>
      </c>
      <c r="AE971" s="20">
        <f>Operations!AE950*Operations!AE935*(1-Operations!AE962)</f>
        <v/>
      </c>
      <c r="AF971" s="20">
        <f>Operations!AF950*Operations!AF935*(1-Operations!AF962)</f>
        <v/>
      </c>
      <c r="AG971" s="20">
        <f>Operations!AG950*Operations!AG935*(1-Operations!AG962)</f>
        <v/>
      </c>
      <c r="AH971" s="20">
        <f>Operations!AH950*Operations!AH935*(1-Operations!AH962)</f>
        <v/>
      </c>
      <c r="AI971" s="20">
        <f>Operations!AI950*Operations!AI935*(1-Operations!AI962)</f>
        <v/>
      </c>
      <c r="AJ971" s="20">
        <f>Operations!AJ950*Operations!AJ935*(1-Operations!AJ962)</f>
        <v/>
      </c>
      <c r="AK971" s="20">
        <f>Operations!AK950*Operations!AK935*(1-Operations!AK962)</f>
        <v/>
      </c>
      <c r="AL971" s="20">
        <f>Operations!AL950*Operations!AL935*(1-Operations!AL962)</f>
        <v/>
      </c>
      <c r="AM971" s="20">
        <f>Operations!AM950*Operations!AM935*(1-Operations!AM962)</f>
        <v/>
      </c>
      <c r="AN971" s="20">
        <f>Operations!AN950*Operations!AN935*(1-Operations!AN962)</f>
        <v/>
      </c>
      <c r="AO971" s="20">
        <f>Operations!AO950*Operations!AO935*(1-Operations!AO962)</f>
        <v/>
      </c>
      <c r="AP971" s="20">
        <f>Operations!AP950*Operations!AP935*(1-Operations!AP962)</f>
        <v/>
      </c>
      <c r="AQ971" s="20">
        <f>Operations!AQ950*Operations!AQ935*(1-Operations!AQ962)</f>
        <v/>
      </c>
      <c r="AR971" s="20">
        <f>Operations!AR950*Operations!AR935*(1-Operations!AR962)</f>
        <v/>
      </c>
      <c r="AS971" s="20">
        <f>Operations!AS950*Operations!AS935*(1-Operations!AS962)</f>
        <v/>
      </c>
      <c r="AT971" s="20">
        <f>Operations!AT950*Operations!AT935*(1-Operations!AT962)</f>
        <v/>
      </c>
      <c r="AU971" s="20">
        <f>Operations!AU950*Operations!AU935*(1-Operations!AU962)</f>
        <v/>
      </c>
    </row>
    <row r="972">
      <c r="D972" t="inlineStr">
        <is>
          <t>R4 Mesa-share merchant revenue</t>
        </is>
      </c>
      <c r="E972" t="inlineStr">
        <is>
          <t>USD m</t>
        </is>
      </c>
      <c r="J972" s="20">
        <f>Operations!J953*Operations!J935*(1-Operations!J962)</f>
        <v/>
      </c>
      <c r="K972" s="20">
        <f>Operations!K953*Operations!K935*(1-Operations!K962)</f>
        <v/>
      </c>
      <c r="L972" s="20">
        <f>Operations!L953*Operations!L935*(1-Operations!L962)</f>
        <v/>
      </c>
      <c r="M972" s="20">
        <f>Operations!M953*Operations!M935*(1-Operations!M962)</f>
        <v/>
      </c>
      <c r="N972" s="20">
        <f>Operations!N953*Operations!N935*(1-Operations!N962)</f>
        <v/>
      </c>
      <c r="O972" s="20">
        <f>Operations!O953*Operations!O935*(1-Operations!O962)</f>
        <v/>
      </c>
      <c r="P972" s="20">
        <f>Operations!P953*Operations!P935*(1-Operations!P962)</f>
        <v/>
      </c>
      <c r="Q972" s="20">
        <f>Operations!Q953*Operations!Q935*(1-Operations!Q962)</f>
        <v/>
      </c>
      <c r="R972" s="20">
        <f>Operations!R953*Operations!R935*(1-Operations!R962)</f>
        <v/>
      </c>
      <c r="S972" s="20">
        <f>Operations!S953*Operations!S935*(1-Operations!S962)</f>
        <v/>
      </c>
      <c r="T972" s="20">
        <f>Operations!T953*Operations!T935*(1-Operations!T962)</f>
        <v/>
      </c>
      <c r="U972" s="20">
        <f>Operations!U953*Operations!U935*(1-Operations!U962)</f>
        <v/>
      </c>
      <c r="V972" s="20">
        <f>Operations!V953*Operations!V935*(1-Operations!V962)</f>
        <v/>
      </c>
      <c r="W972" s="20">
        <f>Operations!W953*Operations!W935*(1-Operations!W962)</f>
        <v/>
      </c>
      <c r="X972" s="20">
        <f>Operations!X953*Operations!X935*(1-Operations!X962)</f>
        <v/>
      </c>
      <c r="Y972" s="20">
        <f>Operations!Y953*Operations!Y935*(1-Operations!Y962)</f>
        <v/>
      </c>
      <c r="Z972" s="20">
        <f>Operations!Z953*Operations!Z935*(1-Operations!Z962)</f>
        <v/>
      </c>
      <c r="AA972" s="20">
        <f>Operations!AA953*Operations!AA935*(1-Operations!AA962)</f>
        <v/>
      </c>
      <c r="AB972" s="20">
        <f>Operations!AB953*Operations!AB935*(1-Operations!AB962)</f>
        <v/>
      </c>
      <c r="AC972" s="20">
        <f>Operations!AC953*Operations!AC935*(1-Operations!AC962)</f>
        <v/>
      </c>
      <c r="AD972" s="20">
        <f>Operations!AD953*Operations!AD935*(1-Operations!AD962)</f>
        <v/>
      </c>
      <c r="AE972" s="20">
        <f>Operations!AE953*Operations!AE935*(1-Operations!AE962)</f>
        <v/>
      </c>
      <c r="AF972" s="20">
        <f>Operations!AF953*Operations!AF935*(1-Operations!AF962)</f>
        <v/>
      </c>
      <c r="AG972" s="20">
        <f>Operations!AG953*Operations!AG935*(1-Operations!AG962)</f>
        <v/>
      </c>
      <c r="AH972" s="20">
        <f>Operations!AH953*Operations!AH935*(1-Operations!AH962)</f>
        <v/>
      </c>
      <c r="AI972" s="20">
        <f>Operations!AI953*Operations!AI935*(1-Operations!AI962)</f>
        <v/>
      </c>
      <c r="AJ972" s="20">
        <f>Operations!AJ953*Operations!AJ935*(1-Operations!AJ962)</f>
        <v/>
      </c>
      <c r="AK972" s="20">
        <f>Operations!AK953*Operations!AK935*(1-Operations!AK962)</f>
        <v/>
      </c>
      <c r="AL972" s="20">
        <f>Operations!AL953*Operations!AL935*(1-Operations!AL962)</f>
        <v/>
      </c>
      <c r="AM972" s="20">
        <f>Operations!AM953*Operations!AM935*(1-Operations!AM962)</f>
        <v/>
      </c>
      <c r="AN972" s="20">
        <f>Operations!AN953*Operations!AN935*(1-Operations!AN962)</f>
        <v/>
      </c>
      <c r="AO972" s="20">
        <f>Operations!AO953*Operations!AO935*(1-Operations!AO962)</f>
        <v/>
      </c>
      <c r="AP972" s="20">
        <f>Operations!AP953*Operations!AP935*(1-Operations!AP962)</f>
        <v/>
      </c>
      <c r="AQ972" s="20">
        <f>Operations!AQ953*Operations!AQ935*(1-Operations!AQ962)</f>
        <v/>
      </c>
      <c r="AR972" s="20">
        <f>Operations!AR953*Operations!AR935*(1-Operations!AR962)</f>
        <v/>
      </c>
      <c r="AS972" s="20">
        <f>Operations!AS953*Operations!AS935*(1-Operations!AS962)</f>
        <v/>
      </c>
      <c r="AT972" s="20">
        <f>Operations!AT953*Operations!AT935*(1-Operations!AT962)</f>
        <v/>
      </c>
      <c r="AU972" s="20">
        <f>Operations!AU953*Operations!AU935*(1-Operations!AU962)</f>
        <v/>
      </c>
    </row>
    <row r="973">
      <c r="D973" t="inlineStr">
        <is>
          <t>R4 Mesa-share revenue</t>
        </is>
      </c>
      <c r="E973" t="inlineStr">
        <is>
          <t>USD m</t>
        </is>
      </c>
      <c r="J973" s="20">
        <f>Operations!J952*Operations!J935*(1-Operations!J962)</f>
        <v/>
      </c>
      <c r="K973" s="20">
        <f>Operations!K952*Operations!K935*(1-Operations!K962)</f>
        <v/>
      </c>
      <c r="L973" s="20">
        <f>Operations!L952*Operations!L935*(1-Operations!L962)</f>
        <v/>
      </c>
      <c r="M973" s="20">
        <f>Operations!M952*Operations!M935*(1-Operations!M962)</f>
        <v/>
      </c>
      <c r="N973" s="20">
        <f>Operations!N952*Operations!N935*(1-Operations!N962)</f>
        <v/>
      </c>
      <c r="O973" s="20">
        <f>Operations!O952*Operations!O935*(1-Operations!O962)</f>
        <v/>
      </c>
      <c r="P973" s="20">
        <f>Operations!P952*Operations!P935*(1-Operations!P962)</f>
        <v/>
      </c>
      <c r="Q973" s="20">
        <f>Operations!Q952*Operations!Q935*(1-Operations!Q962)</f>
        <v/>
      </c>
      <c r="R973" s="20">
        <f>Operations!R952*Operations!R935*(1-Operations!R962)</f>
        <v/>
      </c>
      <c r="S973" s="20">
        <f>Operations!S952*Operations!S935*(1-Operations!S962)</f>
        <v/>
      </c>
      <c r="T973" s="20">
        <f>Operations!T952*Operations!T935*(1-Operations!T962)</f>
        <v/>
      </c>
      <c r="U973" s="20">
        <f>Operations!U952*Operations!U935*(1-Operations!U962)</f>
        <v/>
      </c>
      <c r="V973" s="20">
        <f>Operations!V952*Operations!V935*(1-Operations!V962)</f>
        <v/>
      </c>
      <c r="W973" s="20">
        <f>Operations!W952*Operations!W935*(1-Operations!W962)</f>
        <v/>
      </c>
      <c r="X973" s="20">
        <f>Operations!X952*Operations!X935*(1-Operations!X962)</f>
        <v/>
      </c>
      <c r="Y973" s="20">
        <f>Operations!Y952*Operations!Y935*(1-Operations!Y962)</f>
        <v/>
      </c>
      <c r="Z973" s="20">
        <f>Operations!Z952*Operations!Z935*(1-Operations!Z962)</f>
        <v/>
      </c>
      <c r="AA973" s="20">
        <f>Operations!AA952*Operations!AA935*(1-Operations!AA962)</f>
        <v/>
      </c>
      <c r="AB973" s="20">
        <f>Operations!AB952*Operations!AB935*(1-Operations!AB962)</f>
        <v/>
      </c>
      <c r="AC973" s="20">
        <f>Operations!AC952*Operations!AC935*(1-Operations!AC962)</f>
        <v/>
      </c>
      <c r="AD973" s="20">
        <f>Operations!AD952*Operations!AD935*(1-Operations!AD962)</f>
        <v/>
      </c>
      <c r="AE973" s="20">
        <f>Operations!AE952*Operations!AE935*(1-Operations!AE962)</f>
        <v/>
      </c>
      <c r="AF973" s="20">
        <f>Operations!AF952*Operations!AF935*(1-Operations!AF962)</f>
        <v/>
      </c>
      <c r="AG973" s="20">
        <f>Operations!AG952*Operations!AG935*(1-Operations!AG962)</f>
        <v/>
      </c>
      <c r="AH973" s="20">
        <f>Operations!AH952*Operations!AH935*(1-Operations!AH962)</f>
        <v/>
      </c>
      <c r="AI973" s="20">
        <f>Operations!AI952*Operations!AI935*(1-Operations!AI962)</f>
        <v/>
      </c>
      <c r="AJ973" s="20">
        <f>Operations!AJ952*Operations!AJ935*(1-Operations!AJ962)</f>
        <v/>
      </c>
      <c r="AK973" s="20">
        <f>Operations!AK952*Operations!AK935*(1-Operations!AK962)</f>
        <v/>
      </c>
      <c r="AL973" s="20">
        <f>Operations!AL952*Operations!AL935*(1-Operations!AL962)</f>
        <v/>
      </c>
      <c r="AM973" s="20">
        <f>Operations!AM952*Operations!AM935*(1-Operations!AM962)</f>
        <v/>
      </c>
      <c r="AN973" s="20">
        <f>Operations!AN952*Operations!AN935*(1-Operations!AN962)</f>
        <v/>
      </c>
      <c r="AO973" s="20">
        <f>Operations!AO952*Operations!AO935*(1-Operations!AO962)</f>
        <v/>
      </c>
      <c r="AP973" s="20">
        <f>Operations!AP952*Operations!AP935*(1-Operations!AP962)</f>
        <v/>
      </c>
      <c r="AQ973" s="20">
        <f>Operations!AQ952*Operations!AQ935*(1-Operations!AQ962)</f>
        <v/>
      </c>
      <c r="AR973" s="20">
        <f>Operations!AR952*Operations!AR935*(1-Operations!AR962)</f>
        <v/>
      </c>
      <c r="AS973" s="20">
        <f>Operations!AS952*Operations!AS935*(1-Operations!AS962)</f>
        <v/>
      </c>
      <c r="AT973" s="20">
        <f>Operations!AT952*Operations!AT935*(1-Operations!AT962)</f>
        <v/>
      </c>
      <c r="AU973" s="20">
        <f>Operations!AU952*Operations!AU935*(1-Operations!AU962)</f>
        <v/>
      </c>
    </row>
    <row r="974">
      <c r="D974" s="19" t="inlineStr">
        <is>
          <t>R5 Calloway Mesa Solar (single-axis tracking PV)</t>
        </is>
      </c>
    </row>
    <row r="975">
      <c r="D975" t="inlineStr">
        <is>
          <t>R5 operating fraction</t>
        </is>
      </c>
      <c r="E975" t="inlineStr">
        <is>
          <t>fraction</t>
        </is>
      </c>
      <c r="J975" s="14">
        <f>MAX(0,MIN(Inputs!$F$134,Time!J$6)-MAX(Inputs!$F$133,Time!J$5))/Time!J$7</f>
        <v/>
      </c>
      <c r="K975" s="14">
        <f>MAX(0,MIN(Inputs!$F$134,Time!K$6)-MAX(Inputs!$F$133,Time!K$5))/Time!K$7</f>
        <v/>
      </c>
      <c r="L975" s="14">
        <f>MAX(0,MIN(Inputs!$F$134,Time!L$6)-MAX(Inputs!$F$133,Time!L$5))/Time!L$7</f>
        <v/>
      </c>
      <c r="M975" s="14">
        <f>MAX(0,MIN(Inputs!$F$134,Time!M$6)-MAX(Inputs!$F$133,Time!M$5))/Time!M$7</f>
        <v/>
      </c>
      <c r="N975" s="14">
        <f>MAX(0,MIN(Inputs!$F$134,Time!N$6)-MAX(Inputs!$F$133,Time!N$5))/Time!N$7</f>
        <v/>
      </c>
      <c r="O975" s="14">
        <f>MAX(0,MIN(Inputs!$F$134,Time!O$6)-MAX(Inputs!$F$133,Time!O$5))/Time!O$7</f>
        <v/>
      </c>
      <c r="P975" s="14">
        <f>MAX(0,MIN(Inputs!$F$134,Time!P$6)-MAX(Inputs!$F$133,Time!P$5))/Time!P$7</f>
        <v/>
      </c>
      <c r="Q975" s="14">
        <f>MAX(0,MIN(Inputs!$F$134,Time!Q$6)-MAX(Inputs!$F$133,Time!Q$5))/Time!Q$7</f>
        <v/>
      </c>
      <c r="R975" s="14">
        <f>MAX(0,MIN(Inputs!$F$134,Time!R$6)-MAX(Inputs!$F$133,Time!R$5))/Time!R$7</f>
        <v/>
      </c>
      <c r="S975" s="14">
        <f>MAX(0,MIN(Inputs!$F$134,Time!S$6)-MAX(Inputs!$F$133,Time!S$5))/Time!S$7</f>
        <v/>
      </c>
      <c r="T975" s="14">
        <f>MAX(0,MIN(Inputs!$F$134,Time!T$6)-MAX(Inputs!$F$133,Time!T$5))/Time!T$7</f>
        <v/>
      </c>
      <c r="U975" s="14">
        <f>MAX(0,MIN(Inputs!$F$134,Time!U$6)-MAX(Inputs!$F$133,Time!U$5))/Time!U$7</f>
        <v/>
      </c>
      <c r="V975" s="14">
        <f>MAX(0,MIN(Inputs!$F$134,Time!V$6)-MAX(Inputs!$F$133,Time!V$5))/Time!V$7</f>
        <v/>
      </c>
      <c r="W975" s="14">
        <f>MAX(0,MIN(Inputs!$F$134,Time!W$6)-MAX(Inputs!$F$133,Time!W$5))/Time!W$7</f>
        <v/>
      </c>
      <c r="X975" s="14">
        <f>MAX(0,MIN(Inputs!$F$134,Time!X$6)-MAX(Inputs!$F$133,Time!X$5))/Time!X$7</f>
        <v/>
      </c>
      <c r="Y975" s="14">
        <f>MAX(0,MIN(Inputs!$F$134,Time!Y$6)-MAX(Inputs!$F$133,Time!Y$5))/Time!Y$7</f>
        <v/>
      </c>
      <c r="Z975" s="14">
        <f>MAX(0,MIN(Inputs!$F$134,Time!Z$6)-MAX(Inputs!$F$133,Time!Z$5))/Time!Z$7</f>
        <v/>
      </c>
      <c r="AA975" s="14">
        <f>MAX(0,MIN(Inputs!$F$134,Time!AA$6)-MAX(Inputs!$F$133,Time!AA$5))/Time!AA$7</f>
        <v/>
      </c>
      <c r="AB975" s="14">
        <f>MAX(0,MIN(Inputs!$F$134,Time!AB$6)-MAX(Inputs!$F$133,Time!AB$5))/Time!AB$7</f>
        <v/>
      </c>
      <c r="AC975" s="14">
        <f>MAX(0,MIN(Inputs!$F$134,Time!AC$6)-MAX(Inputs!$F$133,Time!AC$5))/Time!AC$7</f>
        <v/>
      </c>
      <c r="AD975" s="14">
        <f>MAX(0,MIN(Inputs!$F$134,Time!AD$6)-MAX(Inputs!$F$133,Time!AD$5))/Time!AD$7</f>
        <v/>
      </c>
      <c r="AE975" s="14">
        <f>MAX(0,MIN(Inputs!$F$134,Time!AE$6)-MAX(Inputs!$F$133,Time!AE$5))/Time!AE$7</f>
        <v/>
      </c>
      <c r="AF975" s="14">
        <f>MAX(0,MIN(Inputs!$F$134,Time!AF$6)-MAX(Inputs!$F$133,Time!AF$5))/Time!AF$7</f>
        <v/>
      </c>
      <c r="AG975" s="14">
        <f>MAX(0,MIN(Inputs!$F$134,Time!AG$6)-MAX(Inputs!$F$133,Time!AG$5))/Time!AG$7</f>
        <v/>
      </c>
      <c r="AH975" s="14">
        <f>MAX(0,MIN(Inputs!$F$134,Time!AH$6)-MAX(Inputs!$F$133,Time!AH$5))/Time!AH$7</f>
        <v/>
      </c>
      <c r="AI975" s="14">
        <f>MAX(0,MIN(Inputs!$F$134,Time!AI$6)-MAX(Inputs!$F$133,Time!AI$5))/Time!AI$7</f>
        <v/>
      </c>
      <c r="AJ975" s="14">
        <f>MAX(0,MIN(Inputs!$F$134,Time!AJ$6)-MAX(Inputs!$F$133,Time!AJ$5))/Time!AJ$7</f>
        <v/>
      </c>
      <c r="AK975" s="14">
        <f>MAX(0,MIN(Inputs!$F$134,Time!AK$6)-MAX(Inputs!$F$133,Time!AK$5))/Time!AK$7</f>
        <v/>
      </c>
      <c r="AL975" s="14">
        <f>MAX(0,MIN(Inputs!$F$134,Time!AL$6)-MAX(Inputs!$F$133,Time!AL$5))/Time!AL$7</f>
        <v/>
      </c>
      <c r="AM975" s="14">
        <f>MAX(0,MIN(Inputs!$F$134,Time!AM$6)-MAX(Inputs!$F$133,Time!AM$5))/Time!AM$7</f>
        <v/>
      </c>
      <c r="AN975" s="14">
        <f>MAX(0,MIN(Inputs!$F$134,Time!AN$6)-MAX(Inputs!$F$133,Time!AN$5))/Time!AN$7</f>
        <v/>
      </c>
      <c r="AO975" s="14">
        <f>MAX(0,MIN(Inputs!$F$134,Time!AO$6)-MAX(Inputs!$F$133,Time!AO$5))/Time!AO$7</f>
        <v/>
      </c>
      <c r="AP975" s="14">
        <f>MAX(0,MIN(Inputs!$F$134,Time!AP$6)-MAX(Inputs!$F$133,Time!AP$5))/Time!AP$7</f>
        <v/>
      </c>
      <c r="AQ975" s="14">
        <f>MAX(0,MIN(Inputs!$F$134,Time!AQ$6)-MAX(Inputs!$F$133,Time!AQ$5))/Time!AQ$7</f>
        <v/>
      </c>
      <c r="AR975" s="14">
        <f>MAX(0,MIN(Inputs!$F$134,Time!AR$6)-MAX(Inputs!$F$133,Time!AR$5))/Time!AR$7</f>
        <v/>
      </c>
      <c r="AS975" s="14">
        <f>MAX(0,MIN(Inputs!$F$134,Time!AS$6)-MAX(Inputs!$F$133,Time!AS$5))/Time!AS$7</f>
        <v/>
      </c>
      <c r="AT975" s="14">
        <f>MAX(0,MIN(Inputs!$F$134,Time!AT$6)-MAX(Inputs!$F$133,Time!AT$5))/Time!AT$7</f>
        <v/>
      </c>
      <c r="AU975" s="14">
        <f>MAX(0,MIN(Inputs!$F$134,Time!AU$6)-MAX(Inputs!$F$133,Time!AU$5))/Time!AU$7</f>
        <v/>
      </c>
    </row>
    <row r="976">
      <c r="D976" t="inlineStr">
        <is>
          <t>R5 owned fraction</t>
        </is>
      </c>
      <c r="E976" t="inlineStr">
        <is>
          <t>fraction</t>
        </is>
      </c>
      <c r="J976" s="14">
        <f>MAX(0,MIN(Inputs!$F$134,Time!J$6)-MAX(MAX(Inputs!$F$135,Inputs!$F$133),Time!J$5))/Time!J$7</f>
        <v/>
      </c>
      <c r="K976" s="14">
        <f>MAX(0,MIN(Inputs!$F$134,Time!K$6)-MAX(MAX(Inputs!$F$135,Inputs!$F$133),Time!K$5))/Time!K$7</f>
        <v/>
      </c>
      <c r="L976" s="14">
        <f>MAX(0,MIN(Inputs!$F$134,Time!L$6)-MAX(MAX(Inputs!$F$135,Inputs!$F$133),Time!L$5))/Time!L$7</f>
        <v/>
      </c>
      <c r="M976" s="14">
        <f>MAX(0,MIN(Inputs!$F$134,Time!M$6)-MAX(MAX(Inputs!$F$135,Inputs!$F$133),Time!M$5))/Time!M$7</f>
        <v/>
      </c>
      <c r="N976" s="14">
        <f>MAX(0,MIN(Inputs!$F$134,Time!N$6)-MAX(MAX(Inputs!$F$135,Inputs!$F$133),Time!N$5))/Time!N$7</f>
        <v/>
      </c>
      <c r="O976" s="14">
        <f>MAX(0,MIN(Inputs!$F$134,Time!O$6)-MAX(MAX(Inputs!$F$135,Inputs!$F$133),Time!O$5))/Time!O$7</f>
        <v/>
      </c>
      <c r="P976" s="14">
        <f>MAX(0,MIN(Inputs!$F$134,Time!P$6)-MAX(MAX(Inputs!$F$135,Inputs!$F$133),Time!P$5))/Time!P$7</f>
        <v/>
      </c>
      <c r="Q976" s="14">
        <f>MAX(0,MIN(Inputs!$F$134,Time!Q$6)-MAX(MAX(Inputs!$F$135,Inputs!$F$133),Time!Q$5))/Time!Q$7</f>
        <v/>
      </c>
      <c r="R976" s="14">
        <f>MAX(0,MIN(Inputs!$F$134,Time!R$6)-MAX(MAX(Inputs!$F$135,Inputs!$F$133),Time!R$5))/Time!R$7</f>
        <v/>
      </c>
      <c r="S976" s="14">
        <f>MAX(0,MIN(Inputs!$F$134,Time!S$6)-MAX(MAX(Inputs!$F$135,Inputs!$F$133),Time!S$5))/Time!S$7</f>
        <v/>
      </c>
      <c r="T976" s="14">
        <f>MAX(0,MIN(Inputs!$F$134,Time!T$6)-MAX(MAX(Inputs!$F$135,Inputs!$F$133),Time!T$5))/Time!T$7</f>
        <v/>
      </c>
      <c r="U976" s="14">
        <f>MAX(0,MIN(Inputs!$F$134,Time!U$6)-MAX(MAX(Inputs!$F$135,Inputs!$F$133),Time!U$5))/Time!U$7</f>
        <v/>
      </c>
      <c r="V976" s="14">
        <f>MAX(0,MIN(Inputs!$F$134,Time!V$6)-MAX(MAX(Inputs!$F$135,Inputs!$F$133),Time!V$5))/Time!V$7</f>
        <v/>
      </c>
      <c r="W976" s="14">
        <f>MAX(0,MIN(Inputs!$F$134,Time!W$6)-MAX(MAX(Inputs!$F$135,Inputs!$F$133),Time!W$5))/Time!W$7</f>
        <v/>
      </c>
      <c r="X976" s="14">
        <f>MAX(0,MIN(Inputs!$F$134,Time!X$6)-MAX(MAX(Inputs!$F$135,Inputs!$F$133),Time!X$5))/Time!X$7</f>
        <v/>
      </c>
      <c r="Y976" s="14">
        <f>MAX(0,MIN(Inputs!$F$134,Time!Y$6)-MAX(MAX(Inputs!$F$135,Inputs!$F$133),Time!Y$5))/Time!Y$7</f>
        <v/>
      </c>
      <c r="Z976" s="14">
        <f>MAX(0,MIN(Inputs!$F$134,Time!Z$6)-MAX(MAX(Inputs!$F$135,Inputs!$F$133),Time!Z$5))/Time!Z$7</f>
        <v/>
      </c>
      <c r="AA976" s="14">
        <f>MAX(0,MIN(Inputs!$F$134,Time!AA$6)-MAX(MAX(Inputs!$F$135,Inputs!$F$133),Time!AA$5))/Time!AA$7</f>
        <v/>
      </c>
      <c r="AB976" s="14">
        <f>MAX(0,MIN(Inputs!$F$134,Time!AB$6)-MAX(MAX(Inputs!$F$135,Inputs!$F$133),Time!AB$5))/Time!AB$7</f>
        <v/>
      </c>
      <c r="AC976" s="14">
        <f>MAX(0,MIN(Inputs!$F$134,Time!AC$6)-MAX(MAX(Inputs!$F$135,Inputs!$F$133),Time!AC$5))/Time!AC$7</f>
        <v/>
      </c>
      <c r="AD976" s="14">
        <f>MAX(0,MIN(Inputs!$F$134,Time!AD$6)-MAX(MAX(Inputs!$F$135,Inputs!$F$133),Time!AD$5))/Time!AD$7</f>
        <v/>
      </c>
      <c r="AE976" s="14">
        <f>MAX(0,MIN(Inputs!$F$134,Time!AE$6)-MAX(MAX(Inputs!$F$135,Inputs!$F$133),Time!AE$5))/Time!AE$7</f>
        <v/>
      </c>
      <c r="AF976" s="14">
        <f>MAX(0,MIN(Inputs!$F$134,Time!AF$6)-MAX(MAX(Inputs!$F$135,Inputs!$F$133),Time!AF$5))/Time!AF$7</f>
        <v/>
      </c>
      <c r="AG976" s="14">
        <f>MAX(0,MIN(Inputs!$F$134,Time!AG$6)-MAX(MAX(Inputs!$F$135,Inputs!$F$133),Time!AG$5))/Time!AG$7</f>
        <v/>
      </c>
      <c r="AH976" s="14">
        <f>MAX(0,MIN(Inputs!$F$134,Time!AH$6)-MAX(MAX(Inputs!$F$135,Inputs!$F$133),Time!AH$5))/Time!AH$7</f>
        <v/>
      </c>
      <c r="AI976" s="14">
        <f>MAX(0,MIN(Inputs!$F$134,Time!AI$6)-MAX(MAX(Inputs!$F$135,Inputs!$F$133),Time!AI$5))/Time!AI$7</f>
        <v/>
      </c>
      <c r="AJ976" s="14">
        <f>MAX(0,MIN(Inputs!$F$134,Time!AJ$6)-MAX(MAX(Inputs!$F$135,Inputs!$F$133),Time!AJ$5))/Time!AJ$7</f>
        <v/>
      </c>
      <c r="AK976" s="14">
        <f>MAX(0,MIN(Inputs!$F$134,Time!AK$6)-MAX(MAX(Inputs!$F$135,Inputs!$F$133),Time!AK$5))/Time!AK$7</f>
        <v/>
      </c>
      <c r="AL976" s="14">
        <f>MAX(0,MIN(Inputs!$F$134,Time!AL$6)-MAX(MAX(Inputs!$F$135,Inputs!$F$133),Time!AL$5))/Time!AL$7</f>
        <v/>
      </c>
      <c r="AM976" s="14">
        <f>MAX(0,MIN(Inputs!$F$134,Time!AM$6)-MAX(MAX(Inputs!$F$135,Inputs!$F$133),Time!AM$5))/Time!AM$7</f>
        <v/>
      </c>
      <c r="AN976" s="14">
        <f>MAX(0,MIN(Inputs!$F$134,Time!AN$6)-MAX(MAX(Inputs!$F$135,Inputs!$F$133),Time!AN$5))/Time!AN$7</f>
        <v/>
      </c>
      <c r="AO976" s="14">
        <f>MAX(0,MIN(Inputs!$F$134,Time!AO$6)-MAX(MAX(Inputs!$F$135,Inputs!$F$133),Time!AO$5))/Time!AO$7</f>
        <v/>
      </c>
      <c r="AP976" s="14">
        <f>MAX(0,MIN(Inputs!$F$134,Time!AP$6)-MAX(MAX(Inputs!$F$135,Inputs!$F$133),Time!AP$5))/Time!AP$7</f>
        <v/>
      </c>
      <c r="AQ976" s="14">
        <f>MAX(0,MIN(Inputs!$F$134,Time!AQ$6)-MAX(MAX(Inputs!$F$135,Inputs!$F$133),Time!AQ$5))/Time!AQ$7</f>
        <v/>
      </c>
      <c r="AR976" s="14">
        <f>MAX(0,MIN(Inputs!$F$134,Time!AR$6)-MAX(MAX(Inputs!$F$135,Inputs!$F$133),Time!AR$5))/Time!AR$7</f>
        <v/>
      </c>
      <c r="AS976" s="14">
        <f>MAX(0,MIN(Inputs!$F$134,Time!AS$6)-MAX(MAX(Inputs!$F$135,Inputs!$F$133),Time!AS$5))/Time!AS$7</f>
        <v/>
      </c>
      <c r="AT976" s="14">
        <f>MAX(0,MIN(Inputs!$F$134,Time!AT$6)-MAX(MAX(Inputs!$F$135,Inputs!$F$133),Time!AT$5))/Time!AT$7</f>
        <v/>
      </c>
      <c r="AU976" s="14">
        <f>MAX(0,MIN(Inputs!$F$134,Time!AU$6)-MAX(MAX(Inputs!$F$135,Inputs!$F$133),Time!AU$5))/Time!AU$7</f>
        <v/>
      </c>
    </row>
    <row r="977">
      <c r="D977" t="inlineStr">
        <is>
          <t>R5 owned share of operating period</t>
        </is>
      </c>
      <c r="E977" t="inlineStr">
        <is>
          <t>fraction</t>
        </is>
      </c>
      <c r="J977" s="14">
        <f>IF(Operations!J975&gt;0,Operations!J976/Operations!J975,0)</f>
        <v/>
      </c>
      <c r="K977" s="14">
        <f>IF(Operations!K975&gt;0,Operations!K976/Operations!K975,0)</f>
        <v/>
      </c>
      <c r="L977" s="14">
        <f>IF(Operations!L975&gt;0,Operations!L976/Operations!L975,0)</f>
        <v/>
      </c>
      <c r="M977" s="14">
        <f>IF(Operations!M975&gt;0,Operations!M976/Operations!M975,0)</f>
        <v/>
      </c>
      <c r="N977" s="14">
        <f>IF(Operations!N975&gt;0,Operations!N976/Operations!N975,0)</f>
        <v/>
      </c>
      <c r="O977" s="14">
        <f>IF(Operations!O975&gt;0,Operations!O976/Operations!O975,0)</f>
        <v/>
      </c>
      <c r="P977" s="14">
        <f>IF(Operations!P975&gt;0,Operations!P976/Operations!P975,0)</f>
        <v/>
      </c>
      <c r="Q977" s="14">
        <f>IF(Operations!Q975&gt;0,Operations!Q976/Operations!Q975,0)</f>
        <v/>
      </c>
      <c r="R977" s="14">
        <f>IF(Operations!R975&gt;0,Operations!R976/Operations!R975,0)</f>
        <v/>
      </c>
      <c r="S977" s="14">
        <f>IF(Operations!S975&gt;0,Operations!S976/Operations!S975,0)</f>
        <v/>
      </c>
      <c r="T977" s="14">
        <f>IF(Operations!T975&gt;0,Operations!T976/Operations!T975,0)</f>
        <v/>
      </c>
      <c r="U977" s="14">
        <f>IF(Operations!U975&gt;0,Operations!U976/Operations!U975,0)</f>
        <v/>
      </c>
      <c r="V977" s="14">
        <f>IF(Operations!V975&gt;0,Operations!V976/Operations!V975,0)</f>
        <v/>
      </c>
      <c r="W977" s="14">
        <f>IF(Operations!W975&gt;0,Operations!W976/Operations!W975,0)</f>
        <v/>
      </c>
      <c r="X977" s="14">
        <f>IF(Operations!X975&gt;0,Operations!X976/Operations!X975,0)</f>
        <v/>
      </c>
      <c r="Y977" s="14">
        <f>IF(Operations!Y975&gt;0,Operations!Y976/Operations!Y975,0)</f>
        <v/>
      </c>
      <c r="Z977" s="14">
        <f>IF(Operations!Z975&gt;0,Operations!Z976/Operations!Z975,0)</f>
        <v/>
      </c>
      <c r="AA977" s="14">
        <f>IF(Operations!AA975&gt;0,Operations!AA976/Operations!AA975,0)</f>
        <v/>
      </c>
      <c r="AB977" s="14">
        <f>IF(Operations!AB975&gt;0,Operations!AB976/Operations!AB975,0)</f>
        <v/>
      </c>
      <c r="AC977" s="14">
        <f>IF(Operations!AC975&gt;0,Operations!AC976/Operations!AC975,0)</f>
        <v/>
      </c>
      <c r="AD977" s="14">
        <f>IF(Operations!AD975&gt;0,Operations!AD976/Operations!AD975,0)</f>
        <v/>
      </c>
      <c r="AE977" s="14">
        <f>IF(Operations!AE975&gt;0,Operations!AE976/Operations!AE975,0)</f>
        <v/>
      </c>
      <c r="AF977" s="14">
        <f>IF(Operations!AF975&gt;0,Operations!AF976/Operations!AF975,0)</f>
        <v/>
      </c>
      <c r="AG977" s="14">
        <f>IF(Operations!AG975&gt;0,Operations!AG976/Operations!AG975,0)</f>
        <v/>
      </c>
      <c r="AH977" s="14">
        <f>IF(Operations!AH975&gt;0,Operations!AH976/Operations!AH975,0)</f>
        <v/>
      </c>
      <c r="AI977" s="14">
        <f>IF(Operations!AI975&gt;0,Operations!AI976/Operations!AI975,0)</f>
        <v/>
      </c>
      <c r="AJ977" s="14">
        <f>IF(Operations!AJ975&gt;0,Operations!AJ976/Operations!AJ975,0)</f>
        <v/>
      </c>
      <c r="AK977" s="14">
        <f>IF(Operations!AK975&gt;0,Operations!AK976/Operations!AK975,0)</f>
        <v/>
      </c>
      <c r="AL977" s="14">
        <f>IF(Operations!AL975&gt;0,Operations!AL976/Operations!AL975,0)</f>
        <v/>
      </c>
      <c r="AM977" s="14">
        <f>IF(Operations!AM975&gt;0,Operations!AM976/Operations!AM975,0)</f>
        <v/>
      </c>
      <c r="AN977" s="14">
        <f>IF(Operations!AN975&gt;0,Operations!AN976/Operations!AN975,0)</f>
        <v/>
      </c>
      <c r="AO977" s="14">
        <f>IF(Operations!AO975&gt;0,Operations!AO976/Operations!AO975,0)</f>
        <v/>
      </c>
      <c r="AP977" s="14">
        <f>IF(Operations!AP975&gt;0,Operations!AP976/Operations!AP975,0)</f>
        <v/>
      </c>
      <c r="AQ977" s="14">
        <f>IF(Operations!AQ975&gt;0,Operations!AQ976/Operations!AQ975,0)</f>
        <v/>
      </c>
      <c r="AR977" s="14">
        <f>IF(Operations!AR975&gt;0,Operations!AR976/Operations!AR975,0)</f>
        <v/>
      </c>
      <c r="AS977" s="14">
        <f>IF(Operations!AS975&gt;0,Operations!AS976/Operations!AS975,0)</f>
        <v/>
      </c>
      <c r="AT977" s="14">
        <f>IF(Operations!AT975&gt;0,Operations!AT976/Operations!AT975,0)</f>
        <v/>
      </c>
      <c r="AU977" s="14">
        <f>IF(Operations!AU975&gt;0,Operations!AU976/Operations!AU975,0)</f>
        <v/>
      </c>
    </row>
    <row r="978">
      <c r="D978" t="inlineStr">
        <is>
          <t>R5 own hub ATC</t>
        </is>
      </c>
      <c r="E978" t="inlineStr">
        <is>
          <t>USD/MWh</t>
        </is>
      </c>
      <c r="J978" s="18">
        <f>Operations!J795</f>
        <v/>
      </c>
      <c r="K978" s="18">
        <f>Operations!K795</f>
        <v/>
      </c>
      <c r="L978" s="18">
        <f>Operations!L795</f>
        <v/>
      </c>
      <c r="M978" s="18">
        <f>Operations!M795</f>
        <v/>
      </c>
      <c r="N978" s="18">
        <f>Operations!N795</f>
        <v/>
      </c>
      <c r="O978" s="18">
        <f>Operations!O795</f>
        <v/>
      </c>
      <c r="P978" s="18">
        <f>Operations!P795</f>
        <v/>
      </c>
      <c r="Q978" s="18">
        <f>Operations!Q795</f>
        <v/>
      </c>
      <c r="R978" s="18">
        <f>Operations!R795</f>
        <v/>
      </c>
      <c r="S978" s="18">
        <f>Operations!S795</f>
        <v/>
      </c>
      <c r="T978" s="18">
        <f>Operations!T795</f>
        <v/>
      </c>
      <c r="U978" s="18">
        <f>Operations!U795</f>
        <v/>
      </c>
      <c r="V978" s="18">
        <f>Operations!V795</f>
        <v/>
      </c>
      <c r="W978" s="18">
        <f>Operations!W795</f>
        <v/>
      </c>
      <c r="X978" s="18">
        <f>Operations!X795</f>
        <v/>
      </c>
      <c r="Y978" s="18">
        <f>Operations!Y795</f>
        <v/>
      </c>
      <c r="Z978" s="18">
        <f>Operations!Z795</f>
        <v/>
      </c>
      <c r="AA978" s="18">
        <f>Operations!AA795</f>
        <v/>
      </c>
      <c r="AB978" s="18">
        <f>Operations!AB795</f>
        <v/>
      </c>
      <c r="AC978" s="18">
        <f>Operations!AC795</f>
        <v/>
      </c>
      <c r="AD978" s="18">
        <f>Operations!AD795</f>
        <v/>
      </c>
      <c r="AE978" s="18">
        <f>Operations!AE795</f>
        <v/>
      </c>
      <c r="AF978" s="18">
        <f>Operations!AF795</f>
        <v/>
      </c>
      <c r="AG978" s="18">
        <f>Operations!AG795</f>
        <v/>
      </c>
      <c r="AH978" s="18">
        <f>Operations!AH795</f>
        <v/>
      </c>
      <c r="AI978" s="18">
        <f>Operations!AI795</f>
        <v/>
      </c>
      <c r="AJ978" s="18">
        <f>Operations!AJ795</f>
        <v/>
      </c>
      <c r="AK978" s="18">
        <f>Operations!AK795</f>
        <v/>
      </c>
      <c r="AL978" s="18">
        <f>Operations!AL795</f>
        <v/>
      </c>
      <c r="AM978" s="18">
        <f>Operations!AM795</f>
        <v/>
      </c>
      <c r="AN978" s="18">
        <f>Operations!AN795</f>
        <v/>
      </c>
      <c r="AO978" s="18">
        <f>Operations!AO795</f>
        <v/>
      </c>
      <c r="AP978" s="18">
        <f>Operations!AP795</f>
        <v/>
      </c>
      <c r="AQ978" s="18">
        <f>Operations!AQ795</f>
        <v/>
      </c>
      <c r="AR978" s="18">
        <f>Operations!AR795</f>
        <v/>
      </c>
      <c r="AS978" s="18">
        <f>Operations!AS795</f>
        <v/>
      </c>
      <c r="AT978" s="18">
        <f>Operations!AT795</f>
        <v/>
      </c>
      <c r="AU978" s="18">
        <f>Operations!AU795</f>
        <v/>
      </c>
    </row>
    <row r="979">
      <c r="D979" t="inlineStr">
        <is>
          <t>R5 volume factor</t>
        </is>
      </c>
      <c r="E979" t="inlineStr">
        <is>
          <t>factor</t>
        </is>
      </c>
      <c r="J979" s="14">
        <f>CHOOSE(Operations!$F$789,1,Inputs!$F$139/100,Inputs!$F$140/100,Operations!$F$36/100)</f>
        <v/>
      </c>
      <c r="K979" s="14">
        <f>CHOOSE(Operations!$F$789,1,Inputs!$F$139/100,Inputs!$F$140/100,Operations!$F$36/100)</f>
        <v/>
      </c>
      <c r="L979" s="14">
        <f>CHOOSE(Operations!$F$789,1,Inputs!$F$139/100,Inputs!$F$140/100,Operations!$F$36/100)</f>
        <v/>
      </c>
      <c r="M979" s="14">
        <f>CHOOSE(Operations!$F$789,1,Inputs!$F$139/100,Inputs!$F$140/100,Operations!$F$36/100)</f>
        <v/>
      </c>
      <c r="N979" s="14">
        <f>CHOOSE(Operations!$F$789,1,Inputs!$F$139/100,Inputs!$F$140/100,Operations!$F$36/100)</f>
        <v/>
      </c>
      <c r="O979" s="14">
        <f>CHOOSE(Operations!$F$789,1,Inputs!$F$139/100,Inputs!$F$140/100,Operations!$F$36/100)</f>
        <v/>
      </c>
      <c r="P979" s="14">
        <f>CHOOSE(Operations!$F$789,1,Inputs!$F$139/100,Inputs!$F$140/100,Operations!$F$36/100)</f>
        <v/>
      </c>
      <c r="Q979" s="14">
        <f>CHOOSE(Operations!$F$789,1,Inputs!$F$139/100,Inputs!$F$140/100,Operations!$F$36/100)</f>
        <v/>
      </c>
      <c r="R979" s="14">
        <f>CHOOSE(Operations!$F$789,1,Inputs!$F$139/100,Inputs!$F$140/100,Operations!$F$36/100)</f>
        <v/>
      </c>
      <c r="S979" s="14">
        <f>CHOOSE(Operations!$F$789,1,Inputs!$F$139/100,Inputs!$F$140/100,Operations!$F$36/100)</f>
        <v/>
      </c>
      <c r="T979" s="14">
        <f>CHOOSE(Operations!$F$789,1,Inputs!$F$139/100,Inputs!$F$140/100,Operations!$F$36/100)</f>
        <v/>
      </c>
      <c r="U979" s="14">
        <f>CHOOSE(Operations!$F$789,1,Inputs!$F$139/100,Inputs!$F$140/100,Operations!$F$36/100)</f>
        <v/>
      </c>
      <c r="V979" s="14">
        <f>CHOOSE(Operations!$F$789,1,Inputs!$F$139/100,Inputs!$F$140/100,Operations!$F$36/100)</f>
        <v/>
      </c>
      <c r="W979" s="14">
        <f>CHOOSE(Operations!$F$789,1,Inputs!$F$139/100,Inputs!$F$140/100,Operations!$F$36/100)</f>
        <v/>
      </c>
      <c r="X979" s="14">
        <f>CHOOSE(Operations!$F$789,1,Inputs!$F$139/100,Inputs!$F$140/100,Operations!$F$36/100)</f>
        <v/>
      </c>
      <c r="Y979" s="14">
        <f>CHOOSE(Operations!$F$789,1,Inputs!$F$139/100,Inputs!$F$140/100,Operations!$F$36/100)</f>
        <v/>
      </c>
      <c r="Z979" s="14">
        <f>CHOOSE(Operations!$F$789,1,Inputs!$F$139/100,Inputs!$F$140/100,Operations!$F$36/100)</f>
        <v/>
      </c>
      <c r="AA979" s="14">
        <f>CHOOSE(Operations!$F$789,1,Inputs!$F$139/100,Inputs!$F$140/100,Operations!$F$36/100)</f>
        <v/>
      </c>
      <c r="AB979" s="14">
        <f>CHOOSE(Operations!$F$789,1,Inputs!$F$139/100,Inputs!$F$140/100,Operations!$F$36/100)</f>
        <v/>
      </c>
      <c r="AC979" s="14">
        <f>CHOOSE(Operations!$F$789,1,Inputs!$F$139/100,Inputs!$F$140/100,Operations!$F$36/100)</f>
        <v/>
      </c>
      <c r="AD979" s="14">
        <f>CHOOSE(Operations!$F$789,1,Inputs!$F$139/100,Inputs!$F$140/100,Operations!$F$36/100)</f>
        <v/>
      </c>
      <c r="AE979" s="14">
        <f>CHOOSE(Operations!$F$789,1,Inputs!$F$139/100,Inputs!$F$140/100,Operations!$F$36/100)</f>
        <v/>
      </c>
      <c r="AF979" s="14">
        <f>CHOOSE(Operations!$F$789,1,Inputs!$F$139/100,Inputs!$F$140/100,Operations!$F$36/100)</f>
        <v/>
      </c>
      <c r="AG979" s="14">
        <f>CHOOSE(Operations!$F$789,1,Inputs!$F$139/100,Inputs!$F$140/100,Operations!$F$36/100)</f>
        <v/>
      </c>
      <c r="AH979" s="14">
        <f>CHOOSE(Operations!$F$789,1,Inputs!$F$139/100,Inputs!$F$140/100,Operations!$F$36/100)</f>
        <v/>
      </c>
      <c r="AI979" s="14">
        <f>CHOOSE(Operations!$F$789,1,Inputs!$F$139/100,Inputs!$F$140/100,Operations!$F$36/100)</f>
        <v/>
      </c>
      <c r="AJ979" s="14">
        <f>CHOOSE(Operations!$F$789,1,Inputs!$F$139/100,Inputs!$F$140/100,Operations!$F$36/100)</f>
        <v/>
      </c>
      <c r="AK979" s="14">
        <f>CHOOSE(Operations!$F$789,1,Inputs!$F$139/100,Inputs!$F$140/100,Operations!$F$36/100)</f>
        <v/>
      </c>
      <c r="AL979" s="14">
        <f>CHOOSE(Operations!$F$789,1,Inputs!$F$139/100,Inputs!$F$140/100,Operations!$F$36/100)</f>
        <v/>
      </c>
      <c r="AM979" s="14">
        <f>CHOOSE(Operations!$F$789,1,Inputs!$F$139/100,Inputs!$F$140/100,Operations!$F$36/100)</f>
        <v/>
      </c>
      <c r="AN979" s="14">
        <f>CHOOSE(Operations!$F$789,1,Inputs!$F$139/100,Inputs!$F$140/100,Operations!$F$36/100)</f>
        <v/>
      </c>
      <c r="AO979" s="14">
        <f>CHOOSE(Operations!$F$789,1,Inputs!$F$139/100,Inputs!$F$140/100,Operations!$F$36/100)</f>
        <v/>
      </c>
      <c r="AP979" s="14">
        <f>CHOOSE(Operations!$F$789,1,Inputs!$F$139/100,Inputs!$F$140/100,Operations!$F$36/100)</f>
        <v/>
      </c>
      <c r="AQ979" s="14">
        <f>CHOOSE(Operations!$F$789,1,Inputs!$F$139/100,Inputs!$F$140/100,Operations!$F$36/100)</f>
        <v/>
      </c>
      <c r="AR979" s="14">
        <f>CHOOSE(Operations!$F$789,1,Inputs!$F$139/100,Inputs!$F$140/100,Operations!$F$36/100)</f>
        <v/>
      </c>
      <c r="AS979" s="14">
        <f>CHOOSE(Operations!$F$789,1,Inputs!$F$139/100,Inputs!$F$140/100,Operations!$F$36/100)</f>
        <v/>
      </c>
      <c r="AT979" s="14">
        <f>CHOOSE(Operations!$F$789,1,Inputs!$F$139/100,Inputs!$F$140/100,Operations!$F$36/100)</f>
        <v/>
      </c>
      <c r="AU979" s="14">
        <f>CHOOSE(Operations!$F$789,1,Inputs!$F$139/100,Inputs!$F$140/100,Operations!$F$36/100)</f>
        <v/>
      </c>
    </row>
    <row r="980">
      <c r="D980" t="inlineStr">
        <is>
          <t>R5 degradation factor</t>
        </is>
      </c>
      <c r="E980" t="inlineStr">
        <is>
          <t>factor</t>
        </is>
      </c>
      <c r="J980" s="14">
        <f>(1-Inputs!$F$141/100)^MAX(0,Time!J$4-Inputs!$F$142)</f>
        <v/>
      </c>
      <c r="K980" s="14">
        <f>(1-Inputs!$F$141/100)^MAX(0,Time!K$4-Inputs!$F$142)</f>
        <v/>
      </c>
      <c r="L980" s="14">
        <f>(1-Inputs!$F$141/100)^MAX(0,Time!L$4-Inputs!$F$142)</f>
        <v/>
      </c>
      <c r="M980" s="14">
        <f>(1-Inputs!$F$141/100)^MAX(0,Time!M$4-Inputs!$F$142)</f>
        <v/>
      </c>
      <c r="N980" s="14">
        <f>(1-Inputs!$F$141/100)^MAX(0,Time!N$4-Inputs!$F$142)</f>
        <v/>
      </c>
      <c r="O980" s="14">
        <f>(1-Inputs!$F$141/100)^MAX(0,Time!O$4-Inputs!$F$142)</f>
        <v/>
      </c>
      <c r="P980" s="14">
        <f>(1-Inputs!$F$141/100)^MAX(0,Time!P$4-Inputs!$F$142)</f>
        <v/>
      </c>
      <c r="Q980" s="14">
        <f>(1-Inputs!$F$141/100)^MAX(0,Time!Q$4-Inputs!$F$142)</f>
        <v/>
      </c>
      <c r="R980" s="14">
        <f>(1-Inputs!$F$141/100)^MAX(0,Time!R$4-Inputs!$F$142)</f>
        <v/>
      </c>
      <c r="S980" s="14">
        <f>(1-Inputs!$F$141/100)^MAX(0,Time!S$4-Inputs!$F$142)</f>
        <v/>
      </c>
      <c r="T980" s="14">
        <f>(1-Inputs!$F$141/100)^MAX(0,Time!T$4-Inputs!$F$142)</f>
        <v/>
      </c>
      <c r="U980" s="14">
        <f>(1-Inputs!$F$141/100)^MAX(0,Time!U$4-Inputs!$F$142)</f>
        <v/>
      </c>
      <c r="V980" s="14">
        <f>(1-Inputs!$F$141/100)^MAX(0,Time!V$4-Inputs!$F$142)</f>
        <v/>
      </c>
      <c r="W980" s="14">
        <f>(1-Inputs!$F$141/100)^MAX(0,Time!W$4-Inputs!$F$142)</f>
        <v/>
      </c>
      <c r="X980" s="14">
        <f>(1-Inputs!$F$141/100)^MAX(0,Time!X$4-Inputs!$F$142)</f>
        <v/>
      </c>
      <c r="Y980" s="14">
        <f>(1-Inputs!$F$141/100)^MAX(0,Time!Y$4-Inputs!$F$142)</f>
        <v/>
      </c>
      <c r="Z980" s="14">
        <f>(1-Inputs!$F$141/100)^MAX(0,Time!Z$4-Inputs!$F$142)</f>
        <v/>
      </c>
      <c r="AA980" s="14">
        <f>(1-Inputs!$F$141/100)^MAX(0,Time!AA$4-Inputs!$F$142)</f>
        <v/>
      </c>
      <c r="AB980" s="14">
        <f>(1-Inputs!$F$141/100)^MAX(0,Time!AB$4-Inputs!$F$142)</f>
        <v/>
      </c>
      <c r="AC980" s="14">
        <f>(1-Inputs!$F$141/100)^MAX(0,Time!AC$4-Inputs!$F$142)</f>
        <v/>
      </c>
      <c r="AD980" s="14">
        <f>(1-Inputs!$F$141/100)^MAX(0,Time!AD$4-Inputs!$F$142)</f>
        <v/>
      </c>
      <c r="AE980" s="14">
        <f>(1-Inputs!$F$141/100)^MAX(0,Time!AE$4-Inputs!$F$142)</f>
        <v/>
      </c>
      <c r="AF980" s="14">
        <f>(1-Inputs!$F$141/100)^MAX(0,Time!AF$4-Inputs!$F$142)</f>
        <v/>
      </c>
      <c r="AG980" s="14">
        <f>(1-Inputs!$F$141/100)^MAX(0,Time!AG$4-Inputs!$F$142)</f>
        <v/>
      </c>
      <c r="AH980" s="14">
        <f>(1-Inputs!$F$141/100)^MAX(0,Time!AH$4-Inputs!$F$142)</f>
        <v/>
      </c>
      <c r="AI980" s="14">
        <f>(1-Inputs!$F$141/100)^MAX(0,Time!AI$4-Inputs!$F$142)</f>
        <v/>
      </c>
      <c r="AJ980" s="14">
        <f>(1-Inputs!$F$141/100)^MAX(0,Time!AJ$4-Inputs!$F$142)</f>
        <v/>
      </c>
      <c r="AK980" s="14">
        <f>(1-Inputs!$F$141/100)^MAX(0,Time!AK$4-Inputs!$F$142)</f>
        <v/>
      </c>
      <c r="AL980" s="14">
        <f>(1-Inputs!$F$141/100)^MAX(0,Time!AL$4-Inputs!$F$142)</f>
        <v/>
      </c>
      <c r="AM980" s="14">
        <f>(1-Inputs!$F$141/100)^MAX(0,Time!AM$4-Inputs!$F$142)</f>
        <v/>
      </c>
      <c r="AN980" s="14">
        <f>(1-Inputs!$F$141/100)^MAX(0,Time!AN$4-Inputs!$F$142)</f>
        <v/>
      </c>
      <c r="AO980" s="14">
        <f>(1-Inputs!$F$141/100)^MAX(0,Time!AO$4-Inputs!$F$142)</f>
        <v/>
      </c>
      <c r="AP980" s="14">
        <f>(1-Inputs!$F$141/100)^MAX(0,Time!AP$4-Inputs!$F$142)</f>
        <v/>
      </c>
      <c r="AQ980" s="14">
        <f>(1-Inputs!$F$141/100)^MAX(0,Time!AQ$4-Inputs!$F$142)</f>
        <v/>
      </c>
      <c r="AR980" s="14">
        <f>(1-Inputs!$F$141/100)^MAX(0,Time!AR$4-Inputs!$F$142)</f>
        <v/>
      </c>
      <c r="AS980" s="14">
        <f>(1-Inputs!$F$141/100)^MAX(0,Time!AS$4-Inputs!$F$142)</f>
        <v/>
      </c>
      <c r="AT980" s="14">
        <f>(1-Inputs!$F$141/100)^MAX(0,Time!AT$4-Inputs!$F$142)</f>
        <v/>
      </c>
      <c r="AU980" s="14">
        <f>(1-Inputs!$F$141/100)^MAX(0,Time!AU$4-Inputs!$F$142)</f>
        <v/>
      </c>
    </row>
    <row r="981">
      <c r="D981" t="inlineStr">
        <is>
          <t>R5 curtailment</t>
        </is>
      </c>
      <c r="E981" t="inlineStr">
        <is>
          <t>fraction</t>
        </is>
      </c>
      <c r="J981" s="14">
        <f>(IF(Time!J$4&gt;=Inputs!$F$61,Inputs!$F$67,Inputs!$F$66+(Inputs!$F$67-Inputs!$F$66)*(Time!J$4-Inputs!$F$23)/(Inputs!$F$61-Inputs!$F$23))+Operations!$F$791)/100</f>
        <v/>
      </c>
      <c r="K981" s="14">
        <f>(IF(Time!K$4&gt;=Inputs!$F$61,Inputs!$F$67,Inputs!$F$66+(Inputs!$F$67-Inputs!$F$66)*(Time!K$4-Inputs!$F$23)/(Inputs!$F$61-Inputs!$F$23))+Operations!$F$791)/100</f>
        <v/>
      </c>
      <c r="L981" s="14">
        <f>(IF(Time!L$4&gt;=Inputs!$F$61,Inputs!$F$67,Inputs!$F$66+(Inputs!$F$67-Inputs!$F$66)*(Time!L$4-Inputs!$F$23)/(Inputs!$F$61-Inputs!$F$23))+Operations!$F$791)/100</f>
        <v/>
      </c>
      <c r="M981" s="14">
        <f>(IF(Time!M$4&gt;=Inputs!$F$61,Inputs!$F$67,Inputs!$F$66+(Inputs!$F$67-Inputs!$F$66)*(Time!M$4-Inputs!$F$23)/(Inputs!$F$61-Inputs!$F$23))+Operations!$F$791)/100</f>
        <v/>
      </c>
      <c r="N981" s="14">
        <f>(IF(Time!N$4&gt;=Inputs!$F$61,Inputs!$F$67,Inputs!$F$66+(Inputs!$F$67-Inputs!$F$66)*(Time!N$4-Inputs!$F$23)/(Inputs!$F$61-Inputs!$F$23))+Operations!$F$791)/100</f>
        <v/>
      </c>
      <c r="O981" s="14">
        <f>(IF(Time!O$4&gt;=Inputs!$F$61,Inputs!$F$67,Inputs!$F$66+(Inputs!$F$67-Inputs!$F$66)*(Time!O$4-Inputs!$F$23)/(Inputs!$F$61-Inputs!$F$23))+Operations!$F$791)/100</f>
        <v/>
      </c>
      <c r="P981" s="14">
        <f>(IF(Time!P$4&gt;=Inputs!$F$61,Inputs!$F$67,Inputs!$F$66+(Inputs!$F$67-Inputs!$F$66)*(Time!P$4-Inputs!$F$23)/(Inputs!$F$61-Inputs!$F$23))+Operations!$F$791)/100</f>
        <v/>
      </c>
      <c r="Q981" s="14">
        <f>(IF(Time!Q$4&gt;=Inputs!$F$61,Inputs!$F$67,Inputs!$F$66+(Inputs!$F$67-Inputs!$F$66)*(Time!Q$4-Inputs!$F$23)/(Inputs!$F$61-Inputs!$F$23))+Operations!$F$791)/100</f>
        <v/>
      </c>
      <c r="R981" s="14">
        <f>(IF(Time!R$4&gt;=Inputs!$F$61,Inputs!$F$67,Inputs!$F$66+(Inputs!$F$67-Inputs!$F$66)*(Time!R$4-Inputs!$F$23)/(Inputs!$F$61-Inputs!$F$23))+Operations!$F$791)/100</f>
        <v/>
      </c>
      <c r="S981" s="14">
        <f>(IF(Time!S$4&gt;=Inputs!$F$61,Inputs!$F$67,Inputs!$F$66+(Inputs!$F$67-Inputs!$F$66)*(Time!S$4-Inputs!$F$23)/(Inputs!$F$61-Inputs!$F$23))+Operations!$F$791)/100</f>
        <v/>
      </c>
      <c r="T981" s="14">
        <f>(IF(Time!T$4&gt;=Inputs!$F$61,Inputs!$F$67,Inputs!$F$66+(Inputs!$F$67-Inputs!$F$66)*(Time!T$4-Inputs!$F$23)/(Inputs!$F$61-Inputs!$F$23))+Operations!$F$791)/100</f>
        <v/>
      </c>
      <c r="U981" s="14">
        <f>(IF(Time!U$4&gt;=Inputs!$F$61,Inputs!$F$67,Inputs!$F$66+(Inputs!$F$67-Inputs!$F$66)*(Time!U$4-Inputs!$F$23)/(Inputs!$F$61-Inputs!$F$23))+Operations!$F$791)/100</f>
        <v/>
      </c>
      <c r="V981" s="14">
        <f>(IF(Time!V$4&gt;=Inputs!$F$61,Inputs!$F$67,Inputs!$F$66+(Inputs!$F$67-Inputs!$F$66)*(Time!V$4-Inputs!$F$23)/(Inputs!$F$61-Inputs!$F$23))+Operations!$F$791)/100</f>
        <v/>
      </c>
      <c r="W981" s="14">
        <f>(IF(Time!W$4&gt;=Inputs!$F$61,Inputs!$F$67,Inputs!$F$66+(Inputs!$F$67-Inputs!$F$66)*(Time!W$4-Inputs!$F$23)/(Inputs!$F$61-Inputs!$F$23))+Operations!$F$791)/100</f>
        <v/>
      </c>
      <c r="X981" s="14">
        <f>(IF(Time!X$4&gt;=Inputs!$F$61,Inputs!$F$67,Inputs!$F$66+(Inputs!$F$67-Inputs!$F$66)*(Time!X$4-Inputs!$F$23)/(Inputs!$F$61-Inputs!$F$23))+Operations!$F$791)/100</f>
        <v/>
      </c>
      <c r="Y981" s="14">
        <f>(IF(Time!Y$4&gt;=Inputs!$F$61,Inputs!$F$67,Inputs!$F$66+(Inputs!$F$67-Inputs!$F$66)*(Time!Y$4-Inputs!$F$23)/(Inputs!$F$61-Inputs!$F$23))+Operations!$F$791)/100</f>
        <v/>
      </c>
      <c r="Z981" s="14">
        <f>(IF(Time!Z$4&gt;=Inputs!$F$61,Inputs!$F$67,Inputs!$F$66+(Inputs!$F$67-Inputs!$F$66)*(Time!Z$4-Inputs!$F$23)/(Inputs!$F$61-Inputs!$F$23))+Operations!$F$791)/100</f>
        <v/>
      </c>
      <c r="AA981" s="14">
        <f>(IF(Time!AA$4&gt;=Inputs!$F$61,Inputs!$F$67,Inputs!$F$66+(Inputs!$F$67-Inputs!$F$66)*(Time!AA$4-Inputs!$F$23)/(Inputs!$F$61-Inputs!$F$23))+Operations!$F$791)/100</f>
        <v/>
      </c>
      <c r="AB981" s="14">
        <f>(IF(Time!AB$4&gt;=Inputs!$F$61,Inputs!$F$67,Inputs!$F$66+(Inputs!$F$67-Inputs!$F$66)*(Time!AB$4-Inputs!$F$23)/(Inputs!$F$61-Inputs!$F$23))+Operations!$F$791)/100</f>
        <v/>
      </c>
      <c r="AC981" s="14">
        <f>(IF(Time!AC$4&gt;=Inputs!$F$61,Inputs!$F$67,Inputs!$F$66+(Inputs!$F$67-Inputs!$F$66)*(Time!AC$4-Inputs!$F$23)/(Inputs!$F$61-Inputs!$F$23))+Operations!$F$791)/100</f>
        <v/>
      </c>
      <c r="AD981" s="14">
        <f>(IF(Time!AD$4&gt;=Inputs!$F$61,Inputs!$F$67,Inputs!$F$66+(Inputs!$F$67-Inputs!$F$66)*(Time!AD$4-Inputs!$F$23)/(Inputs!$F$61-Inputs!$F$23))+Operations!$F$791)/100</f>
        <v/>
      </c>
      <c r="AE981" s="14">
        <f>(IF(Time!AE$4&gt;=Inputs!$F$61,Inputs!$F$67,Inputs!$F$66+(Inputs!$F$67-Inputs!$F$66)*(Time!AE$4-Inputs!$F$23)/(Inputs!$F$61-Inputs!$F$23))+Operations!$F$791)/100</f>
        <v/>
      </c>
      <c r="AF981" s="14">
        <f>(IF(Time!AF$4&gt;=Inputs!$F$61,Inputs!$F$67,Inputs!$F$66+(Inputs!$F$67-Inputs!$F$66)*(Time!AF$4-Inputs!$F$23)/(Inputs!$F$61-Inputs!$F$23))+Operations!$F$791)/100</f>
        <v/>
      </c>
      <c r="AG981" s="14">
        <f>(IF(Time!AG$4&gt;=Inputs!$F$61,Inputs!$F$67,Inputs!$F$66+(Inputs!$F$67-Inputs!$F$66)*(Time!AG$4-Inputs!$F$23)/(Inputs!$F$61-Inputs!$F$23))+Operations!$F$791)/100</f>
        <v/>
      </c>
      <c r="AH981" s="14">
        <f>(IF(Time!AH$4&gt;=Inputs!$F$61,Inputs!$F$67,Inputs!$F$66+(Inputs!$F$67-Inputs!$F$66)*(Time!AH$4-Inputs!$F$23)/(Inputs!$F$61-Inputs!$F$23))+Operations!$F$791)/100</f>
        <v/>
      </c>
      <c r="AI981" s="14">
        <f>(IF(Time!AI$4&gt;=Inputs!$F$61,Inputs!$F$67,Inputs!$F$66+(Inputs!$F$67-Inputs!$F$66)*(Time!AI$4-Inputs!$F$23)/(Inputs!$F$61-Inputs!$F$23))+Operations!$F$791)/100</f>
        <v/>
      </c>
      <c r="AJ981" s="14">
        <f>(IF(Time!AJ$4&gt;=Inputs!$F$61,Inputs!$F$67,Inputs!$F$66+(Inputs!$F$67-Inputs!$F$66)*(Time!AJ$4-Inputs!$F$23)/(Inputs!$F$61-Inputs!$F$23))+Operations!$F$791)/100</f>
        <v/>
      </c>
      <c r="AK981" s="14">
        <f>(IF(Time!AK$4&gt;=Inputs!$F$61,Inputs!$F$67,Inputs!$F$66+(Inputs!$F$67-Inputs!$F$66)*(Time!AK$4-Inputs!$F$23)/(Inputs!$F$61-Inputs!$F$23))+Operations!$F$791)/100</f>
        <v/>
      </c>
      <c r="AL981" s="14">
        <f>(IF(Time!AL$4&gt;=Inputs!$F$61,Inputs!$F$67,Inputs!$F$66+(Inputs!$F$67-Inputs!$F$66)*(Time!AL$4-Inputs!$F$23)/(Inputs!$F$61-Inputs!$F$23))+Operations!$F$791)/100</f>
        <v/>
      </c>
      <c r="AM981" s="14">
        <f>(IF(Time!AM$4&gt;=Inputs!$F$61,Inputs!$F$67,Inputs!$F$66+(Inputs!$F$67-Inputs!$F$66)*(Time!AM$4-Inputs!$F$23)/(Inputs!$F$61-Inputs!$F$23))+Operations!$F$791)/100</f>
        <v/>
      </c>
      <c r="AN981" s="14">
        <f>(IF(Time!AN$4&gt;=Inputs!$F$61,Inputs!$F$67,Inputs!$F$66+(Inputs!$F$67-Inputs!$F$66)*(Time!AN$4-Inputs!$F$23)/(Inputs!$F$61-Inputs!$F$23))+Operations!$F$791)/100</f>
        <v/>
      </c>
      <c r="AO981" s="14">
        <f>(IF(Time!AO$4&gt;=Inputs!$F$61,Inputs!$F$67,Inputs!$F$66+(Inputs!$F$67-Inputs!$F$66)*(Time!AO$4-Inputs!$F$23)/(Inputs!$F$61-Inputs!$F$23))+Operations!$F$791)/100</f>
        <v/>
      </c>
      <c r="AP981" s="14">
        <f>(IF(Time!AP$4&gt;=Inputs!$F$61,Inputs!$F$67,Inputs!$F$66+(Inputs!$F$67-Inputs!$F$66)*(Time!AP$4-Inputs!$F$23)/(Inputs!$F$61-Inputs!$F$23))+Operations!$F$791)/100</f>
        <v/>
      </c>
      <c r="AQ981" s="14">
        <f>(IF(Time!AQ$4&gt;=Inputs!$F$61,Inputs!$F$67,Inputs!$F$66+(Inputs!$F$67-Inputs!$F$66)*(Time!AQ$4-Inputs!$F$23)/(Inputs!$F$61-Inputs!$F$23))+Operations!$F$791)/100</f>
        <v/>
      </c>
      <c r="AR981" s="14">
        <f>(IF(Time!AR$4&gt;=Inputs!$F$61,Inputs!$F$67,Inputs!$F$66+(Inputs!$F$67-Inputs!$F$66)*(Time!AR$4-Inputs!$F$23)/(Inputs!$F$61-Inputs!$F$23))+Operations!$F$791)/100</f>
        <v/>
      </c>
      <c r="AS981" s="14">
        <f>(IF(Time!AS$4&gt;=Inputs!$F$61,Inputs!$F$67,Inputs!$F$66+(Inputs!$F$67-Inputs!$F$66)*(Time!AS$4-Inputs!$F$23)/(Inputs!$F$61-Inputs!$F$23))+Operations!$F$791)/100</f>
        <v/>
      </c>
      <c r="AT981" s="14">
        <f>(IF(Time!AT$4&gt;=Inputs!$F$61,Inputs!$F$67,Inputs!$F$66+(Inputs!$F$67-Inputs!$F$66)*(Time!AT$4-Inputs!$F$23)/(Inputs!$F$61-Inputs!$F$23))+Operations!$F$791)/100</f>
        <v/>
      </c>
      <c r="AU981" s="14">
        <f>(IF(Time!AU$4&gt;=Inputs!$F$61,Inputs!$F$67,Inputs!$F$66+(Inputs!$F$67-Inputs!$F$66)*(Time!AU$4-Inputs!$F$23)/(Inputs!$F$61-Inputs!$F$23))+Operations!$F$791)/100</f>
        <v/>
      </c>
    </row>
    <row r="982">
      <c r="D982" t="inlineStr">
        <is>
          <t>R5 net generation, full year</t>
        </is>
      </c>
      <c r="E982" t="inlineStr">
        <is>
          <t>GWh</t>
        </is>
      </c>
      <c r="J982" s="20">
        <f>Inputs!$F$138*Operations!J979*Inputs!$F$185/100*Operations!J980*(1-Operations!J981)</f>
        <v/>
      </c>
      <c r="K982" s="20">
        <f>Inputs!$F$138*Operations!K979*Inputs!$F$185/100*Operations!K980*(1-Operations!K981)</f>
        <v/>
      </c>
      <c r="L982" s="20">
        <f>Inputs!$F$138*Operations!L979*Inputs!$F$185/100*Operations!L980*(1-Operations!L981)</f>
        <v/>
      </c>
      <c r="M982" s="20">
        <f>Inputs!$F$138*Operations!M979*Inputs!$F$185/100*Operations!M980*(1-Operations!M981)</f>
        <v/>
      </c>
      <c r="N982" s="20">
        <f>Inputs!$F$138*Operations!N979*Inputs!$F$185/100*Operations!N980*(1-Operations!N981)</f>
        <v/>
      </c>
      <c r="O982" s="20">
        <f>Inputs!$F$138*Operations!O979*Inputs!$F$185/100*Operations!O980*(1-Operations!O981)</f>
        <v/>
      </c>
      <c r="P982" s="20">
        <f>Inputs!$F$138*Operations!P979*Inputs!$F$185/100*Operations!P980*(1-Operations!P981)</f>
        <v/>
      </c>
      <c r="Q982" s="20">
        <f>Inputs!$F$138*Operations!Q979*Inputs!$F$185/100*Operations!Q980*(1-Operations!Q981)</f>
        <v/>
      </c>
      <c r="R982" s="20">
        <f>Inputs!$F$138*Operations!R979*Inputs!$F$185/100*Operations!R980*(1-Operations!R981)</f>
        <v/>
      </c>
      <c r="S982" s="20">
        <f>Inputs!$F$138*Operations!S979*Inputs!$F$185/100*Operations!S980*(1-Operations!S981)</f>
        <v/>
      </c>
      <c r="T982" s="20">
        <f>Inputs!$F$138*Operations!T979*Inputs!$F$185/100*Operations!T980*(1-Operations!T981)</f>
        <v/>
      </c>
      <c r="U982" s="20">
        <f>Inputs!$F$138*Operations!U979*Inputs!$F$185/100*Operations!U980*(1-Operations!U981)</f>
        <v/>
      </c>
      <c r="V982" s="20">
        <f>Inputs!$F$138*Operations!V979*Inputs!$F$185/100*Operations!V980*(1-Operations!V981)</f>
        <v/>
      </c>
      <c r="W982" s="20">
        <f>Inputs!$F$138*Operations!W979*Inputs!$F$185/100*Operations!W980*(1-Operations!W981)</f>
        <v/>
      </c>
      <c r="X982" s="20">
        <f>Inputs!$F$138*Operations!X979*Inputs!$F$185/100*Operations!X980*(1-Operations!X981)</f>
        <v/>
      </c>
      <c r="Y982" s="20">
        <f>Inputs!$F$138*Operations!Y979*Inputs!$F$185/100*Operations!Y980*(1-Operations!Y981)</f>
        <v/>
      </c>
      <c r="Z982" s="20">
        <f>Inputs!$F$138*Operations!Z979*Inputs!$F$185/100*Operations!Z980*(1-Operations!Z981)</f>
        <v/>
      </c>
      <c r="AA982" s="20">
        <f>Inputs!$F$138*Operations!AA979*Inputs!$F$185/100*Operations!AA980*(1-Operations!AA981)</f>
        <v/>
      </c>
      <c r="AB982" s="20">
        <f>Inputs!$F$138*Operations!AB979*Inputs!$F$185/100*Operations!AB980*(1-Operations!AB981)</f>
        <v/>
      </c>
      <c r="AC982" s="20">
        <f>Inputs!$F$138*Operations!AC979*Inputs!$F$185/100*Operations!AC980*(1-Operations!AC981)</f>
        <v/>
      </c>
      <c r="AD982" s="20">
        <f>Inputs!$F$138*Operations!AD979*Inputs!$F$185/100*Operations!AD980*(1-Operations!AD981)</f>
        <v/>
      </c>
      <c r="AE982" s="20">
        <f>Inputs!$F$138*Operations!AE979*Inputs!$F$185/100*Operations!AE980*(1-Operations!AE981)</f>
        <v/>
      </c>
      <c r="AF982" s="20">
        <f>Inputs!$F$138*Operations!AF979*Inputs!$F$185/100*Operations!AF980*(1-Operations!AF981)</f>
        <v/>
      </c>
      <c r="AG982" s="20">
        <f>Inputs!$F$138*Operations!AG979*Inputs!$F$185/100*Operations!AG980*(1-Operations!AG981)</f>
        <v/>
      </c>
      <c r="AH982" s="20">
        <f>Inputs!$F$138*Operations!AH979*Inputs!$F$185/100*Operations!AH980*(1-Operations!AH981)</f>
        <v/>
      </c>
      <c r="AI982" s="20">
        <f>Inputs!$F$138*Operations!AI979*Inputs!$F$185/100*Operations!AI980*(1-Operations!AI981)</f>
        <v/>
      </c>
      <c r="AJ982" s="20">
        <f>Inputs!$F$138*Operations!AJ979*Inputs!$F$185/100*Operations!AJ980*(1-Operations!AJ981)</f>
        <v/>
      </c>
      <c r="AK982" s="20">
        <f>Inputs!$F$138*Operations!AK979*Inputs!$F$185/100*Operations!AK980*(1-Operations!AK981)</f>
        <v/>
      </c>
      <c r="AL982" s="20">
        <f>Inputs!$F$138*Operations!AL979*Inputs!$F$185/100*Operations!AL980*(1-Operations!AL981)</f>
        <v/>
      </c>
      <c r="AM982" s="20">
        <f>Inputs!$F$138*Operations!AM979*Inputs!$F$185/100*Operations!AM980*(1-Operations!AM981)</f>
        <v/>
      </c>
      <c r="AN982" s="20">
        <f>Inputs!$F$138*Operations!AN979*Inputs!$F$185/100*Operations!AN980*(1-Operations!AN981)</f>
        <v/>
      </c>
      <c r="AO982" s="20">
        <f>Inputs!$F$138*Operations!AO979*Inputs!$F$185/100*Operations!AO980*(1-Operations!AO981)</f>
        <v/>
      </c>
      <c r="AP982" s="20">
        <f>Inputs!$F$138*Operations!AP979*Inputs!$F$185/100*Operations!AP980*(1-Operations!AP981)</f>
        <v/>
      </c>
      <c r="AQ982" s="20">
        <f>Inputs!$F$138*Operations!AQ979*Inputs!$F$185/100*Operations!AQ980*(1-Operations!AQ981)</f>
        <v/>
      </c>
      <c r="AR982" s="20">
        <f>Inputs!$F$138*Operations!AR979*Inputs!$F$185/100*Operations!AR980*(1-Operations!AR981)</f>
        <v/>
      </c>
      <c r="AS982" s="20">
        <f>Inputs!$F$138*Operations!AS979*Inputs!$F$185/100*Operations!AS980*(1-Operations!AS981)</f>
        <v/>
      </c>
      <c r="AT982" s="20">
        <f>Inputs!$F$138*Operations!AT979*Inputs!$F$185/100*Operations!AT980*(1-Operations!AT981)</f>
        <v/>
      </c>
      <c r="AU982" s="20">
        <f>Inputs!$F$138*Operations!AU979*Inputs!$F$185/100*Operations!AU980*(1-Operations!AU981)</f>
        <v/>
      </c>
    </row>
    <row r="983">
      <c r="D983" t="inlineStr">
        <is>
          <t>R5 net generation</t>
        </is>
      </c>
      <c r="E983" t="inlineStr">
        <is>
          <t>GWh</t>
        </is>
      </c>
      <c r="G983" s="20">
        <f>SUM(J983:AU983)</f>
        <v/>
      </c>
      <c r="J983" s="20">
        <f>Operations!J982*Operations!J975</f>
        <v/>
      </c>
      <c r="K983" s="20">
        <f>Operations!K982*Operations!K975</f>
        <v/>
      </c>
      <c r="L983" s="20">
        <f>Operations!L982*Operations!L975</f>
        <v/>
      </c>
      <c r="M983" s="20">
        <f>Operations!M982*Operations!M975</f>
        <v/>
      </c>
      <c r="N983" s="20">
        <f>Operations!N982*Operations!N975</f>
        <v/>
      </c>
      <c r="O983" s="20">
        <f>Operations!O982*Operations!O975</f>
        <v/>
      </c>
      <c r="P983" s="20">
        <f>Operations!P982*Operations!P975</f>
        <v/>
      </c>
      <c r="Q983" s="20">
        <f>Operations!Q982*Operations!Q975</f>
        <v/>
      </c>
      <c r="R983" s="20">
        <f>Operations!R982*Operations!R975</f>
        <v/>
      </c>
      <c r="S983" s="20">
        <f>Operations!S982*Operations!S975</f>
        <v/>
      </c>
      <c r="T983" s="20">
        <f>Operations!T982*Operations!T975</f>
        <v/>
      </c>
      <c r="U983" s="20">
        <f>Operations!U982*Operations!U975</f>
        <v/>
      </c>
      <c r="V983" s="20">
        <f>Operations!V982*Operations!V975</f>
        <v/>
      </c>
      <c r="W983" s="20">
        <f>Operations!W982*Operations!W975</f>
        <v/>
      </c>
      <c r="X983" s="20">
        <f>Operations!X982*Operations!X975</f>
        <v/>
      </c>
      <c r="Y983" s="20">
        <f>Operations!Y982*Operations!Y975</f>
        <v/>
      </c>
      <c r="Z983" s="20">
        <f>Operations!Z982*Operations!Z975</f>
        <v/>
      </c>
      <c r="AA983" s="20">
        <f>Operations!AA982*Operations!AA975</f>
        <v/>
      </c>
      <c r="AB983" s="20">
        <f>Operations!AB982*Operations!AB975</f>
        <v/>
      </c>
      <c r="AC983" s="20">
        <f>Operations!AC982*Operations!AC975</f>
        <v/>
      </c>
      <c r="AD983" s="20">
        <f>Operations!AD982*Operations!AD975</f>
        <v/>
      </c>
      <c r="AE983" s="20">
        <f>Operations!AE982*Operations!AE975</f>
        <v/>
      </c>
      <c r="AF983" s="20">
        <f>Operations!AF982*Operations!AF975</f>
        <v/>
      </c>
      <c r="AG983" s="20">
        <f>Operations!AG982*Operations!AG975</f>
        <v/>
      </c>
      <c r="AH983" s="20">
        <f>Operations!AH982*Operations!AH975</f>
        <v/>
      </c>
      <c r="AI983" s="20">
        <f>Operations!AI982*Operations!AI975</f>
        <v/>
      </c>
      <c r="AJ983" s="20">
        <f>Operations!AJ982*Operations!AJ975</f>
        <v/>
      </c>
      <c r="AK983" s="20">
        <f>Operations!AK982*Operations!AK975</f>
        <v/>
      </c>
      <c r="AL983" s="20">
        <f>Operations!AL982*Operations!AL975</f>
        <v/>
      </c>
      <c r="AM983" s="20">
        <f>Operations!AM982*Operations!AM975</f>
        <v/>
      </c>
      <c r="AN983" s="20">
        <f>Operations!AN982*Operations!AN975</f>
        <v/>
      </c>
      <c r="AO983" s="20">
        <f>Operations!AO982*Operations!AO975</f>
        <v/>
      </c>
      <c r="AP983" s="20">
        <f>Operations!AP982*Operations!AP975</f>
        <v/>
      </c>
      <c r="AQ983" s="20">
        <f>Operations!AQ982*Operations!AQ975</f>
        <v/>
      </c>
      <c r="AR983" s="20">
        <f>Operations!AR982*Operations!AR975</f>
        <v/>
      </c>
      <c r="AS983" s="20">
        <f>Operations!AS982*Operations!AS975</f>
        <v/>
      </c>
      <c r="AT983" s="20">
        <f>Operations!AT982*Operations!AT975</f>
        <v/>
      </c>
      <c r="AU983" s="20">
        <f>Operations!AU982*Operations!AU975</f>
        <v/>
      </c>
    </row>
    <row r="984">
      <c r="D984" t="inlineStr">
        <is>
          <t>R5 hub capture ratio</t>
        </is>
      </c>
      <c r="E984" t="inlineStr">
        <is>
          <t>ratio</t>
        </is>
      </c>
      <c r="J984" s="14">
        <f>Operations!J801</f>
        <v/>
      </c>
      <c r="K984" s="14">
        <f>Operations!K801</f>
        <v/>
      </c>
      <c r="L984" s="14">
        <f>Operations!L801</f>
        <v/>
      </c>
      <c r="M984" s="14">
        <f>Operations!M801</f>
        <v/>
      </c>
      <c r="N984" s="14">
        <f>Operations!N801</f>
        <v/>
      </c>
      <c r="O984" s="14">
        <f>Operations!O801</f>
        <v/>
      </c>
      <c r="P984" s="14">
        <f>Operations!P801</f>
        <v/>
      </c>
      <c r="Q984" s="14">
        <f>Operations!Q801</f>
        <v/>
      </c>
      <c r="R984" s="14">
        <f>Operations!R801</f>
        <v/>
      </c>
      <c r="S984" s="14">
        <f>Operations!S801</f>
        <v/>
      </c>
      <c r="T984" s="14">
        <f>Operations!T801</f>
        <v/>
      </c>
      <c r="U984" s="14">
        <f>Operations!U801</f>
        <v/>
      </c>
      <c r="V984" s="14">
        <f>Operations!V801</f>
        <v/>
      </c>
      <c r="W984" s="14">
        <f>Operations!W801</f>
        <v/>
      </c>
      <c r="X984" s="14">
        <f>Operations!X801</f>
        <v/>
      </c>
      <c r="Y984" s="14">
        <f>Operations!Y801</f>
        <v/>
      </c>
      <c r="Z984" s="14">
        <f>Operations!Z801</f>
        <v/>
      </c>
      <c r="AA984" s="14">
        <f>Operations!AA801</f>
        <v/>
      </c>
      <c r="AB984" s="14">
        <f>Operations!AB801</f>
        <v/>
      </c>
      <c r="AC984" s="14">
        <f>Operations!AC801</f>
        <v/>
      </c>
      <c r="AD984" s="14">
        <f>Operations!AD801</f>
        <v/>
      </c>
      <c r="AE984" s="14">
        <f>Operations!AE801</f>
        <v/>
      </c>
      <c r="AF984" s="14">
        <f>Operations!AF801</f>
        <v/>
      </c>
      <c r="AG984" s="14">
        <f>Operations!AG801</f>
        <v/>
      </c>
      <c r="AH984" s="14">
        <f>Operations!AH801</f>
        <v/>
      </c>
      <c r="AI984" s="14">
        <f>Operations!AI801</f>
        <v/>
      </c>
      <c r="AJ984" s="14">
        <f>Operations!AJ801</f>
        <v/>
      </c>
      <c r="AK984" s="14">
        <f>Operations!AK801</f>
        <v/>
      </c>
      <c r="AL984" s="14">
        <f>Operations!AL801</f>
        <v/>
      </c>
      <c r="AM984" s="14">
        <f>Operations!AM801</f>
        <v/>
      </c>
      <c r="AN984" s="14">
        <f>Operations!AN801</f>
        <v/>
      </c>
      <c r="AO984" s="14">
        <f>Operations!AO801</f>
        <v/>
      </c>
      <c r="AP984" s="14">
        <f>Operations!AP801</f>
        <v/>
      </c>
      <c r="AQ984" s="14">
        <f>Operations!AQ801</f>
        <v/>
      </c>
      <c r="AR984" s="14">
        <f>Operations!AR801</f>
        <v/>
      </c>
      <c r="AS984" s="14">
        <f>Operations!AS801</f>
        <v/>
      </c>
      <c r="AT984" s="14">
        <f>Operations!AT801</f>
        <v/>
      </c>
      <c r="AU984" s="14">
        <f>Operations!AU801</f>
        <v/>
      </c>
    </row>
    <row r="985">
      <c r="D985" t="inlineStr">
        <is>
          <t>R5 node capture ratio</t>
        </is>
      </c>
      <c r="E985" t="inlineStr">
        <is>
          <t>ratio</t>
        </is>
      </c>
      <c r="J985" s="14">
        <f>Operations!J984-Inputs!$F$52</f>
        <v/>
      </c>
      <c r="K985" s="14">
        <f>Operations!K984-Inputs!$F$52</f>
        <v/>
      </c>
      <c r="L985" s="14">
        <f>Operations!L984-Inputs!$F$52</f>
        <v/>
      </c>
      <c r="M985" s="14">
        <f>Operations!M984-Inputs!$F$52</f>
        <v/>
      </c>
      <c r="N985" s="14">
        <f>Operations!N984-Inputs!$F$52</f>
        <v/>
      </c>
      <c r="O985" s="14">
        <f>Operations!O984-Inputs!$F$52</f>
        <v/>
      </c>
      <c r="P985" s="14">
        <f>Operations!P984-Inputs!$F$52</f>
        <v/>
      </c>
      <c r="Q985" s="14">
        <f>Operations!Q984-Inputs!$F$52</f>
        <v/>
      </c>
      <c r="R985" s="14">
        <f>Operations!R984-Inputs!$F$52</f>
        <v/>
      </c>
      <c r="S985" s="14">
        <f>Operations!S984-Inputs!$F$52</f>
        <v/>
      </c>
      <c r="T985" s="14">
        <f>Operations!T984-Inputs!$F$52</f>
        <v/>
      </c>
      <c r="U985" s="14">
        <f>Operations!U984-Inputs!$F$52</f>
        <v/>
      </c>
      <c r="V985" s="14">
        <f>Operations!V984-Inputs!$F$52</f>
        <v/>
      </c>
      <c r="W985" s="14">
        <f>Operations!W984-Inputs!$F$52</f>
        <v/>
      </c>
      <c r="X985" s="14">
        <f>Operations!X984-Inputs!$F$52</f>
        <v/>
      </c>
      <c r="Y985" s="14">
        <f>Operations!Y984-Inputs!$F$52</f>
        <v/>
      </c>
      <c r="Z985" s="14">
        <f>Operations!Z984-Inputs!$F$52</f>
        <v/>
      </c>
      <c r="AA985" s="14">
        <f>Operations!AA984-Inputs!$F$52</f>
        <v/>
      </c>
      <c r="AB985" s="14">
        <f>Operations!AB984-Inputs!$F$52</f>
        <v/>
      </c>
      <c r="AC985" s="14">
        <f>Operations!AC984-Inputs!$F$52</f>
        <v/>
      </c>
      <c r="AD985" s="14">
        <f>Operations!AD984-Inputs!$F$52</f>
        <v/>
      </c>
      <c r="AE985" s="14">
        <f>Operations!AE984-Inputs!$F$52</f>
        <v/>
      </c>
      <c r="AF985" s="14">
        <f>Operations!AF984-Inputs!$F$52</f>
        <v/>
      </c>
      <c r="AG985" s="14">
        <f>Operations!AG984-Inputs!$F$52</f>
        <v/>
      </c>
      <c r="AH985" s="14">
        <f>Operations!AH984-Inputs!$F$52</f>
        <v/>
      </c>
      <c r="AI985" s="14">
        <f>Operations!AI984-Inputs!$F$52</f>
        <v/>
      </c>
      <c r="AJ985" s="14">
        <f>Operations!AJ984-Inputs!$F$52</f>
        <v/>
      </c>
      <c r="AK985" s="14">
        <f>Operations!AK984-Inputs!$F$52</f>
        <v/>
      </c>
      <c r="AL985" s="14">
        <f>Operations!AL984-Inputs!$F$52</f>
        <v/>
      </c>
      <c r="AM985" s="14">
        <f>Operations!AM984-Inputs!$F$52</f>
        <v/>
      </c>
      <c r="AN985" s="14">
        <f>Operations!AN984-Inputs!$F$52</f>
        <v/>
      </c>
      <c r="AO985" s="14">
        <f>Operations!AO984-Inputs!$F$52</f>
        <v/>
      </c>
      <c r="AP985" s="14">
        <f>Operations!AP984-Inputs!$F$52</f>
        <v/>
      </c>
      <c r="AQ985" s="14">
        <f>Operations!AQ984-Inputs!$F$52</f>
        <v/>
      </c>
      <c r="AR985" s="14">
        <f>Operations!AR984-Inputs!$F$52</f>
        <v/>
      </c>
      <c r="AS985" s="14">
        <f>Operations!AS984-Inputs!$F$52</f>
        <v/>
      </c>
      <c r="AT985" s="14">
        <f>Operations!AT984-Inputs!$F$52</f>
        <v/>
      </c>
      <c r="AU985" s="14">
        <f>Operations!AU984-Inputs!$F$52</f>
        <v/>
      </c>
    </row>
    <row r="986">
      <c r="D986" t="inlineStr">
        <is>
          <t>R5 realized node price</t>
        </is>
      </c>
      <c r="E986" t="inlineStr">
        <is>
          <t>USD/MWh</t>
        </is>
      </c>
      <c r="J986" s="18">
        <f>Operations!J978*Operations!J985</f>
        <v/>
      </c>
      <c r="K986" s="18">
        <f>Operations!K978*Operations!K985</f>
        <v/>
      </c>
      <c r="L986" s="18">
        <f>Operations!L978*Operations!L985</f>
        <v/>
      </c>
      <c r="M986" s="18">
        <f>Operations!M978*Operations!M985</f>
        <v/>
      </c>
      <c r="N986" s="18">
        <f>Operations!N978*Operations!N985</f>
        <v/>
      </c>
      <c r="O986" s="18">
        <f>Operations!O978*Operations!O985</f>
        <v/>
      </c>
      <c r="P986" s="18">
        <f>Operations!P978*Operations!P985</f>
        <v/>
      </c>
      <c r="Q986" s="18">
        <f>Operations!Q978*Operations!Q985</f>
        <v/>
      </c>
      <c r="R986" s="18">
        <f>Operations!R978*Operations!R985</f>
        <v/>
      </c>
      <c r="S986" s="18">
        <f>Operations!S978*Operations!S985</f>
        <v/>
      </c>
      <c r="T986" s="18">
        <f>Operations!T978*Operations!T985</f>
        <v/>
      </c>
      <c r="U986" s="18">
        <f>Operations!U978*Operations!U985</f>
        <v/>
      </c>
      <c r="V986" s="18">
        <f>Operations!V978*Operations!V985</f>
        <v/>
      </c>
      <c r="W986" s="18">
        <f>Operations!W978*Operations!W985</f>
        <v/>
      </c>
      <c r="X986" s="18">
        <f>Operations!X978*Operations!X985</f>
        <v/>
      </c>
      <c r="Y986" s="18">
        <f>Operations!Y978*Operations!Y985</f>
        <v/>
      </c>
      <c r="Z986" s="18">
        <f>Operations!Z978*Operations!Z985</f>
        <v/>
      </c>
      <c r="AA986" s="18">
        <f>Operations!AA978*Operations!AA985</f>
        <v/>
      </c>
      <c r="AB986" s="18">
        <f>Operations!AB978*Operations!AB985</f>
        <v/>
      </c>
      <c r="AC986" s="18">
        <f>Operations!AC978*Operations!AC985</f>
        <v/>
      </c>
      <c r="AD986" s="18">
        <f>Operations!AD978*Operations!AD985</f>
        <v/>
      </c>
      <c r="AE986" s="18">
        <f>Operations!AE978*Operations!AE985</f>
        <v/>
      </c>
      <c r="AF986" s="18">
        <f>Operations!AF978*Operations!AF985</f>
        <v/>
      </c>
      <c r="AG986" s="18">
        <f>Operations!AG978*Operations!AG985</f>
        <v/>
      </c>
      <c r="AH986" s="18">
        <f>Operations!AH978*Operations!AH985</f>
        <v/>
      </c>
      <c r="AI986" s="18">
        <f>Operations!AI978*Operations!AI985</f>
        <v/>
      </c>
      <c r="AJ986" s="18">
        <f>Operations!AJ978*Operations!AJ985</f>
        <v/>
      </c>
      <c r="AK986" s="18">
        <f>Operations!AK978*Operations!AK985</f>
        <v/>
      </c>
      <c r="AL986" s="18">
        <f>Operations!AL978*Operations!AL985</f>
        <v/>
      </c>
      <c r="AM986" s="18">
        <f>Operations!AM978*Operations!AM985</f>
        <v/>
      </c>
      <c r="AN986" s="18">
        <f>Operations!AN978*Operations!AN985</f>
        <v/>
      </c>
      <c r="AO986" s="18">
        <f>Operations!AO978*Operations!AO985</f>
        <v/>
      </c>
      <c r="AP986" s="18">
        <f>Operations!AP978*Operations!AP985</f>
        <v/>
      </c>
      <c r="AQ986" s="18">
        <f>Operations!AQ978*Operations!AQ985</f>
        <v/>
      </c>
      <c r="AR986" s="18">
        <f>Operations!AR978*Operations!AR985</f>
        <v/>
      </c>
      <c r="AS986" s="18">
        <f>Operations!AS978*Operations!AS985</f>
        <v/>
      </c>
      <c r="AT986" s="18">
        <f>Operations!AT978*Operations!AT985</f>
        <v/>
      </c>
      <c r="AU986" s="18">
        <f>Operations!AU978*Operations!AU985</f>
        <v/>
      </c>
    </row>
    <row r="987">
      <c r="D987" t="inlineStr">
        <is>
          <t>R5 vPPA term fraction</t>
        </is>
      </c>
      <c r="E987" t="inlineStr">
        <is>
          <t>fraction</t>
        </is>
      </c>
      <c r="J987" s="14">
        <f>MAX(0,MIN(Inputs!$F$205,Time!J$6)-MAX(Inputs!$F$133,Time!J$5))/Time!J$7</f>
        <v/>
      </c>
      <c r="K987" s="14">
        <f>MAX(0,MIN(Inputs!$F$205,Time!K$6)-MAX(Inputs!$F$133,Time!K$5))/Time!K$7</f>
        <v/>
      </c>
      <c r="L987" s="14">
        <f>MAX(0,MIN(Inputs!$F$205,Time!L$6)-MAX(Inputs!$F$133,Time!L$5))/Time!L$7</f>
        <v/>
      </c>
      <c r="M987" s="14">
        <f>MAX(0,MIN(Inputs!$F$205,Time!M$6)-MAX(Inputs!$F$133,Time!M$5))/Time!M$7</f>
        <v/>
      </c>
      <c r="N987" s="14">
        <f>MAX(0,MIN(Inputs!$F$205,Time!N$6)-MAX(Inputs!$F$133,Time!N$5))/Time!N$7</f>
        <v/>
      </c>
      <c r="O987" s="14">
        <f>MAX(0,MIN(Inputs!$F$205,Time!O$6)-MAX(Inputs!$F$133,Time!O$5))/Time!O$7</f>
        <v/>
      </c>
      <c r="P987" s="14">
        <f>MAX(0,MIN(Inputs!$F$205,Time!P$6)-MAX(Inputs!$F$133,Time!P$5))/Time!P$7</f>
        <v/>
      </c>
      <c r="Q987" s="14">
        <f>MAX(0,MIN(Inputs!$F$205,Time!Q$6)-MAX(Inputs!$F$133,Time!Q$5))/Time!Q$7</f>
        <v/>
      </c>
      <c r="R987" s="14">
        <f>MAX(0,MIN(Inputs!$F$205,Time!R$6)-MAX(Inputs!$F$133,Time!R$5))/Time!R$7</f>
        <v/>
      </c>
      <c r="S987" s="14">
        <f>MAX(0,MIN(Inputs!$F$205,Time!S$6)-MAX(Inputs!$F$133,Time!S$5))/Time!S$7</f>
        <v/>
      </c>
      <c r="T987" s="14">
        <f>MAX(0,MIN(Inputs!$F$205,Time!T$6)-MAX(Inputs!$F$133,Time!T$5))/Time!T$7</f>
        <v/>
      </c>
      <c r="U987" s="14">
        <f>MAX(0,MIN(Inputs!$F$205,Time!U$6)-MAX(Inputs!$F$133,Time!U$5))/Time!U$7</f>
        <v/>
      </c>
      <c r="V987" s="14">
        <f>MAX(0,MIN(Inputs!$F$205,Time!V$6)-MAX(Inputs!$F$133,Time!V$5))/Time!V$7</f>
        <v/>
      </c>
      <c r="W987" s="14">
        <f>MAX(0,MIN(Inputs!$F$205,Time!W$6)-MAX(Inputs!$F$133,Time!W$5))/Time!W$7</f>
        <v/>
      </c>
      <c r="X987" s="14">
        <f>MAX(0,MIN(Inputs!$F$205,Time!X$6)-MAX(Inputs!$F$133,Time!X$5))/Time!X$7</f>
        <v/>
      </c>
      <c r="Y987" s="14">
        <f>MAX(0,MIN(Inputs!$F$205,Time!Y$6)-MAX(Inputs!$F$133,Time!Y$5))/Time!Y$7</f>
        <v/>
      </c>
      <c r="Z987" s="14">
        <f>MAX(0,MIN(Inputs!$F$205,Time!Z$6)-MAX(Inputs!$F$133,Time!Z$5))/Time!Z$7</f>
        <v/>
      </c>
      <c r="AA987" s="14">
        <f>MAX(0,MIN(Inputs!$F$205,Time!AA$6)-MAX(Inputs!$F$133,Time!AA$5))/Time!AA$7</f>
        <v/>
      </c>
      <c r="AB987" s="14">
        <f>MAX(0,MIN(Inputs!$F$205,Time!AB$6)-MAX(Inputs!$F$133,Time!AB$5))/Time!AB$7</f>
        <v/>
      </c>
      <c r="AC987" s="14">
        <f>MAX(0,MIN(Inputs!$F$205,Time!AC$6)-MAX(Inputs!$F$133,Time!AC$5))/Time!AC$7</f>
        <v/>
      </c>
      <c r="AD987" s="14">
        <f>MAX(0,MIN(Inputs!$F$205,Time!AD$6)-MAX(Inputs!$F$133,Time!AD$5))/Time!AD$7</f>
        <v/>
      </c>
      <c r="AE987" s="14">
        <f>MAX(0,MIN(Inputs!$F$205,Time!AE$6)-MAX(Inputs!$F$133,Time!AE$5))/Time!AE$7</f>
        <v/>
      </c>
      <c r="AF987" s="14">
        <f>MAX(0,MIN(Inputs!$F$205,Time!AF$6)-MAX(Inputs!$F$133,Time!AF$5))/Time!AF$7</f>
        <v/>
      </c>
      <c r="AG987" s="14">
        <f>MAX(0,MIN(Inputs!$F$205,Time!AG$6)-MAX(Inputs!$F$133,Time!AG$5))/Time!AG$7</f>
        <v/>
      </c>
      <c r="AH987" s="14">
        <f>MAX(0,MIN(Inputs!$F$205,Time!AH$6)-MAX(Inputs!$F$133,Time!AH$5))/Time!AH$7</f>
        <v/>
      </c>
      <c r="AI987" s="14">
        <f>MAX(0,MIN(Inputs!$F$205,Time!AI$6)-MAX(Inputs!$F$133,Time!AI$5))/Time!AI$7</f>
        <v/>
      </c>
      <c r="AJ987" s="14">
        <f>MAX(0,MIN(Inputs!$F$205,Time!AJ$6)-MAX(Inputs!$F$133,Time!AJ$5))/Time!AJ$7</f>
        <v/>
      </c>
      <c r="AK987" s="14">
        <f>MAX(0,MIN(Inputs!$F$205,Time!AK$6)-MAX(Inputs!$F$133,Time!AK$5))/Time!AK$7</f>
        <v/>
      </c>
      <c r="AL987" s="14">
        <f>MAX(0,MIN(Inputs!$F$205,Time!AL$6)-MAX(Inputs!$F$133,Time!AL$5))/Time!AL$7</f>
        <v/>
      </c>
      <c r="AM987" s="14">
        <f>MAX(0,MIN(Inputs!$F$205,Time!AM$6)-MAX(Inputs!$F$133,Time!AM$5))/Time!AM$7</f>
        <v/>
      </c>
      <c r="AN987" s="14">
        <f>MAX(0,MIN(Inputs!$F$205,Time!AN$6)-MAX(Inputs!$F$133,Time!AN$5))/Time!AN$7</f>
        <v/>
      </c>
      <c r="AO987" s="14">
        <f>MAX(0,MIN(Inputs!$F$205,Time!AO$6)-MAX(Inputs!$F$133,Time!AO$5))/Time!AO$7</f>
        <v/>
      </c>
      <c r="AP987" s="14">
        <f>MAX(0,MIN(Inputs!$F$205,Time!AP$6)-MAX(Inputs!$F$133,Time!AP$5))/Time!AP$7</f>
        <v/>
      </c>
      <c r="AQ987" s="14">
        <f>MAX(0,MIN(Inputs!$F$205,Time!AQ$6)-MAX(Inputs!$F$133,Time!AQ$5))/Time!AQ$7</f>
        <v/>
      </c>
      <c r="AR987" s="14">
        <f>MAX(0,MIN(Inputs!$F$205,Time!AR$6)-MAX(Inputs!$F$133,Time!AR$5))/Time!AR$7</f>
        <v/>
      </c>
      <c r="AS987" s="14">
        <f>MAX(0,MIN(Inputs!$F$205,Time!AS$6)-MAX(Inputs!$F$133,Time!AS$5))/Time!AS$7</f>
        <v/>
      </c>
      <c r="AT987" s="14">
        <f>MAX(0,MIN(Inputs!$F$205,Time!AT$6)-MAX(Inputs!$F$133,Time!AT$5))/Time!AT$7</f>
        <v/>
      </c>
      <c r="AU987" s="14">
        <f>MAX(0,MIN(Inputs!$F$205,Time!AU$6)-MAX(Inputs!$F$133,Time!AU$5))/Time!AU$7</f>
        <v/>
      </c>
    </row>
    <row r="988">
      <c r="D988" t="inlineStr">
        <is>
          <t>R5 vPPA volume (as generated)</t>
        </is>
      </c>
      <c r="E988" t="inlineStr">
        <is>
          <t>GWh</t>
        </is>
      </c>
      <c r="J988" s="20">
        <f>Operations!J982*Operations!J987</f>
        <v/>
      </c>
      <c r="K988" s="20">
        <f>Operations!K982*Operations!K987</f>
        <v/>
      </c>
      <c r="L988" s="20">
        <f>Operations!L982*Operations!L987</f>
        <v/>
      </c>
      <c r="M988" s="20">
        <f>Operations!M982*Operations!M987</f>
        <v/>
      </c>
      <c r="N988" s="20">
        <f>Operations!N982*Operations!N987</f>
        <v/>
      </c>
      <c r="O988" s="20">
        <f>Operations!O982*Operations!O987</f>
        <v/>
      </c>
      <c r="P988" s="20">
        <f>Operations!P982*Operations!P987</f>
        <v/>
      </c>
      <c r="Q988" s="20">
        <f>Operations!Q982*Operations!Q987</f>
        <v/>
      </c>
      <c r="R988" s="20">
        <f>Operations!R982*Operations!R987</f>
        <v/>
      </c>
      <c r="S988" s="20">
        <f>Operations!S982*Operations!S987</f>
        <v/>
      </c>
      <c r="T988" s="20">
        <f>Operations!T982*Operations!T987</f>
        <v/>
      </c>
      <c r="U988" s="20">
        <f>Operations!U982*Operations!U987</f>
        <v/>
      </c>
      <c r="V988" s="20">
        <f>Operations!V982*Operations!V987</f>
        <v/>
      </c>
      <c r="W988" s="20">
        <f>Operations!W982*Operations!W987</f>
        <v/>
      </c>
      <c r="X988" s="20">
        <f>Operations!X982*Operations!X987</f>
        <v/>
      </c>
      <c r="Y988" s="20">
        <f>Operations!Y982*Operations!Y987</f>
        <v/>
      </c>
      <c r="Z988" s="20">
        <f>Operations!Z982*Operations!Z987</f>
        <v/>
      </c>
      <c r="AA988" s="20">
        <f>Operations!AA982*Operations!AA987</f>
        <v/>
      </c>
      <c r="AB988" s="20">
        <f>Operations!AB982*Operations!AB987</f>
        <v/>
      </c>
      <c r="AC988" s="20">
        <f>Operations!AC982*Operations!AC987</f>
        <v/>
      </c>
      <c r="AD988" s="20">
        <f>Operations!AD982*Operations!AD987</f>
        <v/>
      </c>
      <c r="AE988" s="20">
        <f>Operations!AE982*Operations!AE987</f>
        <v/>
      </c>
      <c r="AF988" s="20">
        <f>Operations!AF982*Operations!AF987</f>
        <v/>
      </c>
      <c r="AG988" s="20">
        <f>Operations!AG982*Operations!AG987</f>
        <v/>
      </c>
      <c r="AH988" s="20">
        <f>Operations!AH982*Operations!AH987</f>
        <v/>
      </c>
      <c r="AI988" s="20">
        <f>Operations!AI982*Operations!AI987</f>
        <v/>
      </c>
      <c r="AJ988" s="20">
        <f>Operations!AJ982*Operations!AJ987</f>
        <v/>
      </c>
      <c r="AK988" s="20">
        <f>Operations!AK982*Operations!AK987</f>
        <v/>
      </c>
      <c r="AL988" s="20">
        <f>Operations!AL982*Operations!AL987</f>
        <v/>
      </c>
      <c r="AM988" s="20">
        <f>Operations!AM982*Operations!AM987</f>
        <v/>
      </c>
      <c r="AN988" s="20">
        <f>Operations!AN982*Operations!AN987</f>
        <v/>
      </c>
      <c r="AO988" s="20">
        <f>Operations!AO982*Operations!AO987</f>
        <v/>
      </c>
      <c r="AP988" s="20">
        <f>Operations!AP982*Operations!AP987</f>
        <v/>
      </c>
      <c r="AQ988" s="20">
        <f>Operations!AQ982*Operations!AQ987</f>
        <v/>
      </c>
      <c r="AR988" s="20">
        <f>Operations!AR982*Operations!AR987</f>
        <v/>
      </c>
      <c r="AS988" s="20">
        <f>Operations!AS982*Operations!AS987</f>
        <v/>
      </c>
      <c r="AT988" s="20">
        <f>Operations!AT982*Operations!AT987</f>
        <v/>
      </c>
      <c r="AU988" s="20">
        <f>Operations!AU982*Operations!AU987</f>
        <v/>
      </c>
    </row>
    <row r="989">
      <c r="D989" t="inlineStr">
        <is>
          <t>R5 vPPA settlement (strike less hub capture price)</t>
        </is>
      </c>
      <c r="E989" t="inlineStr">
        <is>
          <t>USD m</t>
        </is>
      </c>
      <c r="G989" s="20">
        <f>SUM(J989:AU989)</f>
        <v/>
      </c>
      <c r="J989" s="20">
        <f>Operations!J988*(Inputs!$F$204-Operations!J978*Operations!J984)/1000</f>
        <v/>
      </c>
      <c r="K989" s="20">
        <f>Operations!K988*(Inputs!$F$204-Operations!K978*Operations!K984)/1000</f>
        <v/>
      </c>
      <c r="L989" s="20">
        <f>Operations!L988*(Inputs!$F$204-Operations!L978*Operations!L984)/1000</f>
        <v/>
      </c>
      <c r="M989" s="20">
        <f>Operations!M988*(Inputs!$F$204-Operations!M978*Operations!M984)/1000</f>
        <v/>
      </c>
      <c r="N989" s="20">
        <f>Operations!N988*(Inputs!$F$204-Operations!N978*Operations!N984)/1000</f>
        <v/>
      </c>
      <c r="O989" s="20">
        <f>Operations!O988*(Inputs!$F$204-Operations!O978*Operations!O984)/1000</f>
        <v/>
      </c>
      <c r="P989" s="20">
        <f>Operations!P988*(Inputs!$F$204-Operations!P978*Operations!P984)/1000</f>
        <v/>
      </c>
      <c r="Q989" s="20">
        <f>Operations!Q988*(Inputs!$F$204-Operations!Q978*Operations!Q984)/1000</f>
        <v/>
      </c>
      <c r="R989" s="20">
        <f>Operations!R988*(Inputs!$F$204-Operations!R978*Operations!R984)/1000</f>
        <v/>
      </c>
      <c r="S989" s="20">
        <f>Operations!S988*(Inputs!$F$204-Operations!S978*Operations!S984)/1000</f>
        <v/>
      </c>
      <c r="T989" s="20">
        <f>Operations!T988*(Inputs!$F$204-Operations!T978*Operations!T984)/1000</f>
        <v/>
      </c>
      <c r="U989" s="20">
        <f>Operations!U988*(Inputs!$F$204-Operations!U978*Operations!U984)/1000</f>
        <v/>
      </c>
      <c r="V989" s="20">
        <f>Operations!V988*(Inputs!$F$204-Operations!V978*Operations!V984)/1000</f>
        <v/>
      </c>
      <c r="W989" s="20">
        <f>Operations!W988*(Inputs!$F$204-Operations!W978*Operations!W984)/1000</f>
        <v/>
      </c>
      <c r="X989" s="20">
        <f>Operations!X988*(Inputs!$F$204-Operations!X978*Operations!X984)/1000</f>
        <v/>
      </c>
      <c r="Y989" s="20">
        <f>Operations!Y988*(Inputs!$F$204-Operations!Y978*Operations!Y984)/1000</f>
        <v/>
      </c>
      <c r="Z989" s="20">
        <f>Operations!Z988*(Inputs!$F$204-Operations!Z978*Operations!Z984)/1000</f>
        <v/>
      </c>
      <c r="AA989" s="20">
        <f>Operations!AA988*(Inputs!$F$204-Operations!AA978*Operations!AA984)/1000</f>
        <v/>
      </c>
      <c r="AB989" s="20">
        <f>Operations!AB988*(Inputs!$F$204-Operations!AB978*Operations!AB984)/1000</f>
        <v/>
      </c>
      <c r="AC989" s="20">
        <f>Operations!AC988*(Inputs!$F$204-Operations!AC978*Operations!AC984)/1000</f>
        <v/>
      </c>
      <c r="AD989" s="20">
        <f>Operations!AD988*(Inputs!$F$204-Operations!AD978*Operations!AD984)/1000</f>
        <v/>
      </c>
      <c r="AE989" s="20">
        <f>Operations!AE988*(Inputs!$F$204-Operations!AE978*Operations!AE984)/1000</f>
        <v/>
      </c>
      <c r="AF989" s="20">
        <f>Operations!AF988*(Inputs!$F$204-Operations!AF978*Operations!AF984)/1000</f>
        <v/>
      </c>
      <c r="AG989" s="20">
        <f>Operations!AG988*(Inputs!$F$204-Operations!AG978*Operations!AG984)/1000</f>
        <v/>
      </c>
      <c r="AH989" s="20">
        <f>Operations!AH988*(Inputs!$F$204-Operations!AH978*Operations!AH984)/1000</f>
        <v/>
      </c>
      <c r="AI989" s="20">
        <f>Operations!AI988*(Inputs!$F$204-Operations!AI978*Operations!AI984)/1000</f>
        <v/>
      </c>
      <c r="AJ989" s="20">
        <f>Operations!AJ988*(Inputs!$F$204-Operations!AJ978*Operations!AJ984)/1000</f>
        <v/>
      </c>
      <c r="AK989" s="20">
        <f>Operations!AK988*(Inputs!$F$204-Operations!AK978*Operations!AK984)/1000</f>
        <v/>
      </c>
      <c r="AL989" s="20">
        <f>Operations!AL988*(Inputs!$F$204-Operations!AL978*Operations!AL984)/1000</f>
        <v/>
      </c>
      <c r="AM989" s="20">
        <f>Operations!AM988*(Inputs!$F$204-Operations!AM978*Operations!AM984)/1000</f>
        <v/>
      </c>
      <c r="AN989" s="20">
        <f>Operations!AN988*(Inputs!$F$204-Operations!AN978*Operations!AN984)/1000</f>
        <v/>
      </c>
      <c r="AO989" s="20">
        <f>Operations!AO988*(Inputs!$F$204-Operations!AO978*Operations!AO984)/1000</f>
        <v/>
      </c>
      <c r="AP989" s="20">
        <f>Operations!AP988*(Inputs!$F$204-Operations!AP978*Operations!AP984)/1000</f>
        <v/>
      </c>
      <c r="AQ989" s="20">
        <f>Operations!AQ988*(Inputs!$F$204-Operations!AQ978*Operations!AQ984)/1000</f>
        <v/>
      </c>
      <c r="AR989" s="20">
        <f>Operations!AR988*(Inputs!$F$204-Operations!AR978*Operations!AR984)/1000</f>
        <v/>
      </c>
      <c r="AS989" s="20">
        <f>Operations!AS988*(Inputs!$F$204-Operations!AS978*Operations!AS984)/1000</f>
        <v/>
      </c>
      <c r="AT989" s="20">
        <f>Operations!AT988*(Inputs!$F$204-Operations!AT978*Operations!AT984)/1000</f>
        <v/>
      </c>
      <c r="AU989" s="20">
        <f>Operations!AU988*(Inputs!$F$204-Operations!AU978*Operations!AU984)/1000</f>
        <v/>
      </c>
    </row>
    <row r="990">
      <c r="D990" t="inlineStr">
        <is>
          <t>R5 generation sold at node</t>
        </is>
      </c>
      <c r="E990" t="inlineStr">
        <is>
          <t>GWh</t>
        </is>
      </c>
      <c r="J990" s="20">
        <f>Operations!J983</f>
        <v/>
      </c>
      <c r="K990" s="20">
        <f>Operations!K983</f>
        <v/>
      </c>
      <c r="L990" s="20">
        <f>Operations!L983</f>
        <v/>
      </c>
      <c r="M990" s="20">
        <f>Operations!M983</f>
        <v/>
      </c>
      <c r="N990" s="20">
        <f>Operations!N983</f>
        <v/>
      </c>
      <c r="O990" s="20">
        <f>Operations!O983</f>
        <v/>
      </c>
      <c r="P990" s="20">
        <f>Operations!P983</f>
        <v/>
      </c>
      <c r="Q990" s="20">
        <f>Operations!Q983</f>
        <v/>
      </c>
      <c r="R990" s="20">
        <f>Operations!R983</f>
        <v/>
      </c>
      <c r="S990" s="20">
        <f>Operations!S983</f>
        <v/>
      </c>
      <c r="T990" s="20">
        <f>Operations!T983</f>
        <v/>
      </c>
      <c r="U990" s="20">
        <f>Operations!U983</f>
        <v/>
      </c>
      <c r="V990" s="20">
        <f>Operations!V983</f>
        <v/>
      </c>
      <c r="W990" s="20">
        <f>Operations!W983</f>
        <v/>
      </c>
      <c r="X990" s="20">
        <f>Operations!X983</f>
        <v/>
      </c>
      <c r="Y990" s="20">
        <f>Operations!Y983</f>
        <v/>
      </c>
      <c r="Z990" s="20">
        <f>Operations!Z983</f>
        <v/>
      </c>
      <c r="AA990" s="20">
        <f>Operations!AA983</f>
        <v/>
      </c>
      <c r="AB990" s="20">
        <f>Operations!AB983</f>
        <v/>
      </c>
      <c r="AC990" s="20">
        <f>Operations!AC983</f>
        <v/>
      </c>
      <c r="AD990" s="20">
        <f>Operations!AD983</f>
        <v/>
      </c>
      <c r="AE990" s="20">
        <f>Operations!AE983</f>
        <v/>
      </c>
      <c r="AF990" s="20">
        <f>Operations!AF983</f>
        <v/>
      </c>
      <c r="AG990" s="20">
        <f>Operations!AG983</f>
        <v/>
      </c>
      <c r="AH990" s="20">
        <f>Operations!AH983</f>
        <v/>
      </c>
      <c r="AI990" s="20">
        <f>Operations!AI983</f>
        <v/>
      </c>
      <c r="AJ990" s="20">
        <f>Operations!AJ983</f>
        <v/>
      </c>
      <c r="AK990" s="20">
        <f>Operations!AK983</f>
        <v/>
      </c>
      <c r="AL990" s="20">
        <f>Operations!AL983</f>
        <v/>
      </c>
      <c r="AM990" s="20">
        <f>Operations!AM983</f>
        <v/>
      </c>
      <c r="AN990" s="20">
        <f>Operations!AN983</f>
        <v/>
      </c>
      <c r="AO990" s="20">
        <f>Operations!AO983</f>
        <v/>
      </c>
      <c r="AP990" s="20">
        <f>Operations!AP983</f>
        <v/>
      </c>
      <c r="AQ990" s="20">
        <f>Operations!AQ983</f>
        <v/>
      </c>
      <c r="AR990" s="20">
        <f>Operations!AR983</f>
        <v/>
      </c>
      <c r="AS990" s="20">
        <f>Operations!AS983</f>
        <v/>
      </c>
      <c r="AT990" s="20">
        <f>Operations!AT983</f>
        <v/>
      </c>
      <c r="AU990" s="20">
        <f>Operations!AU983</f>
        <v/>
      </c>
    </row>
    <row r="991">
      <c r="D991" t="inlineStr">
        <is>
          <t>R5 contracted revenue (strike x volume)</t>
        </is>
      </c>
      <c r="E991" t="inlineStr">
        <is>
          <t>USD m</t>
        </is>
      </c>
      <c r="J991" s="20">
        <f>Operations!J988*Inputs!$F$204/1000</f>
        <v/>
      </c>
      <c r="K991" s="20">
        <f>Operations!K988*Inputs!$F$204/1000</f>
        <v/>
      </c>
      <c r="L991" s="20">
        <f>Operations!L988*Inputs!$F$204/1000</f>
        <v/>
      </c>
      <c r="M991" s="20">
        <f>Operations!M988*Inputs!$F$204/1000</f>
        <v/>
      </c>
      <c r="N991" s="20">
        <f>Operations!N988*Inputs!$F$204/1000</f>
        <v/>
      </c>
      <c r="O991" s="20">
        <f>Operations!O988*Inputs!$F$204/1000</f>
        <v/>
      </c>
      <c r="P991" s="20">
        <f>Operations!P988*Inputs!$F$204/1000</f>
        <v/>
      </c>
      <c r="Q991" s="20">
        <f>Operations!Q988*Inputs!$F$204/1000</f>
        <v/>
      </c>
      <c r="R991" s="20">
        <f>Operations!R988*Inputs!$F$204/1000</f>
        <v/>
      </c>
      <c r="S991" s="20">
        <f>Operations!S988*Inputs!$F$204/1000</f>
        <v/>
      </c>
      <c r="T991" s="20">
        <f>Operations!T988*Inputs!$F$204/1000</f>
        <v/>
      </c>
      <c r="U991" s="20">
        <f>Operations!U988*Inputs!$F$204/1000</f>
        <v/>
      </c>
      <c r="V991" s="20">
        <f>Operations!V988*Inputs!$F$204/1000</f>
        <v/>
      </c>
      <c r="W991" s="20">
        <f>Operations!W988*Inputs!$F$204/1000</f>
        <v/>
      </c>
      <c r="X991" s="20">
        <f>Operations!X988*Inputs!$F$204/1000</f>
        <v/>
      </c>
      <c r="Y991" s="20">
        <f>Operations!Y988*Inputs!$F$204/1000</f>
        <v/>
      </c>
      <c r="Z991" s="20">
        <f>Operations!Z988*Inputs!$F$204/1000</f>
        <v/>
      </c>
      <c r="AA991" s="20">
        <f>Operations!AA988*Inputs!$F$204/1000</f>
        <v/>
      </c>
      <c r="AB991" s="20">
        <f>Operations!AB988*Inputs!$F$204/1000</f>
        <v/>
      </c>
      <c r="AC991" s="20">
        <f>Operations!AC988*Inputs!$F$204/1000</f>
        <v/>
      </c>
      <c r="AD991" s="20">
        <f>Operations!AD988*Inputs!$F$204/1000</f>
        <v/>
      </c>
      <c r="AE991" s="20">
        <f>Operations!AE988*Inputs!$F$204/1000</f>
        <v/>
      </c>
      <c r="AF991" s="20">
        <f>Operations!AF988*Inputs!$F$204/1000</f>
        <v/>
      </c>
      <c r="AG991" s="20">
        <f>Operations!AG988*Inputs!$F$204/1000</f>
        <v/>
      </c>
      <c r="AH991" s="20">
        <f>Operations!AH988*Inputs!$F$204/1000</f>
        <v/>
      </c>
      <c r="AI991" s="20">
        <f>Operations!AI988*Inputs!$F$204/1000</f>
        <v/>
      </c>
      <c r="AJ991" s="20">
        <f>Operations!AJ988*Inputs!$F$204/1000</f>
        <v/>
      </c>
      <c r="AK991" s="20">
        <f>Operations!AK988*Inputs!$F$204/1000</f>
        <v/>
      </c>
      <c r="AL991" s="20">
        <f>Operations!AL988*Inputs!$F$204/1000</f>
        <v/>
      </c>
      <c r="AM991" s="20">
        <f>Operations!AM988*Inputs!$F$204/1000</f>
        <v/>
      </c>
      <c r="AN991" s="20">
        <f>Operations!AN988*Inputs!$F$204/1000</f>
        <v/>
      </c>
      <c r="AO991" s="20">
        <f>Operations!AO988*Inputs!$F$204/1000</f>
        <v/>
      </c>
      <c r="AP991" s="20">
        <f>Operations!AP988*Inputs!$F$204/1000</f>
        <v/>
      </c>
      <c r="AQ991" s="20">
        <f>Operations!AQ988*Inputs!$F$204/1000</f>
        <v/>
      </c>
      <c r="AR991" s="20">
        <f>Operations!AR988*Inputs!$F$204/1000</f>
        <v/>
      </c>
      <c r="AS991" s="20">
        <f>Operations!AS988*Inputs!$F$204/1000</f>
        <v/>
      </c>
      <c r="AT991" s="20">
        <f>Operations!AT988*Inputs!$F$204/1000</f>
        <v/>
      </c>
      <c r="AU991" s="20">
        <f>Operations!AU988*Inputs!$F$204/1000</f>
        <v/>
      </c>
    </row>
    <row r="992">
      <c r="D992" t="inlineStr">
        <is>
          <t>R5 hedged revenue</t>
        </is>
      </c>
      <c r="E992" t="inlineStr">
        <is>
          <t>USD m</t>
        </is>
      </c>
      <c r="J992" s="20">
        <f>0</f>
        <v/>
      </c>
      <c r="K992" s="20">
        <f>0</f>
        <v/>
      </c>
      <c r="L992" s="20">
        <f>0</f>
        <v/>
      </c>
      <c r="M992" s="20">
        <f>0</f>
        <v/>
      </c>
      <c r="N992" s="20">
        <f>0</f>
        <v/>
      </c>
      <c r="O992" s="20">
        <f>0</f>
        <v/>
      </c>
      <c r="P992" s="20">
        <f>0</f>
        <v/>
      </c>
      <c r="Q992" s="20">
        <f>0</f>
        <v/>
      </c>
      <c r="R992" s="20">
        <f>0</f>
        <v/>
      </c>
      <c r="S992" s="20">
        <f>0</f>
        <v/>
      </c>
      <c r="T992" s="20">
        <f>0</f>
        <v/>
      </c>
      <c r="U992" s="20">
        <f>0</f>
        <v/>
      </c>
      <c r="V992" s="20">
        <f>0</f>
        <v/>
      </c>
      <c r="W992" s="20">
        <f>0</f>
        <v/>
      </c>
      <c r="X992" s="20">
        <f>0</f>
        <v/>
      </c>
      <c r="Y992" s="20">
        <f>0</f>
        <v/>
      </c>
      <c r="Z992" s="20">
        <f>0</f>
        <v/>
      </c>
      <c r="AA992" s="20">
        <f>0</f>
        <v/>
      </c>
      <c r="AB992" s="20">
        <f>0</f>
        <v/>
      </c>
      <c r="AC992" s="20">
        <f>0</f>
        <v/>
      </c>
      <c r="AD992" s="20">
        <f>0</f>
        <v/>
      </c>
      <c r="AE992" s="20">
        <f>0</f>
        <v/>
      </c>
      <c r="AF992" s="20">
        <f>0</f>
        <v/>
      </c>
      <c r="AG992" s="20">
        <f>0</f>
        <v/>
      </c>
      <c r="AH992" s="20">
        <f>0</f>
        <v/>
      </c>
      <c r="AI992" s="20">
        <f>0</f>
        <v/>
      </c>
      <c r="AJ992" s="20">
        <f>0</f>
        <v/>
      </c>
      <c r="AK992" s="20">
        <f>0</f>
        <v/>
      </c>
      <c r="AL992" s="20">
        <f>0</f>
        <v/>
      </c>
      <c r="AM992" s="20">
        <f>0</f>
        <v/>
      </c>
      <c r="AN992" s="20">
        <f>0</f>
        <v/>
      </c>
      <c r="AO992" s="20">
        <f>0</f>
        <v/>
      </c>
      <c r="AP992" s="20">
        <f>0</f>
        <v/>
      </c>
      <c r="AQ992" s="20">
        <f>0</f>
        <v/>
      </c>
      <c r="AR992" s="20">
        <f>0</f>
        <v/>
      </c>
      <c r="AS992" s="20">
        <f>0</f>
        <v/>
      </c>
      <c r="AT992" s="20">
        <f>0</f>
        <v/>
      </c>
      <c r="AU992" s="20">
        <f>0</f>
        <v/>
      </c>
    </row>
    <row r="993">
      <c r="D993" t="inlineStr">
        <is>
          <t>R5 market revenue at node</t>
        </is>
      </c>
      <c r="E993" t="inlineStr">
        <is>
          <t>USD m</t>
        </is>
      </c>
      <c r="G993" s="20">
        <f>SUM(J993:AU993)</f>
        <v/>
      </c>
      <c r="J993" s="20">
        <f>Operations!J990*Operations!J986/1000</f>
        <v/>
      </c>
      <c r="K993" s="20">
        <f>Operations!K990*Operations!K986/1000</f>
        <v/>
      </c>
      <c r="L993" s="20">
        <f>Operations!L990*Operations!L986/1000</f>
        <v/>
      </c>
      <c r="M993" s="20">
        <f>Operations!M990*Operations!M986/1000</f>
        <v/>
      </c>
      <c r="N993" s="20">
        <f>Operations!N990*Operations!N986/1000</f>
        <v/>
      </c>
      <c r="O993" s="20">
        <f>Operations!O990*Operations!O986/1000</f>
        <v/>
      </c>
      <c r="P993" s="20">
        <f>Operations!P990*Operations!P986/1000</f>
        <v/>
      </c>
      <c r="Q993" s="20">
        <f>Operations!Q990*Operations!Q986/1000</f>
        <v/>
      </c>
      <c r="R993" s="20">
        <f>Operations!R990*Operations!R986/1000</f>
        <v/>
      </c>
      <c r="S993" s="20">
        <f>Operations!S990*Operations!S986/1000</f>
        <v/>
      </c>
      <c r="T993" s="20">
        <f>Operations!T990*Operations!T986/1000</f>
        <v/>
      </c>
      <c r="U993" s="20">
        <f>Operations!U990*Operations!U986/1000</f>
        <v/>
      </c>
      <c r="V993" s="20">
        <f>Operations!V990*Operations!V986/1000</f>
        <v/>
      </c>
      <c r="W993" s="20">
        <f>Operations!W990*Operations!W986/1000</f>
        <v/>
      </c>
      <c r="X993" s="20">
        <f>Operations!X990*Operations!X986/1000</f>
        <v/>
      </c>
      <c r="Y993" s="20">
        <f>Operations!Y990*Operations!Y986/1000</f>
        <v/>
      </c>
      <c r="Z993" s="20">
        <f>Operations!Z990*Operations!Z986/1000</f>
        <v/>
      </c>
      <c r="AA993" s="20">
        <f>Operations!AA990*Operations!AA986/1000</f>
        <v/>
      </c>
      <c r="AB993" s="20">
        <f>Operations!AB990*Operations!AB986/1000</f>
        <v/>
      </c>
      <c r="AC993" s="20">
        <f>Operations!AC990*Operations!AC986/1000</f>
        <v/>
      </c>
      <c r="AD993" s="20">
        <f>Operations!AD990*Operations!AD986/1000</f>
        <v/>
      </c>
      <c r="AE993" s="20">
        <f>Operations!AE990*Operations!AE986/1000</f>
        <v/>
      </c>
      <c r="AF993" s="20">
        <f>Operations!AF990*Operations!AF986/1000</f>
        <v/>
      </c>
      <c r="AG993" s="20">
        <f>Operations!AG990*Operations!AG986/1000</f>
        <v/>
      </c>
      <c r="AH993" s="20">
        <f>Operations!AH990*Operations!AH986/1000</f>
        <v/>
      </c>
      <c r="AI993" s="20">
        <f>Operations!AI990*Operations!AI986/1000</f>
        <v/>
      </c>
      <c r="AJ993" s="20">
        <f>Operations!AJ990*Operations!AJ986/1000</f>
        <v/>
      </c>
      <c r="AK993" s="20">
        <f>Operations!AK990*Operations!AK986/1000</f>
        <v/>
      </c>
      <c r="AL993" s="20">
        <f>Operations!AL990*Operations!AL986/1000</f>
        <v/>
      </c>
      <c r="AM993" s="20">
        <f>Operations!AM990*Operations!AM986/1000</f>
        <v/>
      </c>
      <c r="AN993" s="20">
        <f>Operations!AN990*Operations!AN986/1000</f>
        <v/>
      </c>
      <c r="AO993" s="20">
        <f>Operations!AO990*Operations!AO986/1000</f>
        <v/>
      </c>
      <c r="AP993" s="20">
        <f>Operations!AP990*Operations!AP986/1000</f>
        <v/>
      </c>
      <c r="AQ993" s="20">
        <f>Operations!AQ990*Operations!AQ986/1000</f>
        <v/>
      </c>
      <c r="AR993" s="20">
        <f>Operations!AR990*Operations!AR986/1000</f>
        <v/>
      </c>
      <c r="AS993" s="20">
        <f>Operations!AS990*Operations!AS986/1000</f>
        <v/>
      </c>
      <c r="AT993" s="20">
        <f>Operations!AT990*Operations!AT986/1000</f>
        <v/>
      </c>
      <c r="AU993" s="20">
        <f>Operations!AU990*Operations!AU986/1000</f>
        <v/>
      </c>
    </row>
    <row r="994">
      <c r="D994" t="inlineStr">
        <is>
          <t>R5 total revenue</t>
        </is>
      </c>
      <c r="E994" t="inlineStr">
        <is>
          <t>USD m</t>
        </is>
      </c>
      <c r="G994" s="20">
        <f>SUM(J994:AU994)</f>
        <v/>
      </c>
      <c r="J994" s="20">
        <f>Operations!J993+Operations!J989</f>
        <v/>
      </c>
      <c r="K994" s="20">
        <f>Operations!K993+Operations!K989</f>
        <v/>
      </c>
      <c r="L994" s="20">
        <f>Operations!L993+Operations!L989</f>
        <v/>
      </c>
      <c r="M994" s="20">
        <f>Operations!M993+Operations!M989</f>
        <v/>
      </c>
      <c r="N994" s="20">
        <f>Operations!N993+Operations!N989</f>
        <v/>
      </c>
      <c r="O994" s="20">
        <f>Operations!O993+Operations!O989</f>
        <v/>
      </c>
      <c r="P994" s="20">
        <f>Operations!P993+Operations!P989</f>
        <v/>
      </c>
      <c r="Q994" s="20">
        <f>Operations!Q993+Operations!Q989</f>
        <v/>
      </c>
      <c r="R994" s="20">
        <f>Operations!R993+Operations!R989</f>
        <v/>
      </c>
      <c r="S994" s="20">
        <f>Operations!S993+Operations!S989</f>
        <v/>
      </c>
      <c r="T994" s="20">
        <f>Operations!T993+Operations!T989</f>
        <v/>
      </c>
      <c r="U994" s="20">
        <f>Operations!U993+Operations!U989</f>
        <v/>
      </c>
      <c r="V994" s="20">
        <f>Operations!V993+Operations!V989</f>
        <v/>
      </c>
      <c r="W994" s="20">
        <f>Operations!W993+Operations!W989</f>
        <v/>
      </c>
      <c r="X994" s="20">
        <f>Operations!X993+Operations!X989</f>
        <v/>
      </c>
      <c r="Y994" s="20">
        <f>Operations!Y993+Operations!Y989</f>
        <v/>
      </c>
      <c r="Z994" s="20">
        <f>Operations!Z993+Operations!Z989</f>
        <v/>
      </c>
      <c r="AA994" s="20">
        <f>Operations!AA993+Operations!AA989</f>
        <v/>
      </c>
      <c r="AB994" s="20">
        <f>Operations!AB993+Operations!AB989</f>
        <v/>
      </c>
      <c r="AC994" s="20">
        <f>Operations!AC993+Operations!AC989</f>
        <v/>
      </c>
      <c r="AD994" s="20">
        <f>Operations!AD993+Operations!AD989</f>
        <v/>
      </c>
      <c r="AE994" s="20">
        <f>Operations!AE993+Operations!AE989</f>
        <v/>
      </c>
      <c r="AF994" s="20">
        <f>Operations!AF993+Operations!AF989</f>
        <v/>
      </c>
      <c r="AG994" s="20">
        <f>Operations!AG993+Operations!AG989</f>
        <v/>
      </c>
      <c r="AH994" s="20">
        <f>Operations!AH993+Operations!AH989</f>
        <v/>
      </c>
      <c r="AI994" s="20">
        <f>Operations!AI993+Operations!AI989</f>
        <v/>
      </c>
      <c r="AJ994" s="20">
        <f>Operations!AJ993+Operations!AJ989</f>
        <v/>
      </c>
      <c r="AK994" s="20">
        <f>Operations!AK993+Operations!AK989</f>
        <v/>
      </c>
      <c r="AL994" s="20">
        <f>Operations!AL993+Operations!AL989</f>
        <v/>
      </c>
      <c r="AM994" s="20">
        <f>Operations!AM993+Operations!AM989</f>
        <v/>
      </c>
      <c r="AN994" s="20">
        <f>Operations!AN993+Operations!AN989</f>
        <v/>
      </c>
      <c r="AO994" s="20">
        <f>Operations!AO993+Operations!AO989</f>
        <v/>
      </c>
      <c r="AP994" s="20">
        <f>Operations!AP993+Operations!AP989</f>
        <v/>
      </c>
      <c r="AQ994" s="20">
        <f>Operations!AQ993+Operations!AQ989</f>
        <v/>
      </c>
      <c r="AR994" s="20">
        <f>Operations!AR993+Operations!AR989</f>
        <v/>
      </c>
      <c r="AS994" s="20">
        <f>Operations!AS993+Operations!AS989</f>
        <v/>
      </c>
      <c r="AT994" s="20">
        <f>Operations!AT993+Operations!AT989</f>
        <v/>
      </c>
      <c r="AU994" s="20">
        <f>Operations!AU993+Operations!AU989</f>
        <v/>
      </c>
    </row>
    <row r="995">
      <c r="D995" t="inlineStr">
        <is>
          <t>R5 merchant revenue (total less contracted and hedged)</t>
        </is>
      </c>
      <c r="E995" t="inlineStr">
        <is>
          <t>USD m</t>
        </is>
      </c>
      <c r="J995" s="20">
        <f>Operations!J994-Operations!J991-Operations!J992</f>
        <v/>
      </c>
      <c r="K995" s="20">
        <f>Operations!K994-Operations!K991-Operations!K992</f>
        <v/>
      </c>
      <c r="L995" s="20">
        <f>Operations!L994-Operations!L991-Operations!L992</f>
        <v/>
      </c>
      <c r="M995" s="20">
        <f>Operations!M994-Operations!M991-Operations!M992</f>
        <v/>
      </c>
      <c r="N995" s="20">
        <f>Operations!N994-Operations!N991-Operations!N992</f>
        <v/>
      </c>
      <c r="O995" s="20">
        <f>Operations!O994-Operations!O991-Operations!O992</f>
        <v/>
      </c>
      <c r="P995" s="20">
        <f>Operations!P994-Operations!P991-Operations!P992</f>
        <v/>
      </c>
      <c r="Q995" s="20">
        <f>Operations!Q994-Operations!Q991-Operations!Q992</f>
        <v/>
      </c>
      <c r="R995" s="20">
        <f>Operations!R994-Operations!R991-Operations!R992</f>
        <v/>
      </c>
      <c r="S995" s="20">
        <f>Operations!S994-Operations!S991-Operations!S992</f>
        <v/>
      </c>
      <c r="T995" s="20">
        <f>Operations!T994-Operations!T991-Operations!T992</f>
        <v/>
      </c>
      <c r="U995" s="20">
        <f>Operations!U994-Operations!U991-Operations!U992</f>
        <v/>
      </c>
      <c r="V995" s="20">
        <f>Operations!V994-Operations!V991-Operations!V992</f>
        <v/>
      </c>
      <c r="W995" s="20">
        <f>Operations!W994-Operations!W991-Operations!W992</f>
        <v/>
      </c>
      <c r="X995" s="20">
        <f>Operations!X994-Operations!X991-Operations!X992</f>
        <v/>
      </c>
      <c r="Y995" s="20">
        <f>Operations!Y994-Operations!Y991-Operations!Y992</f>
        <v/>
      </c>
      <c r="Z995" s="20">
        <f>Operations!Z994-Operations!Z991-Operations!Z992</f>
        <v/>
      </c>
      <c r="AA995" s="20">
        <f>Operations!AA994-Operations!AA991-Operations!AA992</f>
        <v/>
      </c>
      <c r="AB995" s="20">
        <f>Operations!AB994-Operations!AB991-Operations!AB992</f>
        <v/>
      </c>
      <c r="AC995" s="20">
        <f>Operations!AC994-Operations!AC991-Operations!AC992</f>
        <v/>
      </c>
      <c r="AD995" s="20">
        <f>Operations!AD994-Operations!AD991-Operations!AD992</f>
        <v/>
      </c>
      <c r="AE995" s="20">
        <f>Operations!AE994-Operations!AE991-Operations!AE992</f>
        <v/>
      </c>
      <c r="AF995" s="20">
        <f>Operations!AF994-Operations!AF991-Operations!AF992</f>
        <v/>
      </c>
      <c r="AG995" s="20">
        <f>Operations!AG994-Operations!AG991-Operations!AG992</f>
        <v/>
      </c>
      <c r="AH995" s="20">
        <f>Operations!AH994-Operations!AH991-Operations!AH992</f>
        <v/>
      </c>
      <c r="AI995" s="20">
        <f>Operations!AI994-Operations!AI991-Operations!AI992</f>
        <v/>
      </c>
      <c r="AJ995" s="20">
        <f>Operations!AJ994-Operations!AJ991-Operations!AJ992</f>
        <v/>
      </c>
      <c r="AK995" s="20">
        <f>Operations!AK994-Operations!AK991-Operations!AK992</f>
        <v/>
      </c>
      <c r="AL995" s="20">
        <f>Operations!AL994-Operations!AL991-Operations!AL992</f>
        <v/>
      </c>
      <c r="AM995" s="20">
        <f>Operations!AM994-Operations!AM991-Operations!AM992</f>
        <v/>
      </c>
      <c r="AN995" s="20">
        <f>Operations!AN994-Operations!AN991-Operations!AN992</f>
        <v/>
      </c>
      <c r="AO995" s="20">
        <f>Operations!AO994-Operations!AO991-Operations!AO992</f>
        <v/>
      </c>
      <c r="AP995" s="20">
        <f>Operations!AP994-Operations!AP991-Operations!AP992</f>
        <v/>
      </c>
      <c r="AQ995" s="20">
        <f>Operations!AQ994-Operations!AQ991-Operations!AQ992</f>
        <v/>
      </c>
      <c r="AR995" s="20">
        <f>Operations!AR994-Operations!AR991-Operations!AR992</f>
        <v/>
      </c>
      <c r="AS995" s="20">
        <f>Operations!AS994-Operations!AS991-Operations!AS992</f>
        <v/>
      </c>
      <c r="AT995" s="20">
        <f>Operations!AT994-Operations!AT991-Operations!AT992</f>
        <v/>
      </c>
      <c r="AU995" s="20">
        <f>Operations!AU994-Operations!AU991-Operations!AU992</f>
        <v/>
      </c>
    </row>
    <row r="996">
      <c r="D996" t="inlineStr">
        <is>
          <t>R5 opex (O&amp;M, land, insurance, property tax, site)</t>
        </is>
      </c>
      <c r="E996" t="inlineStr">
        <is>
          <t>USD m</t>
        </is>
      </c>
      <c r="J996" s="20">
        <f>Inputs!$F$136*Inputs!$F$132/1000*Time!J$9*Time!J$10*Operations!J975*Operations!$F$792</f>
        <v/>
      </c>
      <c r="K996" s="20">
        <f>Inputs!$F$136*Inputs!$F$132/1000*Time!K$9*Time!K$10*Operations!K975*Operations!$F$792</f>
        <v/>
      </c>
      <c r="L996" s="20">
        <f>Inputs!$F$136*Inputs!$F$132/1000*Time!L$9*Time!L$10*Operations!L975*Operations!$F$792</f>
        <v/>
      </c>
      <c r="M996" s="20">
        <f>Inputs!$F$136*Inputs!$F$132/1000*Time!M$9*Time!M$10*Operations!M975*Operations!$F$792</f>
        <v/>
      </c>
      <c r="N996" s="20">
        <f>Inputs!$F$136*Inputs!$F$132/1000*Time!N$9*Time!N$10*Operations!N975*Operations!$F$792</f>
        <v/>
      </c>
      <c r="O996" s="20">
        <f>Inputs!$F$136*Inputs!$F$132/1000*Time!O$9*Time!O$10*Operations!O975*Operations!$F$792</f>
        <v/>
      </c>
      <c r="P996" s="20">
        <f>Inputs!$F$136*Inputs!$F$132/1000*Time!P$9*Time!P$10*Operations!P975*Operations!$F$792</f>
        <v/>
      </c>
      <c r="Q996" s="20">
        <f>Inputs!$F$136*Inputs!$F$132/1000*Time!Q$9*Time!Q$10*Operations!Q975*Operations!$F$792</f>
        <v/>
      </c>
      <c r="R996" s="20">
        <f>Inputs!$F$136*Inputs!$F$132/1000*Time!R$9*Time!R$10*Operations!R975*Operations!$F$792</f>
        <v/>
      </c>
      <c r="S996" s="20">
        <f>Inputs!$F$136*Inputs!$F$132/1000*Time!S$9*Time!S$10*Operations!S975*Operations!$F$792</f>
        <v/>
      </c>
      <c r="T996" s="20">
        <f>Inputs!$F$136*Inputs!$F$132/1000*Time!T$9*Time!T$10*Operations!T975*Operations!$F$792</f>
        <v/>
      </c>
      <c r="U996" s="20">
        <f>Inputs!$F$136*Inputs!$F$132/1000*Time!U$9*Time!U$10*Operations!U975*Operations!$F$792</f>
        <v/>
      </c>
      <c r="V996" s="20">
        <f>Inputs!$F$136*Inputs!$F$132/1000*Time!V$9*Time!V$10*Operations!V975*Operations!$F$792</f>
        <v/>
      </c>
      <c r="W996" s="20">
        <f>Inputs!$F$136*Inputs!$F$132/1000*Time!W$9*Time!W$10*Operations!W975*Operations!$F$792</f>
        <v/>
      </c>
      <c r="X996" s="20">
        <f>Inputs!$F$136*Inputs!$F$132/1000*Time!X$9*Time!X$10*Operations!X975*Operations!$F$792</f>
        <v/>
      </c>
      <c r="Y996" s="20">
        <f>Inputs!$F$136*Inputs!$F$132/1000*Time!Y$9*Time!Y$10*Operations!Y975*Operations!$F$792</f>
        <v/>
      </c>
      <c r="Z996" s="20">
        <f>Inputs!$F$136*Inputs!$F$132/1000*Time!Z$9*Time!Z$10*Operations!Z975*Operations!$F$792</f>
        <v/>
      </c>
      <c r="AA996" s="20">
        <f>Inputs!$F$136*Inputs!$F$132/1000*Time!AA$9*Time!AA$10*Operations!AA975*Operations!$F$792</f>
        <v/>
      </c>
      <c r="AB996" s="20">
        <f>Inputs!$F$136*Inputs!$F$132/1000*Time!AB$9*Time!AB$10*Operations!AB975*Operations!$F$792</f>
        <v/>
      </c>
      <c r="AC996" s="20">
        <f>Inputs!$F$136*Inputs!$F$132/1000*Time!AC$9*Time!AC$10*Operations!AC975*Operations!$F$792</f>
        <v/>
      </c>
      <c r="AD996" s="20">
        <f>Inputs!$F$136*Inputs!$F$132/1000*Time!AD$9*Time!AD$10*Operations!AD975*Operations!$F$792</f>
        <v/>
      </c>
      <c r="AE996" s="20">
        <f>Inputs!$F$136*Inputs!$F$132/1000*Time!AE$9*Time!AE$10*Operations!AE975*Operations!$F$792</f>
        <v/>
      </c>
      <c r="AF996" s="20">
        <f>Inputs!$F$136*Inputs!$F$132/1000*Time!AF$9*Time!AF$10*Operations!AF975*Operations!$F$792</f>
        <v/>
      </c>
      <c r="AG996" s="20">
        <f>Inputs!$F$136*Inputs!$F$132/1000*Time!AG$9*Time!AG$10*Operations!AG975*Operations!$F$792</f>
        <v/>
      </c>
      <c r="AH996" s="20">
        <f>Inputs!$F$136*Inputs!$F$132/1000*Time!AH$9*Time!AH$10*Operations!AH975*Operations!$F$792</f>
        <v/>
      </c>
      <c r="AI996" s="20">
        <f>Inputs!$F$136*Inputs!$F$132/1000*Time!AI$9*Time!AI$10*Operations!AI975*Operations!$F$792</f>
        <v/>
      </c>
      <c r="AJ996" s="20">
        <f>Inputs!$F$136*Inputs!$F$132/1000*Time!AJ$9*Time!AJ$10*Operations!AJ975*Operations!$F$792</f>
        <v/>
      </c>
      <c r="AK996" s="20">
        <f>Inputs!$F$136*Inputs!$F$132/1000*Time!AK$9*Time!AK$10*Operations!AK975*Operations!$F$792</f>
        <v/>
      </c>
      <c r="AL996" s="20">
        <f>Inputs!$F$136*Inputs!$F$132/1000*Time!AL$9*Time!AL$10*Operations!AL975*Operations!$F$792</f>
        <v/>
      </c>
      <c r="AM996" s="20">
        <f>Inputs!$F$136*Inputs!$F$132/1000*Time!AM$9*Time!AM$10*Operations!AM975*Operations!$F$792</f>
        <v/>
      </c>
      <c r="AN996" s="20">
        <f>Inputs!$F$136*Inputs!$F$132/1000*Time!AN$9*Time!AN$10*Operations!AN975*Operations!$F$792</f>
        <v/>
      </c>
      <c r="AO996" s="20">
        <f>Inputs!$F$136*Inputs!$F$132/1000*Time!AO$9*Time!AO$10*Operations!AO975*Operations!$F$792</f>
        <v/>
      </c>
      <c r="AP996" s="20">
        <f>Inputs!$F$136*Inputs!$F$132/1000*Time!AP$9*Time!AP$10*Operations!AP975*Operations!$F$792</f>
        <v/>
      </c>
      <c r="AQ996" s="20">
        <f>Inputs!$F$136*Inputs!$F$132/1000*Time!AQ$9*Time!AQ$10*Operations!AQ975*Operations!$F$792</f>
        <v/>
      </c>
      <c r="AR996" s="20">
        <f>Inputs!$F$136*Inputs!$F$132/1000*Time!AR$9*Time!AR$10*Operations!AR975*Operations!$F$792</f>
        <v/>
      </c>
      <c r="AS996" s="20">
        <f>Inputs!$F$136*Inputs!$F$132/1000*Time!AS$9*Time!AS$10*Operations!AS975*Operations!$F$792</f>
        <v/>
      </c>
      <c r="AT996" s="20">
        <f>Inputs!$F$136*Inputs!$F$132/1000*Time!AT$9*Time!AT$10*Operations!AT975*Operations!$F$792</f>
        <v/>
      </c>
      <c r="AU996" s="20">
        <f>Inputs!$F$136*Inputs!$F$132/1000*Time!AU$9*Time!AU$10*Operations!AU975*Operations!$F$792</f>
        <v/>
      </c>
    </row>
    <row r="997">
      <c r="D997" t="inlineStr">
        <is>
          <t>R5 land lease (in opex)</t>
        </is>
      </c>
      <c r="E997" t="inlineStr">
        <is>
          <t>USD m</t>
        </is>
      </c>
      <c r="J997" s="20">
        <f>0</f>
        <v/>
      </c>
      <c r="K997" s="20">
        <f>0</f>
        <v/>
      </c>
      <c r="L997" s="20">
        <f>0</f>
        <v/>
      </c>
      <c r="M997" s="20">
        <f>0</f>
        <v/>
      </c>
      <c r="N997" s="20">
        <f>0</f>
        <v/>
      </c>
      <c r="O997" s="20">
        <f>0</f>
        <v/>
      </c>
      <c r="P997" s="20">
        <f>0</f>
        <v/>
      </c>
      <c r="Q997" s="20">
        <f>0</f>
        <v/>
      </c>
      <c r="R997" s="20">
        <f>0</f>
        <v/>
      </c>
      <c r="S997" s="20">
        <f>0</f>
        <v/>
      </c>
      <c r="T997" s="20">
        <f>0</f>
        <v/>
      </c>
      <c r="U997" s="20">
        <f>0</f>
        <v/>
      </c>
      <c r="V997" s="20">
        <f>0</f>
        <v/>
      </c>
      <c r="W997" s="20">
        <f>0</f>
        <v/>
      </c>
      <c r="X997" s="20">
        <f>0</f>
        <v/>
      </c>
      <c r="Y997" s="20">
        <f>0</f>
        <v/>
      </c>
      <c r="Z997" s="20">
        <f>0</f>
        <v/>
      </c>
      <c r="AA997" s="20">
        <f>0</f>
        <v/>
      </c>
      <c r="AB997" s="20">
        <f>0</f>
        <v/>
      </c>
      <c r="AC997" s="20">
        <f>0</f>
        <v/>
      </c>
      <c r="AD997" s="20">
        <f>0</f>
        <v/>
      </c>
      <c r="AE997" s="20">
        <f>0</f>
        <v/>
      </c>
      <c r="AF997" s="20">
        <f>0</f>
        <v/>
      </c>
      <c r="AG997" s="20">
        <f>0</f>
        <v/>
      </c>
      <c r="AH997" s="20">
        <f>0</f>
        <v/>
      </c>
      <c r="AI997" s="20">
        <f>0</f>
        <v/>
      </c>
      <c r="AJ997" s="20">
        <f>0</f>
        <v/>
      </c>
      <c r="AK997" s="20">
        <f>0</f>
        <v/>
      </c>
      <c r="AL997" s="20">
        <f>0</f>
        <v/>
      </c>
      <c r="AM997" s="20">
        <f>0</f>
        <v/>
      </c>
      <c r="AN997" s="20">
        <f>0</f>
        <v/>
      </c>
      <c r="AO997" s="20">
        <f>0</f>
        <v/>
      </c>
      <c r="AP997" s="20">
        <f>0</f>
        <v/>
      </c>
      <c r="AQ997" s="20">
        <f>0</f>
        <v/>
      </c>
      <c r="AR997" s="20">
        <f>0</f>
        <v/>
      </c>
      <c r="AS997" s="20">
        <f>0</f>
        <v/>
      </c>
      <c r="AT997" s="20">
        <f>0</f>
        <v/>
      </c>
      <c r="AU997" s="20">
        <f>0</f>
        <v/>
      </c>
    </row>
    <row r="998">
      <c r="D998" t="inlineStr">
        <is>
          <t>R5 decommissioning surety cost</t>
        </is>
      </c>
      <c r="E998" t="inlineStr">
        <is>
          <t>USD m</t>
        </is>
      </c>
      <c r="J998" s="20">
        <f>Inputs!$F$236/100*Inputs!$F$137*Inputs!$F$132/1000*Time!J$9*Operations!J975</f>
        <v/>
      </c>
      <c r="K998" s="20">
        <f>Inputs!$F$236/100*Inputs!$F$137*Inputs!$F$132/1000*Time!K$9*Operations!K975</f>
        <v/>
      </c>
      <c r="L998" s="20">
        <f>Inputs!$F$236/100*Inputs!$F$137*Inputs!$F$132/1000*Time!L$9*Operations!L975</f>
        <v/>
      </c>
      <c r="M998" s="20">
        <f>Inputs!$F$236/100*Inputs!$F$137*Inputs!$F$132/1000*Time!M$9*Operations!M975</f>
        <v/>
      </c>
      <c r="N998" s="20">
        <f>Inputs!$F$236/100*Inputs!$F$137*Inputs!$F$132/1000*Time!N$9*Operations!N975</f>
        <v/>
      </c>
      <c r="O998" s="20">
        <f>Inputs!$F$236/100*Inputs!$F$137*Inputs!$F$132/1000*Time!O$9*Operations!O975</f>
        <v/>
      </c>
      <c r="P998" s="20">
        <f>Inputs!$F$236/100*Inputs!$F$137*Inputs!$F$132/1000*Time!P$9*Operations!P975</f>
        <v/>
      </c>
      <c r="Q998" s="20">
        <f>Inputs!$F$236/100*Inputs!$F$137*Inputs!$F$132/1000*Time!Q$9*Operations!Q975</f>
        <v/>
      </c>
      <c r="R998" s="20">
        <f>Inputs!$F$236/100*Inputs!$F$137*Inputs!$F$132/1000*Time!R$9*Operations!R975</f>
        <v/>
      </c>
      <c r="S998" s="20">
        <f>Inputs!$F$236/100*Inputs!$F$137*Inputs!$F$132/1000*Time!S$9*Operations!S975</f>
        <v/>
      </c>
      <c r="T998" s="20">
        <f>Inputs!$F$236/100*Inputs!$F$137*Inputs!$F$132/1000*Time!T$9*Operations!T975</f>
        <v/>
      </c>
      <c r="U998" s="20">
        <f>Inputs!$F$236/100*Inputs!$F$137*Inputs!$F$132/1000*Time!U$9*Operations!U975</f>
        <v/>
      </c>
      <c r="V998" s="20">
        <f>Inputs!$F$236/100*Inputs!$F$137*Inputs!$F$132/1000*Time!V$9*Operations!V975</f>
        <v/>
      </c>
      <c r="W998" s="20">
        <f>Inputs!$F$236/100*Inputs!$F$137*Inputs!$F$132/1000*Time!W$9*Operations!W975</f>
        <v/>
      </c>
      <c r="X998" s="20">
        <f>Inputs!$F$236/100*Inputs!$F$137*Inputs!$F$132/1000*Time!X$9*Operations!X975</f>
        <v/>
      </c>
      <c r="Y998" s="20">
        <f>Inputs!$F$236/100*Inputs!$F$137*Inputs!$F$132/1000*Time!Y$9*Operations!Y975</f>
        <v/>
      </c>
      <c r="Z998" s="20">
        <f>Inputs!$F$236/100*Inputs!$F$137*Inputs!$F$132/1000*Time!Z$9*Operations!Z975</f>
        <v/>
      </c>
      <c r="AA998" s="20">
        <f>Inputs!$F$236/100*Inputs!$F$137*Inputs!$F$132/1000*Time!AA$9*Operations!AA975</f>
        <v/>
      </c>
      <c r="AB998" s="20">
        <f>Inputs!$F$236/100*Inputs!$F$137*Inputs!$F$132/1000*Time!AB$9*Operations!AB975</f>
        <v/>
      </c>
      <c r="AC998" s="20">
        <f>Inputs!$F$236/100*Inputs!$F$137*Inputs!$F$132/1000*Time!AC$9*Operations!AC975</f>
        <v/>
      </c>
      <c r="AD998" s="20">
        <f>Inputs!$F$236/100*Inputs!$F$137*Inputs!$F$132/1000*Time!AD$9*Operations!AD975</f>
        <v/>
      </c>
      <c r="AE998" s="20">
        <f>Inputs!$F$236/100*Inputs!$F$137*Inputs!$F$132/1000*Time!AE$9*Operations!AE975</f>
        <v/>
      </c>
      <c r="AF998" s="20">
        <f>Inputs!$F$236/100*Inputs!$F$137*Inputs!$F$132/1000*Time!AF$9*Operations!AF975</f>
        <v/>
      </c>
      <c r="AG998" s="20">
        <f>Inputs!$F$236/100*Inputs!$F$137*Inputs!$F$132/1000*Time!AG$9*Operations!AG975</f>
        <v/>
      </c>
      <c r="AH998" s="20">
        <f>Inputs!$F$236/100*Inputs!$F$137*Inputs!$F$132/1000*Time!AH$9*Operations!AH975</f>
        <v/>
      </c>
      <c r="AI998" s="20">
        <f>Inputs!$F$236/100*Inputs!$F$137*Inputs!$F$132/1000*Time!AI$9*Operations!AI975</f>
        <v/>
      </c>
      <c r="AJ998" s="20">
        <f>Inputs!$F$236/100*Inputs!$F$137*Inputs!$F$132/1000*Time!AJ$9*Operations!AJ975</f>
        <v/>
      </c>
      <c r="AK998" s="20">
        <f>Inputs!$F$236/100*Inputs!$F$137*Inputs!$F$132/1000*Time!AK$9*Operations!AK975</f>
        <v/>
      </c>
      <c r="AL998" s="20">
        <f>Inputs!$F$236/100*Inputs!$F$137*Inputs!$F$132/1000*Time!AL$9*Operations!AL975</f>
        <v/>
      </c>
      <c r="AM998" s="20">
        <f>Inputs!$F$236/100*Inputs!$F$137*Inputs!$F$132/1000*Time!AM$9*Operations!AM975</f>
        <v/>
      </c>
      <c r="AN998" s="20">
        <f>Inputs!$F$236/100*Inputs!$F$137*Inputs!$F$132/1000*Time!AN$9*Operations!AN975</f>
        <v/>
      </c>
      <c r="AO998" s="20">
        <f>Inputs!$F$236/100*Inputs!$F$137*Inputs!$F$132/1000*Time!AO$9*Operations!AO975</f>
        <v/>
      </c>
      <c r="AP998" s="20">
        <f>Inputs!$F$236/100*Inputs!$F$137*Inputs!$F$132/1000*Time!AP$9*Operations!AP975</f>
        <v/>
      </c>
      <c r="AQ998" s="20">
        <f>Inputs!$F$236/100*Inputs!$F$137*Inputs!$F$132/1000*Time!AQ$9*Operations!AQ975</f>
        <v/>
      </c>
      <c r="AR998" s="20">
        <f>Inputs!$F$236/100*Inputs!$F$137*Inputs!$F$132/1000*Time!AR$9*Operations!AR975</f>
        <v/>
      </c>
      <c r="AS998" s="20">
        <f>Inputs!$F$236/100*Inputs!$F$137*Inputs!$F$132/1000*Time!AS$9*Operations!AS975</f>
        <v/>
      </c>
      <c r="AT998" s="20">
        <f>Inputs!$F$236/100*Inputs!$F$137*Inputs!$F$132/1000*Time!AT$9*Operations!AT975</f>
        <v/>
      </c>
      <c r="AU998" s="20">
        <f>Inputs!$F$236/100*Inputs!$F$137*Inputs!$F$132/1000*Time!AU$9*Operations!AU975</f>
        <v/>
      </c>
    </row>
    <row r="999">
      <c r="D999" t="inlineStr">
        <is>
          <t>R5 Texas margin tax</t>
        </is>
      </c>
      <c r="E999" t="inlineStr">
        <is>
          <t>USD m</t>
        </is>
      </c>
      <c r="J999" s="20">
        <f>Inputs!$F$237/100*Inputs!$F$238/100*Operations!J994</f>
        <v/>
      </c>
      <c r="K999" s="20">
        <f>Inputs!$F$237/100*Inputs!$F$238/100*Operations!K994</f>
        <v/>
      </c>
      <c r="L999" s="20">
        <f>Inputs!$F$237/100*Inputs!$F$238/100*Operations!L994</f>
        <v/>
      </c>
      <c r="M999" s="20">
        <f>Inputs!$F$237/100*Inputs!$F$238/100*Operations!M994</f>
        <v/>
      </c>
      <c r="N999" s="20">
        <f>Inputs!$F$237/100*Inputs!$F$238/100*Operations!N994</f>
        <v/>
      </c>
      <c r="O999" s="20">
        <f>Inputs!$F$237/100*Inputs!$F$238/100*Operations!O994</f>
        <v/>
      </c>
      <c r="P999" s="20">
        <f>Inputs!$F$237/100*Inputs!$F$238/100*Operations!P994</f>
        <v/>
      </c>
      <c r="Q999" s="20">
        <f>Inputs!$F$237/100*Inputs!$F$238/100*Operations!Q994</f>
        <v/>
      </c>
      <c r="R999" s="20">
        <f>Inputs!$F$237/100*Inputs!$F$238/100*Operations!R994</f>
        <v/>
      </c>
      <c r="S999" s="20">
        <f>Inputs!$F$237/100*Inputs!$F$238/100*Operations!S994</f>
        <v/>
      </c>
      <c r="T999" s="20">
        <f>Inputs!$F$237/100*Inputs!$F$238/100*Operations!T994</f>
        <v/>
      </c>
      <c r="U999" s="20">
        <f>Inputs!$F$237/100*Inputs!$F$238/100*Operations!U994</f>
        <v/>
      </c>
      <c r="V999" s="20">
        <f>Inputs!$F$237/100*Inputs!$F$238/100*Operations!V994</f>
        <v/>
      </c>
      <c r="W999" s="20">
        <f>Inputs!$F$237/100*Inputs!$F$238/100*Operations!W994</f>
        <v/>
      </c>
      <c r="X999" s="20">
        <f>Inputs!$F$237/100*Inputs!$F$238/100*Operations!X994</f>
        <v/>
      </c>
      <c r="Y999" s="20">
        <f>Inputs!$F$237/100*Inputs!$F$238/100*Operations!Y994</f>
        <v/>
      </c>
      <c r="Z999" s="20">
        <f>Inputs!$F$237/100*Inputs!$F$238/100*Operations!Z994</f>
        <v/>
      </c>
      <c r="AA999" s="20">
        <f>Inputs!$F$237/100*Inputs!$F$238/100*Operations!AA994</f>
        <v/>
      </c>
      <c r="AB999" s="20">
        <f>Inputs!$F$237/100*Inputs!$F$238/100*Operations!AB994</f>
        <v/>
      </c>
      <c r="AC999" s="20">
        <f>Inputs!$F$237/100*Inputs!$F$238/100*Operations!AC994</f>
        <v/>
      </c>
      <c r="AD999" s="20">
        <f>Inputs!$F$237/100*Inputs!$F$238/100*Operations!AD994</f>
        <v/>
      </c>
      <c r="AE999" s="20">
        <f>Inputs!$F$237/100*Inputs!$F$238/100*Operations!AE994</f>
        <v/>
      </c>
      <c r="AF999" s="20">
        <f>Inputs!$F$237/100*Inputs!$F$238/100*Operations!AF994</f>
        <v/>
      </c>
      <c r="AG999" s="20">
        <f>Inputs!$F$237/100*Inputs!$F$238/100*Operations!AG994</f>
        <v/>
      </c>
      <c r="AH999" s="20">
        <f>Inputs!$F$237/100*Inputs!$F$238/100*Operations!AH994</f>
        <v/>
      </c>
      <c r="AI999" s="20">
        <f>Inputs!$F$237/100*Inputs!$F$238/100*Operations!AI994</f>
        <v/>
      </c>
      <c r="AJ999" s="20">
        <f>Inputs!$F$237/100*Inputs!$F$238/100*Operations!AJ994</f>
        <v/>
      </c>
      <c r="AK999" s="20">
        <f>Inputs!$F$237/100*Inputs!$F$238/100*Operations!AK994</f>
        <v/>
      </c>
      <c r="AL999" s="20">
        <f>Inputs!$F$237/100*Inputs!$F$238/100*Operations!AL994</f>
        <v/>
      </c>
      <c r="AM999" s="20">
        <f>Inputs!$F$237/100*Inputs!$F$238/100*Operations!AM994</f>
        <v/>
      </c>
      <c r="AN999" s="20">
        <f>Inputs!$F$237/100*Inputs!$F$238/100*Operations!AN994</f>
        <v/>
      </c>
      <c r="AO999" s="20">
        <f>Inputs!$F$237/100*Inputs!$F$238/100*Operations!AO994</f>
        <v/>
      </c>
      <c r="AP999" s="20">
        <f>Inputs!$F$237/100*Inputs!$F$238/100*Operations!AP994</f>
        <v/>
      </c>
      <c r="AQ999" s="20">
        <f>Inputs!$F$237/100*Inputs!$F$238/100*Operations!AQ994</f>
        <v/>
      </c>
      <c r="AR999" s="20">
        <f>Inputs!$F$237/100*Inputs!$F$238/100*Operations!AR994</f>
        <v/>
      </c>
      <c r="AS999" s="20">
        <f>Inputs!$F$237/100*Inputs!$F$238/100*Operations!AS994</f>
        <v/>
      </c>
      <c r="AT999" s="20">
        <f>Inputs!$F$237/100*Inputs!$F$238/100*Operations!AT994</f>
        <v/>
      </c>
      <c r="AU999" s="20">
        <f>Inputs!$F$237/100*Inputs!$F$238/100*Operations!AU994</f>
        <v/>
      </c>
    </row>
    <row r="1000">
      <c r="D1000" t="inlineStr">
        <is>
          <t>R5 EBITDA</t>
        </is>
      </c>
      <c r="E1000" t="inlineStr">
        <is>
          <t>USD m</t>
        </is>
      </c>
      <c r="G1000" s="20">
        <f>SUM(J1000:AU1000)</f>
        <v/>
      </c>
      <c r="J1000" s="20">
        <f>Operations!J994-Operations!J996-Operations!J997-Operations!J998-Operations!J999</f>
        <v/>
      </c>
      <c r="K1000" s="20">
        <f>Operations!K994-Operations!K996-Operations!K997-Operations!K998-Operations!K999</f>
        <v/>
      </c>
      <c r="L1000" s="20">
        <f>Operations!L994-Operations!L996-Operations!L997-Operations!L998-Operations!L999</f>
        <v/>
      </c>
      <c r="M1000" s="20">
        <f>Operations!M994-Operations!M996-Operations!M997-Operations!M998-Operations!M999</f>
        <v/>
      </c>
      <c r="N1000" s="20">
        <f>Operations!N994-Operations!N996-Operations!N997-Operations!N998-Operations!N999</f>
        <v/>
      </c>
      <c r="O1000" s="20">
        <f>Operations!O994-Operations!O996-Operations!O997-Operations!O998-Operations!O999</f>
        <v/>
      </c>
      <c r="P1000" s="20">
        <f>Operations!P994-Operations!P996-Operations!P997-Operations!P998-Operations!P999</f>
        <v/>
      </c>
      <c r="Q1000" s="20">
        <f>Operations!Q994-Operations!Q996-Operations!Q997-Operations!Q998-Operations!Q999</f>
        <v/>
      </c>
      <c r="R1000" s="20">
        <f>Operations!R994-Operations!R996-Operations!R997-Operations!R998-Operations!R999</f>
        <v/>
      </c>
      <c r="S1000" s="20">
        <f>Operations!S994-Operations!S996-Operations!S997-Operations!S998-Operations!S999</f>
        <v/>
      </c>
      <c r="T1000" s="20">
        <f>Operations!T994-Operations!T996-Operations!T997-Operations!T998-Operations!T999</f>
        <v/>
      </c>
      <c r="U1000" s="20">
        <f>Operations!U994-Operations!U996-Operations!U997-Operations!U998-Operations!U999</f>
        <v/>
      </c>
      <c r="V1000" s="20">
        <f>Operations!V994-Operations!V996-Operations!V997-Operations!V998-Operations!V999</f>
        <v/>
      </c>
      <c r="W1000" s="20">
        <f>Operations!W994-Operations!W996-Operations!W997-Operations!W998-Operations!W999</f>
        <v/>
      </c>
      <c r="X1000" s="20">
        <f>Operations!X994-Operations!X996-Operations!X997-Operations!X998-Operations!X999</f>
        <v/>
      </c>
      <c r="Y1000" s="20">
        <f>Operations!Y994-Operations!Y996-Operations!Y997-Operations!Y998-Operations!Y999</f>
        <v/>
      </c>
      <c r="Z1000" s="20">
        <f>Operations!Z994-Operations!Z996-Operations!Z997-Operations!Z998-Operations!Z999</f>
        <v/>
      </c>
      <c r="AA1000" s="20">
        <f>Operations!AA994-Operations!AA996-Operations!AA997-Operations!AA998-Operations!AA999</f>
        <v/>
      </c>
      <c r="AB1000" s="20">
        <f>Operations!AB994-Operations!AB996-Operations!AB997-Operations!AB998-Operations!AB999</f>
        <v/>
      </c>
      <c r="AC1000" s="20">
        <f>Operations!AC994-Operations!AC996-Operations!AC997-Operations!AC998-Operations!AC999</f>
        <v/>
      </c>
      <c r="AD1000" s="20">
        <f>Operations!AD994-Operations!AD996-Operations!AD997-Operations!AD998-Operations!AD999</f>
        <v/>
      </c>
      <c r="AE1000" s="20">
        <f>Operations!AE994-Operations!AE996-Operations!AE997-Operations!AE998-Operations!AE999</f>
        <v/>
      </c>
      <c r="AF1000" s="20">
        <f>Operations!AF994-Operations!AF996-Operations!AF997-Operations!AF998-Operations!AF999</f>
        <v/>
      </c>
      <c r="AG1000" s="20">
        <f>Operations!AG994-Operations!AG996-Operations!AG997-Operations!AG998-Operations!AG999</f>
        <v/>
      </c>
      <c r="AH1000" s="20">
        <f>Operations!AH994-Operations!AH996-Operations!AH997-Operations!AH998-Operations!AH999</f>
        <v/>
      </c>
      <c r="AI1000" s="20">
        <f>Operations!AI994-Operations!AI996-Operations!AI997-Operations!AI998-Operations!AI999</f>
        <v/>
      </c>
      <c r="AJ1000" s="20">
        <f>Operations!AJ994-Operations!AJ996-Operations!AJ997-Operations!AJ998-Operations!AJ999</f>
        <v/>
      </c>
      <c r="AK1000" s="20">
        <f>Operations!AK994-Operations!AK996-Operations!AK997-Operations!AK998-Operations!AK999</f>
        <v/>
      </c>
      <c r="AL1000" s="20">
        <f>Operations!AL994-Operations!AL996-Operations!AL997-Operations!AL998-Operations!AL999</f>
        <v/>
      </c>
      <c r="AM1000" s="20">
        <f>Operations!AM994-Operations!AM996-Operations!AM997-Operations!AM998-Operations!AM999</f>
        <v/>
      </c>
      <c r="AN1000" s="20">
        <f>Operations!AN994-Operations!AN996-Operations!AN997-Operations!AN998-Operations!AN999</f>
        <v/>
      </c>
      <c r="AO1000" s="20">
        <f>Operations!AO994-Operations!AO996-Operations!AO997-Operations!AO998-Operations!AO999</f>
        <v/>
      </c>
      <c r="AP1000" s="20">
        <f>Operations!AP994-Operations!AP996-Operations!AP997-Operations!AP998-Operations!AP999</f>
        <v/>
      </c>
      <c r="AQ1000" s="20">
        <f>Operations!AQ994-Operations!AQ996-Operations!AQ997-Operations!AQ998-Operations!AQ999</f>
        <v/>
      </c>
      <c r="AR1000" s="20">
        <f>Operations!AR994-Operations!AR996-Operations!AR997-Operations!AR998-Operations!AR999</f>
        <v/>
      </c>
      <c r="AS1000" s="20">
        <f>Operations!AS994-Operations!AS996-Operations!AS997-Operations!AS998-Operations!AS999</f>
        <v/>
      </c>
      <c r="AT1000" s="20">
        <f>Operations!AT994-Operations!AT996-Operations!AT997-Operations!AT998-Operations!AT999</f>
        <v/>
      </c>
      <c r="AU1000" s="20">
        <f>Operations!AU994-Operations!AU996-Operations!AU997-Operations!AU998-Operations!AU999</f>
        <v/>
      </c>
    </row>
    <row r="1001">
      <c r="D1001" t="inlineStr">
        <is>
          <t>R5 capex</t>
        </is>
      </c>
      <c r="E1001" t="inlineStr">
        <is>
          <t>USD m</t>
        </is>
      </c>
      <c r="J1001" s="20">
        <f>0</f>
        <v/>
      </c>
      <c r="K1001" s="20">
        <f>0</f>
        <v/>
      </c>
      <c r="L1001" s="20">
        <f>0</f>
        <v/>
      </c>
      <c r="M1001" s="20">
        <f>0</f>
        <v/>
      </c>
      <c r="N1001" s="20">
        <f>0</f>
        <v/>
      </c>
      <c r="O1001" s="20">
        <f>0</f>
        <v/>
      </c>
      <c r="P1001" s="20">
        <f>0</f>
        <v/>
      </c>
      <c r="Q1001" s="20">
        <f>0</f>
        <v/>
      </c>
      <c r="R1001" s="20">
        <f>0</f>
        <v/>
      </c>
      <c r="S1001" s="20">
        <f>0</f>
        <v/>
      </c>
      <c r="T1001" s="20">
        <f>0</f>
        <v/>
      </c>
      <c r="U1001" s="20">
        <f>0</f>
        <v/>
      </c>
      <c r="V1001" s="20">
        <f>0</f>
        <v/>
      </c>
      <c r="W1001" s="20">
        <f>0</f>
        <v/>
      </c>
      <c r="X1001" s="20">
        <f>0</f>
        <v/>
      </c>
      <c r="Y1001" s="20">
        <f>0</f>
        <v/>
      </c>
      <c r="Z1001" s="20">
        <f>0</f>
        <v/>
      </c>
      <c r="AA1001" s="20">
        <f>0</f>
        <v/>
      </c>
      <c r="AB1001" s="20">
        <f>0</f>
        <v/>
      </c>
      <c r="AC1001" s="20">
        <f>0</f>
        <v/>
      </c>
      <c r="AD1001" s="20">
        <f>0</f>
        <v/>
      </c>
      <c r="AE1001" s="20">
        <f>0</f>
        <v/>
      </c>
      <c r="AF1001" s="20">
        <f>0</f>
        <v/>
      </c>
      <c r="AG1001" s="20">
        <f>0</f>
        <v/>
      </c>
      <c r="AH1001" s="20">
        <f>0</f>
        <v/>
      </c>
      <c r="AI1001" s="20">
        <f>0</f>
        <v/>
      </c>
      <c r="AJ1001" s="20">
        <f>0</f>
        <v/>
      </c>
      <c r="AK1001" s="20">
        <f>0</f>
        <v/>
      </c>
      <c r="AL1001" s="20">
        <f>0</f>
        <v/>
      </c>
      <c r="AM1001" s="20">
        <f>0</f>
        <v/>
      </c>
      <c r="AN1001" s="20">
        <f>0</f>
        <v/>
      </c>
      <c r="AO1001" s="20">
        <f>0</f>
        <v/>
      </c>
      <c r="AP1001" s="20">
        <f>0</f>
        <v/>
      </c>
      <c r="AQ1001" s="20">
        <f>0</f>
        <v/>
      </c>
      <c r="AR1001" s="20">
        <f>0</f>
        <v/>
      </c>
      <c r="AS1001" s="20">
        <f>0</f>
        <v/>
      </c>
      <c r="AT1001" s="20">
        <f>0</f>
        <v/>
      </c>
      <c r="AU1001" s="20">
        <f>0</f>
        <v/>
      </c>
    </row>
    <row r="1002">
      <c r="D1002" t="inlineStr">
        <is>
          <t>R5 decommissioning at end of life</t>
        </is>
      </c>
      <c r="E1002" t="inlineStr">
        <is>
          <t>USD m</t>
        </is>
      </c>
      <c r="J1002" s="20">
        <f>IF(Time!J$4=YEAR(Inputs!$F$134),Inputs!$F$137*Inputs!$F$132/1000*Time!J$9,0)</f>
        <v/>
      </c>
      <c r="K1002" s="20">
        <f>IF(Time!K$4=YEAR(Inputs!$F$134),Inputs!$F$137*Inputs!$F$132/1000*Time!K$9,0)</f>
        <v/>
      </c>
      <c r="L1002" s="20">
        <f>IF(Time!L$4=YEAR(Inputs!$F$134),Inputs!$F$137*Inputs!$F$132/1000*Time!L$9,0)</f>
        <v/>
      </c>
      <c r="M1002" s="20">
        <f>IF(Time!M$4=YEAR(Inputs!$F$134),Inputs!$F$137*Inputs!$F$132/1000*Time!M$9,0)</f>
        <v/>
      </c>
      <c r="N1002" s="20">
        <f>IF(Time!N$4=YEAR(Inputs!$F$134),Inputs!$F$137*Inputs!$F$132/1000*Time!N$9,0)</f>
        <v/>
      </c>
      <c r="O1002" s="20">
        <f>IF(Time!O$4=YEAR(Inputs!$F$134),Inputs!$F$137*Inputs!$F$132/1000*Time!O$9,0)</f>
        <v/>
      </c>
      <c r="P1002" s="20">
        <f>IF(Time!P$4=YEAR(Inputs!$F$134),Inputs!$F$137*Inputs!$F$132/1000*Time!P$9,0)</f>
        <v/>
      </c>
      <c r="Q1002" s="20">
        <f>IF(Time!Q$4=YEAR(Inputs!$F$134),Inputs!$F$137*Inputs!$F$132/1000*Time!Q$9,0)</f>
        <v/>
      </c>
      <c r="R1002" s="20">
        <f>IF(Time!R$4=YEAR(Inputs!$F$134),Inputs!$F$137*Inputs!$F$132/1000*Time!R$9,0)</f>
        <v/>
      </c>
      <c r="S1002" s="20">
        <f>IF(Time!S$4=YEAR(Inputs!$F$134),Inputs!$F$137*Inputs!$F$132/1000*Time!S$9,0)</f>
        <v/>
      </c>
      <c r="T1002" s="20">
        <f>IF(Time!T$4=YEAR(Inputs!$F$134),Inputs!$F$137*Inputs!$F$132/1000*Time!T$9,0)</f>
        <v/>
      </c>
      <c r="U1002" s="20">
        <f>IF(Time!U$4=YEAR(Inputs!$F$134),Inputs!$F$137*Inputs!$F$132/1000*Time!U$9,0)</f>
        <v/>
      </c>
      <c r="V1002" s="20">
        <f>IF(Time!V$4=YEAR(Inputs!$F$134),Inputs!$F$137*Inputs!$F$132/1000*Time!V$9,0)</f>
        <v/>
      </c>
      <c r="W1002" s="20">
        <f>IF(Time!W$4=YEAR(Inputs!$F$134),Inputs!$F$137*Inputs!$F$132/1000*Time!W$9,0)</f>
        <v/>
      </c>
      <c r="X1002" s="20">
        <f>IF(Time!X$4=YEAR(Inputs!$F$134),Inputs!$F$137*Inputs!$F$132/1000*Time!X$9,0)</f>
        <v/>
      </c>
      <c r="Y1002" s="20">
        <f>IF(Time!Y$4=YEAR(Inputs!$F$134),Inputs!$F$137*Inputs!$F$132/1000*Time!Y$9,0)</f>
        <v/>
      </c>
      <c r="Z1002" s="20">
        <f>IF(Time!Z$4=YEAR(Inputs!$F$134),Inputs!$F$137*Inputs!$F$132/1000*Time!Z$9,0)</f>
        <v/>
      </c>
      <c r="AA1002" s="20">
        <f>IF(Time!AA$4=YEAR(Inputs!$F$134),Inputs!$F$137*Inputs!$F$132/1000*Time!AA$9,0)</f>
        <v/>
      </c>
      <c r="AB1002" s="20">
        <f>IF(Time!AB$4=YEAR(Inputs!$F$134),Inputs!$F$137*Inputs!$F$132/1000*Time!AB$9,0)</f>
        <v/>
      </c>
      <c r="AC1002" s="20">
        <f>IF(Time!AC$4=YEAR(Inputs!$F$134),Inputs!$F$137*Inputs!$F$132/1000*Time!AC$9,0)</f>
        <v/>
      </c>
      <c r="AD1002" s="20">
        <f>IF(Time!AD$4=YEAR(Inputs!$F$134),Inputs!$F$137*Inputs!$F$132/1000*Time!AD$9,0)</f>
        <v/>
      </c>
      <c r="AE1002" s="20">
        <f>IF(Time!AE$4=YEAR(Inputs!$F$134),Inputs!$F$137*Inputs!$F$132/1000*Time!AE$9,0)</f>
        <v/>
      </c>
      <c r="AF1002" s="20">
        <f>IF(Time!AF$4=YEAR(Inputs!$F$134),Inputs!$F$137*Inputs!$F$132/1000*Time!AF$9,0)</f>
        <v/>
      </c>
      <c r="AG1002" s="20">
        <f>IF(Time!AG$4=YEAR(Inputs!$F$134),Inputs!$F$137*Inputs!$F$132/1000*Time!AG$9,0)</f>
        <v/>
      </c>
      <c r="AH1002" s="20">
        <f>IF(Time!AH$4=YEAR(Inputs!$F$134),Inputs!$F$137*Inputs!$F$132/1000*Time!AH$9,0)</f>
        <v/>
      </c>
      <c r="AI1002" s="20">
        <f>IF(Time!AI$4=YEAR(Inputs!$F$134),Inputs!$F$137*Inputs!$F$132/1000*Time!AI$9,0)</f>
        <v/>
      </c>
      <c r="AJ1002" s="20">
        <f>IF(Time!AJ$4=YEAR(Inputs!$F$134),Inputs!$F$137*Inputs!$F$132/1000*Time!AJ$9,0)</f>
        <v/>
      </c>
      <c r="AK1002" s="20">
        <f>IF(Time!AK$4=YEAR(Inputs!$F$134),Inputs!$F$137*Inputs!$F$132/1000*Time!AK$9,0)</f>
        <v/>
      </c>
      <c r="AL1002" s="20">
        <f>IF(Time!AL$4=YEAR(Inputs!$F$134),Inputs!$F$137*Inputs!$F$132/1000*Time!AL$9,0)</f>
        <v/>
      </c>
      <c r="AM1002" s="20">
        <f>IF(Time!AM$4=YEAR(Inputs!$F$134),Inputs!$F$137*Inputs!$F$132/1000*Time!AM$9,0)</f>
        <v/>
      </c>
      <c r="AN1002" s="20">
        <f>IF(Time!AN$4=YEAR(Inputs!$F$134),Inputs!$F$137*Inputs!$F$132/1000*Time!AN$9,0)</f>
        <v/>
      </c>
      <c r="AO1002" s="20">
        <f>IF(Time!AO$4=YEAR(Inputs!$F$134),Inputs!$F$137*Inputs!$F$132/1000*Time!AO$9,0)</f>
        <v/>
      </c>
      <c r="AP1002" s="20">
        <f>IF(Time!AP$4=YEAR(Inputs!$F$134),Inputs!$F$137*Inputs!$F$132/1000*Time!AP$9,0)</f>
        <v/>
      </c>
      <c r="AQ1002" s="20">
        <f>IF(Time!AQ$4=YEAR(Inputs!$F$134),Inputs!$F$137*Inputs!$F$132/1000*Time!AQ$9,0)</f>
        <v/>
      </c>
      <c r="AR1002" s="20">
        <f>IF(Time!AR$4=YEAR(Inputs!$F$134),Inputs!$F$137*Inputs!$F$132/1000*Time!AR$9,0)</f>
        <v/>
      </c>
      <c r="AS1002" s="20">
        <f>IF(Time!AS$4=YEAR(Inputs!$F$134),Inputs!$F$137*Inputs!$F$132/1000*Time!AS$9,0)</f>
        <v/>
      </c>
      <c r="AT1002" s="20">
        <f>IF(Time!AT$4=YEAR(Inputs!$F$134),Inputs!$F$137*Inputs!$F$132/1000*Time!AT$9,0)</f>
        <v/>
      </c>
      <c r="AU1002" s="20">
        <f>IF(Time!AU$4=YEAR(Inputs!$F$134),Inputs!$F$137*Inputs!$F$132/1000*Time!AU$9,0)</f>
        <v/>
      </c>
    </row>
    <row r="1003">
      <c r="D1003" t="inlineStr">
        <is>
          <t>R5 pre-tax cash flow, 100% of asset</t>
        </is>
      </c>
      <c r="E1003" t="inlineStr">
        <is>
          <t>USD m</t>
        </is>
      </c>
      <c r="G1003" s="20">
        <f>SUM(J1003:AU1003)</f>
        <v/>
      </c>
      <c r="J1003" s="20">
        <f>Operations!J1000-Operations!J1001-Operations!J1002</f>
        <v/>
      </c>
      <c r="K1003" s="20">
        <f>Operations!K1000-Operations!K1001-Operations!K1002</f>
        <v/>
      </c>
      <c r="L1003" s="20">
        <f>Operations!L1000-Operations!L1001-Operations!L1002</f>
        <v/>
      </c>
      <c r="M1003" s="20">
        <f>Operations!M1000-Operations!M1001-Operations!M1002</f>
        <v/>
      </c>
      <c r="N1003" s="20">
        <f>Operations!N1000-Operations!N1001-Operations!N1002</f>
        <v/>
      </c>
      <c r="O1003" s="20">
        <f>Operations!O1000-Operations!O1001-Operations!O1002</f>
        <v/>
      </c>
      <c r="P1003" s="20">
        <f>Operations!P1000-Operations!P1001-Operations!P1002</f>
        <v/>
      </c>
      <c r="Q1003" s="20">
        <f>Operations!Q1000-Operations!Q1001-Operations!Q1002</f>
        <v/>
      </c>
      <c r="R1003" s="20">
        <f>Operations!R1000-Operations!R1001-Operations!R1002</f>
        <v/>
      </c>
      <c r="S1003" s="20">
        <f>Operations!S1000-Operations!S1001-Operations!S1002</f>
        <v/>
      </c>
      <c r="T1003" s="20">
        <f>Operations!T1000-Operations!T1001-Operations!T1002</f>
        <v/>
      </c>
      <c r="U1003" s="20">
        <f>Operations!U1000-Operations!U1001-Operations!U1002</f>
        <v/>
      </c>
      <c r="V1003" s="20">
        <f>Operations!V1000-Operations!V1001-Operations!V1002</f>
        <v/>
      </c>
      <c r="W1003" s="20">
        <f>Operations!W1000-Operations!W1001-Operations!W1002</f>
        <v/>
      </c>
      <c r="X1003" s="20">
        <f>Operations!X1000-Operations!X1001-Operations!X1002</f>
        <v/>
      </c>
      <c r="Y1003" s="20">
        <f>Operations!Y1000-Operations!Y1001-Operations!Y1002</f>
        <v/>
      </c>
      <c r="Z1003" s="20">
        <f>Operations!Z1000-Operations!Z1001-Operations!Z1002</f>
        <v/>
      </c>
      <c r="AA1003" s="20">
        <f>Operations!AA1000-Operations!AA1001-Operations!AA1002</f>
        <v/>
      </c>
      <c r="AB1003" s="20">
        <f>Operations!AB1000-Operations!AB1001-Operations!AB1002</f>
        <v/>
      </c>
      <c r="AC1003" s="20">
        <f>Operations!AC1000-Operations!AC1001-Operations!AC1002</f>
        <v/>
      </c>
      <c r="AD1003" s="20">
        <f>Operations!AD1000-Operations!AD1001-Operations!AD1002</f>
        <v/>
      </c>
      <c r="AE1003" s="20">
        <f>Operations!AE1000-Operations!AE1001-Operations!AE1002</f>
        <v/>
      </c>
      <c r="AF1003" s="20">
        <f>Operations!AF1000-Operations!AF1001-Operations!AF1002</f>
        <v/>
      </c>
      <c r="AG1003" s="20">
        <f>Operations!AG1000-Operations!AG1001-Operations!AG1002</f>
        <v/>
      </c>
      <c r="AH1003" s="20">
        <f>Operations!AH1000-Operations!AH1001-Operations!AH1002</f>
        <v/>
      </c>
      <c r="AI1003" s="20">
        <f>Operations!AI1000-Operations!AI1001-Operations!AI1002</f>
        <v/>
      </c>
      <c r="AJ1003" s="20">
        <f>Operations!AJ1000-Operations!AJ1001-Operations!AJ1002</f>
        <v/>
      </c>
      <c r="AK1003" s="20">
        <f>Operations!AK1000-Operations!AK1001-Operations!AK1002</f>
        <v/>
      </c>
      <c r="AL1003" s="20">
        <f>Operations!AL1000-Operations!AL1001-Operations!AL1002</f>
        <v/>
      </c>
      <c r="AM1003" s="20">
        <f>Operations!AM1000-Operations!AM1001-Operations!AM1002</f>
        <v/>
      </c>
      <c r="AN1003" s="20">
        <f>Operations!AN1000-Operations!AN1001-Operations!AN1002</f>
        <v/>
      </c>
      <c r="AO1003" s="20">
        <f>Operations!AO1000-Operations!AO1001-Operations!AO1002</f>
        <v/>
      </c>
      <c r="AP1003" s="20">
        <f>Operations!AP1000-Operations!AP1001-Operations!AP1002</f>
        <v/>
      </c>
      <c r="AQ1003" s="20">
        <f>Operations!AQ1000-Operations!AQ1001-Operations!AQ1002</f>
        <v/>
      </c>
      <c r="AR1003" s="20">
        <f>Operations!AR1000-Operations!AR1001-Operations!AR1002</f>
        <v/>
      </c>
      <c r="AS1003" s="20">
        <f>Operations!AS1000-Operations!AS1001-Operations!AS1002</f>
        <v/>
      </c>
      <c r="AT1003" s="20">
        <f>Operations!AT1000-Operations!AT1001-Operations!AT1002</f>
        <v/>
      </c>
      <c r="AU1003" s="20">
        <f>Operations!AU1000-Operations!AU1001-Operations!AU1002</f>
        <v/>
      </c>
    </row>
    <row r="1004">
      <c r="D1004" t="inlineStr">
        <is>
          <t>R5 fraction of year before flip</t>
        </is>
      </c>
      <c r="E1004" t="inlineStr">
        <is>
          <t>fraction</t>
        </is>
      </c>
      <c r="J1004" s="14">
        <f>MAX(0,MIN(Inputs!$F$228,Time!J$6)-Time!J$5)/Time!J$7</f>
        <v/>
      </c>
      <c r="K1004" s="14">
        <f>MAX(0,MIN(Inputs!$F$228,Time!K$6)-Time!K$5)/Time!K$7</f>
        <v/>
      </c>
      <c r="L1004" s="14">
        <f>MAX(0,MIN(Inputs!$F$228,Time!L$6)-Time!L$5)/Time!L$7</f>
        <v/>
      </c>
      <c r="M1004" s="14">
        <f>MAX(0,MIN(Inputs!$F$228,Time!M$6)-Time!M$5)/Time!M$7</f>
        <v/>
      </c>
      <c r="N1004" s="14">
        <f>MAX(0,MIN(Inputs!$F$228,Time!N$6)-Time!N$5)/Time!N$7</f>
        <v/>
      </c>
      <c r="O1004" s="14">
        <f>MAX(0,MIN(Inputs!$F$228,Time!O$6)-Time!O$5)/Time!O$7</f>
        <v/>
      </c>
      <c r="P1004" s="14">
        <f>MAX(0,MIN(Inputs!$F$228,Time!P$6)-Time!P$5)/Time!P$7</f>
        <v/>
      </c>
      <c r="Q1004" s="14">
        <f>MAX(0,MIN(Inputs!$F$228,Time!Q$6)-Time!Q$5)/Time!Q$7</f>
        <v/>
      </c>
      <c r="R1004" s="14">
        <f>MAX(0,MIN(Inputs!$F$228,Time!R$6)-Time!R$5)/Time!R$7</f>
        <v/>
      </c>
      <c r="S1004" s="14">
        <f>MAX(0,MIN(Inputs!$F$228,Time!S$6)-Time!S$5)/Time!S$7</f>
        <v/>
      </c>
      <c r="T1004" s="14">
        <f>MAX(0,MIN(Inputs!$F$228,Time!T$6)-Time!T$5)/Time!T$7</f>
        <v/>
      </c>
      <c r="U1004" s="14">
        <f>MAX(0,MIN(Inputs!$F$228,Time!U$6)-Time!U$5)/Time!U$7</f>
        <v/>
      </c>
      <c r="V1004" s="14">
        <f>MAX(0,MIN(Inputs!$F$228,Time!V$6)-Time!V$5)/Time!V$7</f>
        <v/>
      </c>
      <c r="W1004" s="14">
        <f>MAX(0,MIN(Inputs!$F$228,Time!W$6)-Time!W$5)/Time!W$7</f>
        <v/>
      </c>
      <c r="X1004" s="14">
        <f>MAX(0,MIN(Inputs!$F$228,Time!X$6)-Time!X$5)/Time!X$7</f>
        <v/>
      </c>
      <c r="Y1004" s="14">
        <f>MAX(0,MIN(Inputs!$F$228,Time!Y$6)-Time!Y$5)/Time!Y$7</f>
        <v/>
      </c>
      <c r="Z1004" s="14">
        <f>MAX(0,MIN(Inputs!$F$228,Time!Z$6)-Time!Z$5)/Time!Z$7</f>
        <v/>
      </c>
      <c r="AA1004" s="14">
        <f>MAX(0,MIN(Inputs!$F$228,Time!AA$6)-Time!AA$5)/Time!AA$7</f>
        <v/>
      </c>
      <c r="AB1004" s="14">
        <f>MAX(0,MIN(Inputs!$F$228,Time!AB$6)-Time!AB$5)/Time!AB$7</f>
        <v/>
      </c>
      <c r="AC1004" s="14">
        <f>MAX(0,MIN(Inputs!$F$228,Time!AC$6)-Time!AC$5)/Time!AC$7</f>
        <v/>
      </c>
      <c r="AD1004" s="14">
        <f>MAX(0,MIN(Inputs!$F$228,Time!AD$6)-Time!AD$5)/Time!AD$7</f>
        <v/>
      </c>
      <c r="AE1004" s="14">
        <f>MAX(0,MIN(Inputs!$F$228,Time!AE$6)-Time!AE$5)/Time!AE$7</f>
        <v/>
      </c>
      <c r="AF1004" s="14">
        <f>MAX(0,MIN(Inputs!$F$228,Time!AF$6)-Time!AF$5)/Time!AF$7</f>
        <v/>
      </c>
      <c r="AG1004" s="14">
        <f>MAX(0,MIN(Inputs!$F$228,Time!AG$6)-Time!AG$5)/Time!AG$7</f>
        <v/>
      </c>
      <c r="AH1004" s="14">
        <f>MAX(0,MIN(Inputs!$F$228,Time!AH$6)-Time!AH$5)/Time!AH$7</f>
        <v/>
      </c>
      <c r="AI1004" s="14">
        <f>MAX(0,MIN(Inputs!$F$228,Time!AI$6)-Time!AI$5)/Time!AI$7</f>
        <v/>
      </c>
      <c r="AJ1004" s="14">
        <f>MAX(0,MIN(Inputs!$F$228,Time!AJ$6)-Time!AJ$5)/Time!AJ$7</f>
        <v/>
      </c>
      <c r="AK1004" s="14">
        <f>MAX(0,MIN(Inputs!$F$228,Time!AK$6)-Time!AK$5)/Time!AK$7</f>
        <v/>
      </c>
      <c r="AL1004" s="14">
        <f>MAX(0,MIN(Inputs!$F$228,Time!AL$6)-Time!AL$5)/Time!AL$7</f>
        <v/>
      </c>
      <c r="AM1004" s="14">
        <f>MAX(0,MIN(Inputs!$F$228,Time!AM$6)-Time!AM$5)/Time!AM$7</f>
        <v/>
      </c>
      <c r="AN1004" s="14">
        <f>MAX(0,MIN(Inputs!$F$228,Time!AN$6)-Time!AN$5)/Time!AN$7</f>
        <v/>
      </c>
      <c r="AO1004" s="14">
        <f>MAX(0,MIN(Inputs!$F$228,Time!AO$6)-Time!AO$5)/Time!AO$7</f>
        <v/>
      </c>
      <c r="AP1004" s="14">
        <f>MAX(0,MIN(Inputs!$F$228,Time!AP$6)-Time!AP$5)/Time!AP$7</f>
        <v/>
      </c>
      <c r="AQ1004" s="14">
        <f>MAX(0,MIN(Inputs!$F$228,Time!AQ$6)-Time!AQ$5)/Time!AQ$7</f>
        <v/>
      </c>
      <c r="AR1004" s="14">
        <f>MAX(0,MIN(Inputs!$F$228,Time!AR$6)-Time!AR$5)/Time!AR$7</f>
        <v/>
      </c>
      <c r="AS1004" s="14">
        <f>MAX(0,MIN(Inputs!$F$228,Time!AS$6)-Time!AS$5)/Time!AS$7</f>
        <v/>
      </c>
      <c r="AT1004" s="14">
        <f>MAX(0,MIN(Inputs!$F$228,Time!AT$6)-Time!AT$5)/Time!AT$7</f>
        <v/>
      </c>
      <c r="AU1004" s="14">
        <f>MAX(0,MIN(Inputs!$F$228,Time!AU$6)-Time!AU$5)/Time!AU$7</f>
        <v/>
      </c>
    </row>
    <row r="1005">
      <c r="D1005" t="inlineStr">
        <is>
          <t>R5 tax equity cash share</t>
        </is>
      </c>
      <c r="E1005" t="inlineStr">
        <is>
          <t>fraction</t>
        </is>
      </c>
      <c r="J1005" s="14">
        <f>Inputs!$F$225/100*Operations!J1004+Inputs!$F$227/100*(1-Operations!J1004)</f>
        <v/>
      </c>
      <c r="K1005" s="14">
        <f>Inputs!$F$225/100*Operations!K1004+Inputs!$F$227/100*(1-Operations!K1004)</f>
        <v/>
      </c>
      <c r="L1005" s="14">
        <f>Inputs!$F$225/100*Operations!L1004+Inputs!$F$227/100*(1-Operations!L1004)</f>
        <v/>
      </c>
      <c r="M1005" s="14">
        <f>Inputs!$F$225/100*Operations!M1004+Inputs!$F$227/100*(1-Operations!M1004)</f>
        <v/>
      </c>
      <c r="N1005" s="14">
        <f>Inputs!$F$225/100*Operations!N1004+Inputs!$F$227/100*(1-Operations!N1004)</f>
        <v/>
      </c>
      <c r="O1005" s="14">
        <f>Inputs!$F$225/100*Operations!O1004+Inputs!$F$227/100*(1-Operations!O1004)</f>
        <v/>
      </c>
      <c r="P1005" s="14">
        <f>Inputs!$F$225/100*Operations!P1004+Inputs!$F$227/100*(1-Operations!P1004)</f>
        <v/>
      </c>
      <c r="Q1005" s="14">
        <f>Inputs!$F$225/100*Operations!Q1004+Inputs!$F$227/100*(1-Operations!Q1004)</f>
        <v/>
      </c>
      <c r="R1005" s="14">
        <f>Inputs!$F$225/100*Operations!R1004+Inputs!$F$227/100*(1-Operations!R1004)</f>
        <v/>
      </c>
      <c r="S1005" s="14">
        <f>Inputs!$F$225/100*Operations!S1004+Inputs!$F$227/100*(1-Operations!S1004)</f>
        <v/>
      </c>
      <c r="T1005" s="14">
        <f>Inputs!$F$225/100*Operations!T1004+Inputs!$F$227/100*(1-Operations!T1004)</f>
        <v/>
      </c>
      <c r="U1005" s="14">
        <f>Inputs!$F$225/100*Operations!U1004+Inputs!$F$227/100*(1-Operations!U1004)</f>
        <v/>
      </c>
      <c r="V1005" s="14">
        <f>Inputs!$F$225/100*Operations!V1004+Inputs!$F$227/100*(1-Operations!V1004)</f>
        <v/>
      </c>
      <c r="W1005" s="14">
        <f>Inputs!$F$225/100*Operations!W1004+Inputs!$F$227/100*(1-Operations!W1004)</f>
        <v/>
      </c>
      <c r="X1005" s="14">
        <f>Inputs!$F$225/100*Operations!X1004+Inputs!$F$227/100*(1-Operations!X1004)</f>
        <v/>
      </c>
      <c r="Y1005" s="14">
        <f>Inputs!$F$225/100*Operations!Y1004+Inputs!$F$227/100*(1-Operations!Y1004)</f>
        <v/>
      </c>
      <c r="Z1005" s="14">
        <f>Inputs!$F$225/100*Operations!Z1004+Inputs!$F$227/100*(1-Operations!Z1004)</f>
        <v/>
      </c>
      <c r="AA1005" s="14">
        <f>Inputs!$F$225/100*Operations!AA1004+Inputs!$F$227/100*(1-Operations!AA1004)</f>
        <v/>
      </c>
      <c r="AB1005" s="14">
        <f>Inputs!$F$225/100*Operations!AB1004+Inputs!$F$227/100*(1-Operations!AB1004)</f>
        <v/>
      </c>
      <c r="AC1005" s="14">
        <f>Inputs!$F$225/100*Operations!AC1004+Inputs!$F$227/100*(1-Operations!AC1004)</f>
        <v/>
      </c>
      <c r="AD1005" s="14">
        <f>Inputs!$F$225/100*Operations!AD1004+Inputs!$F$227/100*(1-Operations!AD1004)</f>
        <v/>
      </c>
      <c r="AE1005" s="14">
        <f>Inputs!$F$225/100*Operations!AE1004+Inputs!$F$227/100*(1-Operations!AE1004)</f>
        <v/>
      </c>
      <c r="AF1005" s="14">
        <f>Inputs!$F$225/100*Operations!AF1004+Inputs!$F$227/100*(1-Operations!AF1004)</f>
        <v/>
      </c>
      <c r="AG1005" s="14">
        <f>Inputs!$F$225/100*Operations!AG1004+Inputs!$F$227/100*(1-Operations!AG1004)</f>
        <v/>
      </c>
      <c r="AH1005" s="14">
        <f>Inputs!$F$225/100*Operations!AH1004+Inputs!$F$227/100*(1-Operations!AH1004)</f>
        <v/>
      </c>
      <c r="AI1005" s="14">
        <f>Inputs!$F$225/100*Operations!AI1004+Inputs!$F$227/100*(1-Operations!AI1004)</f>
        <v/>
      </c>
      <c r="AJ1005" s="14">
        <f>Inputs!$F$225/100*Operations!AJ1004+Inputs!$F$227/100*(1-Operations!AJ1004)</f>
        <v/>
      </c>
      <c r="AK1005" s="14">
        <f>Inputs!$F$225/100*Operations!AK1004+Inputs!$F$227/100*(1-Operations!AK1004)</f>
        <v/>
      </c>
      <c r="AL1005" s="14">
        <f>Inputs!$F$225/100*Operations!AL1004+Inputs!$F$227/100*(1-Operations!AL1004)</f>
        <v/>
      </c>
      <c r="AM1005" s="14">
        <f>Inputs!$F$225/100*Operations!AM1004+Inputs!$F$227/100*(1-Operations!AM1004)</f>
        <v/>
      </c>
      <c r="AN1005" s="14">
        <f>Inputs!$F$225/100*Operations!AN1004+Inputs!$F$227/100*(1-Operations!AN1004)</f>
        <v/>
      </c>
      <c r="AO1005" s="14">
        <f>Inputs!$F$225/100*Operations!AO1004+Inputs!$F$227/100*(1-Operations!AO1004)</f>
        <v/>
      </c>
      <c r="AP1005" s="14">
        <f>Inputs!$F$225/100*Operations!AP1004+Inputs!$F$227/100*(1-Operations!AP1004)</f>
        <v/>
      </c>
      <c r="AQ1005" s="14">
        <f>Inputs!$F$225/100*Operations!AQ1004+Inputs!$F$227/100*(1-Operations!AQ1004)</f>
        <v/>
      </c>
      <c r="AR1005" s="14">
        <f>Inputs!$F$225/100*Operations!AR1004+Inputs!$F$227/100*(1-Operations!AR1004)</f>
        <v/>
      </c>
      <c r="AS1005" s="14">
        <f>Inputs!$F$225/100*Operations!AS1004+Inputs!$F$227/100*(1-Operations!AS1004)</f>
        <v/>
      </c>
      <c r="AT1005" s="14">
        <f>Inputs!$F$225/100*Operations!AT1004+Inputs!$F$227/100*(1-Operations!AT1004)</f>
        <v/>
      </c>
      <c r="AU1005" s="14">
        <f>Inputs!$F$225/100*Operations!AU1004+Inputs!$F$227/100*(1-Operations!AU1004)</f>
        <v/>
      </c>
    </row>
    <row r="1006">
      <c r="D1006" t="inlineStr">
        <is>
          <t>R5 Mesa share of taxable income</t>
        </is>
      </c>
      <c r="E1006" t="inlineStr">
        <is>
          <t>fraction</t>
        </is>
      </c>
      <c r="J1006" s="14">
        <f>(1-Inputs!$F$226/100)*Operations!J1004+(1-Inputs!$F$227/100)*(1-Operations!J1004)</f>
        <v/>
      </c>
      <c r="K1006" s="14">
        <f>(1-Inputs!$F$226/100)*Operations!K1004+(1-Inputs!$F$227/100)*(1-Operations!K1004)</f>
        <v/>
      </c>
      <c r="L1006" s="14">
        <f>(1-Inputs!$F$226/100)*Operations!L1004+(1-Inputs!$F$227/100)*(1-Operations!L1004)</f>
        <v/>
      </c>
      <c r="M1006" s="14">
        <f>(1-Inputs!$F$226/100)*Operations!M1004+(1-Inputs!$F$227/100)*(1-Operations!M1004)</f>
        <v/>
      </c>
      <c r="N1006" s="14">
        <f>(1-Inputs!$F$226/100)*Operations!N1004+(1-Inputs!$F$227/100)*(1-Operations!N1004)</f>
        <v/>
      </c>
      <c r="O1006" s="14">
        <f>(1-Inputs!$F$226/100)*Operations!O1004+(1-Inputs!$F$227/100)*(1-Operations!O1004)</f>
        <v/>
      </c>
      <c r="P1006" s="14">
        <f>(1-Inputs!$F$226/100)*Operations!P1004+(1-Inputs!$F$227/100)*(1-Operations!P1004)</f>
        <v/>
      </c>
      <c r="Q1006" s="14">
        <f>(1-Inputs!$F$226/100)*Operations!Q1004+(1-Inputs!$F$227/100)*(1-Operations!Q1004)</f>
        <v/>
      </c>
      <c r="R1006" s="14">
        <f>(1-Inputs!$F$226/100)*Operations!R1004+(1-Inputs!$F$227/100)*(1-Operations!R1004)</f>
        <v/>
      </c>
      <c r="S1006" s="14">
        <f>(1-Inputs!$F$226/100)*Operations!S1004+(1-Inputs!$F$227/100)*(1-Operations!S1004)</f>
        <v/>
      </c>
      <c r="T1006" s="14">
        <f>(1-Inputs!$F$226/100)*Operations!T1004+(1-Inputs!$F$227/100)*(1-Operations!T1004)</f>
        <v/>
      </c>
      <c r="U1006" s="14">
        <f>(1-Inputs!$F$226/100)*Operations!U1004+(1-Inputs!$F$227/100)*(1-Operations!U1004)</f>
        <v/>
      </c>
      <c r="V1006" s="14">
        <f>(1-Inputs!$F$226/100)*Operations!V1004+(1-Inputs!$F$227/100)*(1-Operations!V1004)</f>
        <v/>
      </c>
      <c r="W1006" s="14">
        <f>(1-Inputs!$F$226/100)*Operations!W1004+(1-Inputs!$F$227/100)*(1-Operations!W1004)</f>
        <v/>
      </c>
      <c r="X1006" s="14">
        <f>(1-Inputs!$F$226/100)*Operations!X1004+(1-Inputs!$F$227/100)*(1-Operations!X1004)</f>
        <v/>
      </c>
      <c r="Y1006" s="14">
        <f>(1-Inputs!$F$226/100)*Operations!Y1004+(1-Inputs!$F$227/100)*(1-Operations!Y1004)</f>
        <v/>
      </c>
      <c r="Z1006" s="14">
        <f>(1-Inputs!$F$226/100)*Operations!Z1004+(1-Inputs!$F$227/100)*(1-Operations!Z1004)</f>
        <v/>
      </c>
      <c r="AA1006" s="14">
        <f>(1-Inputs!$F$226/100)*Operations!AA1004+(1-Inputs!$F$227/100)*(1-Operations!AA1004)</f>
        <v/>
      </c>
      <c r="AB1006" s="14">
        <f>(1-Inputs!$F$226/100)*Operations!AB1004+(1-Inputs!$F$227/100)*(1-Operations!AB1004)</f>
        <v/>
      </c>
      <c r="AC1006" s="14">
        <f>(1-Inputs!$F$226/100)*Operations!AC1004+(1-Inputs!$F$227/100)*(1-Operations!AC1004)</f>
        <v/>
      </c>
      <c r="AD1006" s="14">
        <f>(1-Inputs!$F$226/100)*Operations!AD1004+(1-Inputs!$F$227/100)*(1-Operations!AD1004)</f>
        <v/>
      </c>
      <c r="AE1006" s="14">
        <f>(1-Inputs!$F$226/100)*Operations!AE1004+(1-Inputs!$F$227/100)*(1-Operations!AE1004)</f>
        <v/>
      </c>
      <c r="AF1006" s="14">
        <f>(1-Inputs!$F$226/100)*Operations!AF1004+(1-Inputs!$F$227/100)*(1-Operations!AF1004)</f>
        <v/>
      </c>
      <c r="AG1006" s="14">
        <f>(1-Inputs!$F$226/100)*Operations!AG1004+(1-Inputs!$F$227/100)*(1-Operations!AG1004)</f>
        <v/>
      </c>
      <c r="AH1006" s="14">
        <f>(1-Inputs!$F$226/100)*Operations!AH1004+(1-Inputs!$F$227/100)*(1-Operations!AH1004)</f>
        <v/>
      </c>
      <c r="AI1006" s="14">
        <f>(1-Inputs!$F$226/100)*Operations!AI1004+(1-Inputs!$F$227/100)*(1-Operations!AI1004)</f>
        <v/>
      </c>
      <c r="AJ1006" s="14">
        <f>(1-Inputs!$F$226/100)*Operations!AJ1004+(1-Inputs!$F$227/100)*(1-Operations!AJ1004)</f>
        <v/>
      </c>
      <c r="AK1006" s="14">
        <f>(1-Inputs!$F$226/100)*Operations!AK1004+(1-Inputs!$F$227/100)*(1-Operations!AK1004)</f>
        <v/>
      </c>
      <c r="AL1006" s="14">
        <f>(1-Inputs!$F$226/100)*Operations!AL1004+(1-Inputs!$F$227/100)*(1-Operations!AL1004)</f>
        <v/>
      </c>
      <c r="AM1006" s="14">
        <f>(1-Inputs!$F$226/100)*Operations!AM1004+(1-Inputs!$F$227/100)*(1-Operations!AM1004)</f>
        <v/>
      </c>
      <c r="AN1006" s="14">
        <f>(1-Inputs!$F$226/100)*Operations!AN1004+(1-Inputs!$F$227/100)*(1-Operations!AN1004)</f>
        <v/>
      </c>
      <c r="AO1006" s="14">
        <f>(1-Inputs!$F$226/100)*Operations!AO1004+(1-Inputs!$F$227/100)*(1-Operations!AO1004)</f>
        <v/>
      </c>
      <c r="AP1006" s="14">
        <f>(1-Inputs!$F$226/100)*Operations!AP1004+(1-Inputs!$F$227/100)*(1-Operations!AP1004)</f>
        <v/>
      </c>
      <c r="AQ1006" s="14">
        <f>(1-Inputs!$F$226/100)*Operations!AQ1004+(1-Inputs!$F$227/100)*(1-Operations!AQ1004)</f>
        <v/>
      </c>
      <c r="AR1006" s="14">
        <f>(1-Inputs!$F$226/100)*Operations!AR1004+(1-Inputs!$F$227/100)*(1-Operations!AR1004)</f>
        <v/>
      </c>
      <c r="AS1006" s="14">
        <f>(1-Inputs!$F$226/100)*Operations!AS1004+(1-Inputs!$F$227/100)*(1-Operations!AS1004)</f>
        <v/>
      </c>
      <c r="AT1006" s="14">
        <f>(1-Inputs!$F$226/100)*Operations!AT1004+(1-Inputs!$F$227/100)*(1-Operations!AT1004)</f>
        <v/>
      </c>
      <c r="AU1006" s="14">
        <f>(1-Inputs!$F$226/100)*Operations!AU1004+(1-Inputs!$F$227/100)*(1-Operations!AU1004)</f>
        <v/>
      </c>
    </row>
    <row r="1007">
      <c r="D1007" t="inlineStr">
        <is>
          <t>R5 Mesa share of cash flow</t>
        </is>
      </c>
      <c r="E1007" t="inlineStr">
        <is>
          <t>USD m</t>
        </is>
      </c>
      <c r="G1007" s="20">
        <f>SUM(J1007:AU1007)</f>
        <v/>
      </c>
      <c r="J1007" s="20">
        <f>Operations!J1003*(1-Operations!J1005)*Operations!J977</f>
        <v/>
      </c>
      <c r="K1007" s="20">
        <f>Operations!K1003*(1-Operations!K1005)*Operations!K977</f>
        <v/>
      </c>
      <c r="L1007" s="20">
        <f>Operations!L1003*(1-Operations!L1005)*Operations!L977</f>
        <v/>
      </c>
      <c r="M1007" s="20">
        <f>Operations!M1003*(1-Operations!M1005)*Operations!M977</f>
        <v/>
      </c>
      <c r="N1007" s="20">
        <f>Operations!N1003*(1-Operations!N1005)*Operations!N977</f>
        <v/>
      </c>
      <c r="O1007" s="20">
        <f>Operations!O1003*(1-Operations!O1005)*Operations!O977</f>
        <v/>
      </c>
      <c r="P1007" s="20">
        <f>Operations!P1003*(1-Operations!P1005)*Operations!P977</f>
        <v/>
      </c>
      <c r="Q1007" s="20">
        <f>Operations!Q1003*(1-Operations!Q1005)*Operations!Q977</f>
        <v/>
      </c>
      <c r="R1007" s="20">
        <f>Operations!R1003*(1-Operations!R1005)*Operations!R977</f>
        <v/>
      </c>
      <c r="S1007" s="20">
        <f>Operations!S1003*(1-Operations!S1005)*Operations!S977</f>
        <v/>
      </c>
      <c r="T1007" s="20">
        <f>Operations!T1003*(1-Operations!T1005)*Operations!T977</f>
        <v/>
      </c>
      <c r="U1007" s="20">
        <f>Operations!U1003*(1-Operations!U1005)*Operations!U977</f>
        <v/>
      </c>
      <c r="V1007" s="20">
        <f>Operations!V1003*(1-Operations!V1005)*Operations!V977</f>
        <v/>
      </c>
      <c r="W1007" s="20">
        <f>Operations!W1003*(1-Operations!W1005)*Operations!W977</f>
        <v/>
      </c>
      <c r="X1007" s="20">
        <f>Operations!X1003*(1-Operations!X1005)*Operations!X977</f>
        <v/>
      </c>
      <c r="Y1007" s="20">
        <f>Operations!Y1003*(1-Operations!Y1005)*Operations!Y977</f>
        <v/>
      </c>
      <c r="Z1007" s="20">
        <f>Operations!Z1003*(1-Operations!Z1005)*Operations!Z977</f>
        <v/>
      </c>
      <c r="AA1007" s="20">
        <f>Operations!AA1003*(1-Operations!AA1005)*Operations!AA977</f>
        <v/>
      </c>
      <c r="AB1007" s="20">
        <f>Operations!AB1003*(1-Operations!AB1005)*Operations!AB977</f>
        <v/>
      </c>
      <c r="AC1007" s="20">
        <f>Operations!AC1003*(1-Operations!AC1005)*Operations!AC977</f>
        <v/>
      </c>
      <c r="AD1007" s="20">
        <f>Operations!AD1003*(1-Operations!AD1005)*Operations!AD977</f>
        <v/>
      </c>
      <c r="AE1007" s="20">
        <f>Operations!AE1003*(1-Operations!AE1005)*Operations!AE977</f>
        <v/>
      </c>
      <c r="AF1007" s="20">
        <f>Operations!AF1003*(1-Operations!AF1005)*Operations!AF977</f>
        <v/>
      </c>
      <c r="AG1007" s="20">
        <f>Operations!AG1003*(1-Operations!AG1005)*Operations!AG977</f>
        <v/>
      </c>
      <c r="AH1007" s="20">
        <f>Operations!AH1003*(1-Operations!AH1005)*Operations!AH977</f>
        <v/>
      </c>
      <c r="AI1007" s="20">
        <f>Operations!AI1003*(1-Operations!AI1005)*Operations!AI977</f>
        <v/>
      </c>
      <c r="AJ1007" s="20">
        <f>Operations!AJ1003*(1-Operations!AJ1005)*Operations!AJ977</f>
        <v/>
      </c>
      <c r="AK1007" s="20">
        <f>Operations!AK1003*(1-Operations!AK1005)*Operations!AK977</f>
        <v/>
      </c>
      <c r="AL1007" s="20">
        <f>Operations!AL1003*(1-Operations!AL1005)*Operations!AL977</f>
        <v/>
      </c>
      <c r="AM1007" s="20">
        <f>Operations!AM1003*(1-Operations!AM1005)*Operations!AM977</f>
        <v/>
      </c>
      <c r="AN1007" s="20">
        <f>Operations!AN1003*(1-Operations!AN1005)*Operations!AN977</f>
        <v/>
      </c>
      <c r="AO1007" s="20">
        <f>Operations!AO1003*(1-Operations!AO1005)*Operations!AO977</f>
        <v/>
      </c>
      <c r="AP1007" s="20">
        <f>Operations!AP1003*(1-Operations!AP1005)*Operations!AP977</f>
        <v/>
      </c>
      <c r="AQ1007" s="20">
        <f>Operations!AQ1003*(1-Operations!AQ1005)*Operations!AQ977</f>
        <v/>
      </c>
      <c r="AR1007" s="20">
        <f>Operations!AR1003*(1-Operations!AR1005)*Operations!AR977</f>
        <v/>
      </c>
      <c r="AS1007" s="20">
        <f>Operations!AS1003*(1-Operations!AS1005)*Operations!AS977</f>
        <v/>
      </c>
      <c r="AT1007" s="20">
        <f>Operations!AT1003*(1-Operations!AT1005)*Operations!AT977</f>
        <v/>
      </c>
      <c r="AU1007" s="20">
        <f>Operations!AU1003*(1-Operations!AU1005)*Operations!AU977</f>
        <v/>
      </c>
    </row>
    <row r="1008">
      <c r="D1008" t="inlineStr">
        <is>
          <t>R5 Mesa taxable operating income</t>
        </is>
      </c>
      <c r="E1008" t="inlineStr">
        <is>
          <t>USD m</t>
        </is>
      </c>
      <c r="J1008" s="20">
        <f>Operations!J1003*Operations!J1006*Operations!J977</f>
        <v/>
      </c>
      <c r="K1008" s="20">
        <f>Operations!K1003*Operations!K1006*Operations!K977</f>
        <v/>
      </c>
      <c r="L1008" s="20">
        <f>Operations!L1003*Operations!L1006*Operations!L977</f>
        <v/>
      </c>
      <c r="M1008" s="20">
        <f>Operations!M1003*Operations!M1006*Operations!M977</f>
        <v/>
      </c>
      <c r="N1008" s="20">
        <f>Operations!N1003*Operations!N1006*Operations!N977</f>
        <v/>
      </c>
      <c r="O1008" s="20">
        <f>Operations!O1003*Operations!O1006*Operations!O977</f>
        <v/>
      </c>
      <c r="P1008" s="20">
        <f>Operations!P1003*Operations!P1006*Operations!P977</f>
        <v/>
      </c>
      <c r="Q1008" s="20">
        <f>Operations!Q1003*Operations!Q1006*Operations!Q977</f>
        <v/>
      </c>
      <c r="R1008" s="20">
        <f>Operations!R1003*Operations!R1006*Operations!R977</f>
        <v/>
      </c>
      <c r="S1008" s="20">
        <f>Operations!S1003*Operations!S1006*Operations!S977</f>
        <v/>
      </c>
      <c r="T1008" s="20">
        <f>Operations!T1003*Operations!T1006*Operations!T977</f>
        <v/>
      </c>
      <c r="U1008" s="20">
        <f>Operations!U1003*Operations!U1006*Operations!U977</f>
        <v/>
      </c>
      <c r="V1008" s="20">
        <f>Operations!V1003*Operations!V1006*Operations!V977</f>
        <v/>
      </c>
      <c r="W1008" s="20">
        <f>Operations!W1003*Operations!W1006*Operations!W977</f>
        <v/>
      </c>
      <c r="X1008" s="20">
        <f>Operations!X1003*Operations!X1006*Operations!X977</f>
        <v/>
      </c>
      <c r="Y1008" s="20">
        <f>Operations!Y1003*Operations!Y1006*Operations!Y977</f>
        <v/>
      </c>
      <c r="Z1008" s="20">
        <f>Operations!Z1003*Operations!Z1006*Operations!Z977</f>
        <v/>
      </c>
      <c r="AA1008" s="20">
        <f>Operations!AA1003*Operations!AA1006*Operations!AA977</f>
        <v/>
      </c>
      <c r="AB1008" s="20">
        <f>Operations!AB1003*Operations!AB1006*Operations!AB977</f>
        <v/>
      </c>
      <c r="AC1008" s="20">
        <f>Operations!AC1003*Operations!AC1006*Operations!AC977</f>
        <v/>
      </c>
      <c r="AD1008" s="20">
        <f>Operations!AD1003*Operations!AD1006*Operations!AD977</f>
        <v/>
      </c>
      <c r="AE1008" s="20">
        <f>Operations!AE1003*Operations!AE1006*Operations!AE977</f>
        <v/>
      </c>
      <c r="AF1008" s="20">
        <f>Operations!AF1003*Operations!AF1006*Operations!AF977</f>
        <v/>
      </c>
      <c r="AG1008" s="20">
        <f>Operations!AG1003*Operations!AG1006*Operations!AG977</f>
        <v/>
      </c>
      <c r="AH1008" s="20">
        <f>Operations!AH1003*Operations!AH1006*Operations!AH977</f>
        <v/>
      </c>
      <c r="AI1008" s="20">
        <f>Operations!AI1003*Operations!AI1006*Operations!AI977</f>
        <v/>
      </c>
      <c r="AJ1008" s="20">
        <f>Operations!AJ1003*Operations!AJ1006*Operations!AJ977</f>
        <v/>
      </c>
      <c r="AK1008" s="20">
        <f>Operations!AK1003*Operations!AK1006*Operations!AK977</f>
        <v/>
      </c>
      <c r="AL1008" s="20">
        <f>Operations!AL1003*Operations!AL1006*Operations!AL977</f>
        <v/>
      </c>
      <c r="AM1008" s="20">
        <f>Operations!AM1003*Operations!AM1006*Operations!AM977</f>
        <v/>
      </c>
      <c r="AN1008" s="20">
        <f>Operations!AN1003*Operations!AN1006*Operations!AN977</f>
        <v/>
      </c>
      <c r="AO1008" s="20">
        <f>Operations!AO1003*Operations!AO1006*Operations!AO977</f>
        <v/>
      </c>
      <c r="AP1008" s="20">
        <f>Operations!AP1003*Operations!AP1006*Operations!AP977</f>
        <v/>
      </c>
      <c r="AQ1008" s="20">
        <f>Operations!AQ1003*Operations!AQ1006*Operations!AQ977</f>
        <v/>
      </c>
      <c r="AR1008" s="20">
        <f>Operations!AR1003*Operations!AR1006*Operations!AR977</f>
        <v/>
      </c>
      <c r="AS1008" s="20">
        <f>Operations!AS1003*Operations!AS1006*Operations!AS977</f>
        <v/>
      </c>
      <c r="AT1008" s="20">
        <f>Operations!AT1003*Operations!AT1006*Operations!AT977</f>
        <v/>
      </c>
      <c r="AU1008" s="20">
        <f>Operations!AU1003*Operations!AU1006*Operations!AU977</f>
        <v/>
      </c>
    </row>
    <row r="1009">
      <c r="D1009" t="inlineStr">
        <is>
          <t>R5 Mesa unlevered post-tax cash flow (before price shield)</t>
        </is>
      </c>
      <c r="E1009" t="inlineStr">
        <is>
          <t>USD m</t>
        </is>
      </c>
      <c r="J1009" s="20">
        <f>Operations!J1007-Inputs!$F$241/100*Operations!J1008</f>
        <v/>
      </c>
      <c r="K1009" s="20">
        <f>Operations!K1007-Inputs!$F$241/100*Operations!K1008</f>
        <v/>
      </c>
      <c r="L1009" s="20">
        <f>Operations!L1007-Inputs!$F$241/100*Operations!L1008</f>
        <v/>
      </c>
      <c r="M1009" s="20">
        <f>Operations!M1007-Inputs!$F$241/100*Operations!M1008</f>
        <v/>
      </c>
      <c r="N1009" s="20">
        <f>Operations!N1007-Inputs!$F$241/100*Operations!N1008</f>
        <v/>
      </c>
      <c r="O1009" s="20">
        <f>Operations!O1007-Inputs!$F$241/100*Operations!O1008</f>
        <v/>
      </c>
      <c r="P1009" s="20">
        <f>Operations!P1007-Inputs!$F$241/100*Operations!P1008</f>
        <v/>
      </c>
      <c r="Q1009" s="20">
        <f>Operations!Q1007-Inputs!$F$241/100*Operations!Q1008</f>
        <v/>
      </c>
      <c r="R1009" s="20">
        <f>Operations!R1007-Inputs!$F$241/100*Operations!R1008</f>
        <v/>
      </c>
      <c r="S1009" s="20">
        <f>Operations!S1007-Inputs!$F$241/100*Operations!S1008</f>
        <v/>
      </c>
      <c r="T1009" s="20">
        <f>Operations!T1007-Inputs!$F$241/100*Operations!T1008</f>
        <v/>
      </c>
      <c r="U1009" s="20">
        <f>Operations!U1007-Inputs!$F$241/100*Operations!U1008</f>
        <v/>
      </c>
      <c r="V1009" s="20">
        <f>Operations!V1007-Inputs!$F$241/100*Operations!V1008</f>
        <v/>
      </c>
      <c r="W1009" s="20">
        <f>Operations!W1007-Inputs!$F$241/100*Operations!W1008</f>
        <v/>
      </c>
      <c r="X1009" s="20">
        <f>Operations!X1007-Inputs!$F$241/100*Operations!X1008</f>
        <v/>
      </c>
      <c r="Y1009" s="20">
        <f>Operations!Y1007-Inputs!$F$241/100*Operations!Y1008</f>
        <v/>
      </c>
      <c r="Z1009" s="20">
        <f>Operations!Z1007-Inputs!$F$241/100*Operations!Z1008</f>
        <v/>
      </c>
      <c r="AA1009" s="20">
        <f>Operations!AA1007-Inputs!$F$241/100*Operations!AA1008</f>
        <v/>
      </c>
      <c r="AB1009" s="20">
        <f>Operations!AB1007-Inputs!$F$241/100*Operations!AB1008</f>
        <v/>
      </c>
      <c r="AC1009" s="20">
        <f>Operations!AC1007-Inputs!$F$241/100*Operations!AC1008</f>
        <v/>
      </c>
      <c r="AD1009" s="20">
        <f>Operations!AD1007-Inputs!$F$241/100*Operations!AD1008</f>
        <v/>
      </c>
      <c r="AE1009" s="20">
        <f>Operations!AE1007-Inputs!$F$241/100*Operations!AE1008</f>
        <v/>
      </c>
      <c r="AF1009" s="20">
        <f>Operations!AF1007-Inputs!$F$241/100*Operations!AF1008</f>
        <v/>
      </c>
      <c r="AG1009" s="20">
        <f>Operations!AG1007-Inputs!$F$241/100*Operations!AG1008</f>
        <v/>
      </c>
      <c r="AH1009" s="20">
        <f>Operations!AH1007-Inputs!$F$241/100*Operations!AH1008</f>
        <v/>
      </c>
      <c r="AI1009" s="20">
        <f>Operations!AI1007-Inputs!$F$241/100*Operations!AI1008</f>
        <v/>
      </c>
      <c r="AJ1009" s="20">
        <f>Operations!AJ1007-Inputs!$F$241/100*Operations!AJ1008</f>
        <v/>
      </c>
      <c r="AK1009" s="20">
        <f>Operations!AK1007-Inputs!$F$241/100*Operations!AK1008</f>
        <v/>
      </c>
      <c r="AL1009" s="20">
        <f>Operations!AL1007-Inputs!$F$241/100*Operations!AL1008</f>
        <v/>
      </c>
      <c r="AM1009" s="20">
        <f>Operations!AM1007-Inputs!$F$241/100*Operations!AM1008</f>
        <v/>
      </c>
      <c r="AN1009" s="20">
        <f>Operations!AN1007-Inputs!$F$241/100*Operations!AN1008</f>
        <v/>
      </c>
      <c r="AO1009" s="20">
        <f>Operations!AO1007-Inputs!$F$241/100*Operations!AO1008</f>
        <v/>
      </c>
      <c r="AP1009" s="20">
        <f>Operations!AP1007-Inputs!$F$241/100*Operations!AP1008</f>
        <v/>
      </c>
      <c r="AQ1009" s="20">
        <f>Operations!AQ1007-Inputs!$F$241/100*Operations!AQ1008</f>
        <v/>
      </c>
      <c r="AR1009" s="20">
        <f>Operations!AR1007-Inputs!$F$241/100*Operations!AR1008</f>
        <v/>
      </c>
      <c r="AS1009" s="20">
        <f>Operations!AS1007-Inputs!$F$241/100*Operations!AS1008</f>
        <v/>
      </c>
      <c r="AT1009" s="20">
        <f>Operations!AT1007-Inputs!$F$241/100*Operations!AT1008</f>
        <v/>
      </c>
      <c r="AU1009" s="20">
        <f>Operations!AU1007-Inputs!$F$241/100*Operations!AU1008</f>
        <v/>
      </c>
    </row>
    <row r="1010">
      <c r="D1010" t="inlineStr">
        <is>
          <t>R5 contracted share of revenue</t>
        </is>
      </c>
      <c r="E1010" t="inlineStr">
        <is>
          <t>fraction</t>
        </is>
      </c>
      <c r="J1010" s="14">
        <f>IF(Operations!J994=0,0,Operations!J991/Operations!J994)</f>
        <v/>
      </c>
      <c r="K1010" s="14">
        <f>IF(Operations!K994=0,0,Operations!K991/Operations!K994)</f>
        <v/>
      </c>
      <c r="L1010" s="14">
        <f>IF(Operations!L994=0,0,Operations!L991/Operations!L994)</f>
        <v/>
      </c>
      <c r="M1010" s="14">
        <f>IF(Operations!M994=0,0,Operations!M991/Operations!M994)</f>
        <v/>
      </c>
      <c r="N1010" s="14">
        <f>IF(Operations!N994=0,0,Operations!N991/Operations!N994)</f>
        <v/>
      </c>
      <c r="O1010" s="14">
        <f>IF(Operations!O994=0,0,Operations!O991/Operations!O994)</f>
        <v/>
      </c>
      <c r="P1010" s="14">
        <f>IF(Operations!P994=0,0,Operations!P991/Operations!P994)</f>
        <v/>
      </c>
      <c r="Q1010" s="14">
        <f>IF(Operations!Q994=0,0,Operations!Q991/Operations!Q994)</f>
        <v/>
      </c>
      <c r="R1010" s="14">
        <f>IF(Operations!R994=0,0,Operations!R991/Operations!R994)</f>
        <v/>
      </c>
      <c r="S1010" s="14">
        <f>IF(Operations!S994=0,0,Operations!S991/Operations!S994)</f>
        <v/>
      </c>
      <c r="T1010" s="14">
        <f>IF(Operations!T994=0,0,Operations!T991/Operations!T994)</f>
        <v/>
      </c>
      <c r="U1010" s="14">
        <f>IF(Operations!U994=0,0,Operations!U991/Operations!U994)</f>
        <v/>
      </c>
      <c r="V1010" s="14">
        <f>IF(Operations!V994=0,0,Operations!V991/Operations!V994)</f>
        <v/>
      </c>
      <c r="W1010" s="14">
        <f>IF(Operations!W994=0,0,Operations!W991/Operations!W994)</f>
        <v/>
      </c>
      <c r="X1010" s="14">
        <f>IF(Operations!X994=0,0,Operations!X991/Operations!X994)</f>
        <v/>
      </c>
      <c r="Y1010" s="14">
        <f>IF(Operations!Y994=0,0,Operations!Y991/Operations!Y994)</f>
        <v/>
      </c>
      <c r="Z1010" s="14">
        <f>IF(Operations!Z994=0,0,Operations!Z991/Operations!Z994)</f>
        <v/>
      </c>
      <c r="AA1010" s="14">
        <f>IF(Operations!AA994=0,0,Operations!AA991/Operations!AA994)</f>
        <v/>
      </c>
      <c r="AB1010" s="14">
        <f>IF(Operations!AB994=0,0,Operations!AB991/Operations!AB994)</f>
        <v/>
      </c>
      <c r="AC1010" s="14">
        <f>IF(Operations!AC994=0,0,Operations!AC991/Operations!AC994)</f>
        <v/>
      </c>
      <c r="AD1010" s="14">
        <f>IF(Operations!AD994=0,0,Operations!AD991/Operations!AD994)</f>
        <v/>
      </c>
      <c r="AE1010" s="14">
        <f>IF(Operations!AE994=0,0,Operations!AE991/Operations!AE994)</f>
        <v/>
      </c>
      <c r="AF1010" s="14">
        <f>IF(Operations!AF994=0,0,Operations!AF991/Operations!AF994)</f>
        <v/>
      </c>
      <c r="AG1010" s="14">
        <f>IF(Operations!AG994=0,0,Operations!AG991/Operations!AG994)</f>
        <v/>
      </c>
      <c r="AH1010" s="14">
        <f>IF(Operations!AH994=0,0,Operations!AH991/Operations!AH994)</f>
        <v/>
      </c>
      <c r="AI1010" s="14">
        <f>IF(Operations!AI994=0,0,Operations!AI991/Operations!AI994)</f>
        <v/>
      </c>
      <c r="AJ1010" s="14">
        <f>IF(Operations!AJ994=0,0,Operations!AJ991/Operations!AJ994)</f>
        <v/>
      </c>
      <c r="AK1010" s="14">
        <f>IF(Operations!AK994=0,0,Operations!AK991/Operations!AK994)</f>
        <v/>
      </c>
      <c r="AL1010" s="14">
        <f>IF(Operations!AL994=0,0,Operations!AL991/Operations!AL994)</f>
        <v/>
      </c>
      <c r="AM1010" s="14">
        <f>IF(Operations!AM994=0,0,Operations!AM991/Operations!AM994)</f>
        <v/>
      </c>
      <c r="AN1010" s="14">
        <f>IF(Operations!AN994=0,0,Operations!AN991/Operations!AN994)</f>
        <v/>
      </c>
      <c r="AO1010" s="14">
        <f>IF(Operations!AO994=0,0,Operations!AO991/Operations!AO994)</f>
        <v/>
      </c>
      <c r="AP1010" s="14">
        <f>IF(Operations!AP994=0,0,Operations!AP991/Operations!AP994)</f>
        <v/>
      </c>
      <c r="AQ1010" s="14">
        <f>IF(Operations!AQ994=0,0,Operations!AQ991/Operations!AQ994)</f>
        <v/>
      </c>
      <c r="AR1010" s="14">
        <f>IF(Operations!AR994=0,0,Operations!AR991/Operations!AR994)</f>
        <v/>
      </c>
      <c r="AS1010" s="14">
        <f>IF(Operations!AS994=0,0,Operations!AS991/Operations!AS994)</f>
        <v/>
      </c>
      <c r="AT1010" s="14">
        <f>IF(Operations!AT994=0,0,Operations!AT991/Operations!AT994)</f>
        <v/>
      </c>
      <c r="AU1010" s="14">
        <f>IF(Operations!AU994=0,0,Operations!AU991/Operations!AU994)</f>
        <v/>
      </c>
    </row>
    <row r="1011">
      <c r="D1011" t="inlineStr">
        <is>
          <t>R5 hedged share of revenue</t>
        </is>
      </c>
      <c r="E1011" t="inlineStr">
        <is>
          <t>fraction</t>
        </is>
      </c>
      <c r="J1011" s="14">
        <f>IF(Operations!J994=0,0,Operations!J992/Operations!J994)</f>
        <v/>
      </c>
      <c r="K1011" s="14">
        <f>IF(Operations!K994=0,0,Operations!K992/Operations!K994)</f>
        <v/>
      </c>
      <c r="L1011" s="14">
        <f>IF(Operations!L994=0,0,Operations!L992/Operations!L994)</f>
        <v/>
      </c>
      <c r="M1011" s="14">
        <f>IF(Operations!M994=0,0,Operations!M992/Operations!M994)</f>
        <v/>
      </c>
      <c r="N1011" s="14">
        <f>IF(Operations!N994=0,0,Operations!N992/Operations!N994)</f>
        <v/>
      </c>
      <c r="O1011" s="14">
        <f>IF(Operations!O994=0,0,Operations!O992/Operations!O994)</f>
        <v/>
      </c>
      <c r="P1011" s="14">
        <f>IF(Operations!P994=0,0,Operations!P992/Operations!P994)</f>
        <v/>
      </c>
      <c r="Q1011" s="14">
        <f>IF(Operations!Q994=0,0,Operations!Q992/Operations!Q994)</f>
        <v/>
      </c>
      <c r="R1011" s="14">
        <f>IF(Operations!R994=0,0,Operations!R992/Operations!R994)</f>
        <v/>
      </c>
      <c r="S1011" s="14">
        <f>IF(Operations!S994=0,0,Operations!S992/Operations!S994)</f>
        <v/>
      </c>
      <c r="T1011" s="14">
        <f>IF(Operations!T994=0,0,Operations!T992/Operations!T994)</f>
        <v/>
      </c>
      <c r="U1011" s="14">
        <f>IF(Operations!U994=0,0,Operations!U992/Operations!U994)</f>
        <v/>
      </c>
      <c r="V1011" s="14">
        <f>IF(Operations!V994=0,0,Operations!V992/Operations!V994)</f>
        <v/>
      </c>
      <c r="W1011" s="14">
        <f>IF(Operations!W994=0,0,Operations!W992/Operations!W994)</f>
        <v/>
      </c>
      <c r="X1011" s="14">
        <f>IF(Operations!X994=0,0,Operations!X992/Operations!X994)</f>
        <v/>
      </c>
      <c r="Y1011" s="14">
        <f>IF(Operations!Y994=0,0,Operations!Y992/Operations!Y994)</f>
        <v/>
      </c>
      <c r="Z1011" s="14">
        <f>IF(Operations!Z994=0,0,Operations!Z992/Operations!Z994)</f>
        <v/>
      </c>
      <c r="AA1011" s="14">
        <f>IF(Operations!AA994=0,0,Operations!AA992/Operations!AA994)</f>
        <v/>
      </c>
      <c r="AB1011" s="14">
        <f>IF(Operations!AB994=0,0,Operations!AB992/Operations!AB994)</f>
        <v/>
      </c>
      <c r="AC1011" s="14">
        <f>IF(Operations!AC994=0,0,Operations!AC992/Operations!AC994)</f>
        <v/>
      </c>
      <c r="AD1011" s="14">
        <f>IF(Operations!AD994=0,0,Operations!AD992/Operations!AD994)</f>
        <v/>
      </c>
      <c r="AE1011" s="14">
        <f>IF(Operations!AE994=0,0,Operations!AE992/Operations!AE994)</f>
        <v/>
      </c>
      <c r="AF1011" s="14">
        <f>IF(Operations!AF994=0,0,Operations!AF992/Operations!AF994)</f>
        <v/>
      </c>
      <c r="AG1011" s="14">
        <f>IF(Operations!AG994=0,0,Operations!AG992/Operations!AG994)</f>
        <v/>
      </c>
      <c r="AH1011" s="14">
        <f>IF(Operations!AH994=0,0,Operations!AH992/Operations!AH994)</f>
        <v/>
      </c>
      <c r="AI1011" s="14">
        <f>IF(Operations!AI994=0,0,Operations!AI992/Operations!AI994)</f>
        <v/>
      </c>
      <c r="AJ1011" s="14">
        <f>IF(Operations!AJ994=0,0,Operations!AJ992/Operations!AJ994)</f>
        <v/>
      </c>
      <c r="AK1011" s="14">
        <f>IF(Operations!AK994=0,0,Operations!AK992/Operations!AK994)</f>
        <v/>
      </c>
      <c r="AL1011" s="14">
        <f>IF(Operations!AL994=0,0,Operations!AL992/Operations!AL994)</f>
        <v/>
      </c>
      <c r="AM1011" s="14">
        <f>IF(Operations!AM994=0,0,Operations!AM992/Operations!AM994)</f>
        <v/>
      </c>
      <c r="AN1011" s="14">
        <f>IF(Operations!AN994=0,0,Operations!AN992/Operations!AN994)</f>
        <v/>
      </c>
      <c r="AO1011" s="14">
        <f>IF(Operations!AO994=0,0,Operations!AO992/Operations!AO994)</f>
        <v/>
      </c>
      <c r="AP1011" s="14">
        <f>IF(Operations!AP994=0,0,Operations!AP992/Operations!AP994)</f>
        <v/>
      </c>
      <c r="AQ1011" s="14">
        <f>IF(Operations!AQ994=0,0,Operations!AQ992/Operations!AQ994)</f>
        <v/>
      </c>
      <c r="AR1011" s="14">
        <f>IF(Operations!AR994=0,0,Operations!AR992/Operations!AR994)</f>
        <v/>
      </c>
      <c r="AS1011" s="14">
        <f>IF(Operations!AS994=0,0,Operations!AS992/Operations!AS994)</f>
        <v/>
      </c>
      <c r="AT1011" s="14">
        <f>IF(Operations!AT994=0,0,Operations!AT992/Operations!AT994)</f>
        <v/>
      </c>
      <c r="AU1011" s="14">
        <f>IF(Operations!AU994=0,0,Operations!AU992/Operations!AU994)</f>
        <v/>
      </c>
    </row>
    <row r="1012">
      <c r="D1012" t="inlineStr">
        <is>
          <t>R5 merchant share of revenue</t>
        </is>
      </c>
      <c r="E1012" t="inlineStr">
        <is>
          <t>fraction</t>
        </is>
      </c>
      <c r="J1012" s="14">
        <f>1-Operations!J1010-Operations!J1011</f>
        <v/>
      </c>
      <c r="K1012" s="14">
        <f>1-Operations!K1010-Operations!K1011</f>
        <v/>
      </c>
      <c r="L1012" s="14">
        <f>1-Operations!L1010-Operations!L1011</f>
        <v/>
      </c>
      <c r="M1012" s="14">
        <f>1-Operations!M1010-Operations!M1011</f>
        <v/>
      </c>
      <c r="N1012" s="14">
        <f>1-Operations!N1010-Operations!N1011</f>
        <v/>
      </c>
      <c r="O1012" s="14">
        <f>1-Operations!O1010-Operations!O1011</f>
        <v/>
      </c>
      <c r="P1012" s="14">
        <f>1-Operations!P1010-Operations!P1011</f>
        <v/>
      </c>
      <c r="Q1012" s="14">
        <f>1-Operations!Q1010-Operations!Q1011</f>
        <v/>
      </c>
      <c r="R1012" s="14">
        <f>1-Operations!R1010-Operations!R1011</f>
        <v/>
      </c>
      <c r="S1012" s="14">
        <f>1-Operations!S1010-Operations!S1011</f>
        <v/>
      </c>
      <c r="T1012" s="14">
        <f>1-Operations!T1010-Operations!T1011</f>
        <v/>
      </c>
      <c r="U1012" s="14">
        <f>1-Operations!U1010-Operations!U1011</f>
        <v/>
      </c>
      <c r="V1012" s="14">
        <f>1-Operations!V1010-Operations!V1011</f>
        <v/>
      </c>
      <c r="W1012" s="14">
        <f>1-Operations!W1010-Operations!W1011</f>
        <v/>
      </c>
      <c r="X1012" s="14">
        <f>1-Operations!X1010-Operations!X1011</f>
        <v/>
      </c>
      <c r="Y1012" s="14">
        <f>1-Operations!Y1010-Operations!Y1011</f>
        <v/>
      </c>
      <c r="Z1012" s="14">
        <f>1-Operations!Z1010-Operations!Z1011</f>
        <v/>
      </c>
      <c r="AA1012" s="14">
        <f>1-Operations!AA1010-Operations!AA1011</f>
        <v/>
      </c>
      <c r="AB1012" s="14">
        <f>1-Operations!AB1010-Operations!AB1011</f>
        <v/>
      </c>
      <c r="AC1012" s="14">
        <f>1-Operations!AC1010-Operations!AC1011</f>
        <v/>
      </c>
      <c r="AD1012" s="14">
        <f>1-Operations!AD1010-Operations!AD1011</f>
        <v/>
      </c>
      <c r="AE1012" s="14">
        <f>1-Operations!AE1010-Operations!AE1011</f>
        <v/>
      </c>
      <c r="AF1012" s="14">
        <f>1-Operations!AF1010-Operations!AF1011</f>
        <v/>
      </c>
      <c r="AG1012" s="14">
        <f>1-Operations!AG1010-Operations!AG1011</f>
        <v/>
      </c>
      <c r="AH1012" s="14">
        <f>1-Operations!AH1010-Operations!AH1011</f>
        <v/>
      </c>
      <c r="AI1012" s="14">
        <f>1-Operations!AI1010-Operations!AI1011</f>
        <v/>
      </c>
      <c r="AJ1012" s="14">
        <f>1-Operations!AJ1010-Operations!AJ1011</f>
        <v/>
      </c>
      <c r="AK1012" s="14">
        <f>1-Operations!AK1010-Operations!AK1011</f>
        <v/>
      </c>
      <c r="AL1012" s="14">
        <f>1-Operations!AL1010-Operations!AL1011</f>
        <v/>
      </c>
      <c r="AM1012" s="14">
        <f>1-Operations!AM1010-Operations!AM1011</f>
        <v/>
      </c>
      <c r="AN1012" s="14">
        <f>1-Operations!AN1010-Operations!AN1011</f>
        <v/>
      </c>
      <c r="AO1012" s="14">
        <f>1-Operations!AO1010-Operations!AO1011</f>
        <v/>
      </c>
      <c r="AP1012" s="14">
        <f>1-Operations!AP1010-Operations!AP1011</f>
        <v/>
      </c>
      <c r="AQ1012" s="14">
        <f>1-Operations!AQ1010-Operations!AQ1011</f>
        <v/>
      </c>
      <c r="AR1012" s="14">
        <f>1-Operations!AR1010-Operations!AR1011</f>
        <v/>
      </c>
      <c r="AS1012" s="14">
        <f>1-Operations!AS1010-Operations!AS1011</f>
        <v/>
      </c>
      <c r="AT1012" s="14">
        <f>1-Operations!AT1010-Operations!AT1011</f>
        <v/>
      </c>
      <c r="AU1012" s="14">
        <f>1-Operations!AU1010-Operations!AU1011</f>
        <v/>
      </c>
    </row>
    <row r="1013">
      <c r="D1013" t="inlineStr">
        <is>
          <t>R5 Mesa-share contracted revenue</t>
        </is>
      </c>
      <c r="E1013" t="inlineStr">
        <is>
          <t>USD m</t>
        </is>
      </c>
      <c r="J1013" s="20">
        <f>Operations!J991*Operations!J977*(1-Operations!J1005)</f>
        <v/>
      </c>
      <c r="K1013" s="20">
        <f>Operations!K991*Operations!K977*(1-Operations!K1005)</f>
        <v/>
      </c>
      <c r="L1013" s="20">
        <f>Operations!L991*Operations!L977*(1-Operations!L1005)</f>
        <v/>
      </c>
      <c r="M1013" s="20">
        <f>Operations!M991*Operations!M977*(1-Operations!M1005)</f>
        <v/>
      </c>
      <c r="N1013" s="20">
        <f>Operations!N991*Operations!N977*(1-Operations!N1005)</f>
        <v/>
      </c>
      <c r="O1013" s="20">
        <f>Operations!O991*Operations!O977*(1-Operations!O1005)</f>
        <v/>
      </c>
      <c r="P1013" s="20">
        <f>Operations!P991*Operations!P977*(1-Operations!P1005)</f>
        <v/>
      </c>
      <c r="Q1013" s="20">
        <f>Operations!Q991*Operations!Q977*(1-Operations!Q1005)</f>
        <v/>
      </c>
      <c r="R1013" s="20">
        <f>Operations!R991*Operations!R977*(1-Operations!R1005)</f>
        <v/>
      </c>
      <c r="S1013" s="20">
        <f>Operations!S991*Operations!S977*(1-Operations!S1005)</f>
        <v/>
      </c>
      <c r="T1013" s="20">
        <f>Operations!T991*Operations!T977*(1-Operations!T1005)</f>
        <v/>
      </c>
      <c r="U1013" s="20">
        <f>Operations!U991*Operations!U977*(1-Operations!U1005)</f>
        <v/>
      </c>
      <c r="V1013" s="20">
        <f>Operations!V991*Operations!V977*(1-Operations!V1005)</f>
        <v/>
      </c>
      <c r="W1013" s="20">
        <f>Operations!W991*Operations!W977*(1-Operations!W1005)</f>
        <v/>
      </c>
      <c r="X1013" s="20">
        <f>Operations!X991*Operations!X977*(1-Operations!X1005)</f>
        <v/>
      </c>
      <c r="Y1013" s="20">
        <f>Operations!Y991*Operations!Y977*(1-Operations!Y1005)</f>
        <v/>
      </c>
      <c r="Z1013" s="20">
        <f>Operations!Z991*Operations!Z977*(1-Operations!Z1005)</f>
        <v/>
      </c>
      <c r="AA1013" s="20">
        <f>Operations!AA991*Operations!AA977*(1-Operations!AA1005)</f>
        <v/>
      </c>
      <c r="AB1013" s="20">
        <f>Operations!AB991*Operations!AB977*(1-Operations!AB1005)</f>
        <v/>
      </c>
      <c r="AC1013" s="20">
        <f>Operations!AC991*Operations!AC977*(1-Operations!AC1005)</f>
        <v/>
      </c>
      <c r="AD1013" s="20">
        <f>Operations!AD991*Operations!AD977*(1-Operations!AD1005)</f>
        <v/>
      </c>
      <c r="AE1013" s="20">
        <f>Operations!AE991*Operations!AE977*(1-Operations!AE1005)</f>
        <v/>
      </c>
      <c r="AF1013" s="20">
        <f>Operations!AF991*Operations!AF977*(1-Operations!AF1005)</f>
        <v/>
      </c>
      <c r="AG1013" s="20">
        <f>Operations!AG991*Operations!AG977*(1-Operations!AG1005)</f>
        <v/>
      </c>
      <c r="AH1013" s="20">
        <f>Operations!AH991*Operations!AH977*(1-Operations!AH1005)</f>
        <v/>
      </c>
      <c r="AI1013" s="20">
        <f>Operations!AI991*Operations!AI977*(1-Operations!AI1005)</f>
        <v/>
      </c>
      <c r="AJ1013" s="20">
        <f>Operations!AJ991*Operations!AJ977*(1-Operations!AJ1005)</f>
        <v/>
      </c>
      <c r="AK1013" s="20">
        <f>Operations!AK991*Operations!AK977*(1-Operations!AK1005)</f>
        <v/>
      </c>
      <c r="AL1013" s="20">
        <f>Operations!AL991*Operations!AL977*(1-Operations!AL1005)</f>
        <v/>
      </c>
      <c r="AM1013" s="20">
        <f>Operations!AM991*Operations!AM977*(1-Operations!AM1005)</f>
        <v/>
      </c>
      <c r="AN1013" s="20">
        <f>Operations!AN991*Operations!AN977*(1-Operations!AN1005)</f>
        <v/>
      </c>
      <c r="AO1013" s="20">
        <f>Operations!AO991*Operations!AO977*(1-Operations!AO1005)</f>
        <v/>
      </c>
      <c r="AP1013" s="20">
        <f>Operations!AP991*Operations!AP977*(1-Operations!AP1005)</f>
        <v/>
      </c>
      <c r="AQ1013" s="20">
        <f>Operations!AQ991*Operations!AQ977*(1-Operations!AQ1005)</f>
        <v/>
      </c>
      <c r="AR1013" s="20">
        <f>Operations!AR991*Operations!AR977*(1-Operations!AR1005)</f>
        <v/>
      </c>
      <c r="AS1013" s="20">
        <f>Operations!AS991*Operations!AS977*(1-Operations!AS1005)</f>
        <v/>
      </c>
      <c r="AT1013" s="20">
        <f>Operations!AT991*Operations!AT977*(1-Operations!AT1005)</f>
        <v/>
      </c>
      <c r="AU1013" s="20">
        <f>Operations!AU991*Operations!AU977*(1-Operations!AU1005)</f>
        <v/>
      </c>
    </row>
    <row r="1014">
      <c r="D1014" t="inlineStr">
        <is>
          <t>R5 Mesa-share hedged revenue</t>
        </is>
      </c>
      <c r="E1014" t="inlineStr">
        <is>
          <t>USD m</t>
        </is>
      </c>
      <c r="J1014" s="20">
        <f>Operations!J992*Operations!J977*(1-Operations!J1005)</f>
        <v/>
      </c>
      <c r="K1014" s="20">
        <f>Operations!K992*Operations!K977*(1-Operations!K1005)</f>
        <v/>
      </c>
      <c r="L1014" s="20">
        <f>Operations!L992*Operations!L977*(1-Operations!L1005)</f>
        <v/>
      </c>
      <c r="M1014" s="20">
        <f>Operations!M992*Operations!M977*(1-Operations!M1005)</f>
        <v/>
      </c>
      <c r="N1014" s="20">
        <f>Operations!N992*Operations!N977*(1-Operations!N1005)</f>
        <v/>
      </c>
      <c r="O1014" s="20">
        <f>Operations!O992*Operations!O977*(1-Operations!O1005)</f>
        <v/>
      </c>
      <c r="P1014" s="20">
        <f>Operations!P992*Operations!P977*(1-Operations!P1005)</f>
        <v/>
      </c>
      <c r="Q1014" s="20">
        <f>Operations!Q992*Operations!Q977*(1-Operations!Q1005)</f>
        <v/>
      </c>
      <c r="R1014" s="20">
        <f>Operations!R992*Operations!R977*(1-Operations!R1005)</f>
        <v/>
      </c>
      <c r="S1014" s="20">
        <f>Operations!S992*Operations!S977*(1-Operations!S1005)</f>
        <v/>
      </c>
      <c r="T1014" s="20">
        <f>Operations!T992*Operations!T977*(1-Operations!T1005)</f>
        <v/>
      </c>
      <c r="U1014" s="20">
        <f>Operations!U992*Operations!U977*(1-Operations!U1005)</f>
        <v/>
      </c>
      <c r="V1014" s="20">
        <f>Operations!V992*Operations!V977*(1-Operations!V1005)</f>
        <v/>
      </c>
      <c r="W1014" s="20">
        <f>Operations!W992*Operations!W977*(1-Operations!W1005)</f>
        <v/>
      </c>
      <c r="X1014" s="20">
        <f>Operations!X992*Operations!X977*(1-Operations!X1005)</f>
        <v/>
      </c>
      <c r="Y1014" s="20">
        <f>Operations!Y992*Operations!Y977*(1-Operations!Y1005)</f>
        <v/>
      </c>
      <c r="Z1014" s="20">
        <f>Operations!Z992*Operations!Z977*(1-Operations!Z1005)</f>
        <v/>
      </c>
      <c r="AA1014" s="20">
        <f>Operations!AA992*Operations!AA977*(1-Operations!AA1005)</f>
        <v/>
      </c>
      <c r="AB1014" s="20">
        <f>Operations!AB992*Operations!AB977*(1-Operations!AB1005)</f>
        <v/>
      </c>
      <c r="AC1014" s="20">
        <f>Operations!AC992*Operations!AC977*(1-Operations!AC1005)</f>
        <v/>
      </c>
      <c r="AD1014" s="20">
        <f>Operations!AD992*Operations!AD977*(1-Operations!AD1005)</f>
        <v/>
      </c>
      <c r="AE1014" s="20">
        <f>Operations!AE992*Operations!AE977*(1-Operations!AE1005)</f>
        <v/>
      </c>
      <c r="AF1014" s="20">
        <f>Operations!AF992*Operations!AF977*(1-Operations!AF1005)</f>
        <v/>
      </c>
      <c r="AG1014" s="20">
        <f>Operations!AG992*Operations!AG977*(1-Operations!AG1005)</f>
        <v/>
      </c>
      <c r="AH1014" s="20">
        <f>Operations!AH992*Operations!AH977*(1-Operations!AH1005)</f>
        <v/>
      </c>
      <c r="AI1014" s="20">
        <f>Operations!AI992*Operations!AI977*(1-Operations!AI1005)</f>
        <v/>
      </c>
      <c r="AJ1014" s="20">
        <f>Operations!AJ992*Operations!AJ977*(1-Operations!AJ1005)</f>
        <v/>
      </c>
      <c r="AK1014" s="20">
        <f>Operations!AK992*Operations!AK977*(1-Operations!AK1005)</f>
        <v/>
      </c>
      <c r="AL1014" s="20">
        <f>Operations!AL992*Operations!AL977*(1-Operations!AL1005)</f>
        <v/>
      </c>
      <c r="AM1014" s="20">
        <f>Operations!AM992*Operations!AM977*(1-Operations!AM1005)</f>
        <v/>
      </c>
      <c r="AN1014" s="20">
        <f>Operations!AN992*Operations!AN977*(1-Operations!AN1005)</f>
        <v/>
      </c>
      <c r="AO1014" s="20">
        <f>Operations!AO992*Operations!AO977*(1-Operations!AO1005)</f>
        <v/>
      </c>
      <c r="AP1014" s="20">
        <f>Operations!AP992*Operations!AP977*(1-Operations!AP1005)</f>
        <v/>
      </c>
      <c r="AQ1014" s="20">
        <f>Operations!AQ992*Operations!AQ977*(1-Operations!AQ1005)</f>
        <v/>
      </c>
      <c r="AR1014" s="20">
        <f>Operations!AR992*Operations!AR977*(1-Operations!AR1005)</f>
        <v/>
      </c>
      <c r="AS1014" s="20">
        <f>Operations!AS992*Operations!AS977*(1-Operations!AS1005)</f>
        <v/>
      </c>
      <c r="AT1014" s="20">
        <f>Operations!AT992*Operations!AT977*(1-Operations!AT1005)</f>
        <v/>
      </c>
      <c r="AU1014" s="20">
        <f>Operations!AU992*Operations!AU977*(1-Operations!AU1005)</f>
        <v/>
      </c>
    </row>
    <row r="1015">
      <c r="D1015" t="inlineStr">
        <is>
          <t>R5 Mesa-share merchant revenue</t>
        </is>
      </c>
      <c r="E1015" t="inlineStr">
        <is>
          <t>USD m</t>
        </is>
      </c>
      <c r="J1015" s="20">
        <f>Operations!J995*Operations!J977*(1-Operations!J1005)</f>
        <v/>
      </c>
      <c r="K1015" s="20">
        <f>Operations!K995*Operations!K977*(1-Operations!K1005)</f>
        <v/>
      </c>
      <c r="L1015" s="20">
        <f>Operations!L995*Operations!L977*(1-Operations!L1005)</f>
        <v/>
      </c>
      <c r="M1015" s="20">
        <f>Operations!M995*Operations!M977*(1-Operations!M1005)</f>
        <v/>
      </c>
      <c r="N1015" s="20">
        <f>Operations!N995*Operations!N977*(1-Operations!N1005)</f>
        <v/>
      </c>
      <c r="O1015" s="20">
        <f>Operations!O995*Operations!O977*(1-Operations!O1005)</f>
        <v/>
      </c>
      <c r="P1015" s="20">
        <f>Operations!P995*Operations!P977*(1-Operations!P1005)</f>
        <v/>
      </c>
      <c r="Q1015" s="20">
        <f>Operations!Q995*Operations!Q977*(1-Operations!Q1005)</f>
        <v/>
      </c>
      <c r="R1015" s="20">
        <f>Operations!R995*Operations!R977*(1-Operations!R1005)</f>
        <v/>
      </c>
      <c r="S1015" s="20">
        <f>Operations!S995*Operations!S977*(1-Operations!S1005)</f>
        <v/>
      </c>
      <c r="T1015" s="20">
        <f>Operations!T995*Operations!T977*(1-Operations!T1005)</f>
        <v/>
      </c>
      <c r="U1015" s="20">
        <f>Operations!U995*Operations!U977*(1-Operations!U1005)</f>
        <v/>
      </c>
      <c r="V1015" s="20">
        <f>Operations!V995*Operations!V977*(1-Operations!V1005)</f>
        <v/>
      </c>
      <c r="W1015" s="20">
        <f>Operations!W995*Operations!W977*(1-Operations!W1005)</f>
        <v/>
      </c>
      <c r="X1015" s="20">
        <f>Operations!X995*Operations!X977*(1-Operations!X1005)</f>
        <v/>
      </c>
      <c r="Y1015" s="20">
        <f>Operations!Y995*Operations!Y977*(1-Operations!Y1005)</f>
        <v/>
      </c>
      <c r="Z1015" s="20">
        <f>Operations!Z995*Operations!Z977*(1-Operations!Z1005)</f>
        <v/>
      </c>
      <c r="AA1015" s="20">
        <f>Operations!AA995*Operations!AA977*(1-Operations!AA1005)</f>
        <v/>
      </c>
      <c r="AB1015" s="20">
        <f>Operations!AB995*Operations!AB977*(1-Operations!AB1005)</f>
        <v/>
      </c>
      <c r="AC1015" s="20">
        <f>Operations!AC995*Operations!AC977*(1-Operations!AC1005)</f>
        <v/>
      </c>
      <c r="AD1015" s="20">
        <f>Operations!AD995*Operations!AD977*(1-Operations!AD1005)</f>
        <v/>
      </c>
      <c r="AE1015" s="20">
        <f>Operations!AE995*Operations!AE977*(1-Operations!AE1005)</f>
        <v/>
      </c>
      <c r="AF1015" s="20">
        <f>Operations!AF995*Operations!AF977*(1-Operations!AF1005)</f>
        <v/>
      </c>
      <c r="AG1015" s="20">
        <f>Operations!AG995*Operations!AG977*(1-Operations!AG1005)</f>
        <v/>
      </c>
      <c r="AH1015" s="20">
        <f>Operations!AH995*Operations!AH977*(1-Operations!AH1005)</f>
        <v/>
      </c>
      <c r="AI1015" s="20">
        <f>Operations!AI995*Operations!AI977*(1-Operations!AI1005)</f>
        <v/>
      </c>
      <c r="AJ1015" s="20">
        <f>Operations!AJ995*Operations!AJ977*(1-Operations!AJ1005)</f>
        <v/>
      </c>
      <c r="AK1015" s="20">
        <f>Operations!AK995*Operations!AK977*(1-Operations!AK1005)</f>
        <v/>
      </c>
      <c r="AL1015" s="20">
        <f>Operations!AL995*Operations!AL977*(1-Operations!AL1005)</f>
        <v/>
      </c>
      <c r="AM1015" s="20">
        <f>Operations!AM995*Operations!AM977*(1-Operations!AM1005)</f>
        <v/>
      </c>
      <c r="AN1015" s="20">
        <f>Operations!AN995*Operations!AN977*(1-Operations!AN1005)</f>
        <v/>
      </c>
      <c r="AO1015" s="20">
        <f>Operations!AO995*Operations!AO977*(1-Operations!AO1005)</f>
        <v/>
      </c>
      <c r="AP1015" s="20">
        <f>Operations!AP995*Operations!AP977*(1-Operations!AP1005)</f>
        <v/>
      </c>
      <c r="AQ1015" s="20">
        <f>Operations!AQ995*Operations!AQ977*(1-Operations!AQ1005)</f>
        <v/>
      </c>
      <c r="AR1015" s="20">
        <f>Operations!AR995*Operations!AR977*(1-Operations!AR1005)</f>
        <v/>
      </c>
      <c r="AS1015" s="20">
        <f>Operations!AS995*Operations!AS977*(1-Operations!AS1005)</f>
        <v/>
      </c>
      <c r="AT1015" s="20">
        <f>Operations!AT995*Operations!AT977*(1-Operations!AT1005)</f>
        <v/>
      </c>
      <c r="AU1015" s="20">
        <f>Operations!AU995*Operations!AU977*(1-Operations!AU1005)</f>
        <v/>
      </c>
    </row>
    <row r="1016">
      <c r="D1016" t="inlineStr">
        <is>
          <t>R5 Mesa-share revenue</t>
        </is>
      </c>
      <c r="E1016" t="inlineStr">
        <is>
          <t>USD m</t>
        </is>
      </c>
      <c r="J1016" s="20">
        <f>Operations!J994*Operations!J977*(1-Operations!J1005)</f>
        <v/>
      </c>
      <c r="K1016" s="20">
        <f>Operations!K994*Operations!K977*(1-Operations!K1005)</f>
        <v/>
      </c>
      <c r="L1016" s="20">
        <f>Operations!L994*Operations!L977*(1-Operations!L1005)</f>
        <v/>
      </c>
      <c r="M1016" s="20">
        <f>Operations!M994*Operations!M977*(1-Operations!M1005)</f>
        <v/>
      </c>
      <c r="N1016" s="20">
        <f>Operations!N994*Operations!N977*(1-Operations!N1005)</f>
        <v/>
      </c>
      <c r="O1016" s="20">
        <f>Operations!O994*Operations!O977*(1-Operations!O1005)</f>
        <v/>
      </c>
      <c r="P1016" s="20">
        <f>Operations!P994*Operations!P977*(1-Operations!P1005)</f>
        <v/>
      </c>
      <c r="Q1016" s="20">
        <f>Operations!Q994*Operations!Q977*(1-Operations!Q1005)</f>
        <v/>
      </c>
      <c r="R1016" s="20">
        <f>Operations!R994*Operations!R977*(1-Operations!R1005)</f>
        <v/>
      </c>
      <c r="S1016" s="20">
        <f>Operations!S994*Operations!S977*(1-Operations!S1005)</f>
        <v/>
      </c>
      <c r="T1016" s="20">
        <f>Operations!T994*Operations!T977*(1-Operations!T1005)</f>
        <v/>
      </c>
      <c r="U1016" s="20">
        <f>Operations!U994*Operations!U977*(1-Operations!U1005)</f>
        <v/>
      </c>
      <c r="V1016" s="20">
        <f>Operations!V994*Operations!V977*(1-Operations!V1005)</f>
        <v/>
      </c>
      <c r="W1016" s="20">
        <f>Operations!W994*Operations!W977*(1-Operations!W1005)</f>
        <v/>
      </c>
      <c r="X1016" s="20">
        <f>Operations!X994*Operations!X977*(1-Operations!X1005)</f>
        <v/>
      </c>
      <c r="Y1016" s="20">
        <f>Operations!Y994*Operations!Y977*(1-Operations!Y1005)</f>
        <v/>
      </c>
      <c r="Z1016" s="20">
        <f>Operations!Z994*Operations!Z977*(1-Operations!Z1005)</f>
        <v/>
      </c>
      <c r="AA1016" s="20">
        <f>Operations!AA994*Operations!AA977*(1-Operations!AA1005)</f>
        <v/>
      </c>
      <c r="AB1016" s="20">
        <f>Operations!AB994*Operations!AB977*(1-Operations!AB1005)</f>
        <v/>
      </c>
      <c r="AC1016" s="20">
        <f>Operations!AC994*Operations!AC977*(1-Operations!AC1005)</f>
        <v/>
      </c>
      <c r="AD1016" s="20">
        <f>Operations!AD994*Operations!AD977*(1-Operations!AD1005)</f>
        <v/>
      </c>
      <c r="AE1016" s="20">
        <f>Operations!AE994*Operations!AE977*(1-Operations!AE1005)</f>
        <v/>
      </c>
      <c r="AF1016" s="20">
        <f>Operations!AF994*Operations!AF977*(1-Operations!AF1005)</f>
        <v/>
      </c>
      <c r="AG1016" s="20">
        <f>Operations!AG994*Operations!AG977*(1-Operations!AG1005)</f>
        <v/>
      </c>
      <c r="AH1016" s="20">
        <f>Operations!AH994*Operations!AH977*(1-Operations!AH1005)</f>
        <v/>
      </c>
      <c r="AI1016" s="20">
        <f>Operations!AI994*Operations!AI977*(1-Operations!AI1005)</f>
        <v/>
      </c>
      <c r="AJ1016" s="20">
        <f>Operations!AJ994*Operations!AJ977*(1-Operations!AJ1005)</f>
        <v/>
      </c>
      <c r="AK1016" s="20">
        <f>Operations!AK994*Operations!AK977*(1-Operations!AK1005)</f>
        <v/>
      </c>
      <c r="AL1016" s="20">
        <f>Operations!AL994*Operations!AL977*(1-Operations!AL1005)</f>
        <v/>
      </c>
      <c r="AM1016" s="20">
        <f>Operations!AM994*Operations!AM977*(1-Operations!AM1005)</f>
        <v/>
      </c>
      <c r="AN1016" s="20">
        <f>Operations!AN994*Operations!AN977*(1-Operations!AN1005)</f>
        <v/>
      </c>
      <c r="AO1016" s="20">
        <f>Operations!AO994*Operations!AO977*(1-Operations!AO1005)</f>
        <v/>
      </c>
      <c r="AP1016" s="20">
        <f>Operations!AP994*Operations!AP977*(1-Operations!AP1005)</f>
        <v/>
      </c>
      <c r="AQ1016" s="20">
        <f>Operations!AQ994*Operations!AQ977*(1-Operations!AQ1005)</f>
        <v/>
      </c>
      <c r="AR1016" s="20">
        <f>Operations!AR994*Operations!AR977*(1-Operations!AR1005)</f>
        <v/>
      </c>
      <c r="AS1016" s="20">
        <f>Operations!AS994*Operations!AS977*(1-Operations!AS1005)</f>
        <v/>
      </c>
      <c r="AT1016" s="20">
        <f>Operations!AT994*Operations!AT977*(1-Operations!AT1005)</f>
        <v/>
      </c>
      <c r="AU1016" s="20">
        <f>Operations!AU994*Operations!AU977*(1-Operations!AU1005)</f>
        <v/>
      </c>
    </row>
    <row r="1017">
      <c r="D1017" s="19" t="inlineStr">
        <is>
          <t>R6 Redfern Storage (lithium-ion BESS (LFP), 2-hour)</t>
        </is>
      </c>
    </row>
    <row r="1018">
      <c r="D1018" t="inlineStr">
        <is>
          <t>R6 operating fraction</t>
        </is>
      </c>
      <c r="E1018" t="inlineStr">
        <is>
          <t>fraction</t>
        </is>
      </c>
      <c r="J1018" s="14">
        <f>MAX(0,MIN(Inputs!$F$145,Time!J$6)-MAX(Inputs!$F$144,Time!J$5))/Time!J$7</f>
        <v/>
      </c>
      <c r="K1018" s="14">
        <f>MAX(0,MIN(Inputs!$F$145,Time!K$6)-MAX(Inputs!$F$144,Time!K$5))/Time!K$7</f>
        <v/>
      </c>
      <c r="L1018" s="14">
        <f>MAX(0,MIN(Inputs!$F$145,Time!L$6)-MAX(Inputs!$F$144,Time!L$5))/Time!L$7</f>
        <v/>
      </c>
      <c r="M1018" s="14">
        <f>MAX(0,MIN(Inputs!$F$145,Time!M$6)-MAX(Inputs!$F$144,Time!M$5))/Time!M$7</f>
        <v/>
      </c>
      <c r="N1018" s="14">
        <f>MAX(0,MIN(Inputs!$F$145,Time!N$6)-MAX(Inputs!$F$144,Time!N$5))/Time!N$7</f>
        <v/>
      </c>
      <c r="O1018" s="14">
        <f>MAX(0,MIN(Inputs!$F$145,Time!O$6)-MAX(Inputs!$F$144,Time!O$5))/Time!O$7</f>
        <v/>
      </c>
      <c r="P1018" s="14">
        <f>MAX(0,MIN(Inputs!$F$145,Time!P$6)-MAX(Inputs!$F$144,Time!P$5))/Time!P$7</f>
        <v/>
      </c>
      <c r="Q1018" s="14">
        <f>MAX(0,MIN(Inputs!$F$145,Time!Q$6)-MAX(Inputs!$F$144,Time!Q$5))/Time!Q$7</f>
        <v/>
      </c>
      <c r="R1018" s="14">
        <f>MAX(0,MIN(Inputs!$F$145,Time!R$6)-MAX(Inputs!$F$144,Time!R$5))/Time!R$7</f>
        <v/>
      </c>
      <c r="S1018" s="14">
        <f>MAX(0,MIN(Inputs!$F$145,Time!S$6)-MAX(Inputs!$F$144,Time!S$5))/Time!S$7</f>
        <v/>
      </c>
      <c r="T1018" s="14">
        <f>MAX(0,MIN(Inputs!$F$145,Time!T$6)-MAX(Inputs!$F$144,Time!T$5))/Time!T$7</f>
        <v/>
      </c>
      <c r="U1018" s="14">
        <f>MAX(0,MIN(Inputs!$F$145,Time!U$6)-MAX(Inputs!$F$144,Time!U$5))/Time!U$7</f>
        <v/>
      </c>
      <c r="V1018" s="14">
        <f>MAX(0,MIN(Inputs!$F$145,Time!V$6)-MAX(Inputs!$F$144,Time!V$5))/Time!V$7</f>
        <v/>
      </c>
      <c r="W1018" s="14">
        <f>MAX(0,MIN(Inputs!$F$145,Time!W$6)-MAX(Inputs!$F$144,Time!W$5))/Time!W$7</f>
        <v/>
      </c>
      <c r="X1018" s="14">
        <f>MAX(0,MIN(Inputs!$F$145,Time!X$6)-MAX(Inputs!$F$144,Time!X$5))/Time!X$7</f>
        <v/>
      </c>
      <c r="Y1018" s="14">
        <f>MAX(0,MIN(Inputs!$F$145,Time!Y$6)-MAX(Inputs!$F$144,Time!Y$5))/Time!Y$7</f>
        <v/>
      </c>
      <c r="Z1018" s="14">
        <f>MAX(0,MIN(Inputs!$F$145,Time!Z$6)-MAX(Inputs!$F$144,Time!Z$5))/Time!Z$7</f>
        <v/>
      </c>
      <c r="AA1018" s="14">
        <f>MAX(0,MIN(Inputs!$F$145,Time!AA$6)-MAX(Inputs!$F$144,Time!AA$5))/Time!AA$7</f>
        <v/>
      </c>
      <c r="AB1018" s="14">
        <f>MAX(0,MIN(Inputs!$F$145,Time!AB$6)-MAX(Inputs!$F$144,Time!AB$5))/Time!AB$7</f>
        <v/>
      </c>
      <c r="AC1018" s="14">
        <f>MAX(0,MIN(Inputs!$F$145,Time!AC$6)-MAX(Inputs!$F$144,Time!AC$5))/Time!AC$7</f>
        <v/>
      </c>
      <c r="AD1018" s="14">
        <f>MAX(0,MIN(Inputs!$F$145,Time!AD$6)-MAX(Inputs!$F$144,Time!AD$5))/Time!AD$7</f>
        <v/>
      </c>
      <c r="AE1018" s="14">
        <f>MAX(0,MIN(Inputs!$F$145,Time!AE$6)-MAX(Inputs!$F$144,Time!AE$5))/Time!AE$7</f>
        <v/>
      </c>
      <c r="AF1018" s="14">
        <f>MAX(0,MIN(Inputs!$F$145,Time!AF$6)-MAX(Inputs!$F$144,Time!AF$5))/Time!AF$7</f>
        <v/>
      </c>
      <c r="AG1018" s="14">
        <f>MAX(0,MIN(Inputs!$F$145,Time!AG$6)-MAX(Inputs!$F$144,Time!AG$5))/Time!AG$7</f>
        <v/>
      </c>
      <c r="AH1018" s="14">
        <f>MAX(0,MIN(Inputs!$F$145,Time!AH$6)-MAX(Inputs!$F$144,Time!AH$5))/Time!AH$7</f>
        <v/>
      </c>
      <c r="AI1018" s="14">
        <f>MAX(0,MIN(Inputs!$F$145,Time!AI$6)-MAX(Inputs!$F$144,Time!AI$5))/Time!AI$7</f>
        <v/>
      </c>
      <c r="AJ1018" s="14">
        <f>MAX(0,MIN(Inputs!$F$145,Time!AJ$6)-MAX(Inputs!$F$144,Time!AJ$5))/Time!AJ$7</f>
        <v/>
      </c>
      <c r="AK1018" s="14">
        <f>MAX(0,MIN(Inputs!$F$145,Time!AK$6)-MAX(Inputs!$F$144,Time!AK$5))/Time!AK$7</f>
        <v/>
      </c>
      <c r="AL1018" s="14">
        <f>MAX(0,MIN(Inputs!$F$145,Time!AL$6)-MAX(Inputs!$F$144,Time!AL$5))/Time!AL$7</f>
        <v/>
      </c>
      <c r="AM1018" s="14">
        <f>MAX(0,MIN(Inputs!$F$145,Time!AM$6)-MAX(Inputs!$F$144,Time!AM$5))/Time!AM$7</f>
        <v/>
      </c>
      <c r="AN1018" s="14">
        <f>MAX(0,MIN(Inputs!$F$145,Time!AN$6)-MAX(Inputs!$F$144,Time!AN$5))/Time!AN$7</f>
        <v/>
      </c>
      <c r="AO1018" s="14">
        <f>MAX(0,MIN(Inputs!$F$145,Time!AO$6)-MAX(Inputs!$F$144,Time!AO$5))/Time!AO$7</f>
        <v/>
      </c>
      <c r="AP1018" s="14">
        <f>MAX(0,MIN(Inputs!$F$145,Time!AP$6)-MAX(Inputs!$F$144,Time!AP$5))/Time!AP$7</f>
        <v/>
      </c>
      <c r="AQ1018" s="14">
        <f>MAX(0,MIN(Inputs!$F$145,Time!AQ$6)-MAX(Inputs!$F$144,Time!AQ$5))/Time!AQ$7</f>
        <v/>
      </c>
      <c r="AR1018" s="14">
        <f>MAX(0,MIN(Inputs!$F$145,Time!AR$6)-MAX(Inputs!$F$144,Time!AR$5))/Time!AR$7</f>
        <v/>
      </c>
      <c r="AS1018" s="14">
        <f>MAX(0,MIN(Inputs!$F$145,Time!AS$6)-MAX(Inputs!$F$144,Time!AS$5))/Time!AS$7</f>
        <v/>
      </c>
      <c r="AT1018" s="14">
        <f>MAX(0,MIN(Inputs!$F$145,Time!AT$6)-MAX(Inputs!$F$144,Time!AT$5))/Time!AT$7</f>
        <v/>
      </c>
      <c r="AU1018" s="14">
        <f>MAX(0,MIN(Inputs!$F$145,Time!AU$6)-MAX(Inputs!$F$144,Time!AU$5))/Time!AU$7</f>
        <v/>
      </c>
    </row>
    <row r="1019">
      <c r="D1019" t="inlineStr">
        <is>
          <t>R6 owned fraction</t>
        </is>
      </c>
      <c r="E1019" t="inlineStr">
        <is>
          <t>fraction</t>
        </is>
      </c>
      <c r="J1019" s="14">
        <f>MAX(0,MIN(Inputs!$F$145,Time!J$6)-MAX(MAX(Inputs!$F$146,Inputs!$F$144),Time!J$5))/Time!J$7</f>
        <v/>
      </c>
      <c r="K1019" s="14">
        <f>MAX(0,MIN(Inputs!$F$145,Time!K$6)-MAX(MAX(Inputs!$F$146,Inputs!$F$144),Time!K$5))/Time!K$7</f>
        <v/>
      </c>
      <c r="L1019" s="14">
        <f>MAX(0,MIN(Inputs!$F$145,Time!L$6)-MAX(MAX(Inputs!$F$146,Inputs!$F$144),Time!L$5))/Time!L$7</f>
        <v/>
      </c>
      <c r="M1019" s="14">
        <f>MAX(0,MIN(Inputs!$F$145,Time!M$6)-MAX(MAX(Inputs!$F$146,Inputs!$F$144),Time!M$5))/Time!M$7</f>
        <v/>
      </c>
      <c r="N1019" s="14">
        <f>MAX(0,MIN(Inputs!$F$145,Time!N$6)-MAX(MAX(Inputs!$F$146,Inputs!$F$144),Time!N$5))/Time!N$7</f>
        <v/>
      </c>
      <c r="O1019" s="14">
        <f>MAX(0,MIN(Inputs!$F$145,Time!O$6)-MAX(MAX(Inputs!$F$146,Inputs!$F$144),Time!O$5))/Time!O$7</f>
        <v/>
      </c>
      <c r="P1019" s="14">
        <f>MAX(0,MIN(Inputs!$F$145,Time!P$6)-MAX(MAX(Inputs!$F$146,Inputs!$F$144),Time!P$5))/Time!P$7</f>
        <v/>
      </c>
      <c r="Q1019" s="14">
        <f>MAX(0,MIN(Inputs!$F$145,Time!Q$6)-MAX(MAX(Inputs!$F$146,Inputs!$F$144),Time!Q$5))/Time!Q$7</f>
        <v/>
      </c>
      <c r="R1019" s="14">
        <f>MAX(0,MIN(Inputs!$F$145,Time!R$6)-MAX(MAX(Inputs!$F$146,Inputs!$F$144),Time!R$5))/Time!R$7</f>
        <v/>
      </c>
      <c r="S1019" s="14">
        <f>MAX(0,MIN(Inputs!$F$145,Time!S$6)-MAX(MAX(Inputs!$F$146,Inputs!$F$144),Time!S$5))/Time!S$7</f>
        <v/>
      </c>
      <c r="T1019" s="14">
        <f>MAX(0,MIN(Inputs!$F$145,Time!T$6)-MAX(MAX(Inputs!$F$146,Inputs!$F$144),Time!T$5))/Time!T$7</f>
        <v/>
      </c>
      <c r="U1019" s="14">
        <f>MAX(0,MIN(Inputs!$F$145,Time!U$6)-MAX(MAX(Inputs!$F$146,Inputs!$F$144),Time!U$5))/Time!U$7</f>
        <v/>
      </c>
      <c r="V1019" s="14">
        <f>MAX(0,MIN(Inputs!$F$145,Time!V$6)-MAX(MAX(Inputs!$F$146,Inputs!$F$144),Time!V$5))/Time!V$7</f>
        <v/>
      </c>
      <c r="W1019" s="14">
        <f>MAX(0,MIN(Inputs!$F$145,Time!W$6)-MAX(MAX(Inputs!$F$146,Inputs!$F$144),Time!W$5))/Time!W$7</f>
        <v/>
      </c>
      <c r="X1019" s="14">
        <f>MAX(0,MIN(Inputs!$F$145,Time!X$6)-MAX(MAX(Inputs!$F$146,Inputs!$F$144),Time!X$5))/Time!X$7</f>
        <v/>
      </c>
      <c r="Y1019" s="14">
        <f>MAX(0,MIN(Inputs!$F$145,Time!Y$6)-MAX(MAX(Inputs!$F$146,Inputs!$F$144),Time!Y$5))/Time!Y$7</f>
        <v/>
      </c>
      <c r="Z1019" s="14">
        <f>MAX(0,MIN(Inputs!$F$145,Time!Z$6)-MAX(MAX(Inputs!$F$146,Inputs!$F$144),Time!Z$5))/Time!Z$7</f>
        <v/>
      </c>
      <c r="AA1019" s="14">
        <f>MAX(0,MIN(Inputs!$F$145,Time!AA$6)-MAX(MAX(Inputs!$F$146,Inputs!$F$144),Time!AA$5))/Time!AA$7</f>
        <v/>
      </c>
      <c r="AB1019" s="14">
        <f>MAX(0,MIN(Inputs!$F$145,Time!AB$6)-MAX(MAX(Inputs!$F$146,Inputs!$F$144),Time!AB$5))/Time!AB$7</f>
        <v/>
      </c>
      <c r="AC1019" s="14">
        <f>MAX(0,MIN(Inputs!$F$145,Time!AC$6)-MAX(MAX(Inputs!$F$146,Inputs!$F$144),Time!AC$5))/Time!AC$7</f>
        <v/>
      </c>
      <c r="AD1019" s="14">
        <f>MAX(0,MIN(Inputs!$F$145,Time!AD$6)-MAX(MAX(Inputs!$F$146,Inputs!$F$144),Time!AD$5))/Time!AD$7</f>
        <v/>
      </c>
      <c r="AE1019" s="14">
        <f>MAX(0,MIN(Inputs!$F$145,Time!AE$6)-MAX(MAX(Inputs!$F$146,Inputs!$F$144),Time!AE$5))/Time!AE$7</f>
        <v/>
      </c>
      <c r="AF1019" s="14">
        <f>MAX(0,MIN(Inputs!$F$145,Time!AF$6)-MAX(MAX(Inputs!$F$146,Inputs!$F$144),Time!AF$5))/Time!AF$7</f>
        <v/>
      </c>
      <c r="AG1019" s="14">
        <f>MAX(0,MIN(Inputs!$F$145,Time!AG$6)-MAX(MAX(Inputs!$F$146,Inputs!$F$144),Time!AG$5))/Time!AG$7</f>
        <v/>
      </c>
      <c r="AH1019" s="14">
        <f>MAX(0,MIN(Inputs!$F$145,Time!AH$6)-MAX(MAX(Inputs!$F$146,Inputs!$F$144),Time!AH$5))/Time!AH$7</f>
        <v/>
      </c>
      <c r="AI1019" s="14">
        <f>MAX(0,MIN(Inputs!$F$145,Time!AI$6)-MAX(MAX(Inputs!$F$146,Inputs!$F$144),Time!AI$5))/Time!AI$7</f>
        <v/>
      </c>
      <c r="AJ1019" s="14">
        <f>MAX(0,MIN(Inputs!$F$145,Time!AJ$6)-MAX(MAX(Inputs!$F$146,Inputs!$F$144),Time!AJ$5))/Time!AJ$7</f>
        <v/>
      </c>
      <c r="AK1019" s="14">
        <f>MAX(0,MIN(Inputs!$F$145,Time!AK$6)-MAX(MAX(Inputs!$F$146,Inputs!$F$144),Time!AK$5))/Time!AK$7</f>
        <v/>
      </c>
      <c r="AL1019" s="14">
        <f>MAX(0,MIN(Inputs!$F$145,Time!AL$6)-MAX(MAX(Inputs!$F$146,Inputs!$F$144),Time!AL$5))/Time!AL$7</f>
        <v/>
      </c>
      <c r="AM1019" s="14">
        <f>MAX(0,MIN(Inputs!$F$145,Time!AM$6)-MAX(MAX(Inputs!$F$146,Inputs!$F$144),Time!AM$5))/Time!AM$7</f>
        <v/>
      </c>
      <c r="AN1019" s="14">
        <f>MAX(0,MIN(Inputs!$F$145,Time!AN$6)-MAX(MAX(Inputs!$F$146,Inputs!$F$144),Time!AN$5))/Time!AN$7</f>
        <v/>
      </c>
      <c r="AO1019" s="14">
        <f>MAX(0,MIN(Inputs!$F$145,Time!AO$6)-MAX(MAX(Inputs!$F$146,Inputs!$F$144),Time!AO$5))/Time!AO$7</f>
        <v/>
      </c>
      <c r="AP1019" s="14">
        <f>MAX(0,MIN(Inputs!$F$145,Time!AP$6)-MAX(MAX(Inputs!$F$146,Inputs!$F$144),Time!AP$5))/Time!AP$7</f>
        <v/>
      </c>
      <c r="AQ1019" s="14">
        <f>MAX(0,MIN(Inputs!$F$145,Time!AQ$6)-MAX(MAX(Inputs!$F$146,Inputs!$F$144),Time!AQ$5))/Time!AQ$7</f>
        <v/>
      </c>
      <c r="AR1019" s="14">
        <f>MAX(0,MIN(Inputs!$F$145,Time!AR$6)-MAX(MAX(Inputs!$F$146,Inputs!$F$144),Time!AR$5))/Time!AR$7</f>
        <v/>
      </c>
      <c r="AS1019" s="14">
        <f>MAX(0,MIN(Inputs!$F$145,Time!AS$6)-MAX(MAX(Inputs!$F$146,Inputs!$F$144),Time!AS$5))/Time!AS$7</f>
        <v/>
      </c>
      <c r="AT1019" s="14">
        <f>MAX(0,MIN(Inputs!$F$145,Time!AT$6)-MAX(MAX(Inputs!$F$146,Inputs!$F$144),Time!AT$5))/Time!AT$7</f>
        <v/>
      </c>
      <c r="AU1019" s="14">
        <f>MAX(0,MIN(Inputs!$F$145,Time!AU$6)-MAX(MAX(Inputs!$F$146,Inputs!$F$144),Time!AU$5))/Time!AU$7</f>
        <v/>
      </c>
    </row>
    <row r="1020">
      <c r="D1020" t="inlineStr">
        <is>
          <t>R6 owned share of operating period</t>
        </is>
      </c>
      <c r="E1020" t="inlineStr">
        <is>
          <t>fraction</t>
        </is>
      </c>
      <c r="J1020" s="14">
        <f>IF(Operations!J1018&gt;0,Operations!J1019/Operations!J1018,0)</f>
        <v/>
      </c>
      <c r="K1020" s="14">
        <f>IF(Operations!K1018&gt;0,Operations!K1019/Operations!K1018,0)</f>
        <v/>
      </c>
      <c r="L1020" s="14">
        <f>IF(Operations!L1018&gt;0,Operations!L1019/Operations!L1018,0)</f>
        <v/>
      </c>
      <c r="M1020" s="14">
        <f>IF(Operations!M1018&gt;0,Operations!M1019/Operations!M1018,0)</f>
        <v/>
      </c>
      <c r="N1020" s="14">
        <f>IF(Operations!N1018&gt;0,Operations!N1019/Operations!N1018,0)</f>
        <v/>
      </c>
      <c r="O1020" s="14">
        <f>IF(Operations!O1018&gt;0,Operations!O1019/Operations!O1018,0)</f>
        <v/>
      </c>
      <c r="P1020" s="14">
        <f>IF(Operations!P1018&gt;0,Operations!P1019/Operations!P1018,0)</f>
        <v/>
      </c>
      <c r="Q1020" s="14">
        <f>IF(Operations!Q1018&gt;0,Operations!Q1019/Operations!Q1018,0)</f>
        <v/>
      </c>
      <c r="R1020" s="14">
        <f>IF(Operations!R1018&gt;0,Operations!R1019/Operations!R1018,0)</f>
        <v/>
      </c>
      <c r="S1020" s="14">
        <f>IF(Operations!S1018&gt;0,Operations!S1019/Operations!S1018,0)</f>
        <v/>
      </c>
      <c r="T1020" s="14">
        <f>IF(Operations!T1018&gt;0,Operations!T1019/Operations!T1018,0)</f>
        <v/>
      </c>
      <c r="U1020" s="14">
        <f>IF(Operations!U1018&gt;0,Operations!U1019/Operations!U1018,0)</f>
        <v/>
      </c>
      <c r="V1020" s="14">
        <f>IF(Operations!V1018&gt;0,Operations!V1019/Operations!V1018,0)</f>
        <v/>
      </c>
      <c r="W1020" s="14">
        <f>IF(Operations!W1018&gt;0,Operations!W1019/Operations!W1018,0)</f>
        <v/>
      </c>
      <c r="X1020" s="14">
        <f>IF(Operations!X1018&gt;0,Operations!X1019/Operations!X1018,0)</f>
        <v/>
      </c>
      <c r="Y1020" s="14">
        <f>IF(Operations!Y1018&gt;0,Operations!Y1019/Operations!Y1018,0)</f>
        <v/>
      </c>
      <c r="Z1020" s="14">
        <f>IF(Operations!Z1018&gt;0,Operations!Z1019/Operations!Z1018,0)</f>
        <v/>
      </c>
      <c r="AA1020" s="14">
        <f>IF(Operations!AA1018&gt;0,Operations!AA1019/Operations!AA1018,0)</f>
        <v/>
      </c>
      <c r="AB1020" s="14">
        <f>IF(Operations!AB1018&gt;0,Operations!AB1019/Operations!AB1018,0)</f>
        <v/>
      </c>
      <c r="AC1020" s="14">
        <f>IF(Operations!AC1018&gt;0,Operations!AC1019/Operations!AC1018,0)</f>
        <v/>
      </c>
      <c r="AD1020" s="14">
        <f>IF(Operations!AD1018&gt;0,Operations!AD1019/Operations!AD1018,0)</f>
        <v/>
      </c>
      <c r="AE1020" s="14">
        <f>IF(Operations!AE1018&gt;0,Operations!AE1019/Operations!AE1018,0)</f>
        <v/>
      </c>
      <c r="AF1020" s="14">
        <f>IF(Operations!AF1018&gt;0,Operations!AF1019/Operations!AF1018,0)</f>
        <v/>
      </c>
      <c r="AG1020" s="14">
        <f>IF(Operations!AG1018&gt;0,Operations!AG1019/Operations!AG1018,0)</f>
        <v/>
      </c>
      <c r="AH1020" s="14">
        <f>IF(Operations!AH1018&gt;0,Operations!AH1019/Operations!AH1018,0)</f>
        <v/>
      </c>
      <c r="AI1020" s="14">
        <f>IF(Operations!AI1018&gt;0,Operations!AI1019/Operations!AI1018,0)</f>
        <v/>
      </c>
      <c r="AJ1020" s="14">
        <f>IF(Operations!AJ1018&gt;0,Operations!AJ1019/Operations!AJ1018,0)</f>
        <v/>
      </c>
      <c r="AK1020" s="14">
        <f>IF(Operations!AK1018&gt;0,Operations!AK1019/Operations!AK1018,0)</f>
        <v/>
      </c>
      <c r="AL1020" s="14">
        <f>IF(Operations!AL1018&gt;0,Operations!AL1019/Operations!AL1018,0)</f>
        <v/>
      </c>
      <c r="AM1020" s="14">
        <f>IF(Operations!AM1018&gt;0,Operations!AM1019/Operations!AM1018,0)</f>
        <v/>
      </c>
      <c r="AN1020" s="14">
        <f>IF(Operations!AN1018&gt;0,Operations!AN1019/Operations!AN1018,0)</f>
        <v/>
      </c>
      <c r="AO1020" s="14">
        <f>IF(Operations!AO1018&gt;0,Operations!AO1019/Operations!AO1018,0)</f>
        <v/>
      </c>
      <c r="AP1020" s="14">
        <f>IF(Operations!AP1018&gt;0,Operations!AP1019/Operations!AP1018,0)</f>
        <v/>
      </c>
      <c r="AQ1020" s="14">
        <f>IF(Operations!AQ1018&gt;0,Operations!AQ1019/Operations!AQ1018,0)</f>
        <v/>
      </c>
      <c r="AR1020" s="14">
        <f>IF(Operations!AR1018&gt;0,Operations!AR1019/Operations!AR1018,0)</f>
        <v/>
      </c>
      <c r="AS1020" s="14">
        <f>IF(Operations!AS1018&gt;0,Operations!AS1019/Operations!AS1018,0)</f>
        <v/>
      </c>
      <c r="AT1020" s="14">
        <f>IF(Operations!AT1018&gt;0,Operations!AT1019/Operations!AT1018,0)</f>
        <v/>
      </c>
      <c r="AU1020" s="14">
        <f>IF(Operations!AU1018&gt;0,Operations!AU1019/Operations!AU1018,0)</f>
        <v/>
      </c>
    </row>
    <row r="1021">
      <c r="D1021" t="inlineStr">
        <is>
          <t>R6 own hub ATC</t>
        </is>
      </c>
      <c r="E1021" t="inlineStr">
        <is>
          <t>USD/MWh</t>
        </is>
      </c>
      <c r="J1021" s="18">
        <f>Operations!J794</f>
        <v/>
      </c>
      <c r="K1021" s="18">
        <f>Operations!K794</f>
        <v/>
      </c>
      <c r="L1021" s="18">
        <f>Operations!L794</f>
        <v/>
      </c>
      <c r="M1021" s="18">
        <f>Operations!M794</f>
        <v/>
      </c>
      <c r="N1021" s="18">
        <f>Operations!N794</f>
        <v/>
      </c>
      <c r="O1021" s="18">
        <f>Operations!O794</f>
        <v/>
      </c>
      <c r="P1021" s="18">
        <f>Operations!P794</f>
        <v/>
      </c>
      <c r="Q1021" s="18">
        <f>Operations!Q794</f>
        <v/>
      </c>
      <c r="R1021" s="18">
        <f>Operations!R794</f>
        <v/>
      </c>
      <c r="S1021" s="18">
        <f>Operations!S794</f>
        <v/>
      </c>
      <c r="T1021" s="18">
        <f>Operations!T794</f>
        <v/>
      </c>
      <c r="U1021" s="18">
        <f>Operations!U794</f>
        <v/>
      </c>
      <c r="V1021" s="18">
        <f>Operations!V794</f>
        <v/>
      </c>
      <c r="W1021" s="18">
        <f>Operations!W794</f>
        <v/>
      </c>
      <c r="X1021" s="18">
        <f>Operations!X794</f>
        <v/>
      </c>
      <c r="Y1021" s="18">
        <f>Operations!Y794</f>
        <v/>
      </c>
      <c r="Z1021" s="18">
        <f>Operations!Z794</f>
        <v/>
      </c>
      <c r="AA1021" s="18">
        <f>Operations!AA794</f>
        <v/>
      </c>
      <c r="AB1021" s="18">
        <f>Operations!AB794</f>
        <v/>
      </c>
      <c r="AC1021" s="18">
        <f>Operations!AC794</f>
        <v/>
      </c>
      <c r="AD1021" s="18">
        <f>Operations!AD794</f>
        <v/>
      </c>
      <c r="AE1021" s="18">
        <f>Operations!AE794</f>
        <v/>
      </c>
      <c r="AF1021" s="18">
        <f>Operations!AF794</f>
        <v/>
      </c>
      <c r="AG1021" s="18">
        <f>Operations!AG794</f>
        <v/>
      </c>
      <c r="AH1021" s="18">
        <f>Operations!AH794</f>
        <v/>
      </c>
      <c r="AI1021" s="18">
        <f>Operations!AI794</f>
        <v/>
      </c>
      <c r="AJ1021" s="18">
        <f>Operations!AJ794</f>
        <v/>
      </c>
      <c r="AK1021" s="18">
        <f>Operations!AK794</f>
        <v/>
      </c>
      <c r="AL1021" s="18">
        <f>Operations!AL794</f>
        <v/>
      </c>
      <c r="AM1021" s="18">
        <f>Operations!AM794</f>
        <v/>
      </c>
      <c r="AN1021" s="18">
        <f>Operations!AN794</f>
        <v/>
      </c>
      <c r="AO1021" s="18">
        <f>Operations!AO794</f>
        <v/>
      </c>
      <c r="AP1021" s="18">
        <f>Operations!AP794</f>
        <v/>
      </c>
      <c r="AQ1021" s="18">
        <f>Operations!AQ794</f>
        <v/>
      </c>
      <c r="AR1021" s="18">
        <f>Operations!AR794</f>
        <v/>
      </c>
      <c r="AS1021" s="18">
        <f>Operations!AS794</f>
        <v/>
      </c>
      <c r="AT1021" s="18">
        <f>Operations!AT794</f>
        <v/>
      </c>
      <c r="AU1021" s="18">
        <f>Operations!AU794</f>
        <v/>
      </c>
    </row>
    <row r="1022">
      <c r="D1022" t="inlineStr">
        <is>
          <t>R6 toll term fraction</t>
        </is>
      </c>
      <c r="E1022" t="inlineStr">
        <is>
          <t>fraction</t>
        </is>
      </c>
      <c r="J1022" s="14">
        <f>MAX(0,MIN(Inputs!$F$209,Time!J$6)-MAX(Inputs!$F$208,Time!J$5))/Time!J$7</f>
        <v/>
      </c>
      <c r="K1022" s="14">
        <f>MAX(0,MIN(Inputs!$F$209,Time!K$6)-MAX(Inputs!$F$208,Time!K$5))/Time!K$7</f>
        <v/>
      </c>
      <c r="L1022" s="14">
        <f>MAX(0,MIN(Inputs!$F$209,Time!L$6)-MAX(Inputs!$F$208,Time!L$5))/Time!L$7</f>
        <v/>
      </c>
      <c r="M1022" s="14">
        <f>MAX(0,MIN(Inputs!$F$209,Time!M$6)-MAX(Inputs!$F$208,Time!M$5))/Time!M$7</f>
        <v/>
      </c>
      <c r="N1022" s="14">
        <f>MAX(0,MIN(Inputs!$F$209,Time!N$6)-MAX(Inputs!$F$208,Time!N$5))/Time!N$7</f>
        <v/>
      </c>
      <c r="O1022" s="14">
        <f>MAX(0,MIN(Inputs!$F$209,Time!O$6)-MAX(Inputs!$F$208,Time!O$5))/Time!O$7</f>
        <v/>
      </c>
      <c r="P1022" s="14">
        <f>MAX(0,MIN(Inputs!$F$209,Time!P$6)-MAX(Inputs!$F$208,Time!P$5))/Time!P$7</f>
        <v/>
      </c>
      <c r="Q1022" s="14">
        <f>MAX(0,MIN(Inputs!$F$209,Time!Q$6)-MAX(Inputs!$F$208,Time!Q$5))/Time!Q$7</f>
        <v/>
      </c>
      <c r="R1022" s="14">
        <f>MAX(0,MIN(Inputs!$F$209,Time!R$6)-MAX(Inputs!$F$208,Time!R$5))/Time!R$7</f>
        <v/>
      </c>
      <c r="S1022" s="14">
        <f>MAX(0,MIN(Inputs!$F$209,Time!S$6)-MAX(Inputs!$F$208,Time!S$5))/Time!S$7</f>
        <v/>
      </c>
      <c r="T1022" s="14">
        <f>MAX(0,MIN(Inputs!$F$209,Time!T$6)-MAX(Inputs!$F$208,Time!T$5))/Time!T$7</f>
        <v/>
      </c>
      <c r="U1022" s="14">
        <f>MAX(0,MIN(Inputs!$F$209,Time!U$6)-MAX(Inputs!$F$208,Time!U$5))/Time!U$7</f>
        <v/>
      </c>
      <c r="V1022" s="14">
        <f>MAX(0,MIN(Inputs!$F$209,Time!V$6)-MAX(Inputs!$F$208,Time!V$5))/Time!V$7</f>
        <v/>
      </c>
      <c r="W1022" s="14">
        <f>MAX(0,MIN(Inputs!$F$209,Time!W$6)-MAX(Inputs!$F$208,Time!W$5))/Time!W$7</f>
        <v/>
      </c>
      <c r="X1022" s="14">
        <f>MAX(0,MIN(Inputs!$F$209,Time!X$6)-MAX(Inputs!$F$208,Time!X$5))/Time!X$7</f>
        <v/>
      </c>
      <c r="Y1022" s="14">
        <f>MAX(0,MIN(Inputs!$F$209,Time!Y$6)-MAX(Inputs!$F$208,Time!Y$5))/Time!Y$7</f>
        <v/>
      </c>
      <c r="Z1022" s="14">
        <f>MAX(0,MIN(Inputs!$F$209,Time!Z$6)-MAX(Inputs!$F$208,Time!Z$5))/Time!Z$7</f>
        <v/>
      </c>
      <c r="AA1022" s="14">
        <f>MAX(0,MIN(Inputs!$F$209,Time!AA$6)-MAX(Inputs!$F$208,Time!AA$5))/Time!AA$7</f>
        <v/>
      </c>
      <c r="AB1022" s="14">
        <f>MAX(0,MIN(Inputs!$F$209,Time!AB$6)-MAX(Inputs!$F$208,Time!AB$5))/Time!AB$7</f>
        <v/>
      </c>
      <c r="AC1022" s="14">
        <f>MAX(0,MIN(Inputs!$F$209,Time!AC$6)-MAX(Inputs!$F$208,Time!AC$5))/Time!AC$7</f>
        <v/>
      </c>
      <c r="AD1022" s="14">
        <f>MAX(0,MIN(Inputs!$F$209,Time!AD$6)-MAX(Inputs!$F$208,Time!AD$5))/Time!AD$7</f>
        <v/>
      </c>
      <c r="AE1022" s="14">
        <f>MAX(0,MIN(Inputs!$F$209,Time!AE$6)-MAX(Inputs!$F$208,Time!AE$5))/Time!AE$7</f>
        <v/>
      </c>
      <c r="AF1022" s="14">
        <f>MAX(0,MIN(Inputs!$F$209,Time!AF$6)-MAX(Inputs!$F$208,Time!AF$5))/Time!AF$7</f>
        <v/>
      </c>
      <c r="AG1022" s="14">
        <f>MAX(0,MIN(Inputs!$F$209,Time!AG$6)-MAX(Inputs!$F$208,Time!AG$5))/Time!AG$7</f>
        <v/>
      </c>
      <c r="AH1022" s="14">
        <f>MAX(0,MIN(Inputs!$F$209,Time!AH$6)-MAX(Inputs!$F$208,Time!AH$5))/Time!AH$7</f>
        <v/>
      </c>
      <c r="AI1022" s="14">
        <f>MAX(0,MIN(Inputs!$F$209,Time!AI$6)-MAX(Inputs!$F$208,Time!AI$5))/Time!AI$7</f>
        <v/>
      </c>
      <c r="AJ1022" s="14">
        <f>MAX(0,MIN(Inputs!$F$209,Time!AJ$6)-MAX(Inputs!$F$208,Time!AJ$5))/Time!AJ$7</f>
        <v/>
      </c>
      <c r="AK1022" s="14">
        <f>MAX(0,MIN(Inputs!$F$209,Time!AK$6)-MAX(Inputs!$F$208,Time!AK$5))/Time!AK$7</f>
        <v/>
      </c>
      <c r="AL1022" s="14">
        <f>MAX(0,MIN(Inputs!$F$209,Time!AL$6)-MAX(Inputs!$F$208,Time!AL$5))/Time!AL$7</f>
        <v/>
      </c>
      <c r="AM1022" s="14">
        <f>MAX(0,MIN(Inputs!$F$209,Time!AM$6)-MAX(Inputs!$F$208,Time!AM$5))/Time!AM$7</f>
        <v/>
      </c>
      <c r="AN1022" s="14">
        <f>MAX(0,MIN(Inputs!$F$209,Time!AN$6)-MAX(Inputs!$F$208,Time!AN$5))/Time!AN$7</f>
        <v/>
      </c>
      <c r="AO1022" s="14">
        <f>MAX(0,MIN(Inputs!$F$209,Time!AO$6)-MAX(Inputs!$F$208,Time!AO$5))/Time!AO$7</f>
        <v/>
      </c>
      <c r="AP1022" s="14">
        <f>MAX(0,MIN(Inputs!$F$209,Time!AP$6)-MAX(Inputs!$F$208,Time!AP$5))/Time!AP$7</f>
        <v/>
      </c>
      <c r="AQ1022" s="14">
        <f>MAX(0,MIN(Inputs!$F$209,Time!AQ$6)-MAX(Inputs!$F$208,Time!AQ$5))/Time!AQ$7</f>
        <v/>
      </c>
      <c r="AR1022" s="14">
        <f>MAX(0,MIN(Inputs!$F$209,Time!AR$6)-MAX(Inputs!$F$208,Time!AR$5))/Time!AR$7</f>
        <v/>
      </c>
      <c r="AS1022" s="14">
        <f>MAX(0,MIN(Inputs!$F$209,Time!AS$6)-MAX(Inputs!$F$208,Time!AS$5))/Time!AS$7</f>
        <v/>
      </c>
      <c r="AT1022" s="14">
        <f>MAX(0,MIN(Inputs!$F$209,Time!AT$6)-MAX(Inputs!$F$208,Time!AT$5))/Time!AT$7</f>
        <v/>
      </c>
      <c r="AU1022" s="14">
        <f>MAX(0,MIN(Inputs!$F$209,Time!AU$6)-MAX(Inputs!$F$208,Time!AU$5))/Time!AU$7</f>
        <v/>
      </c>
    </row>
    <row r="1023">
      <c r="D1023" t="inlineStr">
        <is>
          <t>R6 toll revenue</t>
        </is>
      </c>
      <c r="E1023" t="inlineStr">
        <is>
          <t>USD m</t>
        </is>
      </c>
      <c r="G1023" s="20">
        <f>SUM(J1023:AU1023)</f>
        <v/>
      </c>
      <c r="J1023" s="20">
        <f>Inputs!$F$206*Inputs!$F$207*Inputs!$F$143/1000*Operations!J1022*(1-MAX(0,Inputs!$F$210-Inputs!$F$150)/100)</f>
        <v/>
      </c>
      <c r="K1023" s="20">
        <f>Inputs!$F$206*Inputs!$F$207*Inputs!$F$143/1000*Operations!K1022*(1-MAX(0,Inputs!$F$210-Inputs!$F$150)/100)</f>
        <v/>
      </c>
      <c r="L1023" s="20">
        <f>Inputs!$F$206*Inputs!$F$207*Inputs!$F$143/1000*Operations!L1022*(1-MAX(0,Inputs!$F$210-Inputs!$F$150)/100)</f>
        <v/>
      </c>
      <c r="M1023" s="20">
        <f>Inputs!$F$206*Inputs!$F$207*Inputs!$F$143/1000*Operations!M1022*(1-MAX(0,Inputs!$F$210-Inputs!$F$150)/100)</f>
        <v/>
      </c>
      <c r="N1023" s="20">
        <f>Inputs!$F$206*Inputs!$F$207*Inputs!$F$143/1000*Operations!N1022*(1-MAX(0,Inputs!$F$210-Inputs!$F$150)/100)</f>
        <v/>
      </c>
      <c r="O1023" s="20">
        <f>Inputs!$F$206*Inputs!$F$207*Inputs!$F$143/1000*Operations!O1022*(1-MAX(0,Inputs!$F$210-Inputs!$F$150)/100)</f>
        <v/>
      </c>
      <c r="P1023" s="20">
        <f>Inputs!$F$206*Inputs!$F$207*Inputs!$F$143/1000*Operations!P1022*(1-MAX(0,Inputs!$F$210-Inputs!$F$150)/100)</f>
        <v/>
      </c>
      <c r="Q1023" s="20">
        <f>Inputs!$F$206*Inputs!$F$207*Inputs!$F$143/1000*Operations!Q1022*(1-MAX(0,Inputs!$F$210-Inputs!$F$150)/100)</f>
        <v/>
      </c>
      <c r="R1023" s="20">
        <f>Inputs!$F$206*Inputs!$F$207*Inputs!$F$143/1000*Operations!R1022*(1-MAX(0,Inputs!$F$210-Inputs!$F$150)/100)</f>
        <v/>
      </c>
      <c r="S1023" s="20">
        <f>Inputs!$F$206*Inputs!$F$207*Inputs!$F$143/1000*Operations!S1022*(1-MAX(0,Inputs!$F$210-Inputs!$F$150)/100)</f>
        <v/>
      </c>
      <c r="T1023" s="20">
        <f>Inputs!$F$206*Inputs!$F$207*Inputs!$F$143/1000*Operations!T1022*(1-MAX(0,Inputs!$F$210-Inputs!$F$150)/100)</f>
        <v/>
      </c>
      <c r="U1023" s="20">
        <f>Inputs!$F$206*Inputs!$F$207*Inputs!$F$143/1000*Operations!U1022*(1-MAX(0,Inputs!$F$210-Inputs!$F$150)/100)</f>
        <v/>
      </c>
      <c r="V1023" s="20">
        <f>Inputs!$F$206*Inputs!$F$207*Inputs!$F$143/1000*Operations!V1022*(1-MAX(0,Inputs!$F$210-Inputs!$F$150)/100)</f>
        <v/>
      </c>
      <c r="W1023" s="20">
        <f>Inputs!$F$206*Inputs!$F$207*Inputs!$F$143/1000*Operations!W1022*(1-MAX(0,Inputs!$F$210-Inputs!$F$150)/100)</f>
        <v/>
      </c>
      <c r="X1023" s="20">
        <f>Inputs!$F$206*Inputs!$F$207*Inputs!$F$143/1000*Operations!X1022*(1-MAX(0,Inputs!$F$210-Inputs!$F$150)/100)</f>
        <v/>
      </c>
      <c r="Y1023" s="20">
        <f>Inputs!$F$206*Inputs!$F$207*Inputs!$F$143/1000*Operations!Y1022*(1-MAX(0,Inputs!$F$210-Inputs!$F$150)/100)</f>
        <v/>
      </c>
      <c r="Z1023" s="20">
        <f>Inputs!$F$206*Inputs!$F$207*Inputs!$F$143/1000*Operations!Z1022*(1-MAX(0,Inputs!$F$210-Inputs!$F$150)/100)</f>
        <v/>
      </c>
      <c r="AA1023" s="20">
        <f>Inputs!$F$206*Inputs!$F$207*Inputs!$F$143/1000*Operations!AA1022*(1-MAX(0,Inputs!$F$210-Inputs!$F$150)/100)</f>
        <v/>
      </c>
      <c r="AB1023" s="20">
        <f>Inputs!$F$206*Inputs!$F$207*Inputs!$F$143/1000*Operations!AB1022*(1-MAX(0,Inputs!$F$210-Inputs!$F$150)/100)</f>
        <v/>
      </c>
      <c r="AC1023" s="20">
        <f>Inputs!$F$206*Inputs!$F$207*Inputs!$F$143/1000*Operations!AC1022*(1-MAX(0,Inputs!$F$210-Inputs!$F$150)/100)</f>
        <v/>
      </c>
      <c r="AD1023" s="20">
        <f>Inputs!$F$206*Inputs!$F$207*Inputs!$F$143/1000*Operations!AD1022*(1-MAX(0,Inputs!$F$210-Inputs!$F$150)/100)</f>
        <v/>
      </c>
      <c r="AE1023" s="20">
        <f>Inputs!$F$206*Inputs!$F$207*Inputs!$F$143/1000*Operations!AE1022*(1-MAX(0,Inputs!$F$210-Inputs!$F$150)/100)</f>
        <v/>
      </c>
      <c r="AF1023" s="20">
        <f>Inputs!$F$206*Inputs!$F$207*Inputs!$F$143/1000*Operations!AF1022*(1-MAX(0,Inputs!$F$210-Inputs!$F$150)/100)</f>
        <v/>
      </c>
      <c r="AG1023" s="20">
        <f>Inputs!$F$206*Inputs!$F$207*Inputs!$F$143/1000*Operations!AG1022*(1-MAX(0,Inputs!$F$210-Inputs!$F$150)/100)</f>
        <v/>
      </c>
      <c r="AH1023" s="20">
        <f>Inputs!$F$206*Inputs!$F$207*Inputs!$F$143/1000*Operations!AH1022*(1-MAX(0,Inputs!$F$210-Inputs!$F$150)/100)</f>
        <v/>
      </c>
      <c r="AI1023" s="20">
        <f>Inputs!$F$206*Inputs!$F$207*Inputs!$F$143/1000*Operations!AI1022*(1-MAX(0,Inputs!$F$210-Inputs!$F$150)/100)</f>
        <v/>
      </c>
      <c r="AJ1023" s="20">
        <f>Inputs!$F$206*Inputs!$F$207*Inputs!$F$143/1000*Operations!AJ1022*(1-MAX(0,Inputs!$F$210-Inputs!$F$150)/100)</f>
        <v/>
      </c>
      <c r="AK1023" s="20">
        <f>Inputs!$F$206*Inputs!$F$207*Inputs!$F$143/1000*Operations!AK1022*(1-MAX(0,Inputs!$F$210-Inputs!$F$150)/100)</f>
        <v/>
      </c>
      <c r="AL1023" s="20">
        <f>Inputs!$F$206*Inputs!$F$207*Inputs!$F$143/1000*Operations!AL1022*(1-MAX(0,Inputs!$F$210-Inputs!$F$150)/100)</f>
        <v/>
      </c>
      <c r="AM1023" s="20">
        <f>Inputs!$F$206*Inputs!$F$207*Inputs!$F$143/1000*Operations!AM1022*(1-MAX(0,Inputs!$F$210-Inputs!$F$150)/100)</f>
        <v/>
      </c>
      <c r="AN1023" s="20">
        <f>Inputs!$F$206*Inputs!$F$207*Inputs!$F$143/1000*Operations!AN1022*(1-MAX(0,Inputs!$F$210-Inputs!$F$150)/100)</f>
        <v/>
      </c>
      <c r="AO1023" s="20">
        <f>Inputs!$F$206*Inputs!$F$207*Inputs!$F$143/1000*Operations!AO1022*(1-MAX(0,Inputs!$F$210-Inputs!$F$150)/100)</f>
        <v/>
      </c>
      <c r="AP1023" s="20">
        <f>Inputs!$F$206*Inputs!$F$207*Inputs!$F$143/1000*Operations!AP1022*(1-MAX(0,Inputs!$F$210-Inputs!$F$150)/100)</f>
        <v/>
      </c>
      <c r="AQ1023" s="20">
        <f>Inputs!$F$206*Inputs!$F$207*Inputs!$F$143/1000*Operations!AQ1022*(1-MAX(0,Inputs!$F$210-Inputs!$F$150)/100)</f>
        <v/>
      </c>
      <c r="AR1023" s="20">
        <f>Inputs!$F$206*Inputs!$F$207*Inputs!$F$143/1000*Operations!AR1022*(1-MAX(0,Inputs!$F$210-Inputs!$F$150)/100)</f>
        <v/>
      </c>
      <c r="AS1023" s="20">
        <f>Inputs!$F$206*Inputs!$F$207*Inputs!$F$143/1000*Operations!AS1022*(1-MAX(0,Inputs!$F$210-Inputs!$F$150)/100)</f>
        <v/>
      </c>
      <c r="AT1023" s="20">
        <f>Inputs!$F$206*Inputs!$F$207*Inputs!$F$143/1000*Operations!AT1022*(1-MAX(0,Inputs!$F$210-Inputs!$F$150)/100)</f>
        <v/>
      </c>
      <c r="AU1023" s="20">
        <f>Inputs!$F$206*Inputs!$F$207*Inputs!$F$143/1000*Operations!AU1022*(1-MAX(0,Inputs!$F$210-Inputs!$F$150)/100)</f>
        <v/>
      </c>
    </row>
    <row r="1024">
      <c r="D1024" t="inlineStr">
        <is>
          <t>R6 merchant revenue after toll</t>
        </is>
      </c>
      <c r="E1024" t="inlineStr">
        <is>
          <t>USD m</t>
        </is>
      </c>
      <c r="G1024" s="20">
        <f>SUM(J1024:AU1024)</f>
        <v/>
      </c>
      <c r="J1024" s="20">
        <f>Operations!J798*Inputs!$F$143/1000*Inputs!$F$150/100*(Operations!J1018-Operations!J1022)</f>
        <v/>
      </c>
      <c r="K1024" s="20">
        <f>Operations!K798*Inputs!$F$143/1000*Inputs!$F$150/100*(Operations!K1018-Operations!K1022)</f>
        <v/>
      </c>
      <c r="L1024" s="20">
        <f>Operations!L798*Inputs!$F$143/1000*Inputs!$F$150/100*(Operations!L1018-Operations!L1022)</f>
        <v/>
      </c>
      <c r="M1024" s="20">
        <f>Operations!M798*Inputs!$F$143/1000*Inputs!$F$150/100*(Operations!M1018-Operations!M1022)</f>
        <v/>
      </c>
      <c r="N1024" s="20">
        <f>Operations!N798*Inputs!$F$143/1000*Inputs!$F$150/100*(Operations!N1018-Operations!N1022)</f>
        <v/>
      </c>
      <c r="O1024" s="20">
        <f>Operations!O798*Inputs!$F$143/1000*Inputs!$F$150/100*(Operations!O1018-Operations!O1022)</f>
        <v/>
      </c>
      <c r="P1024" s="20">
        <f>Operations!P798*Inputs!$F$143/1000*Inputs!$F$150/100*(Operations!P1018-Operations!P1022)</f>
        <v/>
      </c>
      <c r="Q1024" s="20">
        <f>Operations!Q798*Inputs!$F$143/1000*Inputs!$F$150/100*(Operations!Q1018-Operations!Q1022)</f>
        <v/>
      </c>
      <c r="R1024" s="20">
        <f>Operations!R798*Inputs!$F$143/1000*Inputs!$F$150/100*(Operations!R1018-Operations!R1022)</f>
        <v/>
      </c>
      <c r="S1024" s="20">
        <f>Operations!S798*Inputs!$F$143/1000*Inputs!$F$150/100*(Operations!S1018-Operations!S1022)</f>
        <v/>
      </c>
      <c r="T1024" s="20">
        <f>Operations!T798*Inputs!$F$143/1000*Inputs!$F$150/100*(Operations!T1018-Operations!T1022)</f>
        <v/>
      </c>
      <c r="U1024" s="20">
        <f>Operations!U798*Inputs!$F$143/1000*Inputs!$F$150/100*(Operations!U1018-Operations!U1022)</f>
        <v/>
      </c>
      <c r="V1024" s="20">
        <f>Operations!V798*Inputs!$F$143/1000*Inputs!$F$150/100*(Operations!V1018-Operations!V1022)</f>
        <v/>
      </c>
      <c r="W1024" s="20">
        <f>Operations!W798*Inputs!$F$143/1000*Inputs!$F$150/100*(Operations!W1018-Operations!W1022)</f>
        <v/>
      </c>
      <c r="X1024" s="20">
        <f>Operations!X798*Inputs!$F$143/1000*Inputs!$F$150/100*(Operations!X1018-Operations!X1022)</f>
        <v/>
      </c>
      <c r="Y1024" s="20">
        <f>Operations!Y798*Inputs!$F$143/1000*Inputs!$F$150/100*(Operations!Y1018-Operations!Y1022)</f>
        <v/>
      </c>
      <c r="Z1024" s="20">
        <f>Operations!Z798*Inputs!$F$143/1000*Inputs!$F$150/100*(Operations!Z1018-Operations!Z1022)</f>
        <v/>
      </c>
      <c r="AA1024" s="20">
        <f>Operations!AA798*Inputs!$F$143/1000*Inputs!$F$150/100*(Operations!AA1018-Operations!AA1022)</f>
        <v/>
      </c>
      <c r="AB1024" s="20">
        <f>Operations!AB798*Inputs!$F$143/1000*Inputs!$F$150/100*(Operations!AB1018-Operations!AB1022)</f>
        <v/>
      </c>
      <c r="AC1024" s="20">
        <f>Operations!AC798*Inputs!$F$143/1000*Inputs!$F$150/100*(Operations!AC1018-Operations!AC1022)</f>
        <v/>
      </c>
      <c r="AD1024" s="20">
        <f>Operations!AD798*Inputs!$F$143/1000*Inputs!$F$150/100*(Operations!AD1018-Operations!AD1022)</f>
        <v/>
      </c>
      <c r="AE1024" s="20">
        <f>Operations!AE798*Inputs!$F$143/1000*Inputs!$F$150/100*(Operations!AE1018-Operations!AE1022)</f>
        <v/>
      </c>
      <c r="AF1024" s="20">
        <f>Operations!AF798*Inputs!$F$143/1000*Inputs!$F$150/100*(Operations!AF1018-Operations!AF1022)</f>
        <v/>
      </c>
      <c r="AG1024" s="20">
        <f>Operations!AG798*Inputs!$F$143/1000*Inputs!$F$150/100*(Operations!AG1018-Operations!AG1022)</f>
        <v/>
      </c>
      <c r="AH1024" s="20">
        <f>Operations!AH798*Inputs!$F$143/1000*Inputs!$F$150/100*(Operations!AH1018-Operations!AH1022)</f>
        <v/>
      </c>
      <c r="AI1024" s="20">
        <f>Operations!AI798*Inputs!$F$143/1000*Inputs!$F$150/100*(Operations!AI1018-Operations!AI1022)</f>
        <v/>
      </c>
      <c r="AJ1024" s="20">
        <f>Operations!AJ798*Inputs!$F$143/1000*Inputs!$F$150/100*(Operations!AJ1018-Operations!AJ1022)</f>
        <v/>
      </c>
      <c r="AK1024" s="20">
        <f>Operations!AK798*Inputs!$F$143/1000*Inputs!$F$150/100*(Operations!AK1018-Operations!AK1022)</f>
        <v/>
      </c>
      <c r="AL1024" s="20">
        <f>Operations!AL798*Inputs!$F$143/1000*Inputs!$F$150/100*(Operations!AL1018-Operations!AL1022)</f>
        <v/>
      </c>
      <c r="AM1024" s="20">
        <f>Operations!AM798*Inputs!$F$143/1000*Inputs!$F$150/100*(Operations!AM1018-Operations!AM1022)</f>
        <v/>
      </c>
      <c r="AN1024" s="20">
        <f>Operations!AN798*Inputs!$F$143/1000*Inputs!$F$150/100*(Operations!AN1018-Operations!AN1022)</f>
        <v/>
      </c>
      <c r="AO1024" s="20">
        <f>Operations!AO798*Inputs!$F$143/1000*Inputs!$F$150/100*(Operations!AO1018-Operations!AO1022)</f>
        <v/>
      </c>
      <c r="AP1024" s="20">
        <f>Operations!AP798*Inputs!$F$143/1000*Inputs!$F$150/100*(Operations!AP1018-Operations!AP1022)</f>
        <v/>
      </c>
      <c r="AQ1024" s="20">
        <f>Operations!AQ798*Inputs!$F$143/1000*Inputs!$F$150/100*(Operations!AQ1018-Operations!AQ1022)</f>
        <v/>
      </c>
      <c r="AR1024" s="20">
        <f>Operations!AR798*Inputs!$F$143/1000*Inputs!$F$150/100*(Operations!AR1018-Operations!AR1022)</f>
        <v/>
      </c>
      <c r="AS1024" s="20">
        <f>Operations!AS798*Inputs!$F$143/1000*Inputs!$F$150/100*(Operations!AS1018-Operations!AS1022)</f>
        <v/>
      </c>
      <c r="AT1024" s="20">
        <f>Operations!AT798*Inputs!$F$143/1000*Inputs!$F$150/100*(Operations!AT1018-Operations!AT1022)</f>
        <v/>
      </c>
      <c r="AU1024" s="20">
        <f>Operations!AU798*Inputs!$F$143/1000*Inputs!$F$150/100*(Operations!AU1018-Operations!AU1022)</f>
        <v/>
      </c>
    </row>
    <row r="1025">
      <c r="D1025" t="inlineStr">
        <is>
          <t>R6 contracted revenue (toll)</t>
        </is>
      </c>
      <c r="E1025" t="inlineStr">
        <is>
          <t>USD m</t>
        </is>
      </c>
      <c r="J1025" s="20">
        <f>Operations!J1023</f>
        <v/>
      </c>
      <c r="K1025" s="20">
        <f>Operations!K1023</f>
        <v/>
      </c>
      <c r="L1025" s="20">
        <f>Operations!L1023</f>
        <v/>
      </c>
      <c r="M1025" s="20">
        <f>Operations!M1023</f>
        <v/>
      </c>
      <c r="N1025" s="20">
        <f>Operations!N1023</f>
        <v/>
      </c>
      <c r="O1025" s="20">
        <f>Operations!O1023</f>
        <v/>
      </c>
      <c r="P1025" s="20">
        <f>Operations!P1023</f>
        <v/>
      </c>
      <c r="Q1025" s="20">
        <f>Operations!Q1023</f>
        <v/>
      </c>
      <c r="R1025" s="20">
        <f>Operations!R1023</f>
        <v/>
      </c>
      <c r="S1025" s="20">
        <f>Operations!S1023</f>
        <v/>
      </c>
      <c r="T1025" s="20">
        <f>Operations!T1023</f>
        <v/>
      </c>
      <c r="U1025" s="20">
        <f>Operations!U1023</f>
        <v/>
      </c>
      <c r="V1025" s="20">
        <f>Operations!V1023</f>
        <v/>
      </c>
      <c r="W1025" s="20">
        <f>Operations!W1023</f>
        <v/>
      </c>
      <c r="X1025" s="20">
        <f>Operations!X1023</f>
        <v/>
      </c>
      <c r="Y1025" s="20">
        <f>Operations!Y1023</f>
        <v/>
      </c>
      <c r="Z1025" s="20">
        <f>Operations!Z1023</f>
        <v/>
      </c>
      <c r="AA1025" s="20">
        <f>Operations!AA1023</f>
        <v/>
      </c>
      <c r="AB1025" s="20">
        <f>Operations!AB1023</f>
        <v/>
      </c>
      <c r="AC1025" s="20">
        <f>Operations!AC1023</f>
        <v/>
      </c>
      <c r="AD1025" s="20">
        <f>Operations!AD1023</f>
        <v/>
      </c>
      <c r="AE1025" s="20">
        <f>Operations!AE1023</f>
        <v/>
      </c>
      <c r="AF1025" s="20">
        <f>Operations!AF1023</f>
        <v/>
      </c>
      <c r="AG1025" s="20">
        <f>Operations!AG1023</f>
        <v/>
      </c>
      <c r="AH1025" s="20">
        <f>Operations!AH1023</f>
        <v/>
      </c>
      <c r="AI1025" s="20">
        <f>Operations!AI1023</f>
        <v/>
      </c>
      <c r="AJ1025" s="20">
        <f>Operations!AJ1023</f>
        <v/>
      </c>
      <c r="AK1025" s="20">
        <f>Operations!AK1023</f>
        <v/>
      </c>
      <c r="AL1025" s="20">
        <f>Operations!AL1023</f>
        <v/>
      </c>
      <c r="AM1025" s="20">
        <f>Operations!AM1023</f>
        <v/>
      </c>
      <c r="AN1025" s="20">
        <f>Operations!AN1023</f>
        <v/>
      </c>
      <c r="AO1025" s="20">
        <f>Operations!AO1023</f>
        <v/>
      </c>
      <c r="AP1025" s="20">
        <f>Operations!AP1023</f>
        <v/>
      </c>
      <c r="AQ1025" s="20">
        <f>Operations!AQ1023</f>
        <v/>
      </c>
      <c r="AR1025" s="20">
        <f>Operations!AR1023</f>
        <v/>
      </c>
      <c r="AS1025" s="20">
        <f>Operations!AS1023</f>
        <v/>
      </c>
      <c r="AT1025" s="20">
        <f>Operations!AT1023</f>
        <v/>
      </c>
      <c r="AU1025" s="20">
        <f>Operations!AU1023</f>
        <v/>
      </c>
    </row>
    <row r="1026">
      <c r="D1026" t="inlineStr">
        <is>
          <t>R6 hedged revenue</t>
        </is>
      </c>
      <c r="E1026" t="inlineStr">
        <is>
          <t>USD m</t>
        </is>
      </c>
      <c r="J1026" s="20">
        <f>0</f>
        <v/>
      </c>
      <c r="K1026" s="20">
        <f>0</f>
        <v/>
      </c>
      <c r="L1026" s="20">
        <f>0</f>
        <v/>
      </c>
      <c r="M1026" s="20">
        <f>0</f>
        <v/>
      </c>
      <c r="N1026" s="20">
        <f>0</f>
        <v/>
      </c>
      <c r="O1026" s="20">
        <f>0</f>
        <v/>
      </c>
      <c r="P1026" s="20">
        <f>0</f>
        <v/>
      </c>
      <c r="Q1026" s="20">
        <f>0</f>
        <v/>
      </c>
      <c r="R1026" s="20">
        <f>0</f>
        <v/>
      </c>
      <c r="S1026" s="20">
        <f>0</f>
        <v/>
      </c>
      <c r="T1026" s="20">
        <f>0</f>
        <v/>
      </c>
      <c r="U1026" s="20">
        <f>0</f>
        <v/>
      </c>
      <c r="V1026" s="20">
        <f>0</f>
        <v/>
      </c>
      <c r="W1026" s="20">
        <f>0</f>
        <v/>
      </c>
      <c r="X1026" s="20">
        <f>0</f>
        <v/>
      </c>
      <c r="Y1026" s="20">
        <f>0</f>
        <v/>
      </c>
      <c r="Z1026" s="20">
        <f>0</f>
        <v/>
      </c>
      <c r="AA1026" s="20">
        <f>0</f>
        <v/>
      </c>
      <c r="AB1026" s="20">
        <f>0</f>
        <v/>
      </c>
      <c r="AC1026" s="20">
        <f>0</f>
        <v/>
      </c>
      <c r="AD1026" s="20">
        <f>0</f>
        <v/>
      </c>
      <c r="AE1026" s="20">
        <f>0</f>
        <v/>
      </c>
      <c r="AF1026" s="20">
        <f>0</f>
        <v/>
      </c>
      <c r="AG1026" s="20">
        <f>0</f>
        <v/>
      </c>
      <c r="AH1026" s="20">
        <f>0</f>
        <v/>
      </c>
      <c r="AI1026" s="20">
        <f>0</f>
        <v/>
      </c>
      <c r="AJ1026" s="20">
        <f>0</f>
        <v/>
      </c>
      <c r="AK1026" s="20">
        <f>0</f>
        <v/>
      </c>
      <c r="AL1026" s="20">
        <f>0</f>
        <v/>
      </c>
      <c r="AM1026" s="20">
        <f>0</f>
        <v/>
      </c>
      <c r="AN1026" s="20">
        <f>0</f>
        <v/>
      </c>
      <c r="AO1026" s="20">
        <f>0</f>
        <v/>
      </c>
      <c r="AP1026" s="20">
        <f>0</f>
        <v/>
      </c>
      <c r="AQ1026" s="20">
        <f>0</f>
        <v/>
      </c>
      <c r="AR1026" s="20">
        <f>0</f>
        <v/>
      </c>
      <c r="AS1026" s="20">
        <f>0</f>
        <v/>
      </c>
      <c r="AT1026" s="20">
        <f>0</f>
        <v/>
      </c>
      <c r="AU1026" s="20">
        <f>0</f>
        <v/>
      </c>
    </row>
    <row r="1027">
      <c r="D1027" t="inlineStr">
        <is>
          <t>R6 total revenue</t>
        </is>
      </c>
      <c r="E1027" t="inlineStr">
        <is>
          <t>USD m</t>
        </is>
      </c>
      <c r="G1027" s="20">
        <f>SUM(J1027:AU1027)</f>
        <v/>
      </c>
      <c r="J1027" s="20">
        <f>Operations!J1023+Operations!J1024</f>
        <v/>
      </c>
      <c r="K1027" s="20">
        <f>Operations!K1023+Operations!K1024</f>
        <v/>
      </c>
      <c r="L1027" s="20">
        <f>Operations!L1023+Operations!L1024</f>
        <v/>
      </c>
      <c r="M1027" s="20">
        <f>Operations!M1023+Operations!M1024</f>
        <v/>
      </c>
      <c r="N1027" s="20">
        <f>Operations!N1023+Operations!N1024</f>
        <v/>
      </c>
      <c r="O1027" s="20">
        <f>Operations!O1023+Operations!O1024</f>
        <v/>
      </c>
      <c r="P1027" s="20">
        <f>Operations!P1023+Operations!P1024</f>
        <v/>
      </c>
      <c r="Q1027" s="20">
        <f>Operations!Q1023+Operations!Q1024</f>
        <v/>
      </c>
      <c r="R1027" s="20">
        <f>Operations!R1023+Operations!R1024</f>
        <v/>
      </c>
      <c r="S1027" s="20">
        <f>Operations!S1023+Operations!S1024</f>
        <v/>
      </c>
      <c r="T1027" s="20">
        <f>Operations!T1023+Operations!T1024</f>
        <v/>
      </c>
      <c r="U1027" s="20">
        <f>Operations!U1023+Operations!U1024</f>
        <v/>
      </c>
      <c r="V1027" s="20">
        <f>Operations!V1023+Operations!V1024</f>
        <v/>
      </c>
      <c r="W1027" s="20">
        <f>Operations!W1023+Operations!W1024</f>
        <v/>
      </c>
      <c r="X1027" s="20">
        <f>Operations!X1023+Operations!X1024</f>
        <v/>
      </c>
      <c r="Y1027" s="20">
        <f>Operations!Y1023+Operations!Y1024</f>
        <v/>
      </c>
      <c r="Z1027" s="20">
        <f>Operations!Z1023+Operations!Z1024</f>
        <v/>
      </c>
      <c r="AA1027" s="20">
        <f>Operations!AA1023+Operations!AA1024</f>
        <v/>
      </c>
      <c r="AB1027" s="20">
        <f>Operations!AB1023+Operations!AB1024</f>
        <v/>
      </c>
      <c r="AC1027" s="20">
        <f>Operations!AC1023+Operations!AC1024</f>
        <v/>
      </c>
      <c r="AD1027" s="20">
        <f>Operations!AD1023+Operations!AD1024</f>
        <v/>
      </c>
      <c r="AE1027" s="20">
        <f>Operations!AE1023+Operations!AE1024</f>
        <v/>
      </c>
      <c r="AF1027" s="20">
        <f>Operations!AF1023+Operations!AF1024</f>
        <v/>
      </c>
      <c r="AG1027" s="20">
        <f>Operations!AG1023+Operations!AG1024</f>
        <v/>
      </c>
      <c r="AH1027" s="20">
        <f>Operations!AH1023+Operations!AH1024</f>
        <v/>
      </c>
      <c r="AI1027" s="20">
        <f>Operations!AI1023+Operations!AI1024</f>
        <v/>
      </c>
      <c r="AJ1027" s="20">
        <f>Operations!AJ1023+Operations!AJ1024</f>
        <v/>
      </c>
      <c r="AK1027" s="20">
        <f>Operations!AK1023+Operations!AK1024</f>
        <v/>
      </c>
      <c r="AL1027" s="20">
        <f>Operations!AL1023+Operations!AL1024</f>
        <v/>
      </c>
      <c r="AM1027" s="20">
        <f>Operations!AM1023+Operations!AM1024</f>
        <v/>
      </c>
      <c r="AN1027" s="20">
        <f>Operations!AN1023+Operations!AN1024</f>
        <v/>
      </c>
      <c r="AO1027" s="20">
        <f>Operations!AO1023+Operations!AO1024</f>
        <v/>
      </c>
      <c r="AP1027" s="20">
        <f>Operations!AP1023+Operations!AP1024</f>
        <v/>
      </c>
      <c r="AQ1027" s="20">
        <f>Operations!AQ1023+Operations!AQ1024</f>
        <v/>
      </c>
      <c r="AR1027" s="20">
        <f>Operations!AR1023+Operations!AR1024</f>
        <v/>
      </c>
      <c r="AS1027" s="20">
        <f>Operations!AS1023+Operations!AS1024</f>
        <v/>
      </c>
      <c r="AT1027" s="20">
        <f>Operations!AT1023+Operations!AT1024</f>
        <v/>
      </c>
      <c r="AU1027" s="20">
        <f>Operations!AU1023+Operations!AU1024</f>
        <v/>
      </c>
    </row>
    <row r="1028">
      <c r="D1028" t="inlineStr">
        <is>
          <t>R6 merchant revenue (total less contracted and hedged)</t>
        </is>
      </c>
      <c r="E1028" t="inlineStr">
        <is>
          <t>USD m</t>
        </is>
      </c>
      <c r="J1028" s="20">
        <f>Operations!J1027-Operations!J1025-Operations!J1026</f>
        <v/>
      </c>
      <c r="K1028" s="20">
        <f>Operations!K1027-Operations!K1025-Operations!K1026</f>
        <v/>
      </c>
      <c r="L1028" s="20">
        <f>Operations!L1027-Operations!L1025-Operations!L1026</f>
        <v/>
      </c>
      <c r="M1028" s="20">
        <f>Operations!M1027-Operations!M1025-Operations!M1026</f>
        <v/>
      </c>
      <c r="N1028" s="20">
        <f>Operations!N1027-Operations!N1025-Operations!N1026</f>
        <v/>
      </c>
      <c r="O1028" s="20">
        <f>Operations!O1027-Operations!O1025-Operations!O1026</f>
        <v/>
      </c>
      <c r="P1028" s="20">
        <f>Operations!P1027-Operations!P1025-Operations!P1026</f>
        <v/>
      </c>
      <c r="Q1028" s="20">
        <f>Operations!Q1027-Operations!Q1025-Operations!Q1026</f>
        <v/>
      </c>
      <c r="R1028" s="20">
        <f>Operations!R1027-Operations!R1025-Operations!R1026</f>
        <v/>
      </c>
      <c r="S1028" s="20">
        <f>Operations!S1027-Operations!S1025-Operations!S1026</f>
        <v/>
      </c>
      <c r="T1028" s="20">
        <f>Operations!T1027-Operations!T1025-Operations!T1026</f>
        <v/>
      </c>
      <c r="U1028" s="20">
        <f>Operations!U1027-Operations!U1025-Operations!U1026</f>
        <v/>
      </c>
      <c r="V1028" s="20">
        <f>Operations!V1027-Operations!V1025-Operations!V1026</f>
        <v/>
      </c>
      <c r="W1028" s="20">
        <f>Operations!W1027-Operations!W1025-Operations!W1026</f>
        <v/>
      </c>
      <c r="X1028" s="20">
        <f>Operations!X1027-Operations!X1025-Operations!X1026</f>
        <v/>
      </c>
      <c r="Y1028" s="20">
        <f>Operations!Y1027-Operations!Y1025-Operations!Y1026</f>
        <v/>
      </c>
      <c r="Z1028" s="20">
        <f>Operations!Z1027-Operations!Z1025-Operations!Z1026</f>
        <v/>
      </c>
      <c r="AA1028" s="20">
        <f>Operations!AA1027-Operations!AA1025-Operations!AA1026</f>
        <v/>
      </c>
      <c r="AB1028" s="20">
        <f>Operations!AB1027-Operations!AB1025-Operations!AB1026</f>
        <v/>
      </c>
      <c r="AC1028" s="20">
        <f>Operations!AC1027-Operations!AC1025-Operations!AC1026</f>
        <v/>
      </c>
      <c r="AD1028" s="20">
        <f>Operations!AD1027-Operations!AD1025-Operations!AD1026</f>
        <v/>
      </c>
      <c r="AE1028" s="20">
        <f>Operations!AE1027-Operations!AE1025-Operations!AE1026</f>
        <v/>
      </c>
      <c r="AF1028" s="20">
        <f>Operations!AF1027-Operations!AF1025-Operations!AF1026</f>
        <v/>
      </c>
      <c r="AG1028" s="20">
        <f>Operations!AG1027-Operations!AG1025-Operations!AG1026</f>
        <v/>
      </c>
      <c r="AH1028" s="20">
        <f>Operations!AH1027-Operations!AH1025-Operations!AH1026</f>
        <v/>
      </c>
      <c r="AI1028" s="20">
        <f>Operations!AI1027-Operations!AI1025-Operations!AI1026</f>
        <v/>
      </c>
      <c r="AJ1028" s="20">
        <f>Operations!AJ1027-Operations!AJ1025-Operations!AJ1026</f>
        <v/>
      </c>
      <c r="AK1028" s="20">
        <f>Operations!AK1027-Operations!AK1025-Operations!AK1026</f>
        <v/>
      </c>
      <c r="AL1028" s="20">
        <f>Operations!AL1027-Operations!AL1025-Operations!AL1026</f>
        <v/>
      </c>
      <c r="AM1028" s="20">
        <f>Operations!AM1027-Operations!AM1025-Operations!AM1026</f>
        <v/>
      </c>
      <c r="AN1028" s="20">
        <f>Operations!AN1027-Operations!AN1025-Operations!AN1026</f>
        <v/>
      </c>
      <c r="AO1028" s="20">
        <f>Operations!AO1027-Operations!AO1025-Operations!AO1026</f>
        <v/>
      </c>
      <c r="AP1028" s="20">
        <f>Operations!AP1027-Operations!AP1025-Operations!AP1026</f>
        <v/>
      </c>
      <c r="AQ1028" s="20">
        <f>Operations!AQ1027-Operations!AQ1025-Operations!AQ1026</f>
        <v/>
      </c>
      <c r="AR1028" s="20">
        <f>Operations!AR1027-Operations!AR1025-Operations!AR1026</f>
        <v/>
      </c>
      <c r="AS1028" s="20">
        <f>Operations!AS1027-Operations!AS1025-Operations!AS1026</f>
        <v/>
      </c>
      <c r="AT1028" s="20">
        <f>Operations!AT1027-Operations!AT1025-Operations!AT1026</f>
        <v/>
      </c>
      <c r="AU1028" s="20">
        <f>Operations!AU1027-Operations!AU1025-Operations!AU1026</f>
        <v/>
      </c>
    </row>
    <row r="1029">
      <c r="D1029" t="inlineStr">
        <is>
          <t>R6 opex (O&amp;M, land, insurance, property tax, site)</t>
        </is>
      </c>
      <c r="E1029" t="inlineStr">
        <is>
          <t>USD m</t>
        </is>
      </c>
      <c r="J1029" s="20">
        <f>Inputs!$F$147*Inputs!$F$143/1000*Time!J$9*Time!J$10*Operations!J1018*Operations!$F$792</f>
        <v/>
      </c>
      <c r="K1029" s="20">
        <f>Inputs!$F$147*Inputs!$F$143/1000*Time!K$9*Time!K$10*Operations!K1018*Operations!$F$792</f>
        <v/>
      </c>
      <c r="L1029" s="20">
        <f>Inputs!$F$147*Inputs!$F$143/1000*Time!L$9*Time!L$10*Operations!L1018*Operations!$F$792</f>
        <v/>
      </c>
      <c r="M1029" s="20">
        <f>Inputs!$F$147*Inputs!$F$143/1000*Time!M$9*Time!M$10*Operations!M1018*Operations!$F$792</f>
        <v/>
      </c>
      <c r="N1029" s="20">
        <f>Inputs!$F$147*Inputs!$F$143/1000*Time!N$9*Time!N$10*Operations!N1018*Operations!$F$792</f>
        <v/>
      </c>
      <c r="O1029" s="20">
        <f>Inputs!$F$147*Inputs!$F$143/1000*Time!O$9*Time!O$10*Operations!O1018*Operations!$F$792</f>
        <v/>
      </c>
      <c r="P1029" s="20">
        <f>Inputs!$F$147*Inputs!$F$143/1000*Time!P$9*Time!P$10*Operations!P1018*Operations!$F$792</f>
        <v/>
      </c>
      <c r="Q1029" s="20">
        <f>Inputs!$F$147*Inputs!$F$143/1000*Time!Q$9*Time!Q$10*Operations!Q1018*Operations!$F$792</f>
        <v/>
      </c>
      <c r="R1029" s="20">
        <f>Inputs!$F$147*Inputs!$F$143/1000*Time!R$9*Time!R$10*Operations!R1018*Operations!$F$792</f>
        <v/>
      </c>
      <c r="S1029" s="20">
        <f>Inputs!$F$147*Inputs!$F$143/1000*Time!S$9*Time!S$10*Operations!S1018*Operations!$F$792</f>
        <v/>
      </c>
      <c r="T1029" s="20">
        <f>Inputs!$F$147*Inputs!$F$143/1000*Time!T$9*Time!T$10*Operations!T1018*Operations!$F$792</f>
        <v/>
      </c>
      <c r="U1029" s="20">
        <f>Inputs!$F$147*Inputs!$F$143/1000*Time!U$9*Time!U$10*Operations!U1018*Operations!$F$792</f>
        <v/>
      </c>
      <c r="V1029" s="20">
        <f>Inputs!$F$147*Inputs!$F$143/1000*Time!V$9*Time!V$10*Operations!V1018*Operations!$F$792</f>
        <v/>
      </c>
      <c r="W1029" s="20">
        <f>Inputs!$F$147*Inputs!$F$143/1000*Time!W$9*Time!W$10*Operations!W1018*Operations!$F$792</f>
        <v/>
      </c>
      <c r="X1029" s="20">
        <f>Inputs!$F$147*Inputs!$F$143/1000*Time!X$9*Time!X$10*Operations!X1018*Operations!$F$792</f>
        <v/>
      </c>
      <c r="Y1029" s="20">
        <f>Inputs!$F$147*Inputs!$F$143/1000*Time!Y$9*Time!Y$10*Operations!Y1018*Operations!$F$792</f>
        <v/>
      </c>
      <c r="Z1029" s="20">
        <f>Inputs!$F$147*Inputs!$F$143/1000*Time!Z$9*Time!Z$10*Operations!Z1018*Operations!$F$792</f>
        <v/>
      </c>
      <c r="AA1029" s="20">
        <f>Inputs!$F$147*Inputs!$F$143/1000*Time!AA$9*Time!AA$10*Operations!AA1018*Operations!$F$792</f>
        <v/>
      </c>
      <c r="AB1029" s="20">
        <f>Inputs!$F$147*Inputs!$F$143/1000*Time!AB$9*Time!AB$10*Operations!AB1018*Operations!$F$792</f>
        <v/>
      </c>
      <c r="AC1029" s="20">
        <f>Inputs!$F$147*Inputs!$F$143/1000*Time!AC$9*Time!AC$10*Operations!AC1018*Operations!$F$792</f>
        <v/>
      </c>
      <c r="AD1029" s="20">
        <f>Inputs!$F$147*Inputs!$F$143/1000*Time!AD$9*Time!AD$10*Operations!AD1018*Operations!$F$792</f>
        <v/>
      </c>
      <c r="AE1029" s="20">
        <f>Inputs!$F$147*Inputs!$F$143/1000*Time!AE$9*Time!AE$10*Operations!AE1018*Operations!$F$792</f>
        <v/>
      </c>
      <c r="AF1029" s="20">
        <f>Inputs!$F$147*Inputs!$F$143/1000*Time!AF$9*Time!AF$10*Operations!AF1018*Operations!$F$792</f>
        <v/>
      </c>
      <c r="AG1029" s="20">
        <f>Inputs!$F$147*Inputs!$F$143/1000*Time!AG$9*Time!AG$10*Operations!AG1018*Operations!$F$792</f>
        <v/>
      </c>
      <c r="AH1029" s="20">
        <f>Inputs!$F$147*Inputs!$F$143/1000*Time!AH$9*Time!AH$10*Operations!AH1018*Operations!$F$792</f>
        <v/>
      </c>
      <c r="AI1029" s="20">
        <f>Inputs!$F$147*Inputs!$F$143/1000*Time!AI$9*Time!AI$10*Operations!AI1018*Operations!$F$792</f>
        <v/>
      </c>
      <c r="AJ1029" s="20">
        <f>Inputs!$F$147*Inputs!$F$143/1000*Time!AJ$9*Time!AJ$10*Operations!AJ1018*Operations!$F$792</f>
        <v/>
      </c>
      <c r="AK1029" s="20">
        <f>Inputs!$F$147*Inputs!$F$143/1000*Time!AK$9*Time!AK$10*Operations!AK1018*Operations!$F$792</f>
        <v/>
      </c>
      <c r="AL1029" s="20">
        <f>Inputs!$F$147*Inputs!$F$143/1000*Time!AL$9*Time!AL$10*Operations!AL1018*Operations!$F$792</f>
        <v/>
      </c>
      <c r="AM1029" s="20">
        <f>Inputs!$F$147*Inputs!$F$143/1000*Time!AM$9*Time!AM$10*Operations!AM1018*Operations!$F$792</f>
        <v/>
      </c>
      <c r="AN1029" s="20">
        <f>Inputs!$F$147*Inputs!$F$143/1000*Time!AN$9*Time!AN$10*Operations!AN1018*Operations!$F$792</f>
        <v/>
      </c>
      <c r="AO1029" s="20">
        <f>Inputs!$F$147*Inputs!$F$143/1000*Time!AO$9*Time!AO$10*Operations!AO1018*Operations!$F$792</f>
        <v/>
      </c>
      <c r="AP1029" s="20">
        <f>Inputs!$F$147*Inputs!$F$143/1000*Time!AP$9*Time!AP$10*Operations!AP1018*Operations!$F$792</f>
        <v/>
      </c>
      <c r="AQ1029" s="20">
        <f>Inputs!$F$147*Inputs!$F$143/1000*Time!AQ$9*Time!AQ$10*Operations!AQ1018*Operations!$F$792</f>
        <v/>
      </c>
      <c r="AR1029" s="20">
        <f>Inputs!$F$147*Inputs!$F$143/1000*Time!AR$9*Time!AR$10*Operations!AR1018*Operations!$F$792</f>
        <v/>
      </c>
      <c r="AS1029" s="20">
        <f>Inputs!$F$147*Inputs!$F$143/1000*Time!AS$9*Time!AS$10*Operations!AS1018*Operations!$F$792</f>
        <v/>
      </c>
      <c r="AT1029" s="20">
        <f>Inputs!$F$147*Inputs!$F$143/1000*Time!AT$9*Time!AT$10*Operations!AT1018*Operations!$F$792</f>
        <v/>
      </c>
      <c r="AU1029" s="20">
        <f>Inputs!$F$147*Inputs!$F$143/1000*Time!AU$9*Time!AU$10*Operations!AU1018*Operations!$F$792</f>
        <v/>
      </c>
    </row>
    <row r="1030">
      <c r="D1030" t="inlineStr">
        <is>
          <t>R6 land lease (in opex)</t>
        </is>
      </c>
      <c r="E1030" t="inlineStr">
        <is>
          <t>USD m</t>
        </is>
      </c>
      <c r="J1030" s="20">
        <f>0</f>
        <v/>
      </c>
      <c r="K1030" s="20">
        <f>0</f>
        <v/>
      </c>
      <c r="L1030" s="20">
        <f>0</f>
        <v/>
      </c>
      <c r="M1030" s="20">
        <f>0</f>
        <v/>
      </c>
      <c r="N1030" s="20">
        <f>0</f>
        <v/>
      </c>
      <c r="O1030" s="20">
        <f>0</f>
        <v/>
      </c>
      <c r="P1030" s="20">
        <f>0</f>
        <v/>
      </c>
      <c r="Q1030" s="20">
        <f>0</f>
        <v/>
      </c>
      <c r="R1030" s="20">
        <f>0</f>
        <v/>
      </c>
      <c r="S1030" s="20">
        <f>0</f>
        <v/>
      </c>
      <c r="T1030" s="20">
        <f>0</f>
        <v/>
      </c>
      <c r="U1030" s="20">
        <f>0</f>
        <v/>
      </c>
      <c r="V1030" s="20">
        <f>0</f>
        <v/>
      </c>
      <c r="W1030" s="20">
        <f>0</f>
        <v/>
      </c>
      <c r="X1030" s="20">
        <f>0</f>
        <v/>
      </c>
      <c r="Y1030" s="20">
        <f>0</f>
        <v/>
      </c>
      <c r="Z1030" s="20">
        <f>0</f>
        <v/>
      </c>
      <c r="AA1030" s="20">
        <f>0</f>
        <v/>
      </c>
      <c r="AB1030" s="20">
        <f>0</f>
        <v/>
      </c>
      <c r="AC1030" s="20">
        <f>0</f>
        <v/>
      </c>
      <c r="AD1030" s="20">
        <f>0</f>
        <v/>
      </c>
      <c r="AE1030" s="20">
        <f>0</f>
        <v/>
      </c>
      <c r="AF1030" s="20">
        <f>0</f>
        <v/>
      </c>
      <c r="AG1030" s="20">
        <f>0</f>
        <v/>
      </c>
      <c r="AH1030" s="20">
        <f>0</f>
        <v/>
      </c>
      <c r="AI1030" s="20">
        <f>0</f>
        <v/>
      </c>
      <c r="AJ1030" s="20">
        <f>0</f>
        <v/>
      </c>
      <c r="AK1030" s="20">
        <f>0</f>
        <v/>
      </c>
      <c r="AL1030" s="20">
        <f>0</f>
        <v/>
      </c>
      <c r="AM1030" s="20">
        <f>0</f>
        <v/>
      </c>
      <c r="AN1030" s="20">
        <f>0</f>
        <v/>
      </c>
      <c r="AO1030" s="20">
        <f>0</f>
        <v/>
      </c>
      <c r="AP1030" s="20">
        <f>0</f>
        <v/>
      </c>
      <c r="AQ1030" s="20">
        <f>0</f>
        <v/>
      </c>
      <c r="AR1030" s="20">
        <f>0</f>
        <v/>
      </c>
      <c r="AS1030" s="20">
        <f>0</f>
        <v/>
      </c>
      <c r="AT1030" s="20">
        <f>0</f>
        <v/>
      </c>
      <c r="AU1030" s="20">
        <f>0</f>
        <v/>
      </c>
    </row>
    <row r="1031">
      <c r="D1031" t="inlineStr">
        <is>
          <t>R6 decommissioning surety cost</t>
        </is>
      </c>
      <c r="E1031" t="inlineStr">
        <is>
          <t>USD m</t>
        </is>
      </c>
      <c r="J1031" s="20">
        <f>Inputs!$F$236/100*Inputs!$F$148*Inputs!$F$143/1000*Time!J$9*Operations!J1018</f>
        <v/>
      </c>
      <c r="K1031" s="20">
        <f>Inputs!$F$236/100*Inputs!$F$148*Inputs!$F$143/1000*Time!K$9*Operations!K1018</f>
        <v/>
      </c>
      <c r="L1031" s="20">
        <f>Inputs!$F$236/100*Inputs!$F$148*Inputs!$F$143/1000*Time!L$9*Operations!L1018</f>
        <v/>
      </c>
      <c r="M1031" s="20">
        <f>Inputs!$F$236/100*Inputs!$F$148*Inputs!$F$143/1000*Time!M$9*Operations!M1018</f>
        <v/>
      </c>
      <c r="N1031" s="20">
        <f>Inputs!$F$236/100*Inputs!$F$148*Inputs!$F$143/1000*Time!N$9*Operations!N1018</f>
        <v/>
      </c>
      <c r="O1031" s="20">
        <f>Inputs!$F$236/100*Inputs!$F$148*Inputs!$F$143/1000*Time!O$9*Operations!O1018</f>
        <v/>
      </c>
      <c r="P1031" s="20">
        <f>Inputs!$F$236/100*Inputs!$F$148*Inputs!$F$143/1000*Time!P$9*Operations!P1018</f>
        <v/>
      </c>
      <c r="Q1031" s="20">
        <f>Inputs!$F$236/100*Inputs!$F$148*Inputs!$F$143/1000*Time!Q$9*Operations!Q1018</f>
        <v/>
      </c>
      <c r="R1031" s="20">
        <f>Inputs!$F$236/100*Inputs!$F$148*Inputs!$F$143/1000*Time!R$9*Operations!R1018</f>
        <v/>
      </c>
      <c r="S1031" s="20">
        <f>Inputs!$F$236/100*Inputs!$F$148*Inputs!$F$143/1000*Time!S$9*Operations!S1018</f>
        <v/>
      </c>
      <c r="T1031" s="20">
        <f>Inputs!$F$236/100*Inputs!$F$148*Inputs!$F$143/1000*Time!T$9*Operations!T1018</f>
        <v/>
      </c>
      <c r="U1031" s="20">
        <f>Inputs!$F$236/100*Inputs!$F$148*Inputs!$F$143/1000*Time!U$9*Operations!U1018</f>
        <v/>
      </c>
      <c r="V1031" s="20">
        <f>Inputs!$F$236/100*Inputs!$F$148*Inputs!$F$143/1000*Time!V$9*Operations!V1018</f>
        <v/>
      </c>
      <c r="W1031" s="20">
        <f>Inputs!$F$236/100*Inputs!$F$148*Inputs!$F$143/1000*Time!W$9*Operations!W1018</f>
        <v/>
      </c>
      <c r="X1031" s="20">
        <f>Inputs!$F$236/100*Inputs!$F$148*Inputs!$F$143/1000*Time!X$9*Operations!X1018</f>
        <v/>
      </c>
      <c r="Y1031" s="20">
        <f>Inputs!$F$236/100*Inputs!$F$148*Inputs!$F$143/1000*Time!Y$9*Operations!Y1018</f>
        <v/>
      </c>
      <c r="Z1031" s="20">
        <f>Inputs!$F$236/100*Inputs!$F$148*Inputs!$F$143/1000*Time!Z$9*Operations!Z1018</f>
        <v/>
      </c>
      <c r="AA1031" s="20">
        <f>Inputs!$F$236/100*Inputs!$F$148*Inputs!$F$143/1000*Time!AA$9*Operations!AA1018</f>
        <v/>
      </c>
      <c r="AB1031" s="20">
        <f>Inputs!$F$236/100*Inputs!$F$148*Inputs!$F$143/1000*Time!AB$9*Operations!AB1018</f>
        <v/>
      </c>
      <c r="AC1031" s="20">
        <f>Inputs!$F$236/100*Inputs!$F$148*Inputs!$F$143/1000*Time!AC$9*Operations!AC1018</f>
        <v/>
      </c>
      <c r="AD1031" s="20">
        <f>Inputs!$F$236/100*Inputs!$F$148*Inputs!$F$143/1000*Time!AD$9*Operations!AD1018</f>
        <v/>
      </c>
      <c r="AE1031" s="20">
        <f>Inputs!$F$236/100*Inputs!$F$148*Inputs!$F$143/1000*Time!AE$9*Operations!AE1018</f>
        <v/>
      </c>
      <c r="AF1031" s="20">
        <f>Inputs!$F$236/100*Inputs!$F$148*Inputs!$F$143/1000*Time!AF$9*Operations!AF1018</f>
        <v/>
      </c>
      <c r="AG1031" s="20">
        <f>Inputs!$F$236/100*Inputs!$F$148*Inputs!$F$143/1000*Time!AG$9*Operations!AG1018</f>
        <v/>
      </c>
      <c r="AH1031" s="20">
        <f>Inputs!$F$236/100*Inputs!$F$148*Inputs!$F$143/1000*Time!AH$9*Operations!AH1018</f>
        <v/>
      </c>
      <c r="AI1031" s="20">
        <f>Inputs!$F$236/100*Inputs!$F$148*Inputs!$F$143/1000*Time!AI$9*Operations!AI1018</f>
        <v/>
      </c>
      <c r="AJ1031" s="20">
        <f>Inputs!$F$236/100*Inputs!$F$148*Inputs!$F$143/1000*Time!AJ$9*Operations!AJ1018</f>
        <v/>
      </c>
      <c r="AK1031" s="20">
        <f>Inputs!$F$236/100*Inputs!$F$148*Inputs!$F$143/1000*Time!AK$9*Operations!AK1018</f>
        <v/>
      </c>
      <c r="AL1031" s="20">
        <f>Inputs!$F$236/100*Inputs!$F$148*Inputs!$F$143/1000*Time!AL$9*Operations!AL1018</f>
        <v/>
      </c>
      <c r="AM1031" s="20">
        <f>Inputs!$F$236/100*Inputs!$F$148*Inputs!$F$143/1000*Time!AM$9*Operations!AM1018</f>
        <v/>
      </c>
      <c r="AN1031" s="20">
        <f>Inputs!$F$236/100*Inputs!$F$148*Inputs!$F$143/1000*Time!AN$9*Operations!AN1018</f>
        <v/>
      </c>
      <c r="AO1031" s="20">
        <f>Inputs!$F$236/100*Inputs!$F$148*Inputs!$F$143/1000*Time!AO$9*Operations!AO1018</f>
        <v/>
      </c>
      <c r="AP1031" s="20">
        <f>Inputs!$F$236/100*Inputs!$F$148*Inputs!$F$143/1000*Time!AP$9*Operations!AP1018</f>
        <v/>
      </c>
      <c r="AQ1031" s="20">
        <f>Inputs!$F$236/100*Inputs!$F$148*Inputs!$F$143/1000*Time!AQ$9*Operations!AQ1018</f>
        <v/>
      </c>
      <c r="AR1031" s="20">
        <f>Inputs!$F$236/100*Inputs!$F$148*Inputs!$F$143/1000*Time!AR$9*Operations!AR1018</f>
        <v/>
      </c>
      <c r="AS1031" s="20">
        <f>Inputs!$F$236/100*Inputs!$F$148*Inputs!$F$143/1000*Time!AS$9*Operations!AS1018</f>
        <v/>
      </c>
      <c r="AT1031" s="20">
        <f>Inputs!$F$236/100*Inputs!$F$148*Inputs!$F$143/1000*Time!AT$9*Operations!AT1018</f>
        <v/>
      </c>
      <c r="AU1031" s="20">
        <f>Inputs!$F$236/100*Inputs!$F$148*Inputs!$F$143/1000*Time!AU$9*Operations!AU1018</f>
        <v/>
      </c>
    </row>
    <row r="1032">
      <c r="D1032" t="inlineStr">
        <is>
          <t>R6 Texas margin tax</t>
        </is>
      </c>
      <c r="E1032" t="inlineStr">
        <is>
          <t>USD m</t>
        </is>
      </c>
      <c r="J1032" s="20">
        <f>Inputs!$F$237/100*Inputs!$F$238/100*Operations!J1027</f>
        <v/>
      </c>
      <c r="K1032" s="20">
        <f>Inputs!$F$237/100*Inputs!$F$238/100*Operations!K1027</f>
        <v/>
      </c>
      <c r="L1032" s="20">
        <f>Inputs!$F$237/100*Inputs!$F$238/100*Operations!L1027</f>
        <v/>
      </c>
      <c r="M1032" s="20">
        <f>Inputs!$F$237/100*Inputs!$F$238/100*Operations!M1027</f>
        <v/>
      </c>
      <c r="N1032" s="20">
        <f>Inputs!$F$237/100*Inputs!$F$238/100*Operations!N1027</f>
        <v/>
      </c>
      <c r="O1032" s="20">
        <f>Inputs!$F$237/100*Inputs!$F$238/100*Operations!O1027</f>
        <v/>
      </c>
      <c r="P1032" s="20">
        <f>Inputs!$F$237/100*Inputs!$F$238/100*Operations!P1027</f>
        <v/>
      </c>
      <c r="Q1032" s="20">
        <f>Inputs!$F$237/100*Inputs!$F$238/100*Operations!Q1027</f>
        <v/>
      </c>
      <c r="R1032" s="20">
        <f>Inputs!$F$237/100*Inputs!$F$238/100*Operations!R1027</f>
        <v/>
      </c>
      <c r="S1032" s="20">
        <f>Inputs!$F$237/100*Inputs!$F$238/100*Operations!S1027</f>
        <v/>
      </c>
      <c r="T1032" s="20">
        <f>Inputs!$F$237/100*Inputs!$F$238/100*Operations!T1027</f>
        <v/>
      </c>
      <c r="U1032" s="20">
        <f>Inputs!$F$237/100*Inputs!$F$238/100*Operations!U1027</f>
        <v/>
      </c>
      <c r="V1032" s="20">
        <f>Inputs!$F$237/100*Inputs!$F$238/100*Operations!V1027</f>
        <v/>
      </c>
      <c r="W1032" s="20">
        <f>Inputs!$F$237/100*Inputs!$F$238/100*Operations!W1027</f>
        <v/>
      </c>
      <c r="X1032" s="20">
        <f>Inputs!$F$237/100*Inputs!$F$238/100*Operations!X1027</f>
        <v/>
      </c>
      <c r="Y1032" s="20">
        <f>Inputs!$F$237/100*Inputs!$F$238/100*Operations!Y1027</f>
        <v/>
      </c>
      <c r="Z1032" s="20">
        <f>Inputs!$F$237/100*Inputs!$F$238/100*Operations!Z1027</f>
        <v/>
      </c>
      <c r="AA1032" s="20">
        <f>Inputs!$F$237/100*Inputs!$F$238/100*Operations!AA1027</f>
        <v/>
      </c>
      <c r="AB1032" s="20">
        <f>Inputs!$F$237/100*Inputs!$F$238/100*Operations!AB1027</f>
        <v/>
      </c>
      <c r="AC1032" s="20">
        <f>Inputs!$F$237/100*Inputs!$F$238/100*Operations!AC1027</f>
        <v/>
      </c>
      <c r="AD1032" s="20">
        <f>Inputs!$F$237/100*Inputs!$F$238/100*Operations!AD1027</f>
        <v/>
      </c>
      <c r="AE1032" s="20">
        <f>Inputs!$F$237/100*Inputs!$F$238/100*Operations!AE1027</f>
        <v/>
      </c>
      <c r="AF1032" s="20">
        <f>Inputs!$F$237/100*Inputs!$F$238/100*Operations!AF1027</f>
        <v/>
      </c>
      <c r="AG1032" s="20">
        <f>Inputs!$F$237/100*Inputs!$F$238/100*Operations!AG1027</f>
        <v/>
      </c>
      <c r="AH1032" s="20">
        <f>Inputs!$F$237/100*Inputs!$F$238/100*Operations!AH1027</f>
        <v/>
      </c>
      <c r="AI1032" s="20">
        <f>Inputs!$F$237/100*Inputs!$F$238/100*Operations!AI1027</f>
        <v/>
      </c>
      <c r="AJ1032" s="20">
        <f>Inputs!$F$237/100*Inputs!$F$238/100*Operations!AJ1027</f>
        <v/>
      </c>
      <c r="AK1032" s="20">
        <f>Inputs!$F$237/100*Inputs!$F$238/100*Operations!AK1027</f>
        <v/>
      </c>
      <c r="AL1032" s="20">
        <f>Inputs!$F$237/100*Inputs!$F$238/100*Operations!AL1027</f>
        <v/>
      </c>
      <c r="AM1032" s="20">
        <f>Inputs!$F$237/100*Inputs!$F$238/100*Operations!AM1027</f>
        <v/>
      </c>
      <c r="AN1032" s="20">
        <f>Inputs!$F$237/100*Inputs!$F$238/100*Operations!AN1027</f>
        <v/>
      </c>
      <c r="AO1032" s="20">
        <f>Inputs!$F$237/100*Inputs!$F$238/100*Operations!AO1027</f>
        <v/>
      </c>
      <c r="AP1032" s="20">
        <f>Inputs!$F$237/100*Inputs!$F$238/100*Operations!AP1027</f>
        <v/>
      </c>
      <c r="AQ1032" s="20">
        <f>Inputs!$F$237/100*Inputs!$F$238/100*Operations!AQ1027</f>
        <v/>
      </c>
      <c r="AR1032" s="20">
        <f>Inputs!$F$237/100*Inputs!$F$238/100*Operations!AR1027</f>
        <v/>
      </c>
      <c r="AS1032" s="20">
        <f>Inputs!$F$237/100*Inputs!$F$238/100*Operations!AS1027</f>
        <v/>
      </c>
      <c r="AT1032" s="20">
        <f>Inputs!$F$237/100*Inputs!$F$238/100*Operations!AT1027</f>
        <v/>
      </c>
      <c r="AU1032" s="20">
        <f>Inputs!$F$237/100*Inputs!$F$238/100*Operations!AU1027</f>
        <v/>
      </c>
    </row>
    <row r="1033">
      <c r="D1033" t="inlineStr">
        <is>
          <t>R6 EBITDA</t>
        </is>
      </c>
      <c r="E1033" t="inlineStr">
        <is>
          <t>USD m</t>
        </is>
      </c>
      <c r="G1033" s="20">
        <f>SUM(J1033:AU1033)</f>
        <v/>
      </c>
      <c r="J1033" s="20">
        <f>Operations!J1027-Operations!J1029-Operations!J1030-Operations!J1031-Operations!J1032</f>
        <v/>
      </c>
      <c r="K1033" s="20">
        <f>Operations!K1027-Operations!K1029-Operations!K1030-Operations!K1031-Operations!K1032</f>
        <v/>
      </c>
      <c r="L1033" s="20">
        <f>Operations!L1027-Operations!L1029-Operations!L1030-Operations!L1031-Operations!L1032</f>
        <v/>
      </c>
      <c r="M1033" s="20">
        <f>Operations!M1027-Operations!M1029-Operations!M1030-Operations!M1031-Operations!M1032</f>
        <v/>
      </c>
      <c r="N1033" s="20">
        <f>Operations!N1027-Operations!N1029-Operations!N1030-Operations!N1031-Operations!N1032</f>
        <v/>
      </c>
      <c r="O1033" s="20">
        <f>Operations!O1027-Operations!O1029-Operations!O1030-Operations!O1031-Operations!O1032</f>
        <v/>
      </c>
      <c r="P1033" s="20">
        <f>Operations!P1027-Operations!P1029-Operations!P1030-Operations!P1031-Operations!P1032</f>
        <v/>
      </c>
      <c r="Q1033" s="20">
        <f>Operations!Q1027-Operations!Q1029-Operations!Q1030-Operations!Q1031-Operations!Q1032</f>
        <v/>
      </c>
      <c r="R1033" s="20">
        <f>Operations!R1027-Operations!R1029-Operations!R1030-Operations!R1031-Operations!R1032</f>
        <v/>
      </c>
      <c r="S1033" s="20">
        <f>Operations!S1027-Operations!S1029-Operations!S1030-Operations!S1031-Operations!S1032</f>
        <v/>
      </c>
      <c r="T1033" s="20">
        <f>Operations!T1027-Operations!T1029-Operations!T1030-Operations!T1031-Operations!T1032</f>
        <v/>
      </c>
      <c r="U1033" s="20">
        <f>Operations!U1027-Operations!U1029-Operations!U1030-Operations!U1031-Operations!U1032</f>
        <v/>
      </c>
      <c r="V1033" s="20">
        <f>Operations!V1027-Operations!V1029-Operations!V1030-Operations!V1031-Operations!V1032</f>
        <v/>
      </c>
      <c r="W1033" s="20">
        <f>Operations!W1027-Operations!W1029-Operations!W1030-Operations!W1031-Operations!W1032</f>
        <v/>
      </c>
      <c r="X1033" s="20">
        <f>Operations!X1027-Operations!X1029-Operations!X1030-Operations!X1031-Operations!X1032</f>
        <v/>
      </c>
      <c r="Y1033" s="20">
        <f>Operations!Y1027-Operations!Y1029-Operations!Y1030-Operations!Y1031-Operations!Y1032</f>
        <v/>
      </c>
      <c r="Z1033" s="20">
        <f>Operations!Z1027-Operations!Z1029-Operations!Z1030-Operations!Z1031-Operations!Z1032</f>
        <v/>
      </c>
      <c r="AA1033" s="20">
        <f>Operations!AA1027-Operations!AA1029-Operations!AA1030-Operations!AA1031-Operations!AA1032</f>
        <v/>
      </c>
      <c r="AB1033" s="20">
        <f>Operations!AB1027-Operations!AB1029-Operations!AB1030-Operations!AB1031-Operations!AB1032</f>
        <v/>
      </c>
      <c r="AC1033" s="20">
        <f>Operations!AC1027-Operations!AC1029-Operations!AC1030-Operations!AC1031-Operations!AC1032</f>
        <v/>
      </c>
      <c r="AD1033" s="20">
        <f>Operations!AD1027-Operations!AD1029-Operations!AD1030-Operations!AD1031-Operations!AD1032</f>
        <v/>
      </c>
      <c r="AE1033" s="20">
        <f>Operations!AE1027-Operations!AE1029-Operations!AE1030-Operations!AE1031-Operations!AE1032</f>
        <v/>
      </c>
      <c r="AF1033" s="20">
        <f>Operations!AF1027-Operations!AF1029-Operations!AF1030-Operations!AF1031-Operations!AF1032</f>
        <v/>
      </c>
      <c r="AG1033" s="20">
        <f>Operations!AG1027-Operations!AG1029-Operations!AG1030-Operations!AG1031-Operations!AG1032</f>
        <v/>
      </c>
      <c r="AH1033" s="20">
        <f>Operations!AH1027-Operations!AH1029-Operations!AH1030-Operations!AH1031-Operations!AH1032</f>
        <v/>
      </c>
      <c r="AI1033" s="20">
        <f>Operations!AI1027-Operations!AI1029-Operations!AI1030-Operations!AI1031-Operations!AI1032</f>
        <v/>
      </c>
      <c r="AJ1033" s="20">
        <f>Operations!AJ1027-Operations!AJ1029-Operations!AJ1030-Operations!AJ1031-Operations!AJ1032</f>
        <v/>
      </c>
      <c r="AK1033" s="20">
        <f>Operations!AK1027-Operations!AK1029-Operations!AK1030-Operations!AK1031-Operations!AK1032</f>
        <v/>
      </c>
      <c r="AL1033" s="20">
        <f>Operations!AL1027-Operations!AL1029-Operations!AL1030-Operations!AL1031-Operations!AL1032</f>
        <v/>
      </c>
      <c r="AM1033" s="20">
        <f>Operations!AM1027-Operations!AM1029-Operations!AM1030-Operations!AM1031-Operations!AM1032</f>
        <v/>
      </c>
      <c r="AN1033" s="20">
        <f>Operations!AN1027-Operations!AN1029-Operations!AN1030-Operations!AN1031-Operations!AN1032</f>
        <v/>
      </c>
      <c r="AO1033" s="20">
        <f>Operations!AO1027-Operations!AO1029-Operations!AO1030-Operations!AO1031-Operations!AO1032</f>
        <v/>
      </c>
      <c r="AP1033" s="20">
        <f>Operations!AP1027-Operations!AP1029-Operations!AP1030-Operations!AP1031-Operations!AP1032</f>
        <v/>
      </c>
      <c r="AQ1033" s="20">
        <f>Operations!AQ1027-Operations!AQ1029-Operations!AQ1030-Operations!AQ1031-Operations!AQ1032</f>
        <v/>
      </c>
      <c r="AR1033" s="20">
        <f>Operations!AR1027-Operations!AR1029-Operations!AR1030-Operations!AR1031-Operations!AR1032</f>
        <v/>
      </c>
      <c r="AS1033" s="20">
        <f>Operations!AS1027-Operations!AS1029-Operations!AS1030-Operations!AS1031-Operations!AS1032</f>
        <v/>
      </c>
      <c r="AT1033" s="20">
        <f>Operations!AT1027-Operations!AT1029-Operations!AT1030-Operations!AT1031-Operations!AT1032</f>
        <v/>
      </c>
      <c r="AU1033" s="20">
        <f>Operations!AU1027-Operations!AU1029-Operations!AU1030-Operations!AU1031-Operations!AU1032</f>
        <v/>
      </c>
    </row>
    <row r="1034">
      <c r="D1034" t="inlineStr">
        <is>
          <t>R6 augmentation capex</t>
        </is>
      </c>
      <c r="E1034" t="inlineStr">
        <is>
          <t>USD m</t>
        </is>
      </c>
      <c r="J1034" s="20">
        <f>IF(OR(Time!J$4=YEAR(Inputs!$F$144)+Inputs!$F$151,Time!J$4=YEAR(Inputs!$F$144)+Inputs!$F$152),Inputs!$F$153/100*Inputs!$F$149*Inputs!$F$154/1000*(1+Inputs!$F$187/100)^(Time!J$4-Inputs!$F$186),0)</f>
        <v/>
      </c>
      <c r="K1034" s="20">
        <f>IF(OR(Time!K$4=YEAR(Inputs!$F$144)+Inputs!$F$151,Time!K$4=YEAR(Inputs!$F$144)+Inputs!$F$152),Inputs!$F$153/100*Inputs!$F$149*Inputs!$F$154/1000*(1+Inputs!$F$187/100)^(Time!K$4-Inputs!$F$186),0)</f>
        <v/>
      </c>
      <c r="L1034" s="20">
        <f>IF(OR(Time!L$4=YEAR(Inputs!$F$144)+Inputs!$F$151,Time!L$4=YEAR(Inputs!$F$144)+Inputs!$F$152),Inputs!$F$153/100*Inputs!$F$149*Inputs!$F$154/1000*(1+Inputs!$F$187/100)^(Time!L$4-Inputs!$F$186),0)</f>
        <v/>
      </c>
      <c r="M1034" s="20">
        <f>IF(OR(Time!M$4=YEAR(Inputs!$F$144)+Inputs!$F$151,Time!M$4=YEAR(Inputs!$F$144)+Inputs!$F$152),Inputs!$F$153/100*Inputs!$F$149*Inputs!$F$154/1000*(1+Inputs!$F$187/100)^(Time!M$4-Inputs!$F$186),0)</f>
        <v/>
      </c>
      <c r="N1034" s="20">
        <f>IF(OR(Time!N$4=YEAR(Inputs!$F$144)+Inputs!$F$151,Time!N$4=YEAR(Inputs!$F$144)+Inputs!$F$152),Inputs!$F$153/100*Inputs!$F$149*Inputs!$F$154/1000*(1+Inputs!$F$187/100)^(Time!N$4-Inputs!$F$186),0)</f>
        <v/>
      </c>
      <c r="O1034" s="20">
        <f>IF(OR(Time!O$4=YEAR(Inputs!$F$144)+Inputs!$F$151,Time!O$4=YEAR(Inputs!$F$144)+Inputs!$F$152),Inputs!$F$153/100*Inputs!$F$149*Inputs!$F$154/1000*(1+Inputs!$F$187/100)^(Time!O$4-Inputs!$F$186),0)</f>
        <v/>
      </c>
      <c r="P1034" s="20">
        <f>IF(OR(Time!P$4=YEAR(Inputs!$F$144)+Inputs!$F$151,Time!P$4=YEAR(Inputs!$F$144)+Inputs!$F$152),Inputs!$F$153/100*Inputs!$F$149*Inputs!$F$154/1000*(1+Inputs!$F$187/100)^(Time!P$4-Inputs!$F$186),0)</f>
        <v/>
      </c>
      <c r="Q1034" s="20">
        <f>IF(OR(Time!Q$4=YEAR(Inputs!$F$144)+Inputs!$F$151,Time!Q$4=YEAR(Inputs!$F$144)+Inputs!$F$152),Inputs!$F$153/100*Inputs!$F$149*Inputs!$F$154/1000*(1+Inputs!$F$187/100)^(Time!Q$4-Inputs!$F$186),0)</f>
        <v/>
      </c>
      <c r="R1034" s="20">
        <f>IF(OR(Time!R$4=YEAR(Inputs!$F$144)+Inputs!$F$151,Time!R$4=YEAR(Inputs!$F$144)+Inputs!$F$152),Inputs!$F$153/100*Inputs!$F$149*Inputs!$F$154/1000*(1+Inputs!$F$187/100)^(Time!R$4-Inputs!$F$186),0)</f>
        <v/>
      </c>
      <c r="S1034" s="20">
        <f>IF(OR(Time!S$4=YEAR(Inputs!$F$144)+Inputs!$F$151,Time!S$4=YEAR(Inputs!$F$144)+Inputs!$F$152),Inputs!$F$153/100*Inputs!$F$149*Inputs!$F$154/1000*(1+Inputs!$F$187/100)^(Time!S$4-Inputs!$F$186),0)</f>
        <v/>
      </c>
      <c r="T1034" s="20">
        <f>IF(OR(Time!T$4=YEAR(Inputs!$F$144)+Inputs!$F$151,Time!T$4=YEAR(Inputs!$F$144)+Inputs!$F$152),Inputs!$F$153/100*Inputs!$F$149*Inputs!$F$154/1000*(1+Inputs!$F$187/100)^(Time!T$4-Inputs!$F$186),0)</f>
        <v/>
      </c>
      <c r="U1034" s="20">
        <f>IF(OR(Time!U$4=YEAR(Inputs!$F$144)+Inputs!$F$151,Time!U$4=YEAR(Inputs!$F$144)+Inputs!$F$152),Inputs!$F$153/100*Inputs!$F$149*Inputs!$F$154/1000*(1+Inputs!$F$187/100)^(Time!U$4-Inputs!$F$186),0)</f>
        <v/>
      </c>
      <c r="V1034" s="20">
        <f>IF(OR(Time!V$4=YEAR(Inputs!$F$144)+Inputs!$F$151,Time!V$4=YEAR(Inputs!$F$144)+Inputs!$F$152),Inputs!$F$153/100*Inputs!$F$149*Inputs!$F$154/1000*(1+Inputs!$F$187/100)^(Time!V$4-Inputs!$F$186),0)</f>
        <v/>
      </c>
      <c r="W1034" s="20">
        <f>IF(OR(Time!W$4=YEAR(Inputs!$F$144)+Inputs!$F$151,Time!W$4=YEAR(Inputs!$F$144)+Inputs!$F$152),Inputs!$F$153/100*Inputs!$F$149*Inputs!$F$154/1000*(1+Inputs!$F$187/100)^(Time!W$4-Inputs!$F$186),0)</f>
        <v/>
      </c>
      <c r="X1034" s="20">
        <f>IF(OR(Time!X$4=YEAR(Inputs!$F$144)+Inputs!$F$151,Time!X$4=YEAR(Inputs!$F$144)+Inputs!$F$152),Inputs!$F$153/100*Inputs!$F$149*Inputs!$F$154/1000*(1+Inputs!$F$187/100)^(Time!X$4-Inputs!$F$186),0)</f>
        <v/>
      </c>
      <c r="Y1034" s="20">
        <f>IF(OR(Time!Y$4=YEAR(Inputs!$F$144)+Inputs!$F$151,Time!Y$4=YEAR(Inputs!$F$144)+Inputs!$F$152),Inputs!$F$153/100*Inputs!$F$149*Inputs!$F$154/1000*(1+Inputs!$F$187/100)^(Time!Y$4-Inputs!$F$186),0)</f>
        <v/>
      </c>
      <c r="Z1034" s="20">
        <f>IF(OR(Time!Z$4=YEAR(Inputs!$F$144)+Inputs!$F$151,Time!Z$4=YEAR(Inputs!$F$144)+Inputs!$F$152),Inputs!$F$153/100*Inputs!$F$149*Inputs!$F$154/1000*(1+Inputs!$F$187/100)^(Time!Z$4-Inputs!$F$186),0)</f>
        <v/>
      </c>
      <c r="AA1034" s="20">
        <f>IF(OR(Time!AA$4=YEAR(Inputs!$F$144)+Inputs!$F$151,Time!AA$4=YEAR(Inputs!$F$144)+Inputs!$F$152),Inputs!$F$153/100*Inputs!$F$149*Inputs!$F$154/1000*(1+Inputs!$F$187/100)^(Time!AA$4-Inputs!$F$186),0)</f>
        <v/>
      </c>
      <c r="AB1034" s="20">
        <f>IF(OR(Time!AB$4=YEAR(Inputs!$F$144)+Inputs!$F$151,Time!AB$4=YEAR(Inputs!$F$144)+Inputs!$F$152),Inputs!$F$153/100*Inputs!$F$149*Inputs!$F$154/1000*(1+Inputs!$F$187/100)^(Time!AB$4-Inputs!$F$186),0)</f>
        <v/>
      </c>
      <c r="AC1034" s="20">
        <f>IF(OR(Time!AC$4=YEAR(Inputs!$F$144)+Inputs!$F$151,Time!AC$4=YEAR(Inputs!$F$144)+Inputs!$F$152),Inputs!$F$153/100*Inputs!$F$149*Inputs!$F$154/1000*(1+Inputs!$F$187/100)^(Time!AC$4-Inputs!$F$186),0)</f>
        <v/>
      </c>
      <c r="AD1034" s="20">
        <f>IF(OR(Time!AD$4=YEAR(Inputs!$F$144)+Inputs!$F$151,Time!AD$4=YEAR(Inputs!$F$144)+Inputs!$F$152),Inputs!$F$153/100*Inputs!$F$149*Inputs!$F$154/1000*(1+Inputs!$F$187/100)^(Time!AD$4-Inputs!$F$186),0)</f>
        <v/>
      </c>
      <c r="AE1034" s="20">
        <f>IF(OR(Time!AE$4=YEAR(Inputs!$F$144)+Inputs!$F$151,Time!AE$4=YEAR(Inputs!$F$144)+Inputs!$F$152),Inputs!$F$153/100*Inputs!$F$149*Inputs!$F$154/1000*(1+Inputs!$F$187/100)^(Time!AE$4-Inputs!$F$186),0)</f>
        <v/>
      </c>
      <c r="AF1034" s="20">
        <f>IF(OR(Time!AF$4=YEAR(Inputs!$F$144)+Inputs!$F$151,Time!AF$4=YEAR(Inputs!$F$144)+Inputs!$F$152),Inputs!$F$153/100*Inputs!$F$149*Inputs!$F$154/1000*(1+Inputs!$F$187/100)^(Time!AF$4-Inputs!$F$186),0)</f>
        <v/>
      </c>
      <c r="AG1034" s="20">
        <f>IF(OR(Time!AG$4=YEAR(Inputs!$F$144)+Inputs!$F$151,Time!AG$4=YEAR(Inputs!$F$144)+Inputs!$F$152),Inputs!$F$153/100*Inputs!$F$149*Inputs!$F$154/1000*(1+Inputs!$F$187/100)^(Time!AG$4-Inputs!$F$186),0)</f>
        <v/>
      </c>
      <c r="AH1034" s="20">
        <f>IF(OR(Time!AH$4=YEAR(Inputs!$F$144)+Inputs!$F$151,Time!AH$4=YEAR(Inputs!$F$144)+Inputs!$F$152),Inputs!$F$153/100*Inputs!$F$149*Inputs!$F$154/1000*(1+Inputs!$F$187/100)^(Time!AH$4-Inputs!$F$186),0)</f>
        <v/>
      </c>
      <c r="AI1034" s="20">
        <f>IF(OR(Time!AI$4=YEAR(Inputs!$F$144)+Inputs!$F$151,Time!AI$4=YEAR(Inputs!$F$144)+Inputs!$F$152),Inputs!$F$153/100*Inputs!$F$149*Inputs!$F$154/1000*(1+Inputs!$F$187/100)^(Time!AI$4-Inputs!$F$186),0)</f>
        <v/>
      </c>
      <c r="AJ1034" s="20">
        <f>IF(OR(Time!AJ$4=YEAR(Inputs!$F$144)+Inputs!$F$151,Time!AJ$4=YEAR(Inputs!$F$144)+Inputs!$F$152),Inputs!$F$153/100*Inputs!$F$149*Inputs!$F$154/1000*(1+Inputs!$F$187/100)^(Time!AJ$4-Inputs!$F$186),0)</f>
        <v/>
      </c>
      <c r="AK1034" s="20">
        <f>IF(OR(Time!AK$4=YEAR(Inputs!$F$144)+Inputs!$F$151,Time!AK$4=YEAR(Inputs!$F$144)+Inputs!$F$152),Inputs!$F$153/100*Inputs!$F$149*Inputs!$F$154/1000*(1+Inputs!$F$187/100)^(Time!AK$4-Inputs!$F$186),0)</f>
        <v/>
      </c>
      <c r="AL1034" s="20">
        <f>IF(OR(Time!AL$4=YEAR(Inputs!$F$144)+Inputs!$F$151,Time!AL$4=YEAR(Inputs!$F$144)+Inputs!$F$152),Inputs!$F$153/100*Inputs!$F$149*Inputs!$F$154/1000*(1+Inputs!$F$187/100)^(Time!AL$4-Inputs!$F$186),0)</f>
        <v/>
      </c>
      <c r="AM1034" s="20">
        <f>IF(OR(Time!AM$4=YEAR(Inputs!$F$144)+Inputs!$F$151,Time!AM$4=YEAR(Inputs!$F$144)+Inputs!$F$152),Inputs!$F$153/100*Inputs!$F$149*Inputs!$F$154/1000*(1+Inputs!$F$187/100)^(Time!AM$4-Inputs!$F$186),0)</f>
        <v/>
      </c>
      <c r="AN1034" s="20">
        <f>IF(OR(Time!AN$4=YEAR(Inputs!$F$144)+Inputs!$F$151,Time!AN$4=YEAR(Inputs!$F$144)+Inputs!$F$152),Inputs!$F$153/100*Inputs!$F$149*Inputs!$F$154/1000*(1+Inputs!$F$187/100)^(Time!AN$4-Inputs!$F$186),0)</f>
        <v/>
      </c>
      <c r="AO1034" s="20">
        <f>IF(OR(Time!AO$4=YEAR(Inputs!$F$144)+Inputs!$F$151,Time!AO$4=YEAR(Inputs!$F$144)+Inputs!$F$152),Inputs!$F$153/100*Inputs!$F$149*Inputs!$F$154/1000*(1+Inputs!$F$187/100)^(Time!AO$4-Inputs!$F$186),0)</f>
        <v/>
      </c>
      <c r="AP1034" s="20">
        <f>IF(OR(Time!AP$4=YEAR(Inputs!$F$144)+Inputs!$F$151,Time!AP$4=YEAR(Inputs!$F$144)+Inputs!$F$152),Inputs!$F$153/100*Inputs!$F$149*Inputs!$F$154/1000*(1+Inputs!$F$187/100)^(Time!AP$4-Inputs!$F$186),0)</f>
        <v/>
      </c>
      <c r="AQ1034" s="20">
        <f>IF(OR(Time!AQ$4=YEAR(Inputs!$F$144)+Inputs!$F$151,Time!AQ$4=YEAR(Inputs!$F$144)+Inputs!$F$152),Inputs!$F$153/100*Inputs!$F$149*Inputs!$F$154/1000*(1+Inputs!$F$187/100)^(Time!AQ$4-Inputs!$F$186),0)</f>
        <v/>
      </c>
      <c r="AR1034" s="20">
        <f>IF(OR(Time!AR$4=YEAR(Inputs!$F$144)+Inputs!$F$151,Time!AR$4=YEAR(Inputs!$F$144)+Inputs!$F$152),Inputs!$F$153/100*Inputs!$F$149*Inputs!$F$154/1000*(1+Inputs!$F$187/100)^(Time!AR$4-Inputs!$F$186),0)</f>
        <v/>
      </c>
      <c r="AS1034" s="20">
        <f>IF(OR(Time!AS$4=YEAR(Inputs!$F$144)+Inputs!$F$151,Time!AS$4=YEAR(Inputs!$F$144)+Inputs!$F$152),Inputs!$F$153/100*Inputs!$F$149*Inputs!$F$154/1000*(1+Inputs!$F$187/100)^(Time!AS$4-Inputs!$F$186),0)</f>
        <v/>
      </c>
      <c r="AT1034" s="20">
        <f>IF(OR(Time!AT$4=YEAR(Inputs!$F$144)+Inputs!$F$151,Time!AT$4=YEAR(Inputs!$F$144)+Inputs!$F$152),Inputs!$F$153/100*Inputs!$F$149*Inputs!$F$154/1000*(1+Inputs!$F$187/100)^(Time!AT$4-Inputs!$F$186),0)</f>
        <v/>
      </c>
      <c r="AU1034" s="20">
        <f>IF(OR(Time!AU$4=YEAR(Inputs!$F$144)+Inputs!$F$151,Time!AU$4=YEAR(Inputs!$F$144)+Inputs!$F$152),Inputs!$F$153/100*Inputs!$F$149*Inputs!$F$154/1000*(1+Inputs!$F$187/100)^(Time!AU$4-Inputs!$F$186),0)</f>
        <v/>
      </c>
    </row>
    <row r="1035">
      <c r="D1035" t="inlineStr">
        <is>
          <t>R6 decommissioning at end of life</t>
        </is>
      </c>
      <c r="E1035" t="inlineStr">
        <is>
          <t>USD m</t>
        </is>
      </c>
      <c r="J1035" s="20">
        <f>IF(Time!J$4=YEAR(Inputs!$F$145),Inputs!$F$148*Inputs!$F$143/1000*Time!J$9,0)</f>
        <v/>
      </c>
      <c r="K1035" s="20">
        <f>IF(Time!K$4=YEAR(Inputs!$F$145),Inputs!$F$148*Inputs!$F$143/1000*Time!K$9,0)</f>
        <v/>
      </c>
      <c r="L1035" s="20">
        <f>IF(Time!L$4=YEAR(Inputs!$F$145),Inputs!$F$148*Inputs!$F$143/1000*Time!L$9,0)</f>
        <v/>
      </c>
      <c r="M1035" s="20">
        <f>IF(Time!M$4=YEAR(Inputs!$F$145),Inputs!$F$148*Inputs!$F$143/1000*Time!M$9,0)</f>
        <v/>
      </c>
      <c r="N1035" s="20">
        <f>IF(Time!N$4=YEAR(Inputs!$F$145),Inputs!$F$148*Inputs!$F$143/1000*Time!N$9,0)</f>
        <v/>
      </c>
      <c r="O1035" s="20">
        <f>IF(Time!O$4=YEAR(Inputs!$F$145),Inputs!$F$148*Inputs!$F$143/1000*Time!O$9,0)</f>
        <v/>
      </c>
      <c r="P1035" s="20">
        <f>IF(Time!P$4=YEAR(Inputs!$F$145),Inputs!$F$148*Inputs!$F$143/1000*Time!P$9,0)</f>
        <v/>
      </c>
      <c r="Q1035" s="20">
        <f>IF(Time!Q$4=YEAR(Inputs!$F$145),Inputs!$F$148*Inputs!$F$143/1000*Time!Q$9,0)</f>
        <v/>
      </c>
      <c r="R1035" s="20">
        <f>IF(Time!R$4=YEAR(Inputs!$F$145),Inputs!$F$148*Inputs!$F$143/1000*Time!R$9,0)</f>
        <v/>
      </c>
      <c r="S1035" s="20">
        <f>IF(Time!S$4=YEAR(Inputs!$F$145),Inputs!$F$148*Inputs!$F$143/1000*Time!S$9,0)</f>
        <v/>
      </c>
      <c r="T1035" s="20">
        <f>IF(Time!T$4=YEAR(Inputs!$F$145),Inputs!$F$148*Inputs!$F$143/1000*Time!T$9,0)</f>
        <v/>
      </c>
      <c r="U1035" s="20">
        <f>IF(Time!U$4=YEAR(Inputs!$F$145),Inputs!$F$148*Inputs!$F$143/1000*Time!U$9,0)</f>
        <v/>
      </c>
      <c r="V1035" s="20">
        <f>IF(Time!V$4=YEAR(Inputs!$F$145),Inputs!$F$148*Inputs!$F$143/1000*Time!V$9,0)</f>
        <v/>
      </c>
      <c r="W1035" s="20">
        <f>IF(Time!W$4=YEAR(Inputs!$F$145),Inputs!$F$148*Inputs!$F$143/1000*Time!W$9,0)</f>
        <v/>
      </c>
      <c r="X1035" s="20">
        <f>IF(Time!X$4=YEAR(Inputs!$F$145),Inputs!$F$148*Inputs!$F$143/1000*Time!X$9,0)</f>
        <v/>
      </c>
      <c r="Y1035" s="20">
        <f>IF(Time!Y$4=YEAR(Inputs!$F$145),Inputs!$F$148*Inputs!$F$143/1000*Time!Y$9,0)</f>
        <v/>
      </c>
      <c r="Z1035" s="20">
        <f>IF(Time!Z$4=YEAR(Inputs!$F$145),Inputs!$F$148*Inputs!$F$143/1000*Time!Z$9,0)</f>
        <v/>
      </c>
      <c r="AA1035" s="20">
        <f>IF(Time!AA$4=YEAR(Inputs!$F$145),Inputs!$F$148*Inputs!$F$143/1000*Time!AA$9,0)</f>
        <v/>
      </c>
      <c r="AB1035" s="20">
        <f>IF(Time!AB$4=YEAR(Inputs!$F$145),Inputs!$F$148*Inputs!$F$143/1000*Time!AB$9,0)</f>
        <v/>
      </c>
      <c r="AC1035" s="20">
        <f>IF(Time!AC$4=YEAR(Inputs!$F$145),Inputs!$F$148*Inputs!$F$143/1000*Time!AC$9,0)</f>
        <v/>
      </c>
      <c r="AD1035" s="20">
        <f>IF(Time!AD$4=YEAR(Inputs!$F$145),Inputs!$F$148*Inputs!$F$143/1000*Time!AD$9,0)</f>
        <v/>
      </c>
      <c r="AE1035" s="20">
        <f>IF(Time!AE$4=YEAR(Inputs!$F$145),Inputs!$F$148*Inputs!$F$143/1000*Time!AE$9,0)</f>
        <v/>
      </c>
      <c r="AF1035" s="20">
        <f>IF(Time!AF$4=YEAR(Inputs!$F$145),Inputs!$F$148*Inputs!$F$143/1000*Time!AF$9,0)</f>
        <v/>
      </c>
      <c r="AG1035" s="20">
        <f>IF(Time!AG$4=YEAR(Inputs!$F$145),Inputs!$F$148*Inputs!$F$143/1000*Time!AG$9,0)</f>
        <v/>
      </c>
      <c r="AH1035" s="20">
        <f>IF(Time!AH$4=YEAR(Inputs!$F$145),Inputs!$F$148*Inputs!$F$143/1000*Time!AH$9,0)</f>
        <v/>
      </c>
      <c r="AI1035" s="20">
        <f>IF(Time!AI$4=YEAR(Inputs!$F$145),Inputs!$F$148*Inputs!$F$143/1000*Time!AI$9,0)</f>
        <v/>
      </c>
      <c r="AJ1035" s="20">
        <f>IF(Time!AJ$4=YEAR(Inputs!$F$145),Inputs!$F$148*Inputs!$F$143/1000*Time!AJ$9,0)</f>
        <v/>
      </c>
      <c r="AK1035" s="20">
        <f>IF(Time!AK$4=YEAR(Inputs!$F$145),Inputs!$F$148*Inputs!$F$143/1000*Time!AK$9,0)</f>
        <v/>
      </c>
      <c r="AL1035" s="20">
        <f>IF(Time!AL$4=YEAR(Inputs!$F$145),Inputs!$F$148*Inputs!$F$143/1000*Time!AL$9,0)</f>
        <v/>
      </c>
      <c r="AM1035" s="20">
        <f>IF(Time!AM$4=YEAR(Inputs!$F$145),Inputs!$F$148*Inputs!$F$143/1000*Time!AM$9,0)</f>
        <v/>
      </c>
      <c r="AN1035" s="20">
        <f>IF(Time!AN$4=YEAR(Inputs!$F$145),Inputs!$F$148*Inputs!$F$143/1000*Time!AN$9,0)</f>
        <v/>
      </c>
      <c r="AO1035" s="20">
        <f>IF(Time!AO$4=YEAR(Inputs!$F$145),Inputs!$F$148*Inputs!$F$143/1000*Time!AO$9,0)</f>
        <v/>
      </c>
      <c r="AP1035" s="20">
        <f>IF(Time!AP$4=YEAR(Inputs!$F$145),Inputs!$F$148*Inputs!$F$143/1000*Time!AP$9,0)</f>
        <v/>
      </c>
      <c r="AQ1035" s="20">
        <f>IF(Time!AQ$4=YEAR(Inputs!$F$145),Inputs!$F$148*Inputs!$F$143/1000*Time!AQ$9,0)</f>
        <v/>
      </c>
      <c r="AR1035" s="20">
        <f>IF(Time!AR$4=YEAR(Inputs!$F$145),Inputs!$F$148*Inputs!$F$143/1000*Time!AR$9,0)</f>
        <v/>
      </c>
      <c r="AS1035" s="20">
        <f>IF(Time!AS$4=YEAR(Inputs!$F$145),Inputs!$F$148*Inputs!$F$143/1000*Time!AS$9,0)</f>
        <v/>
      </c>
      <c r="AT1035" s="20">
        <f>IF(Time!AT$4=YEAR(Inputs!$F$145),Inputs!$F$148*Inputs!$F$143/1000*Time!AT$9,0)</f>
        <v/>
      </c>
      <c r="AU1035" s="20">
        <f>IF(Time!AU$4=YEAR(Inputs!$F$145),Inputs!$F$148*Inputs!$F$143/1000*Time!AU$9,0)</f>
        <v/>
      </c>
    </row>
    <row r="1036">
      <c r="D1036" t="inlineStr">
        <is>
          <t>R6 pre-tax cash flow, 100% of asset</t>
        </is>
      </c>
      <c r="E1036" t="inlineStr">
        <is>
          <t>USD m</t>
        </is>
      </c>
      <c r="G1036" s="20">
        <f>SUM(J1036:AU1036)</f>
        <v/>
      </c>
      <c r="J1036" s="20">
        <f>Operations!J1033-Operations!J1034-Operations!J1035</f>
        <v/>
      </c>
      <c r="K1036" s="20">
        <f>Operations!K1033-Operations!K1034-Operations!K1035</f>
        <v/>
      </c>
      <c r="L1036" s="20">
        <f>Operations!L1033-Operations!L1034-Operations!L1035</f>
        <v/>
      </c>
      <c r="M1036" s="20">
        <f>Operations!M1033-Operations!M1034-Operations!M1035</f>
        <v/>
      </c>
      <c r="N1036" s="20">
        <f>Operations!N1033-Operations!N1034-Operations!N1035</f>
        <v/>
      </c>
      <c r="O1036" s="20">
        <f>Operations!O1033-Operations!O1034-Operations!O1035</f>
        <v/>
      </c>
      <c r="P1036" s="20">
        <f>Operations!P1033-Operations!P1034-Operations!P1035</f>
        <v/>
      </c>
      <c r="Q1036" s="20">
        <f>Operations!Q1033-Operations!Q1034-Operations!Q1035</f>
        <v/>
      </c>
      <c r="R1036" s="20">
        <f>Operations!R1033-Operations!R1034-Operations!R1035</f>
        <v/>
      </c>
      <c r="S1036" s="20">
        <f>Operations!S1033-Operations!S1034-Operations!S1035</f>
        <v/>
      </c>
      <c r="T1036" s="20">
        <f>Operations!T1033-Operations!T1034-Operations!T1035</f>
        <v/>
      </c>
      <c r="U1036" s="20">
        <f>Operations!U1033-Operations!U1034-Operations!U1035</f>
        <v/>
      </c>
      <c r="V1036" s="20">
        <f>Operations!V1033-Operations!V1034-Operations!V1035</f>
        <v/>
      </c>
      <c r="W1036" s="20">
        <f>Operations!W1033-Operations!W1034-Operations!W1035</f>
        <v/>
      </c>
      <c r="X1036" s="20">
        <f>Operations!X1033-Operations!X1034-Operations!X1035</f>
        <v/>
      </c>
      <c r="Y1036" s="20">
        <f>Operations!Y1033-Operations!Y1034-Operations!Y1035</f>
        <v/>
      </c>
      <c r="Z1036" s="20">
        <f>Operations!Z1033-Operations!Z1034-Operations!Z1035</f>
        <v/>
      </c>
      <c r="AA1036" s="20">
        <f>Operations!AA1033-Operations!AA1034-Operations!AA1035</f>
        <v/>
      </c>
      <c r="AB1036" s="20">
        <f>Operations!AB1033-Operations!AB1034-Operations!AB1035</f>
        <v/>
      </c>
      <c r="AC1036" s="20">
        <f>Operations!AC1033-Operations!AC1034-Operations!AC1035</f>
        <v/>
      </c>
      <c r="AD1036" s="20">
        <f>Operations!AD1033-Operations!AD1034-Operations!AD1035</f>
        <v/>
      </c>
      <c r="AE1036" s="20">
        <f>Operations!AE1033-Operations!AE1034-Operations!AE1035</f>
        <v/>
      </c>
      <c r="AF1036" s="20">
        <f>Operations!AF1033-Operations!AF1034-Operations!AF1035</f>
        <v/>
      </c>
      <c r="AG1036" s="20">
        <f>Operations!AG1033-Operations!AG1034-Operations!AG1035</f>
        <v/>
      </c>
      <c r="AH1036" s="20">
        <f>Operations!AH1033-Operations!AH1034-Operations!AH1035</f>
        <v/>
      </c>
      <c r="AI1036" s="20">
        <f>Operations!AI1033-Operations!AI1034-Operations!AI1035</f>
        <v/>
      </c>
      <c r="AJ1036" s="20">
        <f>Operations!AJ1033-Operations!AJ1034-Operations!AJ1035</f>
        <v/>
      </c>
      <c r="AK1036" s="20">
        <f>Operations!AK1033-Operations!AK1034-Operations!AK1035</f>
        <v/>
      </c>
      <c r="AL1036" s="20">
        <f>Operations!AL1033-Operations!AL1034-Operations!AL1035</f>
        <v/>
      </c>
      <c r="AM1036" s="20">
        <f>Operations!AM1033-Operations!AM1034-Operations!AM1035</f>
        <v/>
      </c>
      <c r="AN1036" s="20">
        <f>Operations!AN1033-Operations!AN1034-Operations!AN1035</f>
        <v/>
      </c>
      <c r="AO1036" s="20">
        <f>Operations!AO1033-Operations!AO1034-Operations!AO1035</f>
        <v/>
      </c>
      <c r="AP1036" s="20">
        <f>Operations!AP1033-Operations!AP1034-Operations!AP1035</f>
        <v/>
      </c>
      <c r="AQ1036" s="20">
        <f>Operations!AQ1033-Operations!AQ1034-Operations!AQ1035</f>
        <v/>
      </c>
      <c r="AR1036" s="20">
        <f>Operations!AR1033-Operations!AR1034-Operations!AR1035</f>
        <v/>
      </c>
      <c r="AS1036" s="20">
        <f>Operations!AS1033-Operations!AS1034-Operations!AS1035</f>
        <v/>
      </c>
      <c r="AT1036" s="20">
        <f>Operations!AT1033-Operations!AT1034-Operations!AT1035</f>
        <v/>
      </c>
      <c r="AU1036" s="20">
        <f>Operations!AU1033-Operations!AU1034-Operations!AU1035</f>
        <v/>
      </c>
    </row>
    <row r="1037">
      <c r="D1037" t="inlineStr">
        <is>
          <t>R6 tax equity cash share</t>
        </is>
      </c>
      <c r="E1037" t="inlineStr">
        <is>
          <t>fraction</t>
        </is>
      </c>
      <c r="J1037" s="14">
        <f>0</f>
        <v/>
      </c>
      <c r="K1037" s="14">
        <f>0</f>
        <v/>
      </c>
      <c r="L1037" s="14">
        <f>0</f>
        <v/>
      </c>
      <c r="M1037" s="14">
        <f>0</f>
        <v/>
      </c>
      <c r="N1037" s="14">
        <f>0</f>
        <v/>
      </c>
      <c r="O1037" s="14">
        <f>0</f>
        <v/>
      </c>
      <c r="P1037" s="14">
        <f>0</f>
        <v/>
      </c>
      <c r="Q1037" s="14">
        <f>0</f>
        <v/>
      </c>
      <c r="R1037" s="14">
        <f>0</f>
        <v/>
      </c>
      <c r="S1037" s="14">
        <f>0</f>
        <v/>
      </c>
      <c r="T1037" s="14">
        <f>0</f>
        <v/>
      </c>
      <c r="U1037" s="14">
        <f>0</f>
        <v/>
      </c>
      <c r="V1037" s="14">
        <f>0</f>
        <v/>
      </c>
      <c r="W1037" s="14">
        <f>0</f>
        <v/>
      </c>
      <c r="X1037" s="14">
        <f>0</f>
        <v/>
      </c>
      <c r="Y1037" s="14">
        <f>0</f>
        <v/>
      </c>
      <c r="Z1037" s="14">
        <f>0</f>
        <v/>
      </c>
      <c r="AA1037" s="14">
        <f>0</f>
        <v/>
      </c>
      <c r="AB1037" s="14">
        <f>0</f>
        <v/>
      </c>
      <c r="AC1037" s="14">
        <f>0</f>
        <v/>
      </c>
      <c r="AD1037" s="14">
        <f>0</f>
        <v/>
      </c>
      <c r="AE1037" s="14">
        <f>0</f>
        <v/>
      </c>
      <c r="AF1037" s="14">
        <f>0</f>
        <v/>
      </c>
      <c r="AG1037" s="14">
        <f>0</f>
        <v/>
      </c>
      <c r="AH1037" s="14">
        <f>0</f>
        <v/>
      </c>
      <c r="AI1037" s="14">
        <f>0</f>
        <v/>
      </c>
      <c r="AJ1037" s="14">
        <f>0</f>
        <v/>
      </c>
      <c r="AK1037" s="14">
        <f>0</f>
        <v/>
      </c>
      <c r="AL1037" s="14">
        <f>0</f>
        <v/>
      </c>
      <c r="AM1037" s="14">
        <f>0</f>
        <v/>
      </c>
      <c r="AN1037" s="14">
        <f>0</f>
        <v/>
      </c>
      <c r="AO1037" s="14">
        <f>0</f>
        <v/>
      </c>
      <c r="AP1037" s="14">
        <f>0</f>
        <v/>
      </c>
      <c r="AQ1037" s="14">
        <f>0</f>
        <v/>
      </c>
      <c r="AR1037" s="14">
        <f>0</f>
        <v/>
      </c>
      <c r="AS1037" s="14">
        <f>0</f>
        <v/>
      </c>
      <c r="AT1037" s="14">
        <f>0</f>
        <v/>
      </c>
      <c r="AU1037" s="14">
        <f>0</f>
        <v/>
      </c>
    </row>
    <row r="1038">
      <c r="D1038" t="inlineStr">
        <is>
          <t>R6 Mesa share of taxable income</t>
        </is>
      </c>
      <c r="E1038" t="inlineStr">
        <is>
          <t>fraction</t>
        </is>
      </c>
      <c r="J1038" s="14">
        <f>1</f>
        <v/>
      </c>
      <c r="K1038" s="14">
        <f>1</f>
        <v/>
      </c>
      <c r="L1038" s="14">
        <f>1</f>
        <v/>
      </c>
      <c r="M1038" s="14">
        <f>1</f>
        <v/>
      </c>
      <c r="N1038" s="14">
        <f>1</f>
        <v/>
      </c>
      <c r="O1038" s="14">
        <f>1</f>
        <v/>
      </c>
      <c r="P1038" s="14">
        <f>1</f>
        <v/>
      </c>
      <c r="Q1038" s="14">
        <f>1</f>
        <v/>
      </c>
      <c r="R1038" s="14">
        <f>1</f>
        <v/>
      </c>
      <c r="S1038" s="14">
        <f>1</f>
        <v/>
      </c>
      <c r="T1038" s="14">
        <f>1</f>
        <v/>
      </c>
      <c r="U1038" s="14">
        <f>1</f>
        <v/>
      </c>
      <c r="V1038" s="14">
        <f>1</f>
        <v/>
      </c>
      <c r="W1038" s="14">
        <f>1</f>
        <v/>
      </c>
      <c r="X1038" s="14">
        <f>1</f>
        <v/>
      </c>
      <c r="Y1038" s="14">
        <f>1</f>
        <v/>
      </c>
      <c r="Z1038" s="14">
        <f>1</f>
        <v/>
      </c>
      <c r="AA1038" s="14">
        <f>1</f>
        <v/>
      </c>
      <c r="AB1038" s="14">
        <f>1</f>
        <v/>
      </c>
      <c r="AC1038" s="14">
        <f>1</f>
        <v/>
      </c>
      <c r="AD1038" s="14">
        <f>1</f>
        <v/>
      </c>
      <c r="AE1038" s="14">
        <f>1</f>
        <v/>
      </c>
      <c r="AF1038" s="14">
        <f>1</f>
        <v/>
      </c>
      <c r="AG1038" s="14">
        <f>1</f>
        <v/>
      </c>
      <c r="AH1038" s="14">
        <f>1</f>
        <v/>
      </c>
      <c r="AI1038" s="14">
        <f>1</f>
        <v/>
      </c>
      <c r="AJ1038" s="14">
        <f>1</f>
        <v/>
      </c>
      <c r="AK1038" s="14">
        <f>1</f>
        <v/>
      </c>
      <c r="AL1038" s="14">
        <f>1</f>
        <v/>
      </c>
      <c r="AM1038" s="14">
        <f>1</f>
        <v/>
      </c>
      <c r="AN1038" s="14">
        <f>1</f>
        <v/>
      </c>
      <c r="AO1038" s="14">
        <f>1</f>
        <v/>
      </c>
      <c r="AP1038" s="14">
        <f>1</f>
        <v/>
      </c>
      <c r="AQ1038" s="14">
        <f>1</f>
        <v/>
      </c>
      <c r="AR1038" s="14">
        <f>1</f>
        <v/>
      </c>
      <c r="AS1038" s="14">
        <f>1</f>
        <v/>
      </c>
      <c r="AT1038" s="14">
        <f>1</f>
        <v/>
      </c>
      <c r="AU1038" s="14">
        <f>1</f>
        <v/>
      </c>
    </row>
    <row r="1039">
      <c r="D1039" t="inlineStr">
        <is>
          <t>R6 Mesa share of cash flow</t>
        </is>
      </c>
      <c r="E1039" t="inlineStr">
        <is>
          <t>USD m</t>
        </is>
      </c>
      <c r="G1039" s="20">
        <f>SUM(J1039:AU1039)</f>
        <v/>
      </c>
      <c r="J1039" s="20">
        <f>Operations!J1036*(1-Operations!J1037)*Operations!J1020</f>
        <v/>
      </c>
      <c r="K1039" s="20">
        <f>Operations!K1036*(1-Operations!K1037)*Operations!K1020</f>
        <v/>
      </c>
      <c r="L1039" s="20">
        <f>Operations!L1036*(1-Operations!L1037)*Operations!L1020</f>
        <v/>
      </c>
      <c r="M1039" s="20">
        <f>Operations!M1036*(1-Operations!M1037)*Operations!M1020</f>
        <v/>
      </c>
      <c r="N1039" s="20">
        <f>Operations!N1036*(1-Operations!N1037)*Operations!N1020</f>
        <v/>
      </c>
      <c r="O1039" s="20">
        <f>Operations!O1036*(1-Operations!O1037)*Operations!O1020</f>
        <v/>
      </c>
      <c r="P1039" s="20">
        <f>Operations!P1036*(1-Operations!P1037)*Operations!P1020</f>
        <v/>
      </c>
      <c r="Q1039" s="20">
        <f>Operations!Q1036*(1-Operations!Q1037)*Operations!Q1020</f>
        <v/>
      </c>
      <c r="R1039" s="20">
        <f>Operations!R1036*(1-Operations!R1037)*Operations!R1020</f>
        <v/>
      </c>
      <c r="S1039" s="20">
        <f>Operations!S1036*(1-Operations!S1037)*Operations!S1020</f>
        <v/>
      </c>
      <c r="T1039" s="20">
        <f>Operations!T1036*(1-Operations!T1037)*Operations!T1020</f>
        <v/>
      </c>
      <c r="U1039" s="20">
        <f>Operations!U1036*(1-Operations!U1037)*Operations!U1020</f>
        <v/>
      </c>
      <c r="V1039" s="20">
        <f>Operations!V1036*(1-Operations!V1037)*Operations!V1020</f>
        <v/>
      </c>
      <c r="W1039" s="20">
        <f>Operations!W1036*(1-Operations!W1037)*Operations!W1020</f>
        <v/>
      </c>
      <c r="X1039" s="20">
        <f>Operations!X1036*(1-Operations!X1037)*Operations!X1020</f>
        <v/>
      </c>
      <c r="Y1039" s="20">
        <f>Operations!Y1036*(1-Operations!Y1037)*Operations!Y1020</f>
        <v/>
      </c>
      <c r="Z1039" s="20">
        <f>Operations!Z1036*(1-Operations!Z1037)*Operations!Z1020</f>
        <v/>
      </c>
      <c r="AA1039" s="20">
        <f>Operations!AA1036*(1-Operations!AA1037)*Operations!AA1020</f>
        <v/>
      </c>
      <c r="AB1039" s="20">
        <f>Operations!AB1036*(1-Operations!AB1037)*Operations!AB1020</f>
        <v/>
      </c>
      <c r="AC1039" s="20">
        <f>Operations!AC1036*(1-Operations!AC1037)*Operations!AC1020</f>
        <v/>
      </c>
      <c r="AD1039" s="20">
        <f>Operations!AD1036*(1-Operations!AD1037)*Operations!AD1020</f>
        <v/>
      </c>
      <c r="AE1039" s="20">
        <f>Operations!AE1036*(1-Operations!AE1037)*Operations!AE1020</f>
        <v/>
      </c>
      <c r="AF1039" s="20">
        <f>Operations!AF1036*(1-Operations!AF1037)*Operations!AF1020</f>
        <v/>
      </c>
      <c r="AG1039" s="20">
        <f>Operations!AG1036*(1-Operations!AG1037)*Operations!AG1020</f>
        <v/>
      </c>
      <c r="AH1039" s="20">
        <f>Operations!AH1036*(1-Operations!AH1037)*Operations!AH1020</f>
        <v/>
      </c>
      <c r="AI1039" s="20">
        <f>Operations!AI1036*(1-Operations!AI1037)*Operations!AI1020</f>
        <v/>
      </c>
      <c r="AJ1039" s="20">
        <f>Operations!AJ1036*(1-Operations!AJ1037)*Operations!AJ1020</f>
        <v/>
      </c>
      <c r="AK1039" s="20">
        <f>Operations!AK1036*(1-Operations!AK1037)*Operations!AK1020</f>
        <v/>
      </c>
      <c r="AL1039" s="20">
        <f>Operations!AL1036*(1-Operations!AL1037)*Operations!AL1020</f>
        <v/>
      </c>
      <c r="AM1039" s="20">
        <f>Operations!AM1036*(1-Operations!AM1037)*Operations!AM1020</f>
        <v/>
      </c>
      <c r="AN1039" s="20">
        <f>Operations!AN1036*(1-Operations!AN1037)*Operations!AN1020</f>
        <v/>
      </c>
      <c r="AO1039" s="20">
        <f>Operations!AO1036*(1-Operations!AO1037)*Operations!AO1020</f>
        <v/>
      </c>
      <c r="AP1039" s="20">
        <f>Operations!AP1036*(1-Operations!AP1037)*Operations!AP1020</f>
        <v/>
      </c>
      <c r="AQ1039" s="20">
        <f>Operations!AQ1036*(1-Operations!AQ1037)*Operations!AQ1020</f>
        <v/>
      </c>
      <c r="AR1039" s="20">
        <f>Operations!AR1036*(1-Operations!AR1037)*Operations!AR1020</f>
        <v/>
      </c>
      <c r="AS1039" s="20">
        <f>Operations!AS1036*(1-Operations!AS1037)*Operations!AS1020</f>
        <v/>
      </c>
      <c r="AT1039" s="20">
        <f>Operations!AT1036*(1-Operations!AT1037)*Operations!AT1020</f>
        <v/>
      </c>
      <c r="AU1039" s="20">
        <f>Operations!AU1036*(1-Operations!AU1037)*Operations!AU1020</f>
        <v/>
      </c>
    </row>
    <row r="1040">
      <c r="D1040" t="inlineStr">
        <is>
          <t>R6 Mesa taxable operating income</t>
        </is>
      </c>
      <c r="E1040" t="inlineStr">
        <is>
          <t>USD m</t>
        </is>
      </c>
      <c r="J1040" s="20">
        <f>Operations!J1036*Operations!J1038*Operations!J1020</f>
        <v/>
      </c>
      <c r="K1040" s="20">
        <f>Operations!K1036*Operations!K1038*Operations!K1020</f>
        <v/>
      </c>
      <c r="L1040" s="20">
        <f>Operations!L1036*Operations!L1038*Operations!L1020</f>
        <v/>
      </c>
      <c r="M1040" s="20">
        <f>Operations!M1036*Operations!M1038*Operations!M1020</f>
        <v/>
      </c>
      <c r="N1040" s="20">
        <f>Operations!N1036*Operations!N1038*Operations!N1020</f>
        <v/>
      </c>
      <c r="O1040" s="20">
        <f>Operations!O1036*Operations!O1038*Operations!O1020</f>
        <v/>
      </c>
      <c r="P1040" s="20">
        <f>Operations!P1036*Operations!P1038*Operations!P1020</f>
        <v/>
      </c>
      <c r="Q1040" s="20">
        <f>Operations!Q1036*Operations!Q1038*Operations!Q1020</f>
        <v/>
      </c>
      <c r="R1040" s="20">
        <f>Operations!R1036*Operations!R1038*Operations!R1020</f>
        <v/>
      </c>
      <c r="S1040" s="20">
        <f>Operations!S1036*Operations!S1038*Operations!S1020</f>
        <v/>
      </c>
      <c r="T1040" s="20">
        <f>Operations!T1036*Operations!T1038*Operations!T1020</f>
        <v/>
      </c>
      <c r="U1040" s="20">
        <f>Operations!U1036*Operations!U1038*Operations!U1020</f>
        <v/>
      </c>
      <c r="V1040" s="20">
        <f>Operations!V1036*Operations!V1038*Operations!V1020</f>
        <v/>
      </c>
      <c r="W1040" s="20">
        <f>Operations!W1036*Operations!W1038*Operations!W1020</f>
        <v/>
      </c>
      <c r="X1040" s="20">
        <f>Operations!X1036*Operations!X1038*Operations!X1020</f>
        <v/>
      </c>
      <c r="Y1040" s="20">
        <f>Operations!Y1036*Operations!Y1038*Operations!Y1020</f>
        <v/>
      </c>
      <c r="Z1040" s="20">
        <f>Operations!Z1036*Operations!Z1038*Operations!Z1020</f>
        <v/>
      </c>
      <c r="AA1040" s="20">
        <f>Operations!AA1036*Operations!AA1038*Operations!AA1020</f>
        <v/>
      </c>
      <c r="AB1040" s="20">
        <f>Operations!AB1036*Operations!AB1038*Operations!AB1020</f>
        <v/>
      </c>
      <c r="AC1040" s="20">
        <f>Operations!AC1036*Operations!AC1038*Operations!AC1020</f>
        <v/>
      </c>
      <c r="AD1040" s="20">
        <f>Operations!AD1036*Operations!AD1038*Operations!AD1020</f>
        <v/>
      </c>
      <c r="AE1040" s="20">
        <f>Operations!AE1036*Operations!AE1038*Operations!AE1020</f>
        <v/>
      </c>
      <c r="AF1040" s="20">
        <f>Operations!AF1036*Operations!AF1038*Operations!AF1020</f>
        <v/>
      </c>
      <c r="AG1040" s="20">
        <f>Operations!AG1036*Operations!AG1038*Operations!AG1020</f>
        <v/>
      </c>
      <c r="AH1040" s="20">
        <f>Operations!AH1036*Operations!AH1038*Operations!AH1020</f>
        <v/>
      </c>
      <c r="AI1040" s="20">
        <f>Operations!AI1036*Operations!AI1038*Operations!AI1020</f>
        <v/>
      </c>
      <c r="AJ1040" s="20">
        <f>Operations!AJ1036*Operations!AJ1038*Operations!AJ1020</f>
        <v/>
      </c>
      <c r="AK1040" s="20">
        <f>Operations!AK1036*Operations!AK1038*Operations!AK1020</f>
        <v/>
      </c>
      <c r="AL1040" s="20">
        <f>Operations!AL1036*Operations!AL1038*Operations!AL1020</f>
        <v/>
      </c>
      <c r="AM1040" s="20">
        <f>Operations!AM1036*Operations!AM1038*Operations!AM1020</f>
        <v/>
      </c>
      <c r="AN1040" s="20">
        <f>Operations!AN1036*Operations!AN1038*Operations!AN1020</f>
        <v/>
      </c>
      <c r="AO1040" s="20">
        <f>Operations!AO1036*Operations!AO1038*Operations!AO1020</f>
        <v/>
      </c>
      <c r="AP1040" s="20">
        <f>Operations!AP1036*Operations!AP1038*Operations!AP1020</f>
        <v/>
      </c>
      <c r="AQ1040" s="20">
        <f>Operations!AQ1036*Operations!AQ1038*Operations!AQ1020</f>
        <v/>
      </c>
      <c r="AR1040" s="20">
        <f>Operations!AR1036*Operations!AR1038*Operations!AR1020</f>
        <v/>
      </c>
      <c r="AS1040" s="20">
        <f>Operations!AS1036*Operations!AS1038*Operations!AS1020</f>
        <v/>
      </c>
      <c r="AT1040" s="20">
        <f>Operations!AT1036*Operations!AT1038*Operations!AT1020</f>
        <v/>
      </c>
      <c r="AU1040" s="20">
        <f>Operations!AU1036*Operations!AU1038*Operations!AU1020</f>
        <v/>
      </c>
    </row>
    <row r="1041">
      <c r="D1041" t="inlineStr">
        <is>
          <t>R6 Mesa unlevered post-tax cash flow (before price shield)</t>
        </is>
      </c>
      <c r="E1041" t="inlineStr">
        <is>
          <t>USD m</t>
        </is>
      </c>
      <c r="J1041" s="20">
        <f>Operations!J1039-Inputs!$F$241/100*Operations!J1040</f>
        <v/>
      </c>
      <c r="K1041" s="20">
        <f>Operations!K1039-Inputs!$F$241/100*Operations!K1040</f>
        <v/>
      </c>
      <c r="L1041" s="20">
        <f>Operations!L1039-Inputs!$F$241/100*Operations!L1040</f>
        <v/>
      </c>
      <c r="M1041" s="20">
        <f>Operations!M1039-Inputs!$F$241/100*Operations!M1040</f>
        <v/>
      </c>
      <c r="N1041" s="20">
        <f>Operations!N1039-Inputs!$F$241/100*Operations!N1040</f>
        <v/>
      </c>
      <c r="O1041" s="20">
        <f>Operations!O1039-Inputs!$F$241/100*Operations!O1040</f>
        <v/>
      </c>
      <c r="P1041" s="20">
        <f>Operations!P1039-Inputs!$F$241/100*Operations!P1040</f>
        <v/>
      </c>
      <c r="Q1041" s="20">
        <f>Operations!Q1039-Inputs!$F$241/100*Operations!Q1040</f>
        <v/>
      </c>
      <c r="R1041" s="20">
        <f>Operations!R1039-Inputs!$F$241/100*Operations!R1040</f>
        <v/>
      </c>
      <c r="S1041" s="20">
        <f>Operations!S1039-Inputs!$F$241/100*Operations!S1040</f>
        <v/>
      </c>
      <c r="T1041" s="20">
        <f>Operations!T1039-Inputs!$F$241/100*Operations!T1040</f>
        <v/>
      </c>
      <c r="U1041" s="20">
        <f>Operations!U1039-Inputs!$F$241/100*Operations!U1040</f>
        <v/>
      </c>
      <c r="V1041" s="20">
        <f>Operations!V1039-Inputs!$F$241/100*Operations!V1040</f>
        <v/>
      </c>
      <c r="W1041" s="20">
        <f>Operations!W1039-Inputs!$F$241/100*Operations!W1040</f>
        <v/>
      </c>
      <c r="X1041" s="20">
        <f>Operations!X1039-Inputs!$F$241/100*Operations!X1040</f>
        <v/>
      </c>
      <c r="Y1041" s="20">
        <f>Operations!Y1039-Inputs!$F$241/100*Operations!Y1040</f>
        <v/>
      </c>
      <c r="Z1041" s="20">
        <f>Operations!Z1039-Inputs!$F$241/100*Operations!Z1040</f>
        <v/>
      </c>
      <c r="AA1041" s="20">
        <f>Operations!AA1039-Inputs!$F$241/100*Operations!AA1040</f>
        <v/>
      </c>
      <c r="AB1041" s="20">
        <f>Operations!AB1039-Inputs!$F$241/100*Operations!AB1040</f>
        <v/>
      </c>
      <c r="AC1041" s="20">
        <f>Operations!AC1039-Inputs!$F$241/100*Operations!AC1040</f>
        <v/>
      </c>
      <c r="AD1041" s="20">
        <f>Operations!AD1039-Inputs!$F$241/100*Operations!AD1040</f>
        <v/>
      </c>
      <c r="AE1041" s="20">
        <f>Operations!AE1039-Inputs!$F$241/100*Operations!AE1040</f>
        <v/>
      </c>
      <c r="AF1041" s="20">
        <f>Operations!AF1039-Inputs!$F$241/100*Operations!AF1040</f>
        <v/>
      </c>
      <c r="AG1041" s="20">
        <f>Operations!AG1039-Inputs!$F$241/100*Operations!AG1040</f>
        <v/>
      </c>
      <c r="AH1041" s="20">
        <f>Operations!AH1039-Inputs!$F$241/100*Operations!AH1040</f>
        <v/>
      </c>
      <c r="AI1041" s="20">
        <f>Operations!AI1039-Inputs!$F$241/100*Operations!AI1040</f>
        <v/>
      </c>
      <c r="AJ1041" s="20">
        <f>Operations!AJ1039-Inputs!$F$241/100*Operations!AJ1040</f>
        <v/>
      </c>
      <c r="AK1041" s="20">
        <f>Operations!AK1039-Inputs!$F$241/100*Operations!AK1040</f>
        <v/>
      </c>
      <c r="AL1041" s="20">
        <f>Operations!AL1039-Inputs!$F$241/100*Operations!AL1040</f>
        <v/>
      </c>
      <c r="AM1041" s="20">
        <f>Operations!AM1039-Inputs!$F$241/100*Operations!AM1040</f>
        <v/>
      </c>
      <c r="AN1041" s="20">
        <f>Operations!AN1039-Inputs!$F$241/100*Operations!AN1040</f>
        <v/>
      </c>
      <c r="AO1041" s="20">
        <f>Operations!AO1039-Inputs!$F$241/100*Operations!AO1040</f>
        <v/>
      </c>
      <c r="AP1041" s="20">
        <f>Operations!AP1039-Inputs!$F$241/100*Operations!AP1040</f>
        <v/>
      </c>
      <c r="AQ1041" s="20">
        <f>Operations!AQ1039-Inputs!$F$241/100*Operations!AQ1040</f>
        <v/>
      </c>
      <c r="AR1041" s="20">
        <f>Operations!AR1039-Inputs!$F$241/100*Operations!AR1040</f>
        <v/>
      </c>
      <c r="AS1041" s="20">
        <f>Operations!AS1039-Inputs!$F$241/100*Operations!AS1040</f>
        <v/>
      </c>
      <c r="AT1041" s="20">
        <f>Operations!AT1039-Inputs!$F$241/100*Operations!AT1040</f>
        <v/>
      </c>
      <c r="AU1041" s="20">
        <f>Operations!AU1039-Inputs!$F$241/100*Operations!AU1040</f>
        <v/>
      </c>
    </row>
    <row r="1042">
      <c r="D1042" t="inlineStr">
        <is>
          <t>R6 contracted share of revenue</t>
        </is>
      </c>
      <c r="E1042" t="inlineStr">
        <is>
          <t>fraction</t>
        </is>
      </c>
      <c r="J1042" s="14">
        <f>IF(Operations!J1027=0,0,Operations!J1025/Operations!J1027)</f>
        <v/>
      </c>
      <c r="K1042" s="14">
        <f>IF(Operations!K1027=0,0,Operations!K1025/Operations!K1027)</f>
        <v/>
      </c>
      <c r="L1042" s="14">
        <f>IF(Operations!L1027=0,0,Operations!L1025/Operations!L1027)</f>
        <v/>
      </c>
      <c r="M1042" s="14">
        <f>IF(Operations!M1027=0,0,Operations!M1025/Operations!M1027)</f>
        <v/>
      </c>
      <c r="N1042" s="14">
        <f>IF(Operations!N1027=0,0,Operations!N1025/Operations!N1027)</f>
        <v/>
      </c>
      <c r="O1042" s="14">
        <f>IF(Operations!O1027=0,0,Operations!O1025/Operations!O1027)</f>
        <v/>
      </c>
      <c r="P1042" s="14">
        <f>IF(Operations!P1027=0,0,Operations!P1025/Operations!P1027)</f>
        <v/>
      </c>
      <c r="Q1042" s="14">
        <f>IF(Operations!Q1027=0,0,Operations!Q1025/Operations!Q1027)</f>
        <v/>
      </c>
      <c r="R1042" s="14">
        <f>IF(Operations!R1027=0,0,Operations!R1025/Operations!R1027)</f>
        <v/>
      </c>
      <c r="S1042" s="14">
        <f>IF(Operations!S1027=0,0,Operations!S1025/Operations!S1027)</f>
        <v/>
      </c>
      <c r="T1042" s="14">
        <f>IF(Operations!T1027=0,0,Operations!T1025/Operations!T1027)</f>
        <v/>
      </c>
      <c r="U1042" s="14">
        <f>IF(Operations!U1027=0,0,Operations!U1025/Operations!U1027)</f>
        <v/>
      </c>
      <c r="V1042" s="14">
        <f>IF(Operations!V1027=0,0,Operations!V1025/Operations!V1027)</f>
        <v/>
      </c>
      <c r="W1042" s="14">
        <f>IF(Operations!W1027=0,0,Operations!W1025/Operations!W1027)</f>
        <v/>
      </c>
      <c r="X1042" s="14">
        <f>IF(Operations!X1027=0,0,Operations!X1025/Operations!X1027)</f>
        <v/>
      </c>
      <c r="Y1042" s="14">
        <f>IF(Operations!Y1027=0,0,Operations!Y1025/Operations!Y1027)</f>
        <v/>
      </c>
      <c r="Z1042" s="14">
        <f>IF(Operations!Z1027=0,0,Operations!Z1025/Operations!Z1027)</f>
        <v/>
      </c>
      <c r="AA1042" s="14">
        <f>IF(Operations!AA1027=0,0,Operations!AA1025/Operations!AA1027)</f>
        <v/>
      </c>
      <c r="AB1042" s="14">
        <f>IF(Operations!AB1027=0,0,Operations!AB1025/Operations!AB1027)</f>
        <v/>
      </c>
      <c r="AC1042" s="14">
        <f>IF(Operations!AC1027=0,0,Operations!AC1025/Operations!AC1027)</f>
        <v/>
      </c>
      <c r="AD1042" s="14">
        <f>IF(Operations!AD1027=0,0,Operations!AD1025/Operations!AD1027)</f>
        <v/>
      </c>
      <c r="AE1042" s="14">
        <f>IF(Operations!AE1027=0,0,Operations!AE1025/Operations!AE1027)</f>
        <v/>
      </c>
      <c r="AF1042" s="14">
        <f>IF(Operations!AF1027=0,0,Operations!AF1025/Operations!AF1027)</f>
        <v/>
      </c>
      <c r="AG1042" s="14">
        <f>IF(Operations!AG1027=0,0,Operations!AG1025/Operations!AG1027)</f>
        <v/>
      </c>
      <c r="AH1042" s="14">
        <f>IF(Operations!AH1027=0,0,Operations!AH1025/Operations!AH1027)</f>
        <v/>
      </c>
      <c r="AI1042" s="14">
        <f>IF(Operations!AI1027=0,0,Operations!AI1025/Operations!AI1027)</f>
        <v/>
      </c>
      <c r="AJ1042" s="14">
        <f>IF(Operations!AJ1027=0,0,Operations!AJ1025/Operations!AJ1027)</f>
        <v/>
      </c>
      <c r="AK1042" s="14">
        <f>IF(Operations!AK1027=0,0,Operations!AK1025/Operations!AK1027)</f>
        <v/>
      </c>
      <c r="AL1042" s="14">
        <f>IF(Operations!AL1027=0,0,Operations!AL1025/Operations!AL1027)</f>
        <v/>
      </c>
      <c r="AM1042" s="14">
        <f>IF(Operations!AM1027=0,0,Operations!AM1025/Operations!AM1027)</f>
        <v/>
      </c>
      <c r="AN1042" s="14">
        <f>IF(Operations!AN1027=0,0,Operations!AN1025/Operations!AN1027)</f>
        <v/>
      </c>
      <c r="AO1042" s="14">
        <f>IF(Operations!AO1027=0,0,Operations!AO1025/Operations!AO1027)</f>
        <v/>
      </c>
      <c r="AP1042" s="14">
        <f>IF(Operations!AP1027=0,0,Operations!AP1025/Operations!AP1027)</f>
        <v/>
      </c>
      <c r="AQ1042" s="14">
        <f>IF(Operations!AQ1027=0,0,Operations!AQ1025/Operations!AQ1027)</f>
        <v/>
      </c>
      <c r="AR1042" s="14">
        <f>IF(Operations!AR1027=0,0,Operations!AR1025/Operations!AR1027)</f>
        <v/>
      </c>
      <c r="AS1042" s="14">
        <f>IF(Operations!AS1027=0,0,Operations!AS1025/Operations!AS1027)</f>
        <v/>
      </c>
      <c r="AT1042" s="14">
        <f>IF(Operations!AT1027=0,0,Operations!AT1025/Operations!AT1027)</f>
        <v/>
      </c>
      <c r="AU1042" s="14">
        <f>IF(Operations!AU1027=0,0,Operations!AU1025/Operations!AU1027)</f>
        <v/>
      </c>
    </row>
    <row r="1043">
      <c r="D1043" t="inlineStr">
        <is>
          <t>R6 hedged share of revenue</t>
        </is>
      </c>
      <c r="E1043" t="inlineStr">
        <is>
          <t>fraction</t>
        </is>
      </c>
      <c r="J1043" s="14">
        <f>IF(Operations!J1027=0,0,Operations!J1026/Operations!J1027)</f>
        <v/>
      </c>
      <c r="K1043" s="14">
        <f>IF(Operations!K1027=0,0,Operations!K1026/Operations!K1027)</f>
        <v/>
      </c>
      <c r="L1043" s="14">
        <f>IF(Operations!L1027=0,0,Operations!L1026/Operations!L1027)</f>
        <v/>
      </c>
      <c r="M1043" s="14">
        <f>IF(Operations!M1027=0,0,Operations!M1026/Operations!M1027)</f>
        <v/>
      </c>
      <c r="N1043" s="14">
        <f>IF(Operations!N1027=0,0,Operations!N1026/Operations!N1027)</f>
        <v/>
      </c>
      <c r="O1043" s="14">
        <f>IF(Operations!O1027=0,0,Operations!O1026/Operations!O1027)</f>
        <v/>
      </c>
      <c r="P1043" s="14">
        <f>IF(Operations!P1027=0,0,Operations!P1026/Operations!P1027)</f>
        <v/>
      </c>
      <c r="Q1043" s="14">
        <f>IF(Operations!Q1027=0,0,Operations!Q1026/Operations!Q1027)</f>
        <v/>
      </c>
      <c r="R1043" s="14">
        <f>IF(Operations!R1027=0,0,Operations!R1026/Operations!R1027)</f>
        <v/>
      </c>
      <c r="S1043" s="14">
        <f>IF(Operations!S1027=0,0,Operations!S1026/Operations!S1027)</f>
        <v/>
      </c>
      <c r="T1043" s="14">
        <f>IF(Operations!T1027=0,0,Operations!T1026/Operations!T1027)</f>
        <v/>
      </c>
      <c r="U1043" s="14">
        <f>IF(Operations!U1027=0,0,Operations!U1026/Operations!U1027)</f>
        <v/>
      </c>
      <c r="V1043" s="14">
        <f>IF(Operations!V1027=0,0,Operations!V1026/Operations!V1027)</f>
        <v/>
      </c>
      <c r="W1043" s="14">
        <f>IF(Operations!W1027=0,0,Operations!W1026/Operations!W1027)</f>
        <v/>
      </c>
      <c r="X1043" s="14">
        <f>IF(Operations!X1027=0,0,Operations!X1026/Operations!X1027)</f>
        <v/>
      </c>
      <c r="Y1043" s="14">
        <f>IF(Operations!Y1027=0,0,Operations!Y1026/Operations!Y1027)</f>
        <v/>
      </c>
      <c r="Z1043" s="14">
        <f>IF(Operations!Z1027=0,0,Operations!Z1026/Operations!Z1027)</f>
        <v/>
      </c>
      <c r="AA1043" s="14">
        <f>IF(Operations!AA1027=0,0,Operations!AA1026/Operations!AA1027)</f>
        <v/>
      </c>
      <c r="AB1043" s="14">
        <f>IF(Operations!AB1027=0,0,Operations!AB1026/Operations!AB1027)</f>
        <v/>
      </c>
      <c r="AC1043" s="14">
        <f>IF(Operations!AC1027=0,0,Operations!AC1026/Operations!AC1027)</f>
        <v/>
      </c>
      <c r="AD1043" s="14">
        <f>IF(Operations!AD1027=0,0,Operations!AD1026/Operations!AD1027)</f>
        <v/>
      </c>
      <c r="AE1043" s="14">
        <f>IF(Operations!AE1027=0,0,Operations!AE1026/Operations!AE1027)</f>
        <v/>
      </c>
      <c r="AF1043" s="14">
        <f>IF(Operations!AF1027=0,0,Operations!AF1026/Operations!AF1027)</f>
        <v/>
      </c>
      <c r="AG1043" s="14">
        <f>IF(Operations!AG1027=0,0,Operations!AG1026/Operations!AG1027)</f>
        <v/>
      </c>
      <c r="AH1043" s="14">
        <f>IF(Operations!AH1027=0,0,Operations!AH1026/Operations!AH1027)</f>
        <v/>
      </c>
      <c r="AI1043" s="14">
        <f>IF(Operations!AI1027=0,0,Operations!AI1026/Operations!AI1027)</f>
        <v/>
      </c>
      <c r="AJ1043" s="14">
        <f>IF(Operations!AJ1027=0,0,Operations!AJ1026/Operations!AJ1027)</f>
        <v/>
      </c>
      <c r="AK1043" s="14">
        <f>IF(Operations!AK1027=0,0,Operations!AK1026/Operations!AK1027)</f>
        <v/>
      </c>
      <c r="AL1043" s="14">
        <f>IF(Operations!AL1027=0,0,Operations!AL1026/Operations!AL1027)</f>
        <v/>
      </c>
      <c r="AM1043" s="14">
        <f>IF(Operations!AM1027=0,0,Operations!AM1026/Operations!AM1027)</f>
        <v/>
      </c>
      <c r="AN1043" s="14">
        <f>IF(Operations!AN1027=0,0,Operations!AN1026/Operations!AN1027)</f>
        <v/>
      </c>
      <c r="AO1043" s="14">
        <f>IF(Operations!AO1027=0,0,Operations!AO1026/Operations!AO1027)</f>
        <v/>
      </c>
      <c r="AP1043" s="14">
        <f>IF(Operations!AP1027=0,0,Operations!AP1026/Operations!AP1027)</f>
        <v/>
      </c>
      <c r="AQ1043" s="14">
        <f>IF(Operations!AQ1027=0,0,Operations!AQ1026/Operations!AQ1027)</f>
        <v/>
      </c>
      <c r="AR1043" s="14">
        <f>IF(Operations!AR1027=0,0,Operations!AR1026/Operations!AR1027)</f>
        <v/>
      </c>
      <c r="AS1043" s="14">
        <f>IF(Operations!AS1027=0,0,Operations!AS1026/Operations!AS1027)</f>
        <v/>
      </c>
      <c r="AT1043" s="14">
        <f>IF(Operations!AT1027=0,0,Operations!AT1026/Operations!AT1027)</f>
        <v/>
      </c>
      <c r="AU1043" s="14">
        <f>IF(Operations!AU1027=0,0,Operations!AU1026/Operations!AU1027)</f>
        <v/>
      </c>
    </row>
    <row r="1044">
      <c r="D1044" t="inlineStr">
        <is>
          <t>R6 merchant share of revenue</t>
        </is>
      </c>
      <c r="E1044" t="inlineStr">
        <is>
          <t>fraction</t>
        </is>
      </c>
      <c r="J1044" s="14">
        <f>1-Operations!J1042-Operations!J1043</f>
        <v/>
      </c>
      <c r="K1044" s="14">
        <f>1-Operations!K1042-Operations!K1043</f>
        <v/>
      </c>
      <c r="L1044" s="14">
        <f>1-Operations!L1042-Operations!L1043</f>
        <v/>
      </c>
      <c r="M1044" s="14">
        <f>1-Operations!M1042-Operations!M1043</f>
        <v/>
      </c>
      <c r="N1044" s="14">
        <f>1-Operations!N1042-Operations!N1043</f>
        <v/>
      </c>
      <c r="O1044" s="14">
        <f>1-Operations!O1042-Operations!O1043</f>
        <v/>
      </c>
      <c r="P1044" s="14">
        <f>1-Operations!P1042-Operations!P1043</f>
        <v/>
      </c>
      <c r="Q1044" s="14">
        <f>1-Operations!Q1042-Operations!Q1043</f>
        <v/>
      </c>
      <c r="R1044" s="14">
        <f>1-Operations!R1042-Operations!R1043</f>
        <v/>
      </c>
      <c r="S1044" s="14">
        <f>1-Operations!S1042-Operations!S1043</f>
        <v/>
      </c>
      <c r="T1044" s="14">
        <f>1-Operations!T1042-Operations!T1043</f>
        <v/>
      </c>
      <c r="U1044" s="14">
        <f>1-Operations!U1042-Operations!U1043</f>
        <v/>
      </c>
      <c r="V1044" s="14">
        <f>1-Operations!V1042-Operations!V1043</f>
        <v/>
      </c>
      <c r="W1044" s="14">
        <f>1-Operations!W1042-Operations!W1043</f>
        <v/>
      </c>
      <c r="X1044" s="14">
        <f>1-Operations!X1042-Operations!X1043</f>
        <v/>
      </c>
      <c r="Y1044" s="14">
        <f>1-Operations!Y1042-Operations!Y1043</f>
        <v/>
      </c>
      <c r="Z1044" s="14">
        <f>1-Operations!Z1042-Operations!Z1043</f>
        <v/>
      </c>
      <c r="AA1044" s="14">
        <f>1-Operations!AA1042-Operations!AA1043</f>
        <v/>
      </c>
      <c r="AB1044" s="14">
        <f>1-Operations!AB1042-Operations!AB1043</f>
        <v/>
      </c>
      <c r="AC1044" s="14">
        <f>1-Operations!AC1042-Operations!AC1043</f>
        <v/>
      </c>
      <c r="AD1044" s="14">
        <f>1-Operations!AD1042-Operations!AD1043</f>
        <v/>
      </c>
      <c r="AE1044" s="14">
        <f>1-Operations!AE1042-Operations!AE1043</f>
        <v/>
      </c>
      <c r="AF1044" s="14">
        <f>1-Operations!AF1042-Operations!AF1043</f>
        <v/>
      </c>
      <c r="AG1044" s="14">
        <f>1-Operations!AG1042-Operations!AG1043</f>
        <v/>
      </c>
      <c r="AH1044" s="14">
        <f>1-Operations!AH1042-Operations!AH1043</f>
        <v/>
      </c>
      <c r="AI1044" s="14">
        <f>1-Operations!AI1042-Operations!AI1043</f>
        <v/>
      </c>
      <c r="AJ1044" s="14">
        <f>1-Operations!AJ1042-Operations!AJ1043</f>
        <v/>
      </c>
      <c r="AK1044" s="14">
        <f>1-Operations!AK1042-Operations!AK1043</f>
        <v/>
      </c>
      <c r="AL1044" s="14">
        <f>1-Operations!AL1042-Operations!AL1043</f>
        <v/>
      </c>
      <c r="AM1044" s="14">
        <f>1-Operations!AM1042-Operations!AM1043</f>
        <v/>
      </c>
      <c r="AN1044" s="14">
        <f>1-Operations!AN1042-Operations!AN1043</f>
        <v/>
      </c>
      <c r="AO1044" s="14">
        <f>1-Operations!AO1042-Operations!AO1043</f>
        <v/>
      </c>
      <c r="AP1044" s="14">
        <f>1-Operations!AP1042-Operations!AP1043</f>
        <v/>
      </c>
      <c r="AQ1044" s="14">
        <f>1-Operations!AQ1042-Operations!AQ1043</f>
        <v/>
      </c>
      <c r="AR1044" s="14">
        <f>1-Operations!AR1042-Operations!AR1043</f>
        <v/>
      </c>
      <c r="AS1044" s="14">
        <f>1-Operations!AS1042-Operations!AS1043</f>
        <v/>
      </c>
      <c r="AT1044" s="14">
        <f>1-Operations!AT1042-Operations!AT1043</f>
        <v/>
      </c>
      <c r="AU1044" s="14">
        <f>1-Operations!AU1042-Operations!AU1043</f>
        <v/>
      </c>
    </row>
    <row r="1045">
      <c r="D1045" t="inlineStr">
        <is>
          <t>R6 Mesa-share contracted revenue</t>
        </is>
      </c>
      <c r="E1045" t="inlineStr">
        <is>
          <t>USD m</t>
        </is>
      </c>
      <c r="J1045" s="20">
        <f>Operations!J1025*Operations!J1020*(1-Operations!J1037)</f>
        <v/>
      </c>
      <c r="K1045" s="20">
        <f>Operations!K1025*Operations!K1020*(1-Operations!K1037)</f>
        <v/>
      </c>
      <c r="L1045" s="20">
        <f>Operations!L1025*Operations!L1020*(1-Operations!L1037)</f>
        <v/>
      </c>
      <c r="M1045" s="20">
        <f>Operations!M1025*Operations!M1020*(1-Operations!M1037)</f>
        <v/>
      </c>
      <c r="N1045" s="20">
        <f>Operations!N1025*Operations!N1020*(1-Operations!N1037)</f>
        <v/>
      </c>
      <c r="O1045" s="20">
        <f>Operations!O1025*Operations!O1020*(1-Operations!O1037)</f>
        <v/>
      </c>
      <c r="P1045" s="20">
        <f>Operations!P1025*Operations!P1020*(1-Operations!P1037)</f>
        <v/>
      </c>
      <c r="Q1045" s="20">
        <f>Operations!Q1025*Operations!Q1020*(1-Operations!Q1037)</f>
        <v/>
      </c>
      <c r="R1045" s="20">
        <f>Operations!R1025*Operations!R1020*(1-Operations!R1037)</f>
        <v/>
      </c>
      <c r="S1045" s="20">
        <f>Operations!S1025*Operations!S1020*(1-Operations!S1037)</f>
        <v/>
      </c>
      <c r="T1045" s="20">
        <f>Operations!T1025*Operations!T1020*(1-Operations!T1037)</f>
        <v/>
      </c>
      <c r="U1045" s="20">
        <f>Operations!U1025*Operations!U1020*(1-Operations!U1037)</f>
        <v/>
      </c>
      <c r="V1045" s="20">
        <f>Operations!V1025*Operations!V1020*(1-Operations!V1037)</f>
        <v/>
      </c>
      <c r="W1045" s="20">
        <f>Operations!W1025*Operations!W1020*(1-Operations!W1037)</f>
        <v/>
      </c>
      <c r="X1045" s="20">
        <f>Operations!X1025*Operations!X1020*(1-Operations!X1037)</f>
        <v/>
      </c>
      <c r="Y1045" s="20">
        <f>Operations!Y1025*Operations!Y1020*(1-Operations!Y1037)</f>
        <v/>
      </c>
      <c r="Z1045" s="20">
        <f>Operations!Z1025*Operations!Z1020*(1-Operations!Z1037)</f>
        <v/>
      </c>
      <c r="AA1045" s="20">
        <f>Operations!AA1025*Operations!AA1020*(1-Operations!AA1037)</f>
        <v/>
      </c>
      <c r="AB1045" s="20">
        <f>Operations!AB1025*Operations!AB1020*(1-Operations!AB1037)</f>
        <v/>
      </c>
      <c r="AC1045" s="20">
        <f>Operations!AC1025*Operations!AC1020*(1-Operations!AC1037)</f>
        <v/>
      </c>
      <c r="AD1045" s="20">
        <f>Operations!AD1025*Operations!AD1020*(1-Operations!AD1037)</f>
        <v/>
      </c>
      <c r="AE1045" s="20">
        <f>Operations!AE1025*Operations!AE1020*(1-Operations!AE1037)</f>
        <v/>
      </c>
      <c r="AF1045" s="20">
        <f>Operations!AF1025*Operations!AF1020*(1-Operations!AF1037)</f>
        <v/>
      </c>
      <c r="AG1045" s="20">
        <f>Operations!AG1025*Operations!AG1020*(1-Operations!AG1037)</f>
        <v/>
      </c>
      <c r="AH1045" s="20">
        <f>Operations!AH1025*Operations!AH1020*(1-Operations!AH1037)</f>
        <v/>
      </c>
      <c r="AI1045" s="20">
        <f>Operations!AI1025*Operations!AI1020*(1-Operations!AI1037)</f>
        <v/>
      </c>
      <c r="AJ1045" s="20">
        <f>Operations!AJ1025*Operations!AJ1020*(1-Operations!AJ1037)</f>
        <v/>
      </c>
      <c r="AK1045" s="20">
        <f>Operations!AK1025*Operations!AK1020*(1-Operations!AK1037)</f>
        <v/>
      </c>
      <c r="AL1045" s="20">
        <f>Operations!AL1025*Operations!AL1020*(1-Operations!AL1037)</f>
        <v/>
      </c>
      <c r="AM1045" s="20">
        <f>Operations!AM1025*Operations!AM1020*(1-Operations!AM1037)</f>
        <v/>
      </c>
      <c r="AN1045" s="20">
        <f>Operations!AN1025*Operations!AN1020*(1-Operations!AN1037)</f>
        <v/>
      </c>
      <c r="AO1045" s="20">
        <f>Operations!AO1025*Operations!AO1020*(1-Operations!AO1037)</f>
        <v/>
      </c>
      <c r="AP1045" s="20">
        <f>Operations!AP1025*Operations!AP1020*(1-Operations!AP1037)</f>
        <v/>
      </c>
      <c r="AQ1045" s="20">
        <f>Operations!AQ1025*Operations!AQ1020*(1-Operations!AQ1037)</f>
        <v/>
      </c>
      <c r="AR1045" s="20">
        <f>Operations!AR1025*Operations!AR1020*(1-Operations!AR1037)</f>
        <v/>
      </c>
      <c r="AS1045" s="20">
        <f>Operations!AS1025*Operations!AS1020*(1-Operations!AS1037)</f>
        <v/>
      </c>
      <c r="AT1045" s="20">
        <f>Operations!AT1025*Operations!AT1020*(1-Operations!AT1037)</f>
        <v/>
      </c>
      <c r="AU1045" s="20">
        <f>Operations!AU1025*Operations!AU1020*(1-Operations!AU1037)</f>
        <v/>
      </c>
    </row>
    <row r="1046">
      <c r="D1046" t="inlineStr">
        <is>
          <t>R6 Mesa-share hedged revenue</t>
        </is>
      </c>
      <c r="E1046" t="inlineStr">
        <is>
          <t>USD m</t>
        </is>
      </c>
      <c r="J1046" s="20">
        <f>Operations!J1026*Operations!J1020*(1-Operations!J1037)</f>
        <v/>
      </c>
      <c r="K1046" s="20">
        <f>Operations!K1026*Operations!K1020*(1-Operations!K1037)</f>
        <v/>
      </c>
      <c r="L1046" s="20">
        <f>Operations!L1026*Operations!L1020*(1-Operations!L1037)</f>
        <v/>
      </c>
      <c r="M1046" s="20">
        <f>Operations!M1026*Operations!M1020*(1-Operations!M1037)</f>
        <v/>
      </c>
      <c r="N1046" s="20">
        <f>Operations!N1026*Operations!N1020*(1-Operations!N1037)</f>
        <v/>
      </c>
      <c r="O1046" s="20">
        <f>Operations!O1026*Operations!O1020*(1-Operations!O1037)</f>
        <v/>
      </c>
      <c r="P1046" s="20">
        <f>Operations!P1026*Operations!P1020*(1-Operations!P1037)</f>
        <v/>
      </c>
      <c r="Q1046" s="20">
        <f>Operations!Q1026*Operations!Q1020*(1-Operations!Q1037)</f>
        <v/>
      </c>
      <c r="R1046" s="20">
        <f>Operations!R1026*Operations!R1020*(1-Operations!R1037)</f>
        <v/>
      </c>
      <c r="S1046" s="20">
        <f>Operations!S1026*Operations!S1020*(1-Operations!S1037)</f>
        <v/>
      </c>
      <c r="T1046" s="20">
        <f>Operations!T1026*Operations!T1020*(1-Operations!T1037)</f>
        <v/>
      </c>
      <c r="U1046" s="20">
        <f>Operations!U1026*Operations!U1020*(1-Operations!U1037)</f>
        <v/>
      </c>
      <c r="V1046" s="20">
        <f>Operations!V1026*Operations!V1020*(1-Operations!V1037)</f>
        <v/>
      </c>
      <c r="W1046" s="20">
        <f>Operations!W1026*Operations!W1020*(1-Operations!W1037)</f>
        <v/>
      </c>
      <c r="X1046" s="20">
        <f>Operations!X1026*Operations!X1020*(1-Operations!X1037)</f>
        <v/>
      </c>
      <c r="Y1046" s="20">
        <f>Operations!Y1026*Operations!Y1020*(1-Operations!Y1037)</f>
        <v/>
      </c>
      <c r="Z1046" s="20">
        <f>Operations!Z1026*Operations!Z1020*(1-Operations!Z1037)</f>
        <v/>
      </c>
      <c r="AA1046" s="20">
        <f>Operations!AA1026*Operations!AA1020*(1-Operations!AA1037)</f>
        <v/>
      </c>
      <c r="AB1046" s="20">
        <f>Operations!AB1026*Operations!AB1020*(1-Operations!AB1037)</f>
        <v/>
      </c>
      <c r="AC1046" s="20">
        <f>Operations!AC1026*Operations!AC1020*(1-Operations!AC1037)</f>
        <v/>
      </c>
      <c r="AD1046" s="20">
        <f>Operations!AD1026*Operations!AD1020*(1-Operations!AD1037)</f>
        <v/>
      </c>
      <c r="AE1046" s="20">
        <f>Operations!AE1026*Operations!AE1020*(1-Operations!AE1037)</f>
        <v/>
      </c>
      <c r="AF1046" s="20">
        <f>Operations!AF1026*Operations!AF1020*(1-Operations!AF1037)</f>
        <v/>
      </c>
      <c r="AG1046" s="20">
        <f>Operations!AG1026*Operations!AG1020*(1-Operations!AG1037)</f>
        <v/>
      </c>
      <c r="AH1046" s="20">
        <f>Operations!AH1026*Operations!AH1020*(1-Operations!AH1037)</f>
        <v/>
      </c>
      <c r="AI1046" s="20">
        <f>Operations!AI1026*Operations!AI1020*(1-Operations!AI1037)</f>
        <v/>
      </c>
      <c r="AJ1046" s="20">
        <f>Operations!AJ1026*Operations!AJ1020*(1-Operations!AJ1037)</f>
        <v/>
      </c>
      <c r="AK1046" s="20">
        <f>Operations!AK1026*Operations!AK1020*(1-Operations!AK1037)</f>
        <v/>
      </c>
      <c r="AL1046" s="20">
        <f>Operations!AL1026*Operations!AL1020*(1-Operations!AL1037)</f>
        <v/>
      </c>
      <c r="AM1046" s="20">
        <f>Operations!AM1026*Operations!AM1020*(1-Operations!AM1037)</f>
        <v/>
      </c>
      <c r="AN1046" s="20">
        <f>Operations!AN1026*Operations!AN1020*(1-Operations!AN1037)</f>
        <v/>
      </c>
      <c r="AO1046" s="20">
        <f>Operations!AO1026*Operations!AO1020*(1-Operations!AO1037)</f>
        <v/>
      </c>
      <c r="AP1046" s="20">
        <f>Operations!AP1026*Operations!AP1020*(1-Operations!AP1037)</f>
        <v/>
      </c>
      <c r="AQ1046" s="20">
        <f>Operations!AQ1026*Operations!AQ1020*(1-Operations!AQ1037)</f>
        <v/>
      </c>
      <c r="AR1046" s="20">
        <f>Operations!AR1026*Operations!AR1020*(1-Operations!AR1037)</f>
        <v/>
      </c>
      <c r="AS1046" s="20">
        <f>Operations!AS1026*Operations!AS1020*(1-Operations!AS1037)</f>
        <v/>
      </c>
      <c r="AT1046" s="20">
        <f>Operations!AT1026*Operations!AT1020*(1-Operations!AT1037)</f>
        <v/>
      </c>
      <c r="AU1046" s="20">
        <f>Operations!AU1026*Operations!AU1020*(1-Operations!AU1037)</f>
        <v/>
      </c>
    </row>
    <row r="1047">
      <c r="D1047" t="inlineStr">
        <is>
          <t>R6 Mesa-share merchant revenue</t>
        </is>
      </c>
      <c r="E1047" t="inlineStr">
        <is>
          <t>USD m</t>
        </is>
      </c>
      <c r="J1047" s="20">
        <f>Operations!J1028*Operations!J1020*(1-Operations!J1037)</f>
        <v/>
      </c>
      <c r="K1047" s="20">
        <f>Operations!K1028*Operations!K1020*(1-Operations!K1037)</f>
        <v/>
      </c>
      <c r="L1047" s="20">
        <f>Operations!L1028*Operations!L1020*(1-Operations!L1037)</f>
        <v/>
      </c>
      <c r="M1047" s="20">
        <f>Operations!M1028*Operations!M1020*(1-Operations!M1037)</f>
        <v/>
      </c>
      <c r="N1047" s="20">
        <f>Operations!N1028*Operations!N1020*(1-Operations!N1037)</f>
        <v/>
      </c>
      <c r="O1047" s="20">
        <f>Operations!O1028*Operations!O1020*(1-Operations!O1037)</f>
        <v/>
      </c>
      <c r="P1047" s="20">
        <f>Operations!P1028*Operations!P1020*(1-Operations!P1037)</f>
        <v/>
      </c>
      <c r="Q1047" s="20">
        <f>Operations!Q1028*Operations!Q1020*(1-Operations!Q1037)</f>
        <v/>
      </c>
      <c r="R1047" s="20">
        <f>Operations!R1028*Operations!R1020*(1-Operations!R1037)</f>
        <v/>
      </c>
      <c r="S1047" s="20">
        <f>Operations!S1028*Operations!S1020*(1-Operations!S1037)</f>
        <v/>
      </c>
      <c r="T1047" s="20">
        <f>Operations!T1028*Operations!T1020*(1-Operations!T1037)</f>
        <v/>
      </c>
      <c r="U1047" s="20">
        <f>Operations!U1028*Operations!U1020*(1-Operations!U1037)</f>
        <v/>
      </c>
      <c r="V1047" s="20">
        <f>Operations!V1028*Operations!V1020*(1-Operations!V1037)</f>
        <v/>
      </c>
      <c r="W1047" s="20">
        <f>Operations!W1028*Operations!W1020*(1-Operations!W1037)</f>
        <v/>
      </c>
      <c r="X1047" s="20">
        <f>Operations!X1028*Operations!X1020*(1-Operations!X1037)</f>
        <v/>
      </c>
      <c r="Y1047" s="20">
        <f>Operations!Y1028*Operations!Y1020*(1-Operations!Y1037)</f>
        <v/>
      </c>
      <c r="Z1047" s="20">
        <f>Operations!Z1028*Operations!Z1020*(1-Operations!Z1037)</f>
        <v/>
      </c>
      <c r="AA1047" s="20">
        <f>Operations!AA1028*Operations!AA1020*(1-Operations!AA1037)</f>
        <v/>
      </c>
      <c r="AB1047" s="20">
        <f>Operations!AB1028*Operations!AB1020*(1-Operations!AB1037)</f>
        <v/>
      </c>
      <c r="AC1047" s="20">
        <f>Operations!AC1028*Operations!AC1020*(1-Operations!AC1037)</f>
        <v/>
      </c>
      <c r="AD1047" s="20">
        <f>Operations!AD1028*Operations!AD1020*(1-Operations!AD1037)</f>
        <v/>
      </c>
      <c r="AE1047" s="20">
        <f>Operations!AE1028*Operations!AE1020*(1-Operations!AE1037)</f>
        <v/>
      </c>
      <c r="AF1047" s="20">
        <f>Operations!AF1028*Operations!AF1020*(1-Operations!AF1037)</f>
        <v/>
      </c>
      <c r="AG1047" s="20">
        <f>Operations!AG1028*Operations!AG1020*(1-Operations!AG1037)</f>
        <v/>
      </c>
      <c r="AH1047" s="20">
        <f>Operations!AH1028*Operations!AH1020*(1-Operations!AH1037)</f>
        <v/>
      </c>
      <c r="AI1047" s="20">
        <f>Operations!AI1028*Operations!AI1020*(1-Operations!AI1037)</f>
        <v/>
      </c>
      <c r="AJ1047" s="20">
        <f>Operations!AJ1028*Operations!AJ1020*(1-Operations!AJ1037)</f>
        <v/>
      </c>
      <c r="AK1047" s="20">
        <f>Operations!AK1028*Operations!AK1020*(1-Operations!AK1037)</f>
        <v/>
      </c>
      <c r="AL1047" s="20">
        <f>Operations!AL1028*Operations!AL1020*(1-Operations!AL1037)</f>
        <v/>
      </c>
      <c r="AM1047" s="20">
        <f>Operations!AM1028*Operations!AM1020*(1-Operations!AM1037)</f>
        <v/>
      </c>
      <c r="AN1047" s="20">
        <f>Operations!AN1028*Operations!AN1020*(1-Operations!AN1037)</f>
        <v/>
      </c>
      <c r="AO1047" s="20">
        <f>Operations!AO1028*Operations!AO1020*(1-Operations!AO1037)</f>
        <v/>
      </c>
      <c r="AP1047" s="20">
        <f>Operations!AP1028*Operations!AP1020*(1-Operations!AP1037)</f>
        <v/>
      </c>
      <c r="AQ1047" s="20">
        <f>Operations!AQ1028*Operations!AQ1020*(1-Operations!AQ1037)</f>
        <v/>
      </c>
      <c r="AR1047" s="20">
        <f>Operations!AR1028*Operations!AR1020*(1-Operations!AR1037)</f>
        <v/>
      </c>
      <c r="AS1047" s="20">
        <f>Operations!AS1028*Operations!AS1020*(1-Operations!AS1037)</f>
        <v/>
      </c>
      <c r="AT1047" s="20">
        <f>Operations!AT1028*Operations!AT1020*(1-Operations!AT1037)</f>
        <v/>
      </c>
      <c r="AU1047" s="20">
        <f>Operations!AU1028*Operations!AU1020*(1-Operations!AU1037)</f>
        <v/>
      </c>
    </row>
    <row r="1048">
      <c r="D1048" t="inlineStr">
        <is>
          <t>R6 Mesa-share revenue</t>
        </is>
      </c>
      <c r="E1048" t="inlineStr">
        <is>
          <t>USD m</t>
        </is>
      </c>
      <c r="J1048" s="20">
        <f>Operations!J1027*Operations!J1020*(1-Operations!J1037)</f>
        <v/>
      </c>
      <c r="K1048" s="20">
        <f>Operations!K1027*Operations!K1020*(1-Operations!K1037)</f>
        <v/>
      </c>
      <c r="L1048" s="20">
        <f>Operations!L1027*Operations!L1020*(1-Operations!L1037)</f>
        <v/>
      </c>
      <c r="M1048" s="20">
        <f>Operations!M1027*Operations!M1020*(1-Operations!M1037)</f>
        <v/>
      </c>
      <c r="N1048" s="20">
        <f>Operations!N1027*Operations!N1020*(1-Operations!N1037)</f>
        <v/>
      </c>
      <c r="O1048" s="20">
        <f>Operations!O1027*Operations!O1020*(1-Operations!O1037)</f>
        <v/>
      </c>
      <c r="P1048" s="20">
        <f>Operations!P1027*Operations!P1020*(1-Operations!P1037)</f>
        <v/>
      </c>
      <c r="Q1048" s="20">
        <f>Operations!Q1027*Operations!Q1020*(1-Operations!Q1037)</f>
        <v/>
      </c>
      <c r="R1048" s="20">
        <f>Operations!R1027*Operations!R1020*(1-Operations!R1037)</f>
        <v/>
      </c>
      <c r="S1048" s="20">
        <f>Operations!S1027*Operations!S1020*(1-Operations!S1037)</f>
        <v/>
      </c>
      <c r="T1048" s="20">
        <f>Operations!T1027*Operations!T1020*(1-Operations!T1037)</f>
        <v/>
      </c>
      <c r="U1048" s="20">
        <f>Operations!U1027*Operations!U1020*(1-Operations!U1037)</f>
        <v/>
      </c>
      <c r="V1048" s="20">
        <f>Operations!V1027*Operations!V1020*(1-Operations!V1037)</f>
        <v/>
      </c>
      <c r="W1048" s="20">
        <f>Operations!W1027*Operations!W1020*(1-Operations!W1037)</f>
        <v/>
      </c>
      <c r="X1048" s="20">
        <f>Operations!X1027*Operations!X1020*(1-Operations!X1037)</f>
        <v/>
      </c>
      <c r="Y1048" s="20">
        <f>Operations!Y1027*Operations!Y1020*(1-Operations!Y1037)</f>
        <v/>
      </c>
      <c r="Z1048" s="20">
        <f>Operations!Z1027*Operations!Z1020*(1-Operations!Z1037)</f>
        <v/>
      </c>
      <c r="AA1048" s="20">
        <f>Operations!AA1027*Operations!AA1020*(1-Operations!AA1037)</f>
        <v/>
      </c>
      <c r="AB1048" s="20">
        <f>Operations!AB1027*Operations!AB1020*(1-Operations!AB1037)</f>
        <v/>
      </c>
      <c r="AC1048" s="20">
        <f>Operations!AC1027*Operations!AC1020*(1-Operations!AC1037)</f>
        <v/>
      </c>
      <c r="AD1048" s="20">
        <f>Operations!AD1027*Operations!AD1020*(1-Operations!AD1037)</f>
        <v/>
      </c>
      <c r="AE1048" s="20">
        <f>Operations!AE1027*Operations!AE1020*(1-Operations!AE1037)</f>
        <v/>
      </c>
      <c r="AF1048" s="20">
        <f>Operations!AF1027*Operations!AF1020*(1-Operations!AF1037)</f>
        <v/>
      </c>
      <c r="AG1048" s="20">
        <f>Operations!AG1027*Operations!AG1020*(1-Operations!AG1037)</f>
        <v/>
      </c>
      <c r="AH1048" s="20">
        <f>Operations!AH1027*Operations!AH1020*(1-Operations!AH1037)</f>
        <v/>
      </c>
      <c r="AI1048" s="20">
        <f>Operations!AI1027*Operations!AI1020*(1-Operations!AI1037)</f>
        <v/>
      </c>
      <c r="AJ1048" s="20">
        <f>Operations!AJ1027*Operations!AJ1020*(1-Operations!AJ1037)</f>
        <v/>
      </c>
      <c r="AK1048" s="20">
        <f>Operations!AK1027*Operations!AK1020*(1-Operations!AK1037)</f>
        <v/>
      </c>
      <c r="AL1048" s="20">
        <f>Operations!AL1027*Operations!AL1020*(1-Operations!AL1037)</f>
        <v/>
      </c>
      <c r="AM1048" s="20">
        <f>Operations!AM1027*Operations!AM1020*(1-Operations!AM1037)</f>
        <v/>
      </c>
      <c r="AN1048" s="20">
        <f>Operations!AN1027*Operations!AN1020*(1-Operations!AN1037)</f>
        <v/>
      </c>
      <c r="AO1048" s="20">
        <f>Operations!AO1027*Operations!AO1020*(1-Operations!AO1037)</f>
        <v/>
      </c>
      <c r="AP1048" s="20">
        <f>Operations!AP1027*Operations!AP1020*(1-Operations!AP1037)</f>
        <v/>
      </c>
      <c r="AQ1048" s="20">
        <f>Operations!AQ1027*Operations!AQ1020*(1-Operations!AQ1037)</f>
        <v/>
      </c>
      <c r="AR1048" s="20">
        <f>Operations!AR1027*Operations!AR1020*(1-Operations!AR1037)</f>
        <v/>
      </c>
      <c r="AS1048" s="20">
        <f>Operations!AS1027*Operations!AS1020*(1-Operations!AS1037)</f>
        <v/>
      </c>
      <c r="AT1048" s="20">
        <f>Operations!AT1027*Operations!AT1020*(1-Operations!AT1037)</f>
        <v/>
      </c>
      <c r="AU1048" s="20">
        <f>Operations!AU1027*Operations!AU1020*(1-Operations!AU1037)</f>
        <v/>
      </c>
    </row>
    <row r="1049">
      <c r="D1049" s="19" t="inlineStr">
        <is>
          <t>R7 Kerrigan Storage (lithium-ion BESS (LFP), 2-hour)</t>
        </is>
      </c>
    </row>
    <row r="1050">
      <c r="D1050" t="inlineStr">
        <is>
          <t>R7 operating fraction</t>
        </is>
      </c>
      <c r="E1050" t="inlineStr">
        <is>
          <t>fraction</t>
        </is>
      </c>
      <c r="J1050" s="14">
        <f>MAX(0,MIN(Inputs!$F$157,Time!J$6)-MAX(Inputs!$F$156,Time!J$5))/Time!J$7</f>
        <v/>
      </c>
      <c r="K1050" s="14">
        <f>MAX(0,MIN(Inputs!$F$157,Time!K$6)-MAX(Inputs!$F$156,Time!K$5))/Time!K$7</f>
        <v/>
      </c>
      <c r="L1050" s="14">
        <f>MAX(0,MIN(Inputs!$F$157,Time!L$6)-MAX(Inputs!$F$156,Time!L$5))/Time!L$7</f>
        <v/>
      </c>
      <c r="M1050" s="14">
        <f>MAX(0,MIN(Inputs!$F$157,Time!M$6)-MAX(Inputs!$F$156,Time!M$5))/Time!M$7</f>
        <v/>
      </c>
      <c r="N1050" s="14">
        <f>MAX(0,MIN(Inputs!$F$157,Time!N$6)-MAX(Inputs!$F$156,Time!N$5))/Time!N$7</f>
        <v/>
      </c>
      <c r="O1050" s="14">
        <f>MAX(0,MIN(Inputs!$F$157,Time!O$6)-MAX(Inputs!$F$156,Time!O$5))/Time!O$7</f>
        <v/>
      </c>
      <c r="P1050" s="14">
        <f>MAX(0,MIN(Inputs!$F$157,Time!P$6)-MAX(Inputs!$F$156,Time!P$5))/Time!P$7</f>
        <v/>
      </c>
      <c r="Q1050" s="14">
        <f>MAX(0,MIN(Inputs!$F$157,Time!Q$6)-MAX(Inputs!$F$156,Time!Q$5))/Time!Q$7</f>
        <v/>
      </c>
      <c r="R1050" s="14">
        <f>MAX(0,MIN(Inputs!$F$157,Time!R$6)-MAX(Inputs!$F$156,Time!R$5))/Time!R$7</f>
        <v/>
      </c>
      <c r="S1050" s="14">
        <f>MAX(0,MIN(Inputs!$F$157,Time!S$6)-MAX(Inputs!$F$156,Time!S$5))/Time!S$7</f>
        <v/>
      </c>
      <c r="T1050" s="14">
        <f>MAX(0,MIN(Inputs!$F$157,Time!T$6)-MAX(Inputs!$F$156,Time!T$5))/Time!T$7</f>
        <v/>
      </c>
      <c r="U1050" s="14">
        <f>MAX(0,MIN(Inputs!$F$157,Time!U$6)-MAX(Inputs!$F$156,Time!U$5))/Time!U$7</f>
        <v/>
      </c>
      <c r="V1050" s="14">
        <f>MAX(0,MIN(Inputs!$F$157,Time!V$6)-MAX(Inputs!$F$156,Time!V$5))/Time!V$7</f>
        <v/>
      </c>
      <c r="W1050" s="14">
        <f>MAX(0,MIN(Inputs!$F$157,Time!W$6)-MAX(Inputs!$F$156,Time!W$5))/Time!W$7</f>
        <v/>
      </c>
      <c r="X1050" s="14">
        <f>MAX(0,MIN(Inputs!$F$157,Time!X$6)-MAX(Inputs!$F$156,Time!X$5))/Time!X$7</f>
        <v/>
      </c>
      <c r="Y1050" s="14">
        <f>MAX(0,MIN(Inputs!$F$157,Time!Y$6)-MAX(Inputs!$F$156,Time!Y$5))/Time!Y$7</f>
        <v/>
      </c>
      <c r="Z1050" s="14">
        <f>MAX(0,MIN(Inputs!$F$157,Time!Z$6)-MAX(Inputs!$F$156,Time!Z$5))/Time!Z$7</f>
        <v/>
      </c>
      <c r="AA1050" s="14">
        <f>MAX(0,MIN(Inputs!$F$157,Time!AA$6)-MAX(Inputs!$F$156,Time!AA$5))/Time!AA$7</f>
        <v/>
      </c>
      <c r="AB1050" s="14">
        <f>MAX(0,MIN(Inputs!$F$157,Time!AB$6)-MAX(Inputs!$F$156,Time!AB$5))/Time!AB$7</f>
        <v/>
      </c>
      <c r="AC1050" s="14">
        <f>MAX(0,MIN(Inputs!$F$157,Time!AC$6)-MAX(Inputs!$F$156,Time!AC$5))/Time!AC$7</f>
        <v/>
      </c>
      <c r="AD1050" s="14">
        <f>MAX(0,MIN(Inputs!$F$157,Time!AD$6)-MAX(Inputs!$F$156,Time!AD$5))/Time!AD$7</f>
        <v/>
      </c>
      <c r="AE1050" s="14">
        <f>MAX(0,MIN(Inputs!$F$157,Time!AE$6)-MAX(Inputs!$F$156,Time!AE$5))/Time!AE$7</f>
        <v/>
      </c>
      <c r="AF1050" s="14">
        <f>MAX(0,MIN(Inputs!$F$157,Time!AF$6)-MAX(Inputs!$F$156,Time!AF$5))/Time!AF$7</f>
        <v/>
      </c>
      <c r="AG1050" s="14">
        <f>MAX(0,MIN(Inputs!$F$157,Time!AG$6)-MAX(Inputs!$F$156,Time!AG$5))/Time!AG$7</f>
        <v/>
      </c>
      <c r="AH1050" s="14">
        <f>MAX(0,MIN(Inputs!$F$157,Time!AH$6)-MAX(Inputs!$F$156,Time!AH$5))/Time!AH$7</f>
        <v/>
      </c>
      <c r="AI1050" s="14">
        <f>MAX(0,MIN(Inputs!$F$157,Time!AI$6)-MAX(Inputs!$F$156,Time!AI$5))/Time!AI$7</f>
        <v/>
      </c>
      <c r="AJ1050" s="14">
        <f>MAX(0,MIN(Inputs!$F$157,Time!AJ$6)-MAX(Inputs!$F$156,Time!AJ$5))/Time!AJ$7</f>
        <v/>
      </c>
      <c r="AK1050" s="14">
        <f>MAX(0,MIN(Inputs!$F$157,Time!AK$6)-MAX(Inputs!$F$156,Time!AK$5))/Time!AK$7</f>
        <v/>
      </c>
      <c r="AL1050" s="14">
        <f>MAX(0,MIN(Inputs!$F$157,Time!AL$6)-MAX(Inputs!$F$156,Time!AL$5))/Time!AL$7</f>
        <v/>
      </c>
      <c r="AM1050" s="14">
        <f>MAX(0,MIN(Inputs!$F$157,Time!AM$6)-MAX(Inputs!$F$156,Time!AM$5))/Time!AM$7</f>
        <v/>
      </c>
      <c r="AN1050" s="14">
        <f>MAX(0,MIN(Inputs!$F$157,Time!AN$6)-MAX(Inputs!$F$156,Time!AN$5))/Time!AN$7</f>
        <v/>
      </c>
      <c r="AO1050" s="14">
        <f>MAX(0,MIN(Inputs!$F$157,Time!AO$6)-MAX(Inputs!$F$156,Time!AO$5))/Time!AO$7</f>
        <v/>
      </c>
      <c r="AP1050" s="14">
        <f>MAX(0,MIN(Inputs!$F$157,Time!AP$6)-MAX(Inputs!$F$156,Time!AP$5))/Time!AP$7</f>
        <v/>
      </c>
      <c r="AQ1050" s="14">
        <f>MAX(0,MIN(Inputs!$F$157,Time!AQ$6)-MAX(Inputs!$F$156,Time!AQ$5))/Time!AQ$7</f>
        <v/>
      </c>
      <c r="AR1050" s="14">
        <f>MAX(0,MIN(Inputs!$F$157,Time!AR$6)-MAX(Inputs!$F$156,Time!AR$5))/Time!AR$7</f>
        <v/>
      </c>
      <c r="AS1050" s="14">
        <f>MAX(0,MIN(Inputs!$F$157,Time!AS$6)-MAX(Inputs!$F$156,Time!AS$5))/Time!AS$7</f>
        <v/>
      </c>
      <c r="AT1050" s="14">
        <f>MAX(0,MIN(Inputs!$F$157,Time!AT$6)-MAX(Inputs!$F$156,Time!AT$5))/Time!AT$7</f>
        <v/>
      </c>
      <c r="AU1050" s="14">
        <f>MAX(0,MIN(Inputs!$F$157,Time!AU$6)-MAX(Inputs!$F$156,Time!AU$5))/Time!AU$7</f>
        <v/>
      </c>
    </row>
    <row r="1051">
      <c r="D1051" t="inlineStr">
        <is>
          <t>R7 owned fraction</t>
        </is>
      </c>
      <c r="E1051" t="inlineStr">
        <is>
          <t>fraction</t>
        </is>
      </c>
      <c r="J1051" s="14">
        <f>MAX(0,MIN(Inputs!$F$157,Time!J$6)-MAX(MAX(Inputs!$F$158,Inputs!$F$156),Time!J$5))/Time!J$7</f>
        <v/>
      </c>
      <c r="K1051" s="14">
        <f>MAX(0,MIN(Inputs!$F$157,Time!K$6)-MAX(MAX(Inputs!$F$158,Inputs!$F$156),Time!K$5))/Time!K$7</f>
        <v/>
      </c>
      <c r="L1051" s="14">
        <f>MAX(0,MIN(Inputs!$F$157,Time!L$6)-MAX(MAX(Inputs!$F$158,Inputs!$F$156),Time!L$5))/Time!L$7</f>
        <v/>
      </c>
      <c r="M1051" s="14">
        <f>MAX(0,MIN(Inputs!$F$157,Time!M$6)-MAX(MAX(Inputs!$F$158,Inputs!$F$156),Time!M$5))/Time!M$7</f>
        <v/>
      </c>
      <c r="N1051" s="14">
        <f>MAX(0,MIN(Inputs!$F$157,Time!N$6)-MAX(MAX(Inputs!$F$158,Inputs!$F$156),Time!N$5))/Time!N$7</f>
        <v/>
      </c>
      <c r="O1051" s="14">
        <f>MAX(0,MIN(Inputs!$F$157,Time!O$6)-MAX(MAX(Inputs!$F$158,Inputs!$F$156),Time!O$5))/Time!O$7</f>
        <v/>
      </c>
      <c r="P1051" s="14">
        <f>MAX(0,MIN(Inputs!$F$157,Time!P$6)-MAX(MAX(Inputs!$F$158,Inputs!$F$156),Time!P$5))/Time!P$7</f>
        <v/>
      </c>
      <c r="Q1051" s="14">
        <f>MAX(0,MIN(Inputs!$F$157,Time!Q$6)-MAX(MAX(Inputs!$F$158,Inputs!$F$156),Time!Q$5))/Time!Q$7</f>
        <v/>
      </c>
      <c r="R1051" s="14">
        <f>MAX(0,MIN(Inputs!$F$157,Time!R$6)-MAX(MAX(Inputs!$F$158,Inputs!$F$156),Time!R$5))/Time!R$7</f>
        <v/>
      </c>
      <c r="S1051" s="14">
        <f>MAX(0,MIN(Inputs!$F$157,Time!S$6)-MAX(MAX(Inputs!$F$158,Inputs!$F$156),Time!S$5))/Time!S$7</f>
        <v/>
      </c>
      <c r="T1051" s="14">
        <f>MAX(0,MIN(Inputs!$F$157,Time!T$6)-MAX(MAX(Inputs!$F$158,Inputs!$F$156),Time!T$5))/Time!T$7</f>
        <v/>
      </c>
      <c r="U1051" s="14">
        <f>MAX(0,MIN(Inputs!$F$157,Time!U$6)-MAX(MAX(Inputs!$F$158,Inputs!$F$156),Time!U$5))/Time!U$7</f>
        <v/>
      </c>
      <c r="V1051" s="14">
        <f>MAX(0,MIN(Inputs!$F$157,Time!V$6)-MAX(MAX(Inputs!$F$158,Inputs!$F$156),Time!V$5))/Time!V$7</f>
        <v/>
      </c>
      <c r="W1051" s="14">
        <f>MAX(0,MIN(Inputs!$F$157,Time!W$6)-MAX(MAX(Inputs!$F$158,Inputs!$F$156),Time!W$5))/Time!W$7</f>
        <v/>
      </c>
      <c r="X1051" s="14">
        <f>MAX(0,MIN(Inputs!$F$157,Time!X$6)-MAX(MAX(Inputs!$F$158,Inputs!$F$156),Time!X$5))/Time!X$7</f>
        <v/>
      </c>
      <c r="Y1051" s="14">
        <f>MAX(0,MIN(Inputs!$F$157,Time!Y$6)-MAX(MAX(Inputs!$F$158,Inputs!$F$156),Time!Y$5))/Time!Y$7</f>
        <v/>
      </c>
      <c r="Z1051" s="14">
        <f>MAX(0,MIN(Inputs!$F$157,Time!Z$6)-MAX(MAX(Inputs!$F$158,Inputs!$F$156),Time!Z$5))/Time!Z$7</f>
        <v/>
      </c>
      <c r="AA1051" s="14">
        <f>MAX(0,MIN(Inputs!$F$157,Time!AA$6)-MAX(MAX(Inputs!$F$158,Inputs!$F$156),Time!AA$5))/Time!AA$7</f>
        <v/>
      </c>
      <c r="AB1051" s="14">
        <f>MAX(0,MIN(Inputs!$F$157,Time!AB$6)-MAX(MAX(Inputs!$F$158,Inputs!$F$156),Time!AB$5))/Time!AB$7</f>
        <v/>
      </c>
      <c r="AC1051" s="14">
        <f>MAX(0,MIN(Inputs!$F$157,Time!AC$6)-MAX(MAX(Inputs!$F$158,Inputs!$F$156),Time!AC$5))/Time!AC$7</f>
        <v/>
      </c>
      <c r="AD1051" s="14">
        <f>MAX(0,MIN(Inputs!$F$157,Time!AD$6)-MAX(MAX(Inputs!$F$158,Inputs!$F$156),Time!AD$5))/Time!AD$7</f>
        <v/>
      </c>
      <c r="AE1051" s="14">
        <f>MAX(0,MIN(Inputs!$F$157,Time!AE$6)-MAX(MAX(Inputs!$F$158,Inputs!$F$156),Time!AE$5))/Time!AE$7</f>
        <v/>
      </c>
      <c r="AF1051" s="14">
        <f>MAX(0,MIN(Inputs!$F$157,Time!AF$6)-MAX(MAX(Inputs!$F$158,Inputs!$F$156),Time!AF$5))/Time!AF$7</f>
        <v/>
      </c>
      <c r="AG1051" s="14">
        <f>MAX(0,MIN(Inputs!$F$157,Time!AG$6)-MAX(MAX(Inputs!$F$158,Inputs!$F$156),Time!AG$5))/Time!AG$7</f>
        <v/>
      </c>
      <c r="AH1051" s="14">
        <f>MAX(0,MIN(Inputs!$F$157,Time!AH$6)-MAX(MAX(Inputs!$F$158,Inputs!$F$156),Time!AH$5))/Time!AH$7</f>
        <v/>
      </c>
      <c r="AI1051" s="14">
        <f>MAX(0,MIN(Inputs!$F$157,Time!AI$6)-MAX(MAX(Inputs!$F$158,Inputs!$F$156),Time!AI$5))/Time!AI$7</f>
        <v/>
      </c>
      <c r="AJ1051" s="14">
        <f>MAX(0,MIN(Inputs!$F$157,Time!AJ$6)-MAX(MAX(Inputs!$F$158,Inputs!$F$156),Time!AJ$5))/Time!AJ$7</f>
        <v/>
      </c>
      <c r="AK1051" s="14">
        <f>MAX(0,MIN(Inputs!$F$157,Time!AK$6)-MAX(MAX(Inputs!$F$158,Inputs!$F$156),Time!AK$5))/Time!AK$7</f>
        <v/>
      </c>
      <c r="AL1051" s="14">
        <f>MAX(0,MIN(Inputs!$F$157,Time!AL$6)-MAX(MAX(Inputs!$F$158,Inputs!$F$156),Time!AL$5))/Time!AL$7</f>
        <v/>
      </c>
      <c r="AM1051" s="14">
        <f>MAX(0,MIN(Inputs!$F$157,Time!AM$6)-MAX(MAX(Inputs!$F$158,Inputs!$F$156),Time!AM$5))/Time!AM$7</f>
        <v/>
      </c>
      <c r="AN1051" s="14">
        <f>MAX(0,MIN(Inputs!$F$157,Time!AN$6)-MAX(MAX(Inputs!$F$158,Inputs!$F$156),Time!AN$5))/Time!AN$7</f>
        <v/>
      </c>
      <c r="AO1051" s="14">
        <f>MAX(0,MIN(Inputs!$F$157,Time!AO$6)-MAX(MAX(Inputs!$F$158,Inputs!$F$156),Time!AO$5))/Time!AO$7</f>
        <v/>
      </c>
      <c r="AP1051" s="14">
        <f>MAX(0,MIN(Inputs!$F$157,Time!AP$6)-MAX(MAX(Inputs!$F$158,Inputs!$F$156),Time!AP$5))/Time!AP$7</f>
        <v/>
      </c>
      <c r="AQ1051" s="14">
        <f>MAX(0,MIN(Inputs!$F$157,Time!AQ$6)-MAX(MAX(Inputs!$F$158,Inputs!$F$156),Time!AQ$5))/Time!AQ$7</f>
        <v/>
      </c>
      <c r="AR1051" s="14">
        <f>MAX(0,MIN(Inputs!$F$157,Time!AR$6)-MAX(MAX(Inputs!$F$158,Inputs!$F$156),Time!AR$5))/Time!AR$7</f>
        <v/>
      </c>
      <c r="AS1051" s="14">
        <f>MAX(0,MIN(Inputs!$F$157,Time!AS$6)-MAX(MAX(Inputs!$F$158,Inputs!$F$156),Time!AS$5))/Time!AS$7</f>
        <v/>
      </c>
      <c r="AT1051" s="14">
        <f>MAX(0,MIN(Inputs!$F$157,Time!AT$6)-MAX(MAX(Inputs!$F$158,Inputs!$F$156),Time!AT$5))/Time!AT$7</f>
        <v/>
      </c>
      <c r="AU1051" s="14">
        <f>MAX(0,MIN(Inputs!$F$157,Time!AU$6)-MAX(MAX(Inputs!$F$158,Inputs!$F$156),Time!AU$5))/Time!AU$7</f>
        <v/>
      </c>
    </row>
    <row r="1052">
      <c r="D1052" t="inlineStr">
        <is>
          <t>R7 owned share of operating period</t>
        </is>
      </c>
      <c r="E1052" t="inlineStr">
        <is>
          <t>fraction</t>
        </is>
      </c>
      <c r="J1052" s="14">
        <f>IF(Operations!J1050&gt;0,Operations!J1051/Operations!J1050,0)</f>
        <v/>
      </c>
      <c r="K1052" s="14">
        <f>IF(Operations!K1050&gt;0,Operations!K1051/Operations!K1050,0)</f>
        <v/>
      </c>
      <c r="L1052" s="14">
        <f>IF(Operations!L1050&gt;0,Operations!L1051/Operations!L1050,0)</f>
        <v/>
      </c>
      <c r="M1052" s="14">
        <f>IF(Operations!M1050&gt;0,Operations!M1051/Operations!M1050,0)</f>
        <v/>
      </c>
      <c r="N1052" s="14">
        <f>IF(Operations!N1050&gt;0,Operations!N1051/Operations!N1050,0)</f>
        <v/>
      </c>
      <c r="O1052" s="14">
        <f>IF(Operations!O1050&gt;0,Operations!O1051/Operations!O1050,0)</f>
        <v/>
      </c>
      <c r="P1052" s="14">
        <f>IF(Operations!P1050&gt;0,Operations!P1051/Operations!P1050,0)</f>
        <v/>
      </c>
      <c r="Q1052" s="14">
        <f>IF(Operations!Q1050&gt;0,Operations!Q1051/Operations!Q1050,0)</f>
        <v/>
      </c>
      <c r="R1052" s="14">
        <f>IF(Operations!R1050&gt;0,Operations!R1051/Operations!R1050,0)</f>
        <v/>
      </c>
      <c r="S1052" s="14">
        <f>IF(Operations!S1050&gt;0,Operations!S1051/Operations!S1050,0)</f>
        <v/>
      </c>
      <c r="T1052" s="14">
        <f>IF(Operations!T1050&gt;0,Operations!T1051/Operations!T1050,0)</f>
        <v/>
      </c>
      <c r="U1052" s="14">
        <f>IF(Operations!U1050&gt;0,Operations!U1051/Operations!U1050,0)</f>
        <v/>
      </c>
      <c r="V1052" s="14">
        <f>IF(Operations!V1050&gt;0,Operations!V1051/Operations!V1050,0)</f>
        <v/>
      </c>
      <c r="W1052" s="14">
        <f>IF(Operations!W1050&gt;0,Operations!W1051/Operations!W1050,0)</f>
        <v/>
      </c>
      <c r="X1052" s="14">
        <f>IF(Operations!X1050&gt;0,Operations!X1051/Operations!X1050,0)</f>
        <v/>
      </c>
      <c r="Y1052" s="14">
        <f>IF(Operations!Y1050&gt;0,Operations!Y1051/Operations!Y1050,0)</f>
        <v/>
      </c>
      <c r="Z1052" s="14">
        <f>IF(Operations!Z1050&gt;0,Operations!Z1051/Operations!Z1050,0)</f>
        <v/>
      </c>
      <c r="AA1052" s="14">
        <f>IF(Operations!AA1050&gt;0,Operations!AA1051/Operations!AA1050,0)</f>
        <v/>
      </c>
      <c r="AB1052" s="14">
        <f>IF(Operations!AB1050&gt;0,Operations!AB1051/Operations!AB1050,0)</f>
        <v/>
      </c>
      <c r="AC1052" s="14">
        <f>IF(Operations!AC1050&gt;0,Operations!AC1051/Operations!AC1050,0)</f>
        <v/>
      </c>
      <c r="AD1052" s="14">
        <f>IF(Operations!AD1050&gt;0,Operations!AD1051/Operations!AD1050,0)</f>
        <v/>
      </c>
      <c r="AE1052" s="14">
        <f>IF(Operations!AE1050&gt;0,Operations!AE1051/Operations!AE1050,0)</f>
        <v/>
      </c>
      <c r="AF1052" s="14">
        <f>IF(Operations!AF1050&gt;0,Operations!AF1051/Operations!AF1050,0)</f>
        <v/>
      </c>
      <c r="AG1052" s="14">
        <f>IF(Operations!AG1050&gt;0,Operations!AG1051/Operations!AG1050,0)</f>
        <v/>
      </c>
      <c r="AH1052" s="14">
        <f>IF(Operations!AH1050&gt;0,Operations!AH1051/Operations!AH1050,0)</f>
        <v/>
      </c>
      <c r="AI1052" s="14">
        <f>IF(Operations!AI1050&gt;0,Operations!AI1051/Operations!AI1050,0)</f>
        <v/>
      </c>
      <c r="AJ1052" s="14">
        <f>IF(Operations!AJ1050&gt;0,Operations!AJ1051/Operations!AJ1050,0)</f>
        <v/>
      </c>
      <c r="AK1052" s="14">
        <f>IF(Operations!AK1050&gt;0,Operations!AK1051/Operations!AK1050,0)</f>
        <v/>
      </c>
      <c r="AL1052" s="14">
        <f>IF(Operations!AL1050&gt;0,Operations!AL1051/Operations!AL1050,0)</f>
        <v/>
      </c>
      <c r="AM1052" s="14">
        <f>IF(Operations!AM1050&gt;0,Operations!AM1051/Operations!AM1050,0)</f>
        <v/>
      </c>
      <c r="AN1052" s="14">
        <f>IF(Operations!AN1050&gt;0,Operations!AN1051/Operations!AN1050,0)</f>
        <v/>
      </c>
      <c r="AO1052" s="14">
        <f>IF(Operations!AO1050&gt;0,Operations!AO1051/Operations!AO1050,0)</f>
        <v/>
      </c>
      <c r="AP1052" s="14">
        <f>IF(Operations!AP1050&gt;0,Operations!AP1051/Operations!AP1050,0)</f>
        <v/>
      </c>
      <c r="AQ1052" s="14">
        <f>IF(Operations!AQ1050&gt;0,Operations!AQ1051/Operations!AQ1050,0)</f>
        <v/>
      </c>
      <c r="AR1052" s="14">
        <f>IF(Operations!AR1050&gt;0,Operations!AR1051/Operations!AR1050,0)</f>
        <v/>
      </c>
      <c r="AS1052" s="14">
        <f>IF(Operations!AS1050&gt;0,Operations!AS1051/Operations!AS1050,0)</f>
        <v/>
      </c>
      <c r="AT1052" s="14">
        <f>IF(Operations!AT1050&gt;0,Operations!AT1051/Operations!AT1050,0)</f>
        <v/>
      </c>
      <c r="AU1052" s="14">
        <f>IF(Operations!AU1050&gt;0,Operations!AU1051/Operations!AU1050,0)</f>
        <v/>
      </c>
    </row>
    <row r="1053">
      <c r="D1053" t="inlineStr">
        <is>
          <t>R7 own hub ATC</t>
        </is>
      </c>
      <c r="E1053" t="inlineStr">
        <is>
          <t>USD/MWh</t>
        </is>
      </c>
      <c r="J1053" s="18">
        <f>Operations!J797</f>
        <v/>
      </c>
      <c r="K1053" s="18">
        <f>Operations!K797</f>
        <v/>
      </c>
      <c r="L1053" s="18">
        <f>Operations!L797</f>
        <v/>
      </c>
      <c r="M1053" s="18">
        <f>Operations!M797</f>
        <v/>
      </c>
      <c r="N1053" s="18">
        <f>Operations!N797</f>
        <v/>
      </c>
      <c r="O1053" s="18">
        <f>Operations!O797</f>
        <v/>
      </c>
      <c r="P1053" s="18">
        <f>Operations!P797</f>
        <v/>
      </c>
      <c r="Q1053" s="18">
        <f>Operations!Q797</f>
        <v/>
      </c>
      <c r="R1053" s="18">
        <f>Operations!R797</f>
        <v/>
      </c>
      <c r="S1053" s="18">
        <f>Operations!S797</f>
        <v/>
      </c>
      <c r="T1053" s="18">
        <f>Operations!T797</f>
        <v/>
      </c>
      <c r="U1053" s="18">
        <f>Operations!U797</f>
        <v/>
      </c>
      <c r="V1053" s="18">
        <f>Operations!V797</f>
        <v/>
      </c>
      <c r="W1053" s="18">
        <f>Operations!W797</f>
        <v/>
      </c>
      <c r="X1053" s="18">
        <f>Operations!X797</f>
        <v/>
      </c>
      <c r="Y1053" s="18">
        <f>Operations!Y797</f>
        <v/>
      </c>
      <c r="Z1053" s="18">
        <f>Operations!Z797</f>
        <v/>
      </c>
      <c r="AA1053" s="18">
        <f>Operations!AA797</f>
        <v/>
      </c>
      <c r="AB1053" s="18">
        <f>Operations!AB797</f>
        <v/>
      </c>
      <c r="AC1053" s="18">
        <f>Operations!AC797</f>
        <v/>
      </c>
      <c r="AD1053" s="18">
        <f>Operations!AD797</f>
        <v/>
      </c>
      <c r="AE1053" s="18">
        <f>Operations!AE797</f>
        <v/>
      </c>
      <c r="AF1053" s="18">
        <f>Operations!AF797</f>
        <v/>
      </c>
      <c r="AG1053" s="18">
        <f>Operations!AG797</f>
        <v/>
      </c>
      <c r="AH1053" s="18">
        <f>Operations!AH797</f>
        <v/>
      </c>
      <c r="AI1053" s="18">
        <f>Operations!AI797</f>
        <v/>
      </c>
      <c r="AJ1053" s="18">
        <f>Operations!AJ797</f>
        <v/>
      </c>
      <c r="AK1053" s="18">
        <f>Operations!AK797</f>
        <v/>
      </c>
      <c r="AL1053" s="18">
        <f>Operations!AL797</f>
        <v/>
      </c>
      <c r="AM1053" s="18">
        <f>Operations!AM797</f>
        <v/>
      </c>
      <c r="AN1053" s="18">
        <f>Operations!AN797</f>
        <v/>
      </c>
      <c r="AO1053" s="18">
        <f>Operations!AO797</f>
        <v/>
      </c>
      <c r="AP1053" s="18">
        <f>Operations!AP797</f>
        <v/>
      </c>
      <c r="AQ1053" s="18">
        <f>Operations!AQ797</f>
        <v/>
      </c>
      <c r="AR1053" s="18">
        <f>Operations!AR797</f>
        <v/>
      </c>
      <c r="AS1053" s="18">
        <f>Operations!AS797</f>
        <v/>
      </c>
      <c r="AT1053" s="18">
        <f>Operations!AT797</f>
        <v/>
      </c>
      <c r="AU1053" s="18">
        <f>Operations!AU797</f>
        <v/>
      </c>
    </row>
    <row r="1054">
      <c r="D1054" t="inlineStr">
        <is>
          <t>R7 floor term fraction</t>
        </is>
      </c>
      <c r="E1054" t="inlineStr">
        <is>
          <t>fraction</t>
        </is>
      </c>
      <c r="J1054" s="14">
        <f>MAX(0,MIN(Inputs!$F$216,Time!J$6)-MAX(Inputs!$F$215,Time!J$5))/Time!J$7</f>
        <v/>
      </c>
      <c r="K1054" s="14">
        <f>MAX(0,MIN(Inputs!$F$216,Time!K$6)-MAX(Inputs!$F$215,Time!K$5))/Time!K$7</f>
        <v/>
      </c>
      <c r="L1054" s="14">
        <f>MAX(0,MIN(Inputs!$F$216,Time!L$6)-MAX(Inputs!$F$215,Time!L$5))/Time!L$7</f>
        <v/>
      </c>
      <c r="M1054" s="14">
        <f>MAX(0,MIN(Inputs!$F$216,Time!M$6)-MAX(Inputs!$F$215,Time!M$5))/Time!M$7</f>
        <v/>
      </c>
      <c r="N1054" s="14">
        <f>MAX(0,MIN(Inputs!$F$216,Time!N$6)-MAX(Inputs!$F$215,Time!N$5))/Time!N$7</f>
        <v/>
      </c>
      <c r="O1054" s="14">
        <f>MAX(0,MIN(Inputs!$F$216,Time!O$6)-MAX(Inputs!$F$215,Time!O$5))/Time!O$7</f>
        <v/>
      </c>
      <c r="P1054" s="14">
        <f>MAX(0,MIN(Inputs!$F$216,Time!P$6)-MAX(Inputs!$F$215,Time!P$5))/Time!P$7</f>
        <v/>
      </c>
      <c r="Q1054" s="14">
        <f>MAX(0,MIN(Inputs!$F$216,Time!Q$6)-MAX(Inputs!$F$215,Time!Q$5))/Time!Q$7</f>
        <v/>
      </c>
      <c r="R1054" s="14">
        <f>MAX(0,MIN(Inputs!$F$216,Time!R$6)-MAX(Inputs!$F$215,Time!R$5))/Time!R$7</f>
        <v/>
      </c>
      <c r="S1054" s="14">
        <f>MAX(0,MIN(Inputs!$F$216,Time!S$6)-MAX(Inputs!$F$215,Time!S$5))/Time!S$7</f>
        <v/>
      </c>
      <c r="T1054" s="14">
        <f>MAX(0,MIN(Inputs!$F$216,Time!T$6)-MAX(Inputs!$F$215,Time!T$5))/Time!T$7</f>
        <v/>
      </c>
      <c r="U1054" s="14">
        <f>MAX(0,MIN(Inputs!$F$216,Time!U$6)-MAX(Inputs!$F$215,Time!U$5))/Time!U$7</f>
        <v/>
      </c>
      <c r="V1054" s="14">
        <f>MAX(0,MIN(Inputs!$F$216,Time!V$6)-MAX(Inputs!$F$215,Time!V$5))/Time!V$7</f>
        <v/>
      </c>
      <c r="W1054" s="14">
        <f>MAX(0,MIN(Inputs!$F$216,Time!W$6)-MAX(Inputs!$F$215,Time!W$5))/Time!W$7</f>
        <v/>
      </c>
      <c r="X1054" s="14">
        <f>MAX(0,MIN(Inputs!$F$216,Time!X$6)-MAX(Inputs!$F$215,Time!X$5))/Time!X$7</f>
        <v/>
      </c>
      <c r="Y1054" s="14">
        <f>MAX(0,MIN(Inputs!$F$216,Time!Y$6)-MAX(Inputs!$F$215,Time!Y$5))/Time!Y$7</f>
        <v/>
      </c>
      <c r="Z1054" s="14">
        <f>MAX(0,MIN(Inputs!$F$216,Time!Z$6)-MAX(Inputs!$F$215,Time!Z$5))/Time!Z$7</f>
        <v/>
      </c>
      <c r="AA1054" s="14">
        <f>MAX(0,MIN(Inputs!$F$216,Time!AA$6)-MAX(Inputs!$F$215,Time!AA$5))/Time!AA$7</f>
        <v/>
      </c>
      <c r="AB1054" s="14">
        <f>MAX(0,MIN(Inputs!$F$216,Time!AB$6)-MAX(Inputs!$F$215,Time!AB$5))/Time!AB$7</f>
        <v/>
      </c>
      <c r="AC1054" s="14">
        <f>MAX(0,MIN(Inputs!$F$216,Time!AC$6)-MAX(Inputs!$F$215,Time!AC$5))/Time!AC$7</f>
        <v/>
      </c>
      <c r="AD1054" s="14">
        <f>MAX(0,MIN(Inputs!$F$216,Time!AD$6)-MAX(Inputs!$F$215,Time!AD$5))/Time!AD$7</f>
        <v/>
      </c>
      <c r="AE1054" s="14">
        <f>MAX(0,MIN(Inputs!$F$216,Time!AE$6)-MAX(Inputs!$F$215,Time!AE$5))/Time!AE$7</f>
        <v/>
      </c>
      <c r="AF1054" s="14">
        <f>MAX(0,MIN(Inputs!$F$216,Time!AF$6)-MAX(Inputs!$F$215,Time!AF$5))/Time!AF$7</f>
        <v/>
      </c>
      <c r="AG1054" s="14">
        <f>MAX(0,MIN(Inputs!$F$216,Time!AG$6)-MAX(Inputs!$F$215,Time!AG$5))/Time!AG$7</f>
        <v/>
      </c>
      <c r="AH1054" s="14">
        <f>MAX(0,MIN(Inputs!$F$216,Time!AH$6)-MAX(Inputs!$F$215,Time!AH$5))/Time!AH$7</f>
        <v/>
      </c>
      <c r="AI1054" s="14">
        <f>MAX(0,MIN(Inputs!$F$216,Time!AI$6)-MAX(Inputs!$F$215,Time!AI$5))/Time!AI$7</f>
        <v/>
      </c>
      <c r="AJ1054" s="14">
        <f>MAX(0,MIN(Inputs!$F$216,Time!AJ$6)-MAX(Inputs!$F$215,Time!AJ$5))/Time!AJ$7</f>
        <v/>
      </c>
      <c r="AK1054" s="14">
        <f>MAX(0,MIN(Inputs!$F$216,Time!AK$6)-MAX(Inputs!$F$215,Time!AK$5))/Time!AK$7</f>
        <v/>
      </c>
      <c r="AL1054" s="14">
        <f>MAX(0,MIN(Inputs!$F$216,Time!AL$6)-MAX(Inputs!$F$215,Time!AL$5))/Time!AL$7</f>
        <v/>
      </c>
      <c r="AM1054" s="14">
        <f>MAX(0,MIN(Inputs!$F$216,Time!AM$6)-MAX(Inputs!$F$215,Time!AM$5))/Time!AM$7</f>
        <v/>
      </c>
      <c r="AN1054" s="14">
        <f>MAX(0,MIN(Inputs!$F$216,Time!AN$6)-MAX(Inputs!$F$215,Time!AN$5))/Time!AN$7</f>
        <v/>
      </c>
      <c r="AO1054" s="14">
        <f>MAX(0,MIN(Inputs!$F$216,Time!AO$6)-MAX(Inputs!$F$215,Time!AO$5))/Time!AO$7</f>
        <v/>
      </c>
      <c r="AP1054" s="14">
        <f>MAX(0,MIN(Inputs!$F$216,Time!AP$6)-MAX(Inputs!$F$215,Time!AP$5))/Time!AP$7</f>
        <v/>
      </c>
      <c r="AQ1054" s="14">
        <f>MAX(0,MIN(Inputs!$F$216,Time!AQ$6)-MAX(Inputs!$F$215,Time!AQ$5))/Time!AQ$7</f>
        <v/>
      </c>
      <c r="AR1054" s="14">
        <f>MAX(0,MIN(Inputs!$F$216,Time!AR$6)-MAX(Inputs!$F$215,Time!AR$5))/Time!AR$7</f>
        <v/>
      </c>
      <c r="AS1054" s="14">
        <f>MAX(0,MIN(Inputs!$F$216,Time!AS$6)-MAX(Inputs!$F$215,Time!AS$5))/Time!AS$7</f>
        <v/>
      </c>
      <c r="AT1054" s="14">
        <f>MAX(0,MIN(Inputs!$F$216,Time!AT$6)-MAX(Inputs!$F$215,Time!AT$5))/Time!AT$7</f>
        <v/>
      </c>
      <c r="AU1054" s="14">
        <f>MAX(0,MIN(Inputs!$F$216,Time!AU$6)-MAX(Inputs!$F$215,Time!AU$5))/Time!AU$7</f>
        <v/>
      </c>
    </row>
    <row r="1055">
      <c r="D1055" t="inlineStr">
        <is>
          <t>R7 merchant revenue, availability-adjusted</t>
        </is>
      </c>
      <c r="E1055" t="inlineStr">
        <is>
          <t>USD/kW-yr</t>
        </is>
      </c>
      <c r="J1055" s="18">
        <f>Operations!J798*Inputs!$F$162/100</f>
        <v/>
      </c>
      <c r="K1055" s="18">
        <f>Operations!K798*Inputs!$F$162/100</f>
        <v/>
      </c>
      <c r="L1055" s="18">
        <f>Operations!L798*Inputs!$F$162/100</f>
        <v/>
      </c>
      <c r="M1055" s="18">
        <f>Operations!M798*Inputs!$F$162/100</f>
        <v/>
      </c>
      <c r="N1055" s="18">
        <f>Operations!N798*Inputs!$F$162/100</f>
        <v/>
      </c>
      <c r="O1055" s="18">
        <f>Operations!O798*Inputs!$F$162/100</f>
        <v/>
      </c>
      <c r="P1055" s="18">
        <f>Operations!P798*Inputs!$F$162/100</f>
        <v/>
      </c>
      <c r="Q1055" s="18">
        <f>Operations!Q798*Inputs!$F$162/100</f>
        <v/>
      </c>
      <c r="R1055" s="18">
        <f>Operations!R798*Inputs!$F$162/100</f>
        <v/>
      </c>
      <c r="S1055" s="18">
        <f>Operations!S798*Inputs!$F$162/100</f>
        <v/>
      </c>
      <c r="T1055" s="18">
        <f>Operations!T798*Inputs!$F$162/100</f>
        <v/>
      </c>
      <c r="U1055" s="18">
        <f>Operations!U798*Inputs!$F$162/100</f>
        <v/>
      </c>
      <c r="V1055" s="18">
        <f>Operations!V798*Inputs!$F$162/100</f>
        <v/>
      </c>
      <c r="W1055" s="18">
        <f>Operations!W798*Inputs!$F$162/100</f>
        <v/>
      </c>
      <c r="X1055" s="18">
        <f>Operations!X798*Inputs!$F$162/100</f>
        <v/>
      </c>
      <c r="Y1055" s="18">
        <f>Operations!Y798*Inputs!$F$162/100</f>
        <v/>
      </c>
      <c r="Z1055" s="18">
        <f>Operations!Z798*Inputs!$F$162/100</f>
        <v/>
      </c>
      <c r="AA1055" s="18">
        <f>Operations!AA798*Inputs!$F$162/100</f>
        <v/>
      </c>
      <c r="AB1055" s="18">
        <f>Operations!AB798*Inputs!$F$162/100</f>
        <v/>
      </c>
      <c r="AC1055" s="18">
        <f>Operations!AC798*Inputs!$F$162/100</f>
        <v/>
      </c>
      <c r="AD1055" s="18">
        <f>Operations!AD798*Inputs!$F$162/100</f>
        <v/>
      </c>
      <c r="AE1055" s="18">
        <f>Operations!AE798*Inputs!$F$162/100</f>
        <v/>
      </c>
      <c r="AF1055" s="18">
        <f>Operations!AF798*Inputs!$F$162/100</f>
        <v/>
      </c>
      <c r="AG1055" s="18">
        <f>Operations!AG798*Inputs!$F$162/100</f>
        <v/>
      </c>
      <c r="AH1055" s="18">
        <f>Operations!AH798*Inputs!$F$162/100</f>
        <v/>
      </c>
      <c r="AI1055" s="18">
        <f>Operations!AI798*Inputs!$F$162/100</f>
        <v/>
      </c>
      <c r="AJ1055" s="18">
        <f>Operations!AJ798*Inputs!$F$162/100</f>
        <v/>
      </c>
      <c r="AK1055" s="18">
        <f>Operations!AK798*Inputs!$F$162/100</f>
        <v/>
      </c>
      <c r="AL1055" s="18">
        <f>Operations!AL798*Inputs!$F$162/100</f>
        <v/>
      </c>
      <c r="AM1055" s="18">
        <f>Operations!AM798*Inputs!$F$162/100</f>
        <v/>
      </c>
      <c r="AN1055" s="18">
        <f>Operations!AN798*Inputs!$F$162/100</f>
        <v/>
      </c>
      <c r="AO1055" s="18">
        <f>Operations!AO798*Inputs!$F$162/100</f>
        <v/>
      </c>
      <c r="AP1055" s="18">
        <f>Operations!AP798*Inputs!$F$162/100</f>
        <v/>
      </c>
      <c r="AQ1055" s="18">
        <f>Operations!AQ798*Inputs!$F$162/100</f>
        <v/>
      </c>
      <c r="AR1055" s="18">
        <f>Operations!AR798*Inputs!$F$162/100</f>
        <v/>
      </c>
      <c r="AS1055" s="18">
        <f>Operations!AS798*Inputs!$F$162/100</f>
        <v/>
      </c>
      <c r="AT1055" s="18">
        <f>Operations!AT798*Inputs!$F$162/100</f>
        <v/>
      </c>
      <c r="AU1055" s="18">
        <f>Operations!AU798*Inputs!$F$162/100</f>
        <v/>
      </c>
    </row>
    <row r="1056">
      <c r="D1056" t="inlineStr">
        <is>
          <t>R7 revenue under floor contract (max of floor, less premium and upside share)</t>
        </is>
      </c>
      <c r="E1056" t="inlineStr">
        <is>
          <t>USD m</t>
        </is>
      </c>
      <c r="G1056" s="20">
        <f>SUM(J1056:AU1056)</f>
        <v/>
      </c>
      <c r="J1056" s="20">
        <f>(MAX(Operations!J1055,Inputs!$F$211)-Inputs!$F$212-Inputs!$F$213/100*MAX(0,Operations!J1055-Inputs!$F$214))*Inputs!$F$155/1000*Operations!J1054</f>
        <v/>
      </c>
      <c r="K1056" s="20">
        <f>(MAX(Operations!K1055,Inputs!$F$211)-Inputs!$F$212-Inputs!$F$213/100*MAX(0,Operations!K1055-Inputs!$F$214))*Inputs!$F$155/1000*Operations!K1054</f>
        <v/>
      </c>
      <c r="L1056" s="20">
        <f>(MAX(Operations!L1055,Inputs!$F$211)-Inputs!$F$212-Inputs!$F$213/100*MAX(0,Operations!L1055-Inputs!$F$214))*Inputs!$F$155/1000*Operations!L1054</f>
        <v/>
      </c>
      <c r="M1056" s="20">
        <f>(MAX(Operations!M1055,Inputs!$F$211)-Inputs!$F$212-Inputs!$F$213/100*MAX(0,Operations!M1055-Inputs!$F$214))*Inputs!$F$155/1000*Operations!M1054</f>
        <v/>
      </c>
      <c r="N1056" s="20">
        <f>(MAX(Operations!N1055,Inputs!$F$211)-Inputs!$F$212-Inputs!$F$213/100*MAX(0,Operations!N1055-Inputs!$F$214))*Inputs!$F$155/1000*Operations!N1054</f>
        <v/>
      </c>
      <c r="O1056" s="20">
        <f>(MAX(Operations!O1055,Inputs!$F$211)-Inputs!$F$212-Inputs!$F$213/100*MAX(0,Operations!O1055-Inputs!$F$214))*Inputs!$F$155/1000*Operations!O1054</f>
        <v/>
      </c>
      <c r="P1056" s="20">
        <f>(MAX(Operations!P1055,Inputs!$F$211)-Inputs!$F$212-Inputs!$F$213/100*MAX(0,Operations!P1055-Inputs!$F$214))*Inputs!$F$155/1000*Operations!P1054</f>
        <v/>
      </c>
      <c r="Q1056" s="20">
        <f>(MAX(Operations!Q1055,Inputs!$F$211)-Inputs!$F$212-Inputs!$F$213/100*MAX(0,Operations!Q1055-Inputs!$F$214))*Inputs!$F$155/1000*Operations!Q1054</f>
        <v/>
      </c>
      <c r="R1056" s="20">
        <f>(MAX(Operations!R1055,Inputs!$F$211)-Inputs!$F$212-Inputs!$F$213/100*MAX(0,Operations!R1055-Inputs!$F$214))*Inputs!$F$155/1000*Operations!R1054</f>
        <v/>
      </c>
      <c r="S1056" s="20">
        <f>(MAX(Operations!S1055,Inputs!$F$211)-Inputs!$F$212-Inputs!$F$213/100*MAX(0,Operations!S1055-Inputs!$F$214))*Inputs!$F$155/1000*Operations!S1054</f>
        <v/>
      </c>
      <c r="T1056" s="20">
        <f>(MAX(Operations!T1055,Inputs!$F$211)-Inputs!$F$212-Inputs!$F$213/100*MAX(0,Operations!T1055-Inputs!$F$214))*Inputs!$F$155/1000*Operations!T1054</f>
        <v/>
      </c>
      <c r="U1056" s="20">
        <f>(MAX(Operations!U1055,Inputs!$F$211)-Inputs!$F$212-Inputs!$F$213/100*MAX(0,Operations!U1055-Inputs!$F$214))*Inputs!$F$155/1000*Operations!U1054</f>
        <v/>
      </c>
      <c r="V1056" s="20">
        <f>(MAX(Operations!V1055,Inputs!$F$211)-Inputs!$F$212-Inputs!$F$213/100*MAX(0,Operations!V1055-Inputs!$F$214))*Inputs!$F$155/1000*Operations!V1054</f>
        <v/>
      </c>
      <c r="W1056" s="20">
        <f>(MAX(Operations!W1055,Inputs!$F$211)-Inputs!$F$212-Inputs!$F$213/100*MAX(0,Operations!W1055-Inputs!$F$214))*Inputs!$F$155/1000*Operations!W1054</f>
        <v/>
      </c>
      <c r="X1056" s="20">
        <f>(MAX(Operations!X1055,Inputs!$F$211)-Inputs!$F$212-Inputs!$F$213/100*MAX(0,Operations!X1055-Inputs!$F$214))*Inputs!$F$155/1000*Operations!X1054</f>
        <v/>
      </c>
      <c r="Y1056" s="20">
        <f>(MAX(Operations!Y1055,Inputs!$F$211)-Inputs!$F$212-Inputs!$F$213/100*MAX(0,Operations!Y1055-Inputs!$F$214))*Inputs!$F$155/1000*Operations!Y1054</f>
        <v/>
      </c>
      <c r="Z1056" s="20">
        <f>(MAX(Operations!Z1055,Inputs!$F$211)-Inputs!$F$212-Inputs!$F$213/100*MAX(0,Operations!Z1055-Inputs!$F$214))*Inputs!$F$155/1000*Operations!Z1054</f>
        <v/>
      </c>
      <c r="AA1056" s="20">
        <f>(MAX(Operations!AA1055,Inputs!$F$211)-Inputs!$F$212-Inputs!$F$213/100*MAX(0,Operations!AA1055-Inputs!$F$214))*Inputs!$F$155/1000*Operations!AA1054</f>
        <v/>
      </c>
      <c r="AB1056" s="20">
        <f>(MAX(Operations!AB1055,Inputs!$F$211)-Inputs!$F$212-Inputs!$F$213/100*MAX(0,Operations!AB1055-Inputs!$F$214))*Inputs!$F$155/1000*Operations!AB1054</f>
        <v/>
      </c>
      <c r="AC1056" s="20">
        <f>(MAX(Operations!AC1055,Inputs!$F$211)-Inputs!$F$212-Inputs!$F$213/100*MAX(0,Operations!AC1055-Inputs!$F$214))*Inputs!$F$155/1000*Operations!AC1054</f>
        <v/>
      </c>
      <c r="AD1056" s="20">
        <f>(MAX(Operations!AD1055,Inputs!$F$211)-Inputs!$F$212-Inputs!$F$213/100*MAX(0,Operations!AD1055-Inputs!$F$214))*Inputs!$F$155/1000*Operations!AD1054</f>
        <v/>
      </c>
      <c r="AE1056" s="20">
        <f>(MAX(Operations!AE1055,Inputs!$F$211)-Inputs!$F$212-Inputs!$F$213/100*MAX(0,Operations!AE1055-Inputs!$F$214))*Inputs!$F$155/1000*Operations!AE1054</f>
        <v/>
      </c>
      <c r="AF1056" s="20">
        <f>(MAX(Operations!AF1055,Inputs!$F$211)-Inputs!$F$212-Inputs!$F$213/100*MAX(0,Operations!AF1055-Inputs!$F$214))*Inputs!$F$155/1000*Operations!AF1054</f>
        <v/>
      </c>
      <c r="AG1056" s="20">
        <f>(MAX(Operations!AG1055,Inputs!$F$211)-Inputs!$F$212-Inputs!$F$213/100*MAX(0,Operations!AG1055-Inputs!$F$214))*Inputs!$F$155/1000*Operations!AG1054</f>
        <v/>
      </c>
      <c r="AH1056" s="20">
        <f>(MAX(Operations!AH1055,Inputs!$F$211)-Inputs!$F$212-Inputs!$F$213/100*MAX(0,Operations!AH1055-Inputs!$F$214))*Inputs!$F$155/1000*Operations!AH1054</f>
        <v/>
      </c>
      <c r="AI1056" s="20">
        <f>(MAX(Operations!AI1055,Inputs!$F$211)-Inputs!$F$212-Inputs!$F$213/100*MAX(0,Operations!AI1055-Inputs!$F$214))*Inputs!$F$155/1000*Operations!AI1054</f>
        <v/>
      </c>
      <c r="AJ1056" s="20">
        <f>(MAX(Operations!AJ1055,Inputs!$F$211)-Inputs!$F$212-Inputs!$F$213/100*MAX(0,Operations!AJ1055-Inputs!$F$214))*Inputs!$F$155/1000*Operations!AJ1054</f>
        <v/>
      </c>
      <c r="AK1056" s="20">
        <f>(MAX(Operations!AK1055,Inputs!$F$211)-Inputs!$F$212-Inputs!$F$213/100*MAX(0,Operations!AK1055-Inputs!$F$214))*Inputs!$F$155/1000*Operations!AK1054</f>
        <v/>
      </c>
      <c r="AL1056" s="20">
        <f>(MAX(Operations!AL1055,Inputs!$F$211)-Inputs!$F$212-Inputs!$F$213/100*MAX(0,Operations!AL1055-Inputs!$F$214))*Inputs!$F$155/1000*Operations!AL1054</f>
        <v/>
      </c>
      <c r="AM1056" s="20">
        <f>(MAX(Operations!AM1055,Inputs!$F$211)-Inputs!$F$212-Inputs!$F$213/100*MAX(0,Operations!AM1055-Inputs!$F$214))*Inputs!$F$155/1000*Operations!AM1054</f>
        <v/>
      </c>
      <c r="AN1056" s="20">
        <f>(MAX(Operations!AN1055,Inputs!$F$211)-Inputs!$F$212-Inputs!$F$213/100*MAX(0,Operations!AN1055-Inputs!$F$214))*Inputs!$F$155/1000*Operations!AN1054</f>
        <v/>
      </c>
      <c r="AO1056" s="20">
        <f>(MAX(Operations!AO1055,Inputs!$F$211)-Inputs!$F$212-Inputs!$F$213/100*MAX(0,Operations!AO1055-Inputs!$F$214))*Inputs!$F$155/1000*Operations!AO1054</f>
        <v/>
      </c>
      <c r="AP1056" s="20">
        <f>(MAX(Operations!AP1055,Inputs!$F$211)-Inputs!$F$212-Inputs!$F$213/100*MAX(0,Operations!AP1055-Inputs!$F$214))*Inputs!$F$155/1000*Operations!AP1054</f>
        <v/>
      </c>
      <c r="AQ1056" s="20">
        <f>(MAX(Operations!AQ1055,Inputs!$F$211)-Inputs!$F$212-Inputs!$F$213/100*MAX(0,Operations!AQ1055-Inputs!$F$214))*Inputs!$F$155/1000*Operations!AQ1054</f>
        <v/>
      </c>
      <c r="AR1056" s="20">
        <f>(MAX(Operations!AR1055,Inputs!$F$211)-Inputs!$F$212-Inputs!$F$213/100*MAX(0,Operations!AR1055-Inputs!$F$214))*Inputs!$F$155/1000*Operations!AR1054</f>
        <v/>
      </c>
      <c r="AS1056" s="20">
        <f>(MAX(Operations!AS1055,Inputs!$F$211)-Inputs!$F$212-Inputs!$F$213/100*MAX(0,Operations!AS1055-Inputs!$F$214))*Inputs!$F$155/1000*Operations!AS1054</f>
        <v/>
      </c>
      <c r="AT1056" s="20">
        <f>(MAX(Operations!AT1055,Inputs!$F$211)-Inputs!$F$212-Inputs!$F$213/100*MAX(0,Operations!AT1055-Inputs!$F$214))*Inputs!$F$155/1000*Operations!AT1054</f>
        <v/>
      </c>
      <c r="AU1056" s="20">
        <f>(MAX(Operations!AU1055,Inputs!$F$211)-Inputs!$F$212-Inputs!$F$213/100*MAX(0,Operations!AU1055-Inputs!$F$214))*Inputs!$F$155/1000*Operations!AU1054</f>
        <v/>
      </c>
    </row>
    <row r="1057">
      <c r="D1057" t="inlineStr">
        <is>
          <t>R7 merchant revenue outside floor term</t>
        </is>
      </c>
      <c r="E1057" t="inlineStr">
        <is>
          <t>USD m</t>
        </is>
      </c>
      <c r="G1057" s="20">
        <f>SUM(J1057:AU1057)</f>
        <v/>
      </c>
      <c r="J1057" s="20">
        <f>Operations!J1055*Inputs!$F$155/1000*(Operations!J1050-Operations!J1054)</f>
        <v/>
      </c>
      <c r="K1057" s="20">
        <f>Operations!K1055*Inputs!$F$155/1000*(Operations!K1050-Operations!K1054)</f>
        <v/>
      </c>
      <c r="L1057" s="20">
        <f>Operations!L1055*Inputs!$F$155/1000*(Operations!L1050-Operations!L1054)</f>
        <v/>
      </c>
      <c r="M1057" s="20">
        <f>Operations!M1055*Inputs!$F$155/1000*(Operations!M1050-Operations!M1054)</f>
        <v/>
      </c>
      <c r="N1057" s="20">
        <f>Operations!N1055*Inputs!$F$155/1000*(Operations!N1050-Operations!N1054)</f>
        <v/>
      </c>
      <c r="O1057" s="20">
        <f>Operations!O1055*Inputs!$F$155/1000*(Operations!O1050-Operations!O1054)</f>
        <v/>
      </c>
      <c r="P1057" s="20">
        <f>Operations!P1055*Inputs!$F$155/1000*(Operations!P1050-Operations!P1054)</f>
        <v/>
      </c>
      <c r="Q1057" s="20">
        <f>Operations!Q1055*Inputs!$F$155/1000*(Operations!Q1050-Operations!Q1054)</f>
        <v/>
      </c>
      <c r="R1057" s="20">
        <f>Operations!R1055*Inputs!$F$155/1000*(Operations!R1050-Operations!R1054)</f>
        <v/>
      </c>
      <c r="S1057" s="20">
        <f>Operations!S1055*Inputs!$F$155/1000*(Operations!S1050-Operations!S1054)</f>
        <v/>
      </c>
      <c r="T1057" s="20">
        <f>Operations!T1055*Inputs!$F$155/1000*(Operations!T1050-Operations!T1054)</f>
        <v/>
      </c>
      <c r="U1057" s="20">
        <f>Operations!U1055*Inputs!$F$155/1000*(Operations!U1050-Operations!U1054)</f>
        <v/>
      </c>
      <c r="V1057" s="20">
        <f>Operations!V1055*Inputs!$F$155/1000*(Operations!V1050-Operations!V1054)</f>
        <v/>
      </c>
      <c r="W1057" s="20">
        <f>Operations!W1055*Inputs!$F$155/1000*(Operations!W1050-Operations!W1054)</f>
        <v/>
      </c>
      <c r="X1057" s="20">
        <f>Operations!X1055*Inputs!$F$155/1000*(Operations!X1050-Operations!X1054)</f>
        <v/>
      </c>
      <c r="Y1057" s="20">
        <f>Operations!Y1055*Inputs!$F$155/1000*(Operations!Y1050-Operations!Y1054)</f>
        <v/>
      </c>
      <c r="Z1057" s="20">
        <f>Operations!Z1055*Inputs!$F$155/1000*(Operations!Z1050-Operations!Z1054)</f>
        <v/>
      </c>
      <c r="AA1057" s="20">
        <f>Operations!AA1055*Inputs!$F$155/1000*(Operations!AA1050-Operations!AA1054)</f>
        <v/>
      </c>
      <c r="AB1057" s="20">
        <f>Operations!AB1055*Inputs!$F$155/1000*(Operations!AB1050-Operations!AB1054)</f>
        <v/>
      </c>
      <c r="AC1057" s="20">
        <f>Operations!AC1055*Inputs!$F$155/1000*(Operations!AC1050-Operations!AC1054)</f>
        <v/>
      </c>
      <c r="AD1057" s="20">
        <f>Operations!AD1055*Inputs!$F$155/1000*(Operations!AD1050-Operations!AD1054)</f>
        <v/>
      </c>
      <c r="AE1057" s="20">
        <f>Operations!AE1055*Inputs!$F$155/1000*(Operations!AE1050-Operations!AE1054)</f>
        <v/>
      </c>
      <c r="AF1057" s="20">
        <f>Operations!AF1055*Inputs!$F$155/1000*(Operations!AF1050-Operations!AF1054)</f>
        <v/>
      </c>
      <c r="AG1057" s="20">
        <f>Operations!AG1055*Inputs!$F$155/1000*(Operations!AG1050-Operations!AG1054)</f>
        <v/>
      </c>
      <c r="AH1057" s="20">
        <f>Operations!AH1055*Inputs!$F$155/1000*(Operations!AH1050-Operations!AH1054)</f>
        <v/>
      </c>
      <c r="AI1057" s="20">
        <f>Operations!AI1055*Inputs!$F$155/1000*(Operations!AI1050-Operations!AI1054)</f>
        <v/>
      </c>
      <c r="AJ1057" s="20">
        <f>Operations!AJ1055*Inputs!$F$155/1000*(Operations!AJ1050-Operations!AJ1054)</f>
        <v/>
      </c>
      <c r="AK1057" s="20">
        <f>Operations!AK1055*Inputs!$F$155/1000*(Operations!AK1050-Operations!AK1054)</f>
        <v/>
      </c>
      <c r="AL1057" s="20">
        <f>Operations!AL1055*Inputs!$F$155/1000*(Operations!AL1050-Operations!AL1054)</f>
        <v/>
      </c>
      <c r="AM1057" s="20">
        <f>Operations!AM1055*Inputs!$F$155/1000*(Operations!AM1050-Operations!AM1054)</f>
        <v/>
      </c>
      <c r="AN1057" s="20">
        <f>Operations!AN1055*Inputs!$F$155/1000*(Operations!AN1050-Operations!AN1054)</f>
        <v/>
      </c>
      <c r="AO1057" s="20">
        <f>Operations!AO1055*Inputs!$F$155/1000*(Operations!AO1050-Operations!AO1054)</f>
        <v/>
      </c>
      <c r="AP1057" s="20">
        <f>Operations!AP1055*Inputs!$F$155/1000*(Operations!AP1050-Operations!AP1054)</f>
        <v/>
      </c>
      <c r="AQ1057" s="20">
        <f>Operations!AQ1055*Inputs!$F$155/1000*(Operations!AQ1050-Operations!AQ1054)</f>
        <v/>
      </c>
      <c r="AR1057" s="20">
        <f>Operations!AR1055*Inputs!$F$155/1000*(Operations!AR1050-Operations!AR1054)</f>
        <v/>
      </c>
      <c r="AS1057" s="20">
        <f>Operations!AS1055*Inputs!$F$155/1000*(Operations!AS1050-Operations!AS1054)</f>
        <v/>
      </c>
      <c r="AT1057" s="20">
        <f>Operations!AT1055*Inputs!$F$155/1000*(Operations!AT1050-Operations!AT1054)</f>
        <v/>
      </c>
      <c r="AU1057" s="20">
        <f>Operations!AU1055*Inputs!$F$155/1000*(Operations!AU1050-Operations!AU1054)</f>
        <v/>
      </c>
    </row>
    <row r="1058">
      <c r="D1058" t="inlineStr">
        <is>
          <t>R7 contracted revenue (floor less premium)</t>
        </is>
      </c>
      <c r="E1058" t="inlineStr">
        <is>
          <t>USD m</t>
        </is>
      </c>
      <c r="J1058" s="20">
        <f>(Inputs!$F$211-Inputs!$F$212)*Inputs!$F$155/1000*Operations!J1054</f>
        <v/>
      </c>
      <c r="K1058" s="20">
        <f>(Inputs!$F$211-Inputs!$F$212)*Inputs!$F$155/1000*Operations!K1054</f>
        <v/>
      </c>
      <c r="L1058" s="20">
        <f>(Inputs!$F$211-Inputs!$F$212)*Inputs!$F$155/1000*Operations!L1054</f>
        <v/>
      </c>
      <c r="M1058" s="20">
        <f>(Inputs!$F$211-Inputs!$F$212)*Inputs!$F$155/1000*Operations!M1054</f>
        <v/>
      </c>
      <c r="N1058" s="20">
        <f>(Inputs!$F$211-Inputs!$F$212)*Inputs!$F$155/1000*Operations!N1054</f>
        <v/>
      </c>
      <c r="O1058" s="20">
        <f>(Inputs!$F$211-Inputs!$F$212)*Inputs!$F$155/1000*Operations!O1054</f>
        <v/>
      </c>
      <c r="P1058" s="20">
        <f>(Inputs!$F$211-Inputs!$F$212)*Inputs!$F$155/1000*Operations!P1054</f>
        <v/>
      </c>
      <c r="Q1058" s="20">
        <f>(Inputs!$F$211-Inputs!$F$212)*Inputs!$F$155/1000*Operations!Q1054</f>
        <v/>
      </c>
      <c r="R1058" s="20">
        <f>(Inputs!$F$211-Inputs!$F$212)*Inputs!$F$155/1000*Operations!R1054</f>
        <v/>
      </c>
      <c r="S1058" s="20">
        <f>(Inputs!$F$211-Inputs!$F$212)*Inputs!$F$155/1000*Operations!S1054</f>
        <v/>
      </c>
      <c r="T1058" s="20">
        <f>(Inputs!$F$211-Inputs!$F$212)*Inputs!$F$155/1000*Operations!T1054</f>
        <v/>
      </c>
      <c r="U1058" s="20">
        <f>(Inputs!$F$211-Inputs!$F$212)*Inputs!$F$155/1000*Operations!U1054</f>
        <v/>
      </c>
      <c r="V1058" s="20">
        <f>(Inputs!$F$211-Inputs!$F$212)*Inputs!$F$155/1000*Operations!V1054</f>
        <v/>
      </c>
      <c r="W1058" s="20">
        <f>(Inputs!$F$211-Inputs!$F$212)*Inputs!$F$155/1000*Operations!W1054</f>
        <v/>
      </c>
      <c r="X1058" s="20">
        <f>(Inputs!$F$211-Inputs!$F$212)*Inputs!$F$155/1000*Operations!X1054</f>
        <v/>
      </c>
      <c r="Y1058" s="20">
        <f>(Inputs!$F$211-Inputs!$F$212)*Inputs!$F$155/1000*Operations!Y1054</f>
        <v/>
      </c>
      <c r="Z1058" s="20">
        <f>(Inputs!$F$211-Inputs!$F$212)*Inputs!$F$155/1000*Operations!Z1054</f>
        <v/>
      </c>
      <c r="AA1058" s="20">
        <f>(Inputs!$F$211-Inputs!$F$212)*Inputs!$F$155/1000*Operations!AA1054</f>
        <v/>
      </c>
      <c r="AB1058" s="20">
        <f>(Inputs!$F$211-Inputs!$F$212)*Inputs!$F$155/1000*Operations!AB1054</f>
        <v/>
      </c>
      <c r="AC1058" s="20">
        <f>(Inputs!$F$211-Inputs!$F$212)*Inputs!$F$155/1000*Operations!AC1054</f>
        <v/>
      </c>
      <c r="AD1058" s="20">
        <f>(Inputs!$F$211-Inputs!$F$212)*Inputs!$F$155/1000*Operations!AD1054</f>
        <v/>
      </c>
      <c r="AE1058" s="20">
        <f>(Inputs!$F$211-Inputs!$F$212)*Inputs!$F$155/1000*Operations!AE1054</f>
        <v/>
      </c>
      <c r="AF1058" s="20">
        <f>(Inputs!$F$211-Inputs!$F$212)*Inputs!$F$155/1000*Operations!AF1054</f>
        <v/>
      </c>
      <c r="AG1058" s="20">
        <f>(Inputs!$F$211-Inputs!$F$212)*Inputs!$F$155/1000*Operations!AG1054</f>
        <v/>
      </c>
      <c r="AH1058" s="20">
        <f>(Inputs!$F$211-Inputs!$F$212)*Inputs!$F$155/1000*Operations!AH1054</f>
        <v/>
      </c>
      <c r="AI1058" s="20">
        <f>(Inputs!$F$211-Inputs!$F$212)*Inputs!$F$155/1000*Operations!AI1054</f>
        <v/>
      </c>
      <c r="AJ1058" s="20">
        <f>(Inputs!$F$211-Inputs!$F$212)*Inputs!$F$155/1000*Operations!AJ1054</f>
        <v/>
      </c>
      <c r="AK1058" s="20">
        <f>(Inputs!$F$211-Inputs!$F$212)*Inputs!$F$155/1000*Operations!AK1054</f>
        <v/>
      </c>
      <c r="AL1058" s="20">
        <f>(Inputs!$F$211-Inputs!$F$212)*Inputs!$F$155/1000*Operations!AL1054</f>
        <v/>
      </c>
      <c r="AM1058" s="20">
        <f>(Inputs!$F$211-Inputs!$F$212)*Inputs!$F$155/1000*Operations!AM1054</f>
        <v/>
      </c>
      <c r="AN1058" s="20">
        <f>(Inputs!$F$211-Inputs!$F$212)*Inputs!$F$155/1000*Operations!AN1054</f>
        <v/>
      </c>
      <c r="AO1058" s="20">
        <f>(Inputs!$F$211-Inputs!$F$212)*Inputs!$F$155/1000*Operations!AO1054</f>
        <v/>
      </c>
      <c r="AP1058" s="20">
        <f>(Inputs!$F$211-Inputs!$F$212)*Inputs!$F$155/1000*Operations!AP1054</f>
        <v/>
      </c>
      <c r="AQ1058" s="20">
        <f>(Inputs!$F$211-Inputs!$F$212)*Inputs!$F$155/1000*Operations!AQ1054</f>
        <v/>
      </c>
      <c r="AR1058" s="20">
        <f>(Inputs!$F$211-Inputs!$F$212)*Inputs!$F$155/1000*Operations!AR1054</f>
        <v/>
      </c>
      <c r="AS1058" s="20">
        <f>(Inputs!$F$211-Inputs!$F$212)*Inputs!$F$155/1000*Operations!AS1054</f>
        <v/>
      </c>
      <c r="AT1058" s="20">
        <f>(Inputs!$F$211-Inputs!$F$212)*Inputs!$F$155/1000*Operations!AT1054</f>
        <v/>
      </c>
      <c r="AU1058" s="20">
        <f>(Inputs!$F$211-Inputs!$F$212)*Inputs!$F$155/1000*Operations!AU1054</f>
        <v/>
      </c>
    </row>
    <row r="1059">
      <c r="D1059" t="inlineStr">
        <is>
          <t>R7 hedged revenue</t>
        </is>
      </c>
      <c r="E1059" t="inlineStr">
        <is>
          <t>USD m</t>
        </is>
      </c>
      <c r="J1059" s="20">
        <f>0</f>
        <v/>
      </c>
      <c r="K1059" s="20">
        <f>0</f>
        <v/>
      </c>
      <c r="L1059" s="20">
        <f>0</f>
        <v/>
      </c>
      <c r="M1059" s="20">
        <f>0</f>
        <v/>
      </c>
      <c r="N1059" s="20">
        <f>0</f>
        <v/>
      </c>
      <c r="O1059" s="20">
        <f>0</f>
        <v/>
      </c>
      <c r="P1059" s="20">
        <f>0</f>
        <v/>
      </c>
      <c r="Q1059" s="20">
        <f>0</f>
        <v/>
      </c>
      <c r="R1059" s="20">
        <f>0</f>
        <v/>
      </c>
      <c r="S1059" s="20">
        <f>0</f>
        <v/>
      </c>
      <c r="T1059" s="20">
        <f>0</f>
        <v/>
      </c>
      <c r="U1059" s="20">
        <f>0</f>
        <v/>
      </c>
      <c r="V1059" s="20">
        <f>0</f>
        <v/>
      </c>
      <c r="W1059" s="20">
        <f>0</f>
        <v/>
      </c>
      <c r="X1059" s="20">
        <f>0</f>
        <v/>
      </c>
      <c r="Y1059" s="20">
        <f>0</f>
        <v/>
      </c>
      <c r="Z1059" s="20">
        <f>0</f>
        <v/>
      </c>
      <c r="AA1059" s="20">
        <f>0</f>
        <v/>
      </c>
      <c r="AB1059" s="20">
        <f>0</f>
        <v/>
      </c>
      <c r="AC1059" s="20">
        <f>0</f>
        <v/>
      </c>
      <c r="AD1059" s="20">
        <f>0</f>
        <v/>
      </c>
      <c r="AE1059" s="20">
        <f>0</f>
        <v/>
      </c>
      <c r="AF1059" s="20">
        <f>0</f>
        <v/>
      </c>
      <c r="AG1059" s="20">
        <f>0</f>
        <v/>
      </c>
      <c r="AH1059" s="20">
        <f>0</f>
        <v/>
      </c>
      <c r="AI1059" s="20">
        <f>0</f>
        <v/>
      </c>
      <c r="AJ1059" s="20">
        <f>0</f>
        <v/>
      </c>
      <c r="AK1059" s="20">
        <f>0</f>
        <v/>
      </c>
      <c r="AL1059" s="20">
        <f>0</f>
        <v/>
      </c>
      <c r="AM1059" s="20">
        <f>0</f>
        <v/>
      </c>
      <c r="AN1059" s="20">
        <f>0</f>
        <v/>
      </c>
      <c r="AO1059" s="20">
        <f>0</f>
        <v/>
      </c>
      <c r="AP1059" s="20">
        <f>0</f>
        <v/>
      </c>
      <c r="AQ1059" s="20">
        <f>0</f>
        <v/>
      </c>
      <c r="AR1059" s="20">
        <f>0</f>
        <v/>
      </c>
      <c r="AS1059" s="20">
        <f>0</f>
        <v/>
      </c>
      <c r="AT1059" s="20">
        <f>0</f>
        <v/>
      </c>
      <c r="AU1059" s="20">
        <f>0</f>
        <v/>
      </c>
    </row>
    <row r="1060">
      <c r="D1060" t="inlineStr">
        <is>
          <t>R7 total revenue</t>
        </is>
      </c>
      <c r="E1060" t="inlineStr">
        <is>
          <t>USD m</t>
        </is>
      </c>
      <c r="G1060" s="20">
        <f>SUM(J1060:AU1060)</f>
        <v/>
      </c>
      <c r="J1060" s="20">
        <f>Operations!J1056+Operations!J1057</f>
        <v/>
      </c>
      <c r="K1060" s="20">
        <f>Operations!K1056+Operations!K1057</f>
        <v/>
      </c>
      <c r="L1060" s="20">
        <f>Operations!L1056+Operations!L1057</f>
        <v/>
      </c>
      <c r="M1060" s="20">
        <f>Operations!M1056+Operations!M1057</f>
        <v/>
      </c>
      <c r="N1060" s="20">
        <f>Operations!N1056+Operations!N1057</f>
        <v/>
      </c>
      <c r="O1060" s="20">
        <f>Operations!O1056+Operations!O1057</f>
        <v/>
      </c>
      <c r="P1060" s="20">
        <f>Operations!P1056+Operations!P1057</f>
        <v/>
      </c>
      <c r="Q1060" s="20">
        <f>Operations!Q1056+Operations!Q1057</f>
        <v/>
      </c>
      <c r="R1060" s="20">
        <f>Operations!R1056+Operations!R1057</f>
        <v/>
      </c>
      <c r="S1060" s="20">
        <f>Operations!S1056+Operations!S1057</f>
        <v/>
      </c>
      <c r="T1060" s="20">
        <f>Operations!T1056+Operations!T1057</f>
        <v/>
      </c>
      <c r="U1060" s="20">
        <f>Operations!U1056+Operations!U1057</f>
        <v/>
      </c>
      <c r="V1060" s="20">
        <f>Operations!V1056+Operations!V1057</f>
        <v/>
      </c>
      <c r="W1060" s="20">
        <f>Operations!W1056+Operations!W1057</f>
        <v/>
      </c>
      <c r="X1060" s="20">
        <f>Operations!X1056+Operations!X1057</f>
        <v/>
      </c>
      <c r="Y1060" s="20">
        <f>Operations!Y1056+Operations!Y1057</f>
        <v/>
      </c>
      <c r="Z1060" s="20">
        <f>Operations!Z1056+Operations!Z1057</f>
        <v/>
      </c>
      <c r="AA1060" s="20">
        <f>Operations!AA1056+Operations!AA1057</f>
        <v/>
      </c>
      <c r="AB1060" s="20">
        <f>Operations!AB1056+Operations!AB1057</f>
        <v/>
      </c>
      <c r="AC1060" s="20">
        <f>Operations!AC1056+Operations!AC1057</f>
        <v/>
      </c>
      <c r="AD1060" s="20">
        <f>Operations!AD1056+Operations!AD1057</f>
        <v/>
      </c>
      <c r="AE1060" s="20">
        <f>Operations!AE1056+Operations!AE1057</f>
        <v/>
      </c>
      <c r="AF1060" s="20">
        <f>Operations!AF1056+Operations!AF1057</f>
        <v/>
      </c>
      <c r="AG1060" s="20">
        <f>Operations!AG1056+Operations!AG1057</f>
        <v/>
      </c>
      <c r="AH1060" s="20">
        <f>Operations!AH1056+Operations!AH1057</f>
        <v/>
      </c>
      <c r="AI1060" s="20">
        <f>Operations!AI1056+Operations!AI1057</f>
        <v/>
      </c>
      <c r="AJ1060" s="20">
        <f>Operations!AJ1056+Operations!AJ1057</f>
        <v/>
      </c>
      <c r="AK1060" s="20">
        <f>Operations!AK1056+Operations!AK1057</f>
        <v/>
      </c>
      <c r="AL1060" s="20">
        <f>Operations!AL1056+Operations!AL1057</f>
        <v/>
      </c>
      <c r="AM1060" s="20">
        <f>Operations!AM1056+Operations!AM1057</f>
        <v/>
      </c>
      <c r="AN1060" s="20">
        <f>Operations!AN1056+Operations!AN1057</f>
        <v/>
      </c>
      <c r="AO1060" s="20">
        <f>Operations!AO1056+Operations!AO1057</f>
        <v/>
      </c>
      <c r="AP1060" s="20">
        <f>Operations!AP1056+Operations!AP1057</f>
        <v/>
      </c>
      <c r="AQ1060" s="20">
        <f>Operations!AQ1056+Operations!AQ1057</f>
        <v/>
      </c>
      <c r="AR1060" s="20">
        <f>Operations!AR1056+Operations!AR1057</f>
        <v/>
      </c>
      <c r="AS1060" s="20">
        <f>Operations!AS1056+Operations!AS1057</f>
        <v/>
      </c>
      <c r="AT1060" s="20">
        <f>Operations!AT1056+Operations!AT1057</f>
        <v/>
      </c>
      <c r="AU1060" s="20">
        <f>Operations!AU1056+Operations!AU1057</f>
        <v/>
      </c>
    </row>
    <row r="1061">
      <c r="D1061" t="inlineStr">
        <is>
          <t>R7 merchant revenue (total less contracted and hedged)</t>
        </is>
      </c>
      <c r="E1061" t="inlineStr">
        <is>
          <t>USD m</t>
        </is>
      </c>
      <c r="J1061" s="20">
        <f>Operations!J1060-Operations!J1058-Operations!J1059</f>
        <v/>
      </c>
      <c r="K1061" s="20">
        <f>Operations!K1060-Operations!K1058-Operations!K1059</f>
        <v/>
      </c>
      <c r="L1061" s="20">
        <f>Operations!L1060-Operations!L1058-Operations!L1059</f>
        <v/>
      </c>
      <c r="M1061" s="20">
        <f>Operations!M1060-Operations!M1058-Operations!M1059</f>
        <v/>
      </c>
      <c r="N1061" s="20">
        <f>Operations!N1060-Operations!N1058-Operations!N1059</f>
        <v/>
      </c>
      <c r="O1061" s="20">
        <f>Operations!O1060-Operations!O1058-Operations!O1059</f>
        <v/>
      </c>
      <c r="P1061" s="20">
        <f>Operations!P1060-Operations!P1058-Operations!P1059</f>
        <v/>
      </c>
      <c r="Q1061" s="20">
        <f>Operations!Q1060-Operations!Q1058-Operations!Q1059</f>
        <v/>
      </c>
      <c r="R1061" s="20">
        <f>Operations!R1060-Operations!R1058-Operations!R1059</f>
        <v/>
      </c>
      <c r="S1061" s="20">
        <f>Operations!S1060-Operations!S1058-Operations!S1059</f>
        <v/>
      </c>
      <c r="T1061" s="20">
        <f>Operations!T1060-Operations!T1058-Operations!T1059</f>
        <v/>
      </c>
      <c r="U1061" s="20">
        <f>Operations!U1060-Operations!U1058-Operations!U1059</f>
        <v/>
      </c>
      <c r="V1061" s="20">
        <f>Operations!V1060-Operations!V1058-Operations!V1059</f>
        <v/>
      </c>
      <c r="W1061" s="20">
        <f>Operations!W1060-Operations!W1058-Operations!W1059</f>
        <v/>
      </c>
      <c r="X1061" s="20">
        <f>Operations!X1060-Operations!X1058-Operations!X1059</f>
        <v/>
      </c>
      <c r="Y1061" s="20">
        <f>Operations!Y1060-Operations!Y1058-Operations!Y1059</f>
        <v/>
      </c>
      <c r="Z1061" s="20">
        <f>Operations!Z1060-Operations!Z1058-Operations!Z1059</f>
        <v/>
      </c>
      <c r="AA1061" s="20">
        <f>Operations!AA1060-Operations!AA1058-Operations!AA1059</f>
        <v/>
      </c>
      <c r="AB1061" s="20">
        <f>Operations!AB1060-Operations!AB1058-Operations!AB1059</f>
        <v/>
      </c>
      <c r="AC1061" s="20">
        <f>Operations!AC1060-Operations!AC1058-Operations!AC1059</f>
        <v/>
      </c>
      <c r="AD1061" s="20">
        <f>Operations!AD1060-Operations!AD1058-Operations!AD1059</f>
        <v/>
      </c>
      <c r="AE1061" s="20">
        <f>Operations!AE1060-Operations!AE1058-Operations!AE1059</f>
        <v/>
      </c>
      <c r="AF1061" s="20">
        <f>Operations!AF1060-Operations!AF1058-Operations!AF1059</f>
        <v/>
      </c>
      <c r="AG1061" s="20">
        <f>Operations!AG1060-Operations!AG1058-Operations!AG1059</f>
        <v/>
      </c>
      <c r="AH1061" s="20">
        <f>Operations!AH1060-Operations!AH1058-Operations!AH1059</f>
        <v/>
      </c>
      <c r="AI1061" s="20">
        <f>Operations!AI1060-Operations!AI1058-Operations!AI1059</f>
        <v/>
      </c>
      <c r="AJ1061" s="20">
        <f>Operations!AJ1060-Operations!AJ1058-Operations!AJ1059</f>
        <v/>
      </c>
      <c r="AK1061" s="20">
        <f>Operations!AK1060-Operations!AK1058-Operations!AK1059</f>
        <v/>
      </c>
      <c r="AL1061" s="20">
        <f>Operations!AL1060-Operations!AL1058-Operations!AL1059</f>
        <v/>
      </c>
      <c r="AM1061" s="20">
        <f>Operations!AM1060-Operations!AM1058-Operations!AM1059</f>
        <v/>
      </c>
      <c r="AN1061" s="20">
        <f>Operations!AN1060-Operations!AN1058-Operations!AN1059</f>
        <v/>
      </c>
      <c r="AO1061" s="20">
        <f>Operations!AO1060-Operations!AO1058-Operations!AO1059</f>
        <v/>
      </c>
      <c r="AP1061" s="20">
        <f>Operations!AP1060-Operations!AP1058-Operations!AP1059</f>
        <v/>
      </c>
      <c r="AQ1061" s="20">
        <f>Operations!AQ1060-Operations!AQ1058-Operations!AQ1059</f>
        <v/>
      </c>
      <c r="AR1061" s="20">
        <f>Operations!AR1060-Operations!AR1058-Operations!AR1059</f>
        <v/>
      </c>
      <c r="AS1061" s="20">
        <f>Operations!AS1060-Operations!AS1058-Operations!AS1059</f>
        <v/>
      </c>
      <c r="AT1061" s="20">
        <f>Operations!AT1060-Operations!AT1058-Operations!AT1059</f>
        <v/>
      </c>
      <c r="AU1061" s="20">
        <f>Operations!AU1060-Operations!AU1058-Operations!AU1059</f>
        <v/>
      </c>
    </row>
    <row r="1062">
      <c r="D1062" t="inlineStr">
        <is>
          <t>R7 opex (O&amp;M, land, insurance, property tax, site)</t>
        </is>
      </c>
      <c r="E1062" t="inlineStr">
        <is>
          <t>USD m</t>
        </is>
      </c>
      <c r="J1062" s="20">
        <f>Inputs!$F$159*Inputs!$F$155/1000*Time!J$9*Time!J$10*Operations!J1050*Operations!$F$792</f>
        <v/>
      </c>
      <c r="K1062" s="20">
        <f>Inputs!$F$159*Inputs!$F$155/1000*Time!K$9*Time!K$10*Operations!K1050*Operations!$F$792</f>
        <v/>
      </c>
      <c r="L1062" s="20">
        <f>Inputs!$F$159*Inputs!$F$155/1000*Time!L$9*Time!L$10*Operations!L1050*Operations!$F$792</f>
        <v/>
      </c>
      <c r="M1062" s="20">
        <f>Inputs!$F$159*Inputs!$F$155/1000*Time!M$9*Time!M$10*Operations!M1050*Operations!$F$792</f>
        <v/>
      </c>
      <c r="N1062" s="20">
        <f>Inputs!$F$159*Inputs!$F$155/1000*Time!N$9*Time!N$10*Operations!N1050*Operations!$F$792</f>
        <v/>
      </c>
      <c r="O1062" s="20">
        <f>Inputs!$F$159*Inputs!$F$155/1000*Time!O$9*Time!O$10*Operations!O1050*Operations!$F$792</f>
        <v/>
      </c>
      <c r="P1062" s="20">
        <f>Inputs!$F$159*Inputs!$F$155/1000*Time!P$9*Time!P$10*Operations!P1050*Operations!$F$792</f>
        <v/>
      </c>
      <c r="Q1062" s="20">
        <f>Inputs!$F$159*Inputs!$F$155/1000*Time!Q$9*Time!Q$10*Operations!Q1050*Operations!$F$792</f>
        <v/>
      </c>
      <c r="R1062" s="20">
        <f>Inputs!$F$159*Inputs!$F$155/1000*Time!R$9*Time!R$10*Operations!R1050*Operations!$F$792</f>
        <v/>
      </c>
      <c r="S1062" s="20">
        <f>Inputs!$F$159*Inputs!$F$155/1000*Time!S$9*Time!S$10*Operations!S1050*Operations!$F$792</f>
        <v/>
      </c>
      <c r="T1062" s="20">
        <f>Inputs!$F$159*Inputs!$F$155/1000*Time!T$9*Time!T$10*Operations!T1050*Operations!$F$792</f>
        <v/>
      </c>
      <c r="U1062" s="20">
        <f>Inputs!$F$159*Inputs!$F$155/1000*Time!U$9*Time!U$10*Operations!U1050*Operations!$F$792</f>
        <v/>
      </c>
      <c r="V1062" s="20">
        <f>Inputs!$F$159*Inputs!$F$155/1000*Time!V$9*Time!V$10*Operations!V1050*Operations!$F$792</f>
        <v/>
      </c>
      <c r="W1062" s="20">
        <f>Inputs!$F$159*Inputs!$F$155/1000*Time!W$9*Time!W$10*Operations!W1050*Operations!$F$792</f>
        <v/>
      </c>
      <c r="X1062" s="20">
        <f>Inputs!$F$159*Inputs!$F$155/1000*Time!X$9*Time!X$10*Operations!X1050*Operations!$F$792</f>
        <v/>
      </c>
      <c r="Y1062" s="20">
        <f>Inputs!$F$159*Inputs!$F$155/1000*Time!Y$9*Time!Y$10*Operations!Y1050*Operations!$F$792</f>
        <v/>
      </c>
      <c r="Z1062" s="20">
        <f>Inputs!$F$159*Inputs!$F$155/1000*Time!Z$9*Time!Z$10*Operations!Z1050*Operations!$F$792</f>
        <v/>
      </c>
      <c r="AA1062" s="20">
        <f>Inputs!$F$159*Inputs!$F$155/1000*Time!AA$9*Time!AA$10*Operations!AA1050*Operations!$F$792</f>
        <v/>
      </c>
      <c r="AB1062" s="20">
        <f>Inputs!$F$159*Inputs!$F$155/1000*Time!AB$9*Time!AB$10*Operations!AB1050*Operations!$F$792</f>
        <v/>
      </c>
      <c r="AC1062" s="20">
        <f>Inputs!$F$159*Inputs!$F$155/1000*Time!AC$9*Time!AC$10*Operations!AC1050*Operations!$F$792</f>
        <v/>
      </c>
      <c r="AD1062" s="20">
        <f>Inputs!$F$159*Inputs!$F$155/1000*Time!AD$9*Time!AD$10*Operations!AD1050*Operations!$F$792</f>
        <v/>
      </c>
      <c r="AE1062" s="20">
        <f>Inputs!$F$159*Inputs!$F$155/1000*Time!AE$9*Time!AE$10*Operations!AE1050*Operations!$F$792</f>
        <v/>
      </c>
      <c r="AF1062" s="20">
        <f>Inputs!$F$159*Inputs!$F$155/1000*Time!AF$9*Time!AF$10*Operations!AF1050*Operations!$F$792</f>
        <v/>
      </c>
      <c r="AG1062" s="20">
        <f>Inputs!$F$159*Inputs!$F$155/1000*Time!AG$9*Time!AG$10*Operations!AG1050*Operations!$F$792</f>
        <v/>
      </c>
      <c r="AH1062" s="20">
        <f>Inputs!$F$159*Inputs!$F$155/1000*Time!AH$9*Time!AH$10*Operations!AH1050*Operations!$F$792</f>
        <v/>
      </c>
      <c r="AI1062" s="20">
        <f>Inputs!$F$159*Inputs!$F$155/1000*Time!AI$9*Time!AI$10*Operations!AI1050*Operations!$F$792</f>
        <v/>
      </c>
      <c r="AJ1062" s="20">
        <f>Inputs!$F$159*Inputs!$F$155/1000*Time!AJ$9*Time!AJ$10*Operations!AJ1050*Operations!$F$792</f>
        <v/>
      </c>
      <c r="AK1062" s="20">
        <f>Inputs!$F$159*Inputs!$F$155/1000*Time!AK$9*Time!AK$10*Operations!AK1050*Operations!$F$792</f>
        <v/>
      </c>
      <c r="AL1062" s="20">
        <f>Inputs!$F$159*Inputs!$F$155/1000*Time!AL$9*Time!AL$10*Operations!AL1050*Operations!$F$792</f>
        <v/>
      </c>
      <c r="AM1062" s="20">
        <f>Inputs!$F$159*Inputs!$F$155/1000*Time!AM$9*Time!AM$10*Operations!AM1050*Operations!$F$792</f>
        <v/>
      </c>
      <c r="AN1062" s="20">
        <f>Inputs!$F$159*Inputs!$F$155/1000*Time!AN$9*Time!AN$10*Operations!AN1050*Operations!$F$792</f>
        <v/>
      </c>
      <c r="AO1062" s="20">
        <f>Inputs!$F$159*Inputs!$F$155/1000*Time!AO$9*Time!AO$10*Operations!AO1050*Operations!$F$792</f>
        <v/>
      </c>
      <c r="AP1062" s="20">
        <f>Inputs!$F$159*Inputs!$F$155/1000*Time!AP$9*Time!AP$10*Operations!AP1050*Operations!$F$792</f>
        <v/>
      </c>
      <c r="AQ1062" s="20">
        <f>Inputs!$F$159*Inputs!$F$155/1000*Time!AQ$9*Time!AQ$10*Operations!AQ1050*Operations!$F$792</f>
        <v/>
      </c>
      <c r="AR1062" s="20">
        <f>Inputs!$F$159*Inputs!$F$155/1000*Time!AR$9*Time!AR$10*Operations!AR1050*Operations!$F$792</f>
        <v/>
      </c>
      <c r="AS1062" s="20">
        <f>Inputs!$F$159*Inputs!$F$155/1000*Time!AS$9*Time!AS$10*Operations!AS1050*Operations!$F$792</f>
        <v/>
      </c>
      <c r="AT1062" s="20">
        <f>Inputs!$F$159*Inputs!$F$155/1000*Time!AT$9*Time!AT$10*Operations!AT1050*Operations!$F$792</f>
        <v/>
      </c>
      <c r="AU1062" s="20">
        <f>Inputs!$F$159*Inputs!$F$155/1000*Time!AU$9*Time!AU$10*Operations!AU1050*Operations!$F$792</f>
        <v/>
      </c>
    </row>
    <row r="1063">
      <c r="D1063" t="inlineStr">
        <is>
          <t>R7 land lease (in opex)</t>
        </is>
      </c>
      <c r="E1063" t="inlineStr">
        <is>
          <t>USD m</t>
        </is>
      </c>
      <c r="J1063" s="20">
        <f>0</f>
        <v/>
      </c>
      <c r="K1063" s="20">
        <f>0</f>
        <v/>
      </c>
      <c r="L1063" s="20">
        <f>0</f>
        <v/>
      </c>
      <c r="M1063" s="20">
        <f>0</f>
        <v/>
      </c>
      <c r="N1063" s="20">
        <f>0</f>
        <v/>
      </c>
      <c r="O1063" s="20">
        <f>0</f>
        <v/>
      </c>
      <c r="P1063" s="20">
        <f>0</f>
        <v/>
      </c>
      <c r="Q1063" s="20">
        <f>0</f>
        <v/>
      </c>
      <c r="R1063" s="20">
        <f>0</f>
        <v/>
      </c>
      <c r="S1063" s="20">
        <f>0</f>
        <v/>
      </c>
      <c r="T1063" s="20">
        <f>0</f>
        <v/>
      </c>
      <c r="U1063" s="20">
        <f>0</f>
        <v/>
      </c>
      <c r="V1063" s="20">
        <f>0</f>
        <v/>
      </c>
      <c r="W1063" s="20">
        <f>0</f>
        <v/>
      </c>
      <c r="X1063" s="20">
        <f>0</f>
        <v/>
      </c>
      <c r="Y1063" s="20">
        <f>0</f>
        <v/>
      </c>
      <c r="Z1063" s="20">
        <f>0</f>
        <v/>
      </c>
      <c r="AA1063" s="20">
        <f>0</f>
        <v/>
      </c>
      <c r="AB1063" s="20">
        <f>0</f>
        <v/>
      </c>
      <c r="AC1063" s="20">
        <f>0</f>
        <v/>
      </c>
      <c r="AD1063" s="20">
        <f>0</f>
        <v/>
      </c>
      <c r="AE1063" s="20">
        <f>0</f>
        <v/>
      </c>
      <c r="AF1063" s="20">
        <f>0</f>
        <v/>
      </c>
      <c r="AG1063" s="20">
        <f>0</f>
        <v/>
      </c>
      <c r="AH1063" s="20">
        <f>0</f>
        <v/>
      </c>
      <c r="AI1063" s="20">
        <f>0</f>
        <v/>
      </c>
      <c r="AJ1063" s="20">
        <f>0</f>
        <v/>
      </c>
      <c r="AK1063" s="20">
        <f>0</f>
        <v/>
      </c>
      <c r="AL1063" s="20">
        <f>0</f>
        <v/>
      </c>
      <c r="AM1063" s="20">
        <f>0</f>
        <v/>
      </c>
      <c r="AN1063" s="20">
        <f>0</f>
        <v/>
      </c>
      <c r="AO1063" s="20">
        <f>0</f>
        <v/>
      </c>
      <c r="AP1063" s="20">
        <f>0</f>
        <v/>
      </c>
      <c r="AQ1063" s="20">
        <f>0</f>
        <v/>
      </c>
      <c r="AR1063" s="20">
        <f>0</f>
        <v/>
      </c>
      <c r="AS1063" s="20">
        <f>0</f>
        <v/>
      </c>
      <c r="AT1063" s="20">
        <f>0</f>
        <v/>
      </c>
      <c r="AU1063" s="20">
        <f>0</f>
        <v/>
      </c>
    </row>
    <row r="1064">
      <c r="D1064" t="inlineStr">
        <is>
          <t>R7 decommissioning surety cost</t>
        </is>
      </c>
      <c r="E1064" t="inlineStr">
        <is>
          <t>USD m</t>
        </is>
      </c>
      <c r="J1064" s="20">
        <f>Inputs!$F$236/100*Inputs!$F$160*Inputs!$F$155/1000*Time!J$9*Operations!J1050</f>
        <v/>
      </c>
      <c r="K1064" s="20">
        <f>Inputs!$F$236/100*Inputs!$F$160*Inputs!$F$155/1000*Time!K$9*Operations!K1050</f>
        <v/>
      </c>
      <c r="L1064" s="20">
        <f>Inputs!$F$236/100*Inputs!$F$160*Inputs!$F$155/1000*Time!L$9*Operations!L1050</f>
        <v/>
      </c>
      <c r="M1064" s="20">
        <f>Inputs!$F$236/100*Inputs!$F$160*Inputs!$F$155/1000*Time!M$9*Operations!M1050</f>
        <v/>
      </c>
      <c r="N1064" s="20">
        <f>Inputs!$F$236/100*Inputs!$F$160*Inputs!$F$155/1000*Time!N$9*Operations!N1050</f>
        <v/>
      </c>
      <c r="O1064" s="20">
        <f>Inputs!$F$236/100*Inputs!$F$160*Inputs!$F$155/1000*Time!O$9*Operations!O1050</f>
        <v/>
      </c>
      <c r="P1064" s="20">
        <f>Inputs!$F$236/100*Inputs!$F$160*Inputs!$F$155/1000*Time!P$9*Operations!P1050</f>
        <v/>
      </c>
      <c r="Q1064" s="20">
        <f>Inputs!$F$236/100*Inputs!$F$160*Inputs!$F$155/1000*Time!Q$9*Operations!Q1050</f>
        <v/>
      </c>
      <c r="R1064" s="20">
        <f>Inputs!$F$236/100*Inputs!$F$160*Inputs!$F$155/1000*Time!R$9*Operations!R1050</f>
        <v/>
      </c>
      <c r="S1064" s="20">
        <f>Inputs!$F$236/100*Inputs!$F$160*Inputs!$F$155/1000*Time!S$9*Operations!S1050</f>
        <v/>
      </c>
      <c r="T1064" s="20">
        <f>Inputs!$F$236/100*Inputs!$F$160*Inputs!$F$155/1000*Time!T$9*Operations!T1050</f>
        <v/>
      </c>
      <c r="U1064" s="20">
        <f>Inputs!$F$236/100*Inputs!$F$160*Inputs!$F$155/1000*Time!U$9*Operations!U1050</f>
        <v/>
      </c>
      <c r="V1064" s="20">
        <f>Inputs!$F$236/100*Inputs!$F$160*Inputs!$F$155/1000*Time!V$9*Operations!V1050</f>
        <v/>
      </c>
      <c r="W1064" s="20">
        <f>Inputs!$F$236/100*Inputs!$F$160*Inputs!$F$155/1000*Time!W$9*Operations!W1050</f>
        <v/>
      </c>
      <c r="X1064" s="20">
        <f>Inputs!$F$236/100*Inputs!$F$160*Inputs!$F$155/1000*Time!X$9*Operations!X1050</f>
        <v/>
      </c>
      <c r="Y1064" s="20">
        <f>Inputs!$F$236/100*Inputs!$F$160*Inputs!$F$155/1000*Time!Y$9*Operations!Y1050</f>
        <v/>
      </c>
      <c r="Z1064" s="20">
        <f>Inputs!$F$236/100*Inputs!$F$160*Inputs!$F$155/1000*Time!Z$9*Operations!Z1050</f>
        <v/>
      </c>
      <c r="AA1064" s="20">
        <f>Inputs!$F$236/100*Inputs!$F$160*Inputs!$F$155/1000*Time!AA$9*Operations!AA1050</f>
        <v/>
      </c>
      <c r="AB1064" s="20">
        <f>Inputs!$F$236/100*Inputs!$F$160*Inputs!$F$155/1000*Time!AB$9*Operations!AB1050</f>
        <v/>
      </c>
      <c r="AC1064" s="20">
        <f>Inputs!$F$236/100*Inputs!$F$160*Inputs!$F$155/1000*Time!AC$9*Operations!AC1050</f>
        <v/>
      </c>
      <c r="AD1064" s="20">
        <f>Inputs!$F$236/100*Inputs!$F$160*Inputs!$F$155/1000*Time!AD$9*Operations!AD1050</f>
        <v/>
      </c>
      <c r="AE1064" s="20">
        <f>Inputs!$F$236/100*Inputs!$F$160*Inputs!$F$155/1000*Time!AE$9*Operations!AE1050</f>
        <v/>
      </c>
      <c r="AF1064" s="20">
        <f>Inputs!$F$236/100*Inputs!$F$160*Inputs!$F$155/1000*Time!AF$9*Operations!AF1050</f>
        <v/>
      </c>
      <c r="AG1064" s="20">
        <f>Inputs!$F$236/100*Inputs!$F$160*Inputs!$F$155/1000*Time!AG$9*Operations!AG1050</f>
        <v/>
      </c>
      <c r="AH1064" s="20">
        <f>Inputs!$F$236/100*Inputs!$F$160*Inputs!$F$155/1000*Time!AH$9*Operations!AH1050</f>
        <v/>
      </c>
      <c r="AI1064" s="20">
        <f>Inputs!$F$236/100*Inputs!$F$160*Inputs!$F$155/1000*Time!AI$9*Operations!AI1050</f>
        <v/>
      </c>
      <c r="AJ1064" s="20">
        <f>Inputs!$F$236/100*Inputs!$F$160*Inputs!$F$155/1000*Time!AJ$9*Operations!AJ1050</f>
        <v/>
      </c>
      <c r="AK1064" s="20">
        <f>Inputs!$F$236/100*Inputs!$F$160*Inputs!$F$155/1000*Time!AK$9*Operations!AK1050</f>
        <v/>
      </c>
      <c r="AL1064" s="20">
        <f>Inputs!$F$236/100*Inputs!$F$160*Inputs!$F$155/1000*Time!AL$9*Operations!AL1050</f>
        <v/>
      </c>
      <c r="AM1064" s="20">
        <f>Inputs!$F$236/100*Inputs!$F$160*Inputs!$F$155/1000*Time!AM$9*Operations!AM1050</f>
        <v/>
      </c>
      <c r="AN1064" s="20">
        <f>Inputs!$F$236/100*Inputs!$F$160*Inputs!$F$155/1000*Time!AN$9*Operations!AN1050</f>
        <v/>
      </c>
      <c r="AO1064" s="20">
        <f>Inputs!$F$236/100*Inputs!$F$160*Inputs!$F$155/1000*Time!AO$9*Operations!AO1050</f>
        <v/>
      </c>
      <c r="AP1064" s="20">
        <f>Inputs!$F$236/100*Inputs!$F$160*Inputs!$F$155/1000*Time!AP$9*Operations!AP1050</f>
        <v/>
      </c>
      <c r="AQ1064" s="20">
        <f>Inputs!$F$236/100*Inputs!$F$160*Inputs!$F$155/1000*Time!AQ$9*Operations!AQ1050</f>
        <v/>
      </c>
      <c r="AR1064" s="20">
        <f>Inputs!$F$236/100*Inputs!$F$160*Inputs!$F$155/1000*Time!AR$9*Operations!AR1050</f>
        <v/>
      </c>
      <c r="AS1064" s="20">
        <f>Inputs!$F$236/100*Inputs!$F$160*Inputs!$F$155/1000*Time!AS$9*Operations!AS1050</f>
        <v/>
      </c>
      <c r="AT1064" s="20">
        <f>Inputs!$F$236/100*Inputs!$F$160*Inputs!$F$155/1000*Time!AT$9*Operations!AT1050</f>
        <v/>
      </c>
      <c r="AU1064" s="20">
        <f>Inputs!$F$236/100*Inputs!$F$160*Inputs!$F$155/1000*Time!AU$9*Operations!AU1050</f>
        <v/>
      </c>
    </row>
    <row r="1065">
      <c r="D1065" t="inlineStr">
        <is>
          <t>R7 Texas margin tax</t>
        </is>
      </c>
      <c r="E1065" t="inlineStr">
        <is>
          <t>USD m</t>
        </is>
      </c>
      <c r="J1065" s="20">
        <f>Inputs!$F$237/100*Inputs!$F$238/100*Operations!J1060</f>
        <v/>
      </c>
      <c r="K1065" s="20">
        <f>Inputs!$F$237/100*Inputs!$F$238/100*Operations!K1060</f>
        <v/>
      </c>
      <c r="L1065" s="20">
        <f>Inputs!$F$237/100*Inputs!$F$238/100*Operations!L1060</f>
        <v/>
      </c>
      <c r="M1065" s="20">
        <f>Inputs!$F$237/100*Inputs!$F$238/100*Operations!M1060</f>
        <v/>
      </c>
      <c r="N1065" s="20">
        <f>Inputs!$F$237/100*Inputs!$F$238/100*Operations!N1060</f>
        <v/>
      </c>
      <c r="O1065" s="20">
        <f>Inputs!$F$237/100*Inputs!$F$238/100*Operations!O1060</f>
        <v/>
      </c>
      <c r="P1065" s="20">
        <f>Inputs!$F$237/100*Inputs!$F$238/100*Operations!P1060</f>
        <v/>
      </c>
      <c r="Q1065" s="20">
        <f>Inputs!$F$237/100*Inputs!$F$238/100*Operations!Q1060</f>
        <v/>
      </c>
      <c r="R1065" s="20">
        <f>Inputs!$F$237/100*Inputs!$F$238/100*Operations!R1060</f>
        <v/>
      </c>
      <c r="S1065" s="20">
        <f>Inputs!$F$237/100*Inputs!$F$238/100*Operations!S1060</f>
        <v/>
      </c>
      <c r="T1065" s="20">
        <f>Inputs!$F$237/100*Inputs!$F$238/100*Operations!T1060</f>
        <v/>
      </c>
      <c r="U1065" s="20">
        <f>Inputs!$F$237/100*Inputs!$F$238/100*Operations!U1060</f>
        <v/>
      </c>
      <c r="V1065" s="20">
        <f>Inputs!$F$237/100*Inputs!$F$238/100*Operations!V1060</f>
        <v/>
      </c>
      <c r="W1065" s="20">
        <f>Inputs!$F$237/100*Inputs!$F$238/100*Operations!W1060</f>
        <v/>
      </c>
      <c r="X1065" s="20">
        <f>Inputs!$F$237/100*Inputs!$F$238/100*Operations!X1060</f>
        <v/>
      </c>
      <c r="Y1065" s="20">
        <f>Inputs!$F$237/100*Inputs!$F$238/100*Operations!Y1060</f>
        <v/>
      </c>
      <c r="Z1065" s="20">
        <f>Inputs!$F$237/100*Inputs!$F$238/100*Operations!Z1060</f>
        <v/>
      </c>
      <c r="AA1065" s="20">
        <f>Inputs!$F$237/100*Inputs!$F$238/100*Operations!AA1060</f>
        <v/>
      </c>
      <c r="AB1065" s="20">
        <f>Inputs!$F$237/100*Inputs!$F$238/100*Operations!AB1060</f>
        <v/>
      </c>
      <c r="AC1065" s="20">
        <f>Inputs!$F$237/100*Inputs!$F$238/100*Operations!AC1060</f>
        <v/>
      </c>
      <c r="AD1065" s="20">
        <f>Inputs!$F$237/100*Inputs!$F$238/100*Operations!AD1060</f>
        <v/>
      </c>
      <c r="AE1065" s="20">
        <f>Inputs!$F$237/100*Inputs!$F$238/100*Operations!AE1060</f>
        <v/>
      </c>
      <c r="AF1065" s="20">
        <f>Inputs!$F$237/100*Inputs!$F$238/100*Operations!AF1060</f>
        <v/>
      </c>
      <c r="AG1065" s="20">
        <f>Inputs!$F$237/100*Inputs!$F$238/100*Operations!AG1060</f>
        <v/>
      </c>
      <c r="AH1065" s="20">
        <f>Inputs!$F$237/100*Inputs!$F$238/100*Operations!AH1060</f>
        <v/>
      </c>
      <c r="AI1065" s="20">
        <f>Inputs!$F$237/100*Inputs!$F$238/100*Operations!AI1060</f>
        <v/>
      </c>
      <c r="AJ1065" s="20">
        <f>Inputs!$F$237/100*Inputs!$F$238/100*Operations!AJ1060</f>
        <v/>
      </c>
      <c r="AK1065" s="20">
        <f>Inputs!$F$237/100*Inputs!$F$238/100*Operations!AK1060</f>
        <v/>
      </c>
      <c r="AL1065" s="20">
        <f>Inputs!$F$237/100*Inputs!$F$238/100*Operations!AL1060</f>
        <v/>
      </c>
      <c r="AM1065" s="20">
        <f>Inputs!$F$237/100*Inputs!$F$238/100*Operations!AM1060</f>
        <v/>
      </c>
      <c r="AN1065" s="20">
        <f>Inputs!$F$237/100*Inputs!$F$238/100*Operations!AN1060</f>
        <v/>
      </c>
      <c r="AO1065" s="20">
        <f>Inputs!$F$237/100*Inputs!$F$238/100*Operations!AO1060</f>
        <v/>
      </c>
      <c r="AP1065" s="20">
        <f>Inputs!$F$237/100*Inputs!$F$238/100*Operations!AP1060</f>
        <v/>
      </c>
      <c r="AQ1065" s="20">
        <f>Inputs!$F$237/100*Inputs!$F$238/100*Operations!AQ1060</f>
        <v/>
      </c>
      <c r="AR1065" s="20">
        <f>Inputs!$F$237/100*Inputs!$F$238/100*Operations!AR1060</f>
        <v/>
      </c>
      <c r="AS1065" s="20">
        <f>Inputs!$F$237/100*Inputs!$F$238/100*Operations!AS1060</f>
        <v/>
      </c>
      <c r="AT1065" s="20">
        <f>Inputs!$F$237/100*Inputs!$F$238/100*Operations!AT1060</f>
        <v/>
      </c>
      <c r="AU1065" s="20">
        <f>Inputs!$F$237/100*Inputs!$F$238/100*Operations!AU1060</f>
        <v/>
      </c>
    </row>
    <row r="1066">
      <c r="D1066" t="inlineStr">
        <is>
          <t>R7 EBITDA</t>
        </is>
      </c>
      <c r="E1066" t="inlineStr">
        <is>
          <t>USD m</t>
        </is>
      </c>
      <c r="G1066" s="20">
        <f>SUM(J1066:AU1066)</f>
        <v/>
      </c>
      <c r="J1066" s="20">
        <f>Operations!J1060-Operations!J1062-Operations!J1063-Operations!J1064-Operations!J1065</f>
        <v/>
      </c>
      <c r="K1066" s="20">
        <f>Operations!K1060-Operations!K1062-Operations!K1063-Operations!K1064-Operations!K1065</f>
        <v/>
      </c>
      <c r="L1066" s="20">
        <f>Operations!L1060-Operations!L1062-Operations!L1063-Operations!L1064-Operations!L1065</f>
        <v/>
      </c>
      <c r="M1066" s="20">
        <f>Operations!M1060-Operations!M1062-Operations!M1063-Operations!M1064-Operations!M1065</f>
        <v/>
      </c>
      <c r="N1066" s="20">
        <f>Operations!N1060-Operations!N1062-Operations!N1063-Operations!N1064-Operations!N1065</f>
        <v/>
      </c>
      <c r="O1066" s="20">
        <f>Operations!O1060-Operations!O1062-Operations!O1063-Operations!O1064-Operations!O1065</f>
        <v/>
      </c>
      <c r="P1066" s="20">
        <f>Operations!P1060-Operations!P1062-Operations!P1063-Operations!P1064-Operations!P1065</f>
        <v/>
      </c>
      <c r="Q1066" s="20">
        <f>Operations!Q1060-Operations!Q1062-Operations!Q1063-Operations!Q1064-Operations!Q1065</f>
        <v/>
      </c>
      <c r="R1066" s="20">
        <f>Operations!R1060-Operations!R1062-Operations!R1063-Operations!R1064-Operations!R1065</f>
        <v/>
      </c>
      <c r="S1066" s="20">
        <f>Operations!S1060-Operations!S1062-Operations!S1063-Operations!S1064-Operations!S1065</f>
        <v/>
      </c>
      <c r="T1066" s="20">
        <f>Operations!T1060-Operations!T1062-Operations!T1063-Operations!T1064-Operations!T1065</f>
        <v/>
      </c>
      <c r="U1066" s="20">
        <f>Operations!U1060-Operations!U1062-Operations!U1063-Operations!U1064-Operations!U1065</f>
        <v/>
      </c>
      <c r="V1066" s="20">
        <f>Operations!V1060-Operations!V1062-Operations!V1063-Operations!V1064-Operations!V1065</f>
        <v/>
      </c>
      <c r="W1066" s="20">
        <f>Operations!W1060-Operations!W1062-Operations!W1063-Operations!W1064-Operations!W1065</f>
        <v/>
      </c>
      <c r="X1066" s="20">
        <f>Operations!X1060-Operations!X1062-Operations!X1063-Operations!X1064-Operations!X1065</f>
        <v/>
      </c>
      <c r="Y1066" s="20">
        <f>Operations!Y1060-Operations!Y1062-Operations!Y1063-Operations!Y1064-Operations!Y1065</f>
        <v/>
      </c>
      <c r="Z1066" s="20">
        <f>Operations!Z1060-Operations!Z1062-Operations!Z1063-Operations!Z1064-Operations!Z1065</f>
        <v/>
      </c>
      <c r="AA1066" s="20">
        <f>Operations!AA1060-Operations!AA1062-Operations!AA1063-Operations!AA1064-Operations!AA1065</f>
        <v/>
      </c>
      <c r="AB1066" s="20">
        <f>Operations!AB1060-Operations!AB1062-Operations!AB1063-Operations!AB1064-Operations!AB1065</f>
        <v/>
      </c>
      <c r="AC1066" s="20">
        <f>Operations!AC1060-Operations!AC1062-Operations!AC1063-Operations!AC1064-Operations!AC1065</f>
        <v/>
      </c>
      <c r="AD1066" s="20">
        <f>Operations!AD1060-Operations!AD1062-Operations!AD1063-Operations!AD1064-Operations!AD1065</f>
        <v/>
      </c>
      <c r="AE1066" s="20">
        <f>Operations!AE1060-Operations!AE1062-Operations!AE1063-Operations!AE1064-Operations!AE1065</f>
        <v/>
      </c>
      <c r="AF1066" s="20">
        <f>Operations!AF1060-Operations!AF1062-Operations!AF1063-Operations!AF1064-Operations!AF1065</f>
        <v/>
      </c>
      <c r="AG1066" s="20">
        <f>Operations!AG1060-Operations!AG1062-Operations!AG1063-Operations!AG1064-Operations!AG1065</f>
        <v/>
      </c>
      <c r="AH1066" s="20">
        <f>Operations!AH1060-Operations!AH1062-Operations!AH1063-Operations!AH1064-Operations!AH1065</f>
        <v/>
      </c>
      <c r="AI1066" s="20">
        <f>Operations!AI1060-Operations!AI1062-Operations!AI1063-Operations!AI1064-Operations!AI1065</f>
        <v/>
      </c>
      <c r="AJ1066" s="20">
        <f>Operations!AJ1060-Operations!AJ1062-Operations!AJ1063-Operations!AJ1064-Operations!AJ1065</f>
        <v/>
      </c>
      <c r="AK1066" s="20">
        <f>Operations!AK1060-Operations!AK1062-Operations!AK1063-Operations!AK1064-Operations!AK1065</f>
        <v/>
      </c>
      <c r="AL1066" s="20">
        <f>Operations!AL1060-Operations!AL1062-Operations!AL1063-Operations!AL1064-Operations!AL1065</f>
        <v/>
      </c>
      <c r="AM1066" s="20">
        <f>Operations!AM1060-Operations!AM1062-Operations!AM1063-Operations!AM1064-Operations!AM1065</f>
        <v/>
      </c>
      <c r="AN1066" s="20">
        <f>Operations!AN1060-Operations!AN1062-Operations!AN1063-Operations!AN1064-Operations!AN1065</f>
        <v/>
      </c>
      <c r="AO1066" s="20">
        <f>Operations!AO1060-Operations!AO1062-Operations!AO1063-Operations!AO1064-Operations!AO1065</f>
        <v/>
      </c>
      <c r="AP1066" s="20">
        <f>Operations!AP1060-Operations!AP1062-Operations!AP1063-Operations!AP1064-Operations!AP1065</f>
        <v/>
      </c>
      <c r="AQ1066" s="20">
        <f>Operations!AQ1060-Operations!AQ1062-Operations!AQ1063-Operations!AQ1064-Operations!AQ1065</f>
        <v/>
      </c>
      <c r="AR1066" s="20">
        <f>Operations!AR1060-Operations!AR1062-Operations!AR1063-Operations!AR1064-Operations!AR1065</f>
        <v/>
      </c>
      <c r="AS1066" s="20">
        <f>Operations!AS1060-Operations!AS1062-Operations!AS1063-Operations!AS1064-Operations!AS1065</f>
        <v/>
      </c>
      <c r="AT1066" s="20">
        <f>Operations!AT1060-Operations!AT1062-Operations!AT1063-Operations!AT1064-Operations!AT1065</f>
        <v/>
      </c>
      <c r="AU1066" s="20">
        <f>Operations!AU1060-Operations!AU1062-Operations!AU1063-Operations!AU1064-Operations!AU1065</f>
        <v/>
      </c>
    </row>
    <row r="1067">
      <c r="D1067" t="inlineStr">
        <is>
          <t>R7 augmentation capex</t>
        </is>
      </c>
      <c r="E1067" t="inlineStr">
        <is>
          <t>USD m</t>
        </is>
      </c>
      <c r="J1067" s="20">
        <f>IF(OR(Time!J$4=YEAR(Inputs!$F$156)+Inputs!$F$163,Time!J$4=YEAR(Inputs!$F$156)+Inputs!$F$164),Inputs!$F$165/100*Inputs!$F$161*Inputs!$F$166/1000*(1+Inputs!$F$187/100)^(Time!J$4-Inputs!$F$186),0)</f>
        <v/>
      </c>
      <c r="K1067" s="20">
        <f>IF(OR(Time!K$4=YEAR(Inputs!$F$156)+Inputs!$F$163,Time!K$4=YEAR(Inputs!$F$156)+Inputs!$F$164),Inputs!$F$165/100*Inputs!$F$161*Inputs!$F$166/1000*(1+Inputs!$F$187/100)^(Time!K$4-Inputs!$F$186),0)</f>
        <v/>
      </c>
      <c r="L1067" s="20">
        <f>IF(OR(Time!L$4=YEAR(Inputs!$F$156)+Inputs!$F$163,Time!L$4=YEAR(Inputs!$F$156)+Inputs!$F$164),Inputs!$F$165/100*Inputs!$F$161*Inputs!$F$166/1000*(1+Inputs!$F$187/100)^(Time!L$4-Inputs!$F$186),0)</f>
        <v/>
      </c>
      <c r="M1067" s="20">
        <f>IF(OR(Time!M$4=YEAR(Inputs!$F$156)+Inputs!$F$163,Time!M$4=YEAR(Inputs!$F$156)+Inputs!$F$164),Inputs!$F$165/100*Inputs!$F$161*Inputs!$F$166/1000*(1+Inputs!$F$187/100)^(Time!M$4-Inputs!$F$186),0)</f>
        <v/>
      </c>
      <c r="N1067" s="20">
        <f>IF(OR(Time!N$4=YEAR(Inputs!$F$156)+Inputs!$F$163,Time!N$4=YEAR(Inputs!$F$156)+Inputs!$F$164),Inputs!$F$165/100*Inputs!$F$161*Inputs!$F$166/1000*(1+Inputs!$F$187/100)^(Time!N$4-Inputs!$F$186),0)</f>
        <v/>
      </c>
      <c r="O1067" s="20">
        <f>IF(OR(Time!O$4=YEAR(Inputs!$F$156)+Inputs!$F$163,Time!O$4=YEAR(Inputs!$F$156)+Inputs!$F$164),Inputs!$F$165/100*Inputs!$F$161*Inputs!$F$166/1000*(1+Inputs!$F$187/100)^(Time!O$4-Inputs!$F$186),0)</f>
        <v/>
      </c>
      <c r="P1067" s="20">
        <f>IF(OR(Time!P$4=YEAR(Inputs!$F$156)+Inputs!$F$163,Time!P$4=YEAR(Inputs!$F$156)+Inputs!$F$164),Inputs!$F$165/100*Inputs!$F$161*Inputs!$F$166/1000*(1+Inputs!$F$187/100)^(Time!P$4-Inputs!$F$186),0)</f>
        <v/>
      </c>
      <c r="Q1067" s="20">
        <f>IF(OR(Time!Q$4=YEAR(Inputs!$F$156)+Inputs!$F$163,Time!Q$4=YEAR(Inputs!$F$156)+Inputs!$F$164),Inputs!$F$165/100*Inputs!$F$161*Inputs!$F$166/1000*(1+Inputs!$F$187/100)^(Time!Q$4-Inputs!$F$186),0)</f>
        <v/>
      </c>
      <c r="R1067" s="20">
        <f>IF(OR(Time!R$4=YEAR(Inputs!$F$156)+Inputs!$F$163,Time!R$4=YEAR(Inputs!$F$156)+Inputs!$F$164),Inputs!$F$165/100*Inputs!$F$161*Inputs!$F$166/1000*(1+Inputs!$F$187/100)^(Time!R$4-Inputs!$F$186),0)</f>
        <v/>
      </c>
      <c r="S1067" s="20">
        <f>IF(OR(Time!S$4=YEAR(Inputs!$F$156)+Inputs!$F$163,Time!S$4=YEAR(Inputs!$F$156)+Inputs!$F$164),Inputs!$F$165/100*Inputs!$F$161*Inputs!$F$166/1000*(1+Inputs!$F$187/100)^(Time!S$4-Inputs!$F$186),0)</f>
        <v/>
      </c>
      <c r="T1067" s="20">
        <f>IF(OR(Time!T$4=YEAR(Inputs!$F$156)+Inputs!$F$163,Time!T$4=YEAR(Inputs!$F$156)+Inputs!$F$164),Inputs!$F$165/100*Inputs!$F$161*Inputs!$F$166/1000*(1+Inputs!$F$187/100)^(Time!T$4-Inputs!$F$186),0)</f>
        <v/>
      </c>
      <c r="U1067" s="20">
        <f>IF(OR(Time!U$4=YEAR(Inputs!$F$156)+Inputs!$F$163,Time!U$4=YEAR(Inputs!$F$156)+Inputs!$F$164),Inputs!$F$165/100*Inputs!$F$161*Inputs!$F$166/1000*(1+Inputs!$F$187/100)^(Time!U$4-Inputs!$F$186),0)</f>
        <v/>
      </c>
      <c r="V1067" s="20">
        <f>IF(OR(Time!V$4=YEAR(Inputs!$F$156)+Inputs!$F$163,Time!V$4=YEAR(Inputs!$F$156)+Inputs!$F$164),Inputs!$F$165/100*Inputs!$F$161*Inputs!$F$166/1000*(1+Inputs!$F$187/100)^(Time!V$4-Inputs!$F$186),0)</f>
        <v/>
      </c>
      <c r="W1067" s="20">
        <f>IF(OR(Time!W$4=YEAR(Inputs!$F$156)+Inputs!$F$163,Time!W$4=YEAR(Inputs!$F$156)+Inputs!$F$164),Inputs!$F$165/100*Inputs!$F$161*Inputs!$F$166/1000*(1+Inputs!$F$187/100)^(Time!W$4-Inputs!$F$186),0)</f>
        <v/>
      </c>
      <c r="X1067" s="20">
        <f>IF(OR(Time!X$4=YEAR(Inputs!$F$156)+Inputs!$F$163,Time!X$4=YEAR(Inputs!$F$156)+Inputs!$F$164),Inputs!$F$165/100*Inputs!$F$161*Inputs!$F$166/1000*(1+Inputs!$F$187/100)^(Time!X$4-Inputs!$F$186),0)</f>
        <v/>
      </c>
      <c r="Y1067" s="20">
        <f>IF(OR(Time!Y$4=YEAR(Inputs!$F$156)+Inputs!$F$163,Time!Y$4=YEAR(Inputs!$F$156)+Inputs!$F$164),Inputs!$F$165/100*Inputs!$F$161*Inputs!$F$166/1000*(1+Inputs!$F$187/100)^(Time!Y$4-Inputs!$F$186),0)</f>
        <v/>
      </c>
      <c r="Z1067" s="20">
        <f>IF(OR(Time!Z$4=YEAR(Inputs!$F$156)+Inputs!$F$163,Time!Z$4=YEAR(Inputs!$F$156)+Inputs!$F$164),Inputs!$F$165/100*Inputs!$F$161*Inputs!$F$166/1000*(1+Inputs!$F$187/100)^(Time!Z$4-Inputs!$F$186),0)</f>
        <v/>
      </c>
      <c r="AA1067" s="20">
        <f>IF(OR(Time!AA$4=YEAR(Inputs!$F$156)+Inputs!$F$163,Time!AA$4=YEAR(Inputs!$F$156)+Inputs!$F$164),Inputs!$F$165/100*Inputs!$F$161*Inputs!$F$166/1000*(1+Inputs!$F$187/100)^(Time!AA$4-Inputs!$F$186),0)</f>
        <v/>
      </c>
      <c r="AB1067" s="20">
        <f>IF(OR(Time!AB$4=YEAR(Inputs!$F$156)+Inputs!$F$163,Time!AB$4=YEAR(Inputs!$F$156)+Inputs!$F$164),Inputs!$F$165/100*Inputs!$F$161*Inputs!$F$166/1000*(1+Inputs!$F$187/100)^(Time!AB$4-Inputs!$F$186),0)</f>
        <v/>
      </c>
      <c r="AC1067" s="20">
        <f>IF(OR(Time!AC$4=YEAR(Inputs!$F$156)+Inputs!$F$163,Time!AC$4=YEAR(Inputs!$F$156)+Inputs!$F$164),Inputs!$F$165/100*Inputs!$F$161*Inputs!$F$166/1000*(1+Inputs!$F$187/100)^(Time!AC$4-Inputs!$F$186),0)</f>
        <v/>
      </c>
      <c r="AD1067" s="20">
        <f>IF(OR(Time!AD$4=YEAR(Inputs!$F$156)+Inputs!$F$163,Time!AD$4=YEAR(Inputs!$F$156)+Inputs!$F$164),Inputs!$F$165/100*Inputs!$F$161*Inputs!$F$166/1000*(1+Inputs!$F$187/100)^(Time!AD$4-Inputs!$F$186),0)</f>
        <v/>
      </c>
      <c r="AE1067" s="20">
        <f>IF(OR(Time!AE$4=YEAR(Inputs!$F$156)+Inputs!$F$163,Time!AE$4=YEAR(Inputs!$F$156)+Inputs!$F$164),Inputs!$F$165/100*Inputs!$F$161*Inputs!$F$166/1000*(1+Inputs!$F$187/100)^(Time!AE$4-Inputs!$F$186),0)</f>
        <v/>
      </c>
      <c r="AF1067" s="20">
        <f>IF(OR(Time!AF$4=YEAR(Inputs!$F$156)+Inputs!$F$163,Time!AF$4=YEAR(Inputs!$F$156)+Inputs!$F$164),Inputs!$F$165/100*Inputs!$F$161*Inputs!$F$166/1000*(1+Inputs!$F$187/100)^(Time!AF$4-Inputs!$F$186),0)</f>
        <v/>
      </c>
      <c r="AG1067" s="20">
        <f>IF(OR(Time!AG$4=YEAR(Inputs!$F$156)+Inputs!$F$163,Time!AG$4=YEAR(Inputs!$F$156)+Inputs!$F$164),Inputs!$F$165/100*Inputs!$F$161*Inputs!$F$166/1000*(1+Inputs!$F$187/100)^(Time!AG$4-Inputs!$F$186),0)</f>
        <v/>
      </c>
      <c r="AH1067" s="20">
        <f>IF(OR(Time!AH$4=YEAR(Inputs!$F$156)+Inputs!$F$163,Time!AH$4=YEAR(Inputs!$F$156)+Inputs!$F$164),Inputs!$F$165/100*Inputs!$F$161*Inputs!$F$166/1000*(1+Inputs!$F$187/100)^(Time!AH$4-Inputs!$F$186),0)</f>
        <v/>
      </c>
      <c r="AI1067" s="20">
        <f>IF(OR(Time!AI$4=YEAR(Inputs!$F$156)+Inputs!$F$163,Time!AI$4=YEAR(Inputs!$F$156)+Inputs!$F$164),Inputs!$F$165/100*Inputs!$F$161*Inputs!$F$166/1000*(1+Inputs!$F$187/100)^(Time!AI$4-Inputs!$F$186),0)</f>
        <v/>
      </c>
      <c r="AJ1067" s="20">
        <f>IF(OR(Time!AJ$4=YEAR(Inputs!$F$156)+Inputs!$F$163,Time!AJ$4=YEAR(Inputs!$F$156)+Inputs!$F$164),Inputs!$F$165/100*Inputs!$F$161*Inputs!$F$166/1000*(1+Inputs!$F$187/100)^(Time!AJ$4-Inputs!$F$186),0)</f>
        <v/>
      </c>
      <c r="AK1067" s="20">
        <f>IF(OR(Time!AK$4=YEAR(Inputs!$F$156)+Inputs!$F$163,Time!AK$4=YEAR(Inputs!$F$156)+Inputs!$F$164),Inputs!$F$165/100*Inputs!$F$161*Inputs!$F$166/1000*(1+Inputs!$F$187/100)^(Time!AK$4-Inputs!$F$186),0)</f>
        <v/>
      </c>
      <c r="AL1067" s="20">
        <f>IF(OR(Time!AL$4=YEAR(Inputs!$F$156)+Inputs!$F$163,Time!AL$4=YEAR(Inputs!$F$156)+Inputs!$F$164),Inputs!$F$165/100*Inputs!$F$161*Inputs!$F$166/1000*(1+Inputs!$F$187/100)^(Time!AL$4-Inputs!$F$186),0)</f>
        <v/>
      </c>
      <c r="AM1067" s="20">
        <f>IF(OR(Time!AM$4=YEAR(Inputs!$F$156)+Inputs!$F$163,Time!AM$4=YEAR(Inputs!$F$156)+Inputs!$F$164),Inputs!$F$165/100*Inputs!$F$161*Inputs!$F$166/1000*(1+Inputs!$F$187/100)^(Time!AM$4-Inputs!$F$186),0)</f>
        <v/>
      </c>
      <c r="AN1067" s="20">
        <f>IF(OR(Time!AN$4=YEAR(Inputs!$F$156)+Inputs!$F$163,Time!AN$4=YEAR(Inputs!$F$156)+Inputs!$F$164),Inputs!$F$165/100*Inputs!$F$161*Inputs!$F$166/1000*(1+Inputs!$F$187/100)^(Time!AN$4-Inputs!$F$186),0)</f>
        <v/>
      </c>
      <c r="AO1067" s="20">
        <f>IF(OR(Time!AO$4=YEAR(Inputs!$F$156)+Inputs!$F$163,Time!AO$4=YEAR(Inputs!$F$156)+Inputs!$F$164),Inputs!$F$165/100*Inputs!$F$161*Inputs!$F$166/1000*(1+Inputs!$F$187/100)^(Time!AO$4-Inputs!$F$186),0)</f>
        <v/>
      </c>
      <c r="AP1067" s="20">
        <f>IF(OR(Time!AP$4=YEAR(Inputs!$F$156)+Inputs!$F$163,Time!AP$4=YEAR(Inputs!$F$156)+Inputs!$F$164),Inputs!$F$165/100*Inputs!$F$161*Inputs!$F$166/1000*(1+Inputs!$F$187/100)^(Time!AP$4-Inputs!$F$186),0)</f>
        <v/>
      </c>
      <c r="AQ1067" s="20">
        <f>IF(OR(Time!AQ$4=YEAR(Inputs!$F$156)+Inputs!$F$163,Time!AQ$4=YEAR(Inputs!$F$156)+Inputs!$F$164),Inputs!$F$165/100*Inputs!$F$161*Inputs!$F$166/1000*(1+Inputs!$F$187/100)^(Time!AQ$4-Inputs!$F$186),0)</f>
        <v/>
      </c>
      <c r="AR1067" s="20">
        <f>IF(OR(Time!AR$4=YEAR(Inputs!$F$156)+Inputs!$F$163,Time!AR$4=YEAR(Inputs!$F$156)+Inputs!$F$164),Inputs!$F$165/100*Inputs!$F$161*Inputs!$F$166/1000*(1+Inputs!$F$187/100)^(Time!AR$4-Inputs!$F$186),0)</f>
        <v/>
      </c>
      <c r="AS1067" s="20">
        <f>IF(OR(Time!AS$4=YEAR(Inputs!$F$156)+Inputs!$F$163,Time!AS$4=YEAR(Inputs!$F$156)+Inputs!$F$164),Inputs!$F$165/100*Inputs!$F$161*Inputs!$F$166/1000*(1+Inputs!$F$187/100)^(Time!AS$4-Inputs!$F$186),0)</f>
        <v/>
      </c>
      <c r="AT1067" s="20">
        <f>IF(OR(Time!AT$4=YEAR(Inputs!$F$156)+Inputs!$F$163,Time!AT$4=YEAR(Inputs!$F$156)+Inputs!$F$164),Inputs!$F$165/100*Inputs!$F$161*Inputs!$F$166/1000*(1+Inputs!$F$187/100)^(Time!AT$4-Inputs!$F$186),0)</f>
        <v/>
      </c>
      <c r="AU1067" s="20">
        <f>IF(OR(Time!AU$4=YEAR(Inputs!$F$156)+Inputs!$F$163,Time!AU$4=YEAR(Inputs!$F$156)+Inputs!$F$164),Inputs!$F$165/100*Inputs!$F$161*Inputs!$F$166/1000*(1+Inputs!$F$187/100)^(Time!AU$4-Inputs!$F$186),0)</f>
        <v/>
      </c>
    </row>
    <row r="1068">
      <c r="D1068" t="inlineStr">
        <is>
          <t>R7 decommissioning at end of life</t>
        </is>
      </c>
      <c r="E1068" t="inlineStr">
        <is>
          <t>USD m</t>
        </is>
      </c>
      <c r="J1068" s="20">
        <f>IF(Time!J$4=YEAR(Inputs!$F$157),Inputs!$F$160*Inputs!$F$155/1000*Time!J$9,0)</f>
        <v/>
      </c>
      <c r="K1068" s="20">
        <f>IF(Time!K$4=YEAR(Inputs!$F$157),Inputs!$F$160*Inputs!$F$155/1000*Time!K$9,0)</f>
        <v/>
      </c>
      <c r="L1068" s="20">
        <f>IF(Time!L$4=YEAR(Inputs!$F$157),Inputs!$F$160*Inputs!$F$155/1000*Time!L$9,0)</f>
        <v/>
      </c>
      <c r="M1068" s="20">
        <f>IF(Time!M$4=YEAR(Inputs!$F$157),Inputs!$F$160*Inputs!$F$155/1000*Time!M$9,0)</f>
        <v/>
      </c>
      <c r="N1068" s="20">
        <f>IF(Time!N$4=YEAR(Inputs!$F$157),Inputs!$F$160*Inputs!$F$155/1000*Time!N$9,0)</f>
        <v/>
      </c>
      <c r="O1068" s="20">
        <f>IF(Time!O$4=YEAR(Inputs!$F$157),Inputs!$F$160*Inputs!$F$155/1000*Time!O$9,0)</f>
        <v/>
      </c>
      <c r="P1068" s="20">
        <f>IF(Time!P$4=YEAR(Inputs!$F$157),Inputs!$F$160*Inputs!$F$155/1000*Time!P$9,0)</f>
        <v/>
      </c>
      <c r="Q1068" s="20">
        <f>IF(Time!Q$4=YEAR(Inputs!$F$157),Inputs!$F$160*Inputs!$F$155/1000*Time!Q$9,0)</f>
        <v/>
      </c>
      <c r="R1068" s="20">
        <f>IF(Time!R$4=YEAR(Inputs!$F$157),Inputs!$F$160*Inputs!$F$155/1000*Time!R$9,0)</f>
        <v/>
      </c>
      <c r="S1068" s="20">
        <f>IF(Time!S$4=YEAR(Inputs!$F$157),Inputs!$F$160*Inputs!$F$155/1000*Time!S$9,0)</f>
        <v/>
      </c>
      <c r="T1068" s="20">
        <f>IF(Time!T$4=YEAR(Inputs!$F$157),Inputs!$F$160*Inputs!$F$155/1000*Time!T$9,0)</f>
        <v/>
      </c>
      <c r="U1068" s="20">
        <f>IF(Time!U$4=YEAR(Inputs!$F$157),Inputs!$F$160*Inputs!$F$155/1000*Time!U$9,0)</f>
        <v/>
      </c>
      <c r="V1068" s="20">
        <f>IF(Time!V$4=YEAR(Inputs!$F$157),Inputs!$F$160*Inputs!$F$155/1000*Time!V$9,0)</f>
        <v/>
      </c>
      <c r="W1068" s="20">
        <f>IF(Time!W$4=YEAR(Inputs!$F$157),Inputs!$F$160*Inputs!$F$155/1000*Time!W$9,0)</f>
        <v/>
      </c>
      <c r="X1068" s="20">
        <f>IF(Time!X$4=YEAR(Inputs!$F$157),Inputs!$F$160*Inputs!$F$155/1000*Time!X$9,0)</f>
        <v/>
      </c>
      <c r="Y1068" s="20">
        <f>IF(Time!Y$4=YEAR(Inputs!$F$157),Inputs!$F$160*Inputs!$F$155/1000*Time!Y$9,0)</f>
        <v/>
      </c>
      <c r="Z1068" s="20">
        <f>IF(Time!Z$4=YEAR(Inputs!$F$157),Inputs!$F$160*Inputs!$F$155/1000*Time!Z$9,0)</f>
        <v/>
      </c>
      <c r="AA1068" s="20">
        <f>IF(Time!AA$4=YEAR(Inputs!$F$157),Inputs!$F$160*Inputs!$F$155/1000*Time!AA$9,0)</f>
        <v/>
      </c>
      <c r="AB1068" s="20">
        <f>IF(Time!AB$4=YEAR(Inputs!$F$157),Inputs!$F$160*Inputs!$F$155/1000*Time!AB$9,0)</f>
        <v/>
      </c>
      <c r="AC1068" s="20">
        <f>IF(Time!AC$4=YEAR(Inputs!$F$157),Inputs!$F$160*Inputs!$F$155/1000*Time!AC$9,0)</f>
        <v/>
      </c>
      <c r="AD1068" s="20">
        <f>IF(Time!AD$4=YEAR(Inputs!$F$157),Inputs!$F$160*Inputs!$F$155/1000*Time!AD$9,0)</f>
        <v/>
      </c>
      <c r="AE1068" s="20">
        <f>IF(Time!AE$4=YEAR(Inputs!$F$157),Inputs!$F$160*Inputs!$F$155/1000*Time!AE$9,0)</f>
        <v/>
      </c>
      <c r="AF1068" s="20">
        <f>IF(Time!AF$4=YEAR(Inputs!$F$157),Inputs!$F$160*Inputs!$F$155/1000*Time!AF$9,0)</f>
        <v/>
      </c>
      <c r="AG1068" s="20">
        <f>IF(Time!AG$4=YEAR(Inputs!$F$157),Inputs!$F$160*Inputs!$F$155/1000*Time!AG$9,0)</f>
        <v/>
      </c>
      <c r="AH1068" s="20">
        <f>IF(Time!AH$4=YEAR(Inputs!$F$157),Inputs!$F$160*Inputs!$F$155/1000*Time!AH$9,0)</f>
        <v/>
      </c>
      <c r="AI1068" s="20">
        <f>IF(Time!AI$4=YEAR(Inputs!$F$157),Inputs!$F$160*Inputs!$F$155/1000*Time!AI$9,0)</f>
        <v/>
      </c>
      <c r="AJ1068" s="20">
        <f>IF(Time!AJ$4=YEAR(Inputs!$F$157),Inputs!$F$160*Inputs!$F$155/1000*Time!AJ$9,0)</f>
        <v/>
      </c>
      <c r="AK1068" s="20">
        <f>IF(Time!AK$4=YEAR(Inputs!$F$157),Inputs!$F$160*Inputs!$F$155/1000*Time!AK$9,0)</f>
        <v/>
      </c>
      <c r="AL1068" s="20">
        <f>IF(Time!AL$4=YEAR(Inputs!$F$157),Inputs!$F$160*Inputs!$F$155/1000*Time!AL$9,0)</f>
        <v/>
      </c>
      <c r="AM1068" s="20">
        <f>IF(Time!AM$4=YEAR(Inputs!$F$157),Inputs!$F$160*Inputs!$F$155/1000*Time!AM$9,0)</f>
        <v/>
      </c>
      <c r="AN1068" s="20">
        <f>IF(Time!AN$4=YEAR(Inputs!$F$157),Inputs!$F$160*Inputs!$F$155/1000*Time!AN$9,0)</f>
        <v/>
      </c>
      <c r="AO1068" s="20">
        <f>IF(Time!AO$4=YEAR(Inputs!$F$157),Inputs!$F$160*Inputs!$F$155/1000*Time!AO$9,0)</f>
        <v/>
      </c>
      <c r="AP1068" s="20">
        <f>IF(Time!AP$4=YEAR(Inputs!$F$157),Inputs!$F$160*Inputs!$F$155/1000*Time!AP$9,0)</f>
        <v/>
      </c>
      <c r="AQ1068" s="20">
        <f>IF(Time!AQ$4=YEAR(Inputs!$F$157),Inputs!$F$160*Inputs!$F$155/1000*Time!AQ$9,0)</f>
        <v/>
      </c>
      <c r="AR1068" s="20">
        <f>IF(Time!AR$4=YEAR(Inputs!$F$157),Inputs!$F$160*Inputs!$F$155/1000*Time!AR$9,0)</f>
        <v/>
      </c>
      <c r="AS1068" s="20">
        <f>IF(Time!AS$4=YEAR(Inputs!$F$157),Inputs!$F$160*Inputs!$F$155/1000*Time!AS$9,0)</f>
        <v/>
      </c>
      <c r="AT1068" s="20">
        <f>IF(Time!AT$4=YEAR(Inputs!$F$157),Inputs!$F$160*Inputs!$F$155/1000*Time!AT$9,0)</f>
        <v/>
      </c>
      <c r="AU1068" s="20">
        <f>IF(Time!AU$4=YEAR(Inputs!$F$157),Inputs!$F$160*Inputs!$F$155/1000*Time!AU$9,0)</f>
        <v/>
      </c>
    </row>
    <row r="1069">
      <c r="D1069" t="inlineStr">
        <is>
          <t>R7 pre-tax cash flow, 100% of asset</t>
        </is>
      </c>
      <c r="E1069" t="inlineStr">
        <is>
          <t>USD m</t>
        </is>
      </c>
      <c r="G1069" s="20">
        <f>SUM(J1069:AU1069)</f>
        <v/>
      </c>
      <c r="J1069" s="20">
        <f>Operations!J1066-Operations!J1067-Operations!J1068</f>
        <v/>
      </c>
      <c r="K1069" s="20">
        <f>Operations!K1066-Operations!K1067-Operations!K1068</f>
        <v/>
      </c>
      <c r="L1069" s="20">
        <f>Operations!L1066-Operations!L1067-Operations!L1068</f>
        <v/>
      </c>
      <c r="M1069" s="20">
        <f>Operations!M1066-Operations!M1067-Operations!M1068</f>
        <v/>
      </c>
      <c r="N1069" s="20">
        <f>Operations!N1066-Operations!N1067-Operations!N1068</f>
        <v/>
      </c>
      <c r="O1069" s="20">
        <f>Operations!O1066-Operations!O1067-Operations!O1068</f>
        <v/>
      </c>
      <c r="P1069" s="20">
        <f>Operations!P1066-Operations!P1067-Operations!P1068</f>
        <v/>
      </c>
      <c r="Q1069" s="20">
        <f>Operations!Q1066-Operations!Q1067-Operations!Q1068</f>
        <v/>
      </c>
      <c r="R1069" s="20">
        <f>Operations!R1066-Operations!R1067-Operations!R1068</f>
        <v/>
      </c>
      <c r="S1069" s="20">
        <f>Operations!S1066-Operations!S1067-Operations!S1068</f>
        <v/>
      </c>
      <c r="T1069" s="20">
        <f>Operations!T1066-Operations!T1067-Operations!T1068</f>
        <v/>
      </c>
      <c r="U1069" s="20">
        <f>Operations!U1066-Operations!U1067-Operations!U1068</f>
        <v/>
      </c>
      <c r="V1069" s="20">
        <f>Operations!V1066-Operations!V1067-Operations!V1068</f>
        <v/>
      </c>
      <c r="W1069" s="20">
        <f>Operations!W1066-Operations!W1067-Operations!W1068</f>
        <v/>
      </c>
      <c r="X1069" s="20">
        <f>Operations!X1066-Operations!X1067-Operations!X1068</f>
        <v/>
      </c>
      <c r="Y1069" s="20">
        <f>Operations!Y1066-Operations!Y1067-Operations!Y1068</f>
        <v/>
      </c>
      <c r="Z1069" s="20">
        <f>Operations!Z1066-Operations!Z1067-Operations!Z1068</f>
        <v/>
      </c>
      <c r="AA1069" s="20">
        <f>Operations!AA1066-Operations!AA1067-Operations!AA1068</f>
        <v/>
      </c>
      <c r="AB1069" s="20">
        <f>Operations!AB1066-Operations!AB1067-Operations!AB1068</f>
        <v/>
      </c>
      <c r="AC1069" s="20">
        <f>Operations!AC1066-Operations!AC1067-Operations!AC1068</f>
        <v/>
      </c>
      <c r="AD1069" s="20">
        <f>Operations!AD1066-Operations!AD1067-Operations!AD1068</f>
        <v/>
      </c>
      <c r="AE1069" s="20">
        <f>Operations!AE1066-Operations!AE1067-Operations!AE1068</f>
        <v/>
      </c>
      <c r="AF1069" s="20">
        <f>Operations!AF1066-Operations!AF1067-Operations!AF1068</f>
        <v/>
      </c>
      <c r="AG1069" s="20">
        <f>Operations!AG1066-Operations!AG1067-Operations!AG1068</f>
        <v/>
      </c>
      <c r="AH1069" s="20">
        <f>Operations!AH1066-Operations!AH1067-Operations!AH1068</f>
        <v/>
      </c>
      <c r="AI1069" s="20">
        <f>Operations!AI1066-Operations!AI1067-Operations!AI1068</f>
        <v/>
      </c>
      <c r="AJ1069" s="20">
        <f>Operations!AJ1066-Operations!AJ1067-Operations!AJ1068</f>
        <v/>
      </c>
      <c r="AK1069" s="20">
        <f>Operations!AK1066-Operations!AK1067-Operations!AK1068</f>
        <v/>
      </c>
      <c r="AL1069" s="20">
        <f>Operations!AL1066-Operations!AL1067-Operations!AL1068</f>
        <v/>
      </c>
      <c r="AM1069" s="20">
        <f>Operations!AM1066-Operations!AM1067-Operations!AM1068</f>
        <v/>
      </c>
      <c r="AN1069" s="20">
        <f>Operations!AN1066-Operations!AN1067-Operations!AN1068</f>
        <v/>
      </c>
      <c r="AO1069" s="20">
        <f>Operations!AO1066-Operations!AO1067-Operations!AO1068</f>
        <v/>
      </c>
      <c r="AP1069" s="20">
        <f>Operations!AP1066-Operations!AP1067-Operations!AP1068</f>
        <v/>
      </c>
      <c r="AQ1069" s="20">
        <f>Operations!AQ1066-Operations!AQ1067-Operations!AQ1068</f>
        <v/>
      </c>
      <c r="AR1069" s="20">
        <f>Operations!AR1066-Operations!AR1067-Operations!AR1068</f>
        <v/>
      </c>
      <c r="AS1069" s="20">
        <f>Operations!AS1066-Operations!AS1067-Operations!AS1068</f>
        <v/>
      </c>
      <c r="AT1069" s="20">
        <f>Operations!AT1066-Operations!AT1067-Operations!AT1068</f>
        <v/>
      </c>
      <c r="AU1069" s="20">
        <f>Operations!AU1066-Operations!AU1067-Operations!AU1068</f>
        <v/>
      </c>
    </row>
    <row r="1070">
      <c r="D1070" t="inlineStr">
        <is>
          <t>R7 tax equity cash share</t>
        </is>
      </c>
      <c r="E1070" t="inlineStr">
        <is>
          <t>fraction</t>
        </is>
      </c>
      <c r="J1070" s="14">
        <f>0</f>
        <v/>
      </c>
      <c r="K1070" s="14">
        <f>0</f>
        <v/>
      </c>
      <c r="L1070" s="14">
        <f>0</f>
        <v/>
      </c>
      <c r="M1070" s="14">
        <f>0</f>
        <v/>
      </c>
      <c r="N1070" s="14">
        <f>0</f>
        <v/>
      </c>
      <c r="O1070" s="14">
        <f>0</f>
        <v/>
      </c>
      <c r="P1070" s="14">
        <f>0</f>
        <v/>
      </c>
      <c r="Q1070" s="14">
        <f>0</f>
        <v/>
      </c>
      <c r="R1070" s="14">
        <f>0</f>
        <v/>
      </c>
      <c r="S1070" s="14">
        <f>0</f>
        <v/>
      </c>
      <c r="T1070" s="14">
        <f>0</f>
        <v/>
      </c>
      <c r="U1070" s="14">
        <f>0</f>
        <v/>
      </c>
      <c r="V1070" s="14">
        <f>0</f>
        <v/>
      </c>
      <c r="W1070" s="14">
        <f>0</f>
        <v/>
      </c>
      <c r="X1070" s="14">
        <f>0</f>
        <v/>
      </c>
      <c r="Y1070" s="14">
        <f>0</f>
        <v/>
      </c>
      <c r="Z1070" s="14">
        <f>0</f>
        <v/>
      </c>
      <c r="AA1070" s="14">
        <f>0</f>
        <v/>
      </c>
      <c r="AB1070" s="14">
        <f>0</f>
        <v/>
      </c>
      <c r="AC1070" s="14">
        <f>0</f>
        <v/>
      </c>
      <c r="AD1070" s="14">
        <f>0</f>
        <v/>
      </c>
      <c r="AE1070" s="14">
        <f>0</f>
        <v/>
      </c>
      <c r="AF1070" s="14">
        <f>0</f>
        <v/>
      </c>
      <c r="AG1070" s="14">
        <f>0</f>
        <v/>
      </c>
      <c r="AH1070" s="14">
        <f>0</f>
        <v/>
      </c>
      <c r="AI1070" s="14">
        <f>0</f>
        <v/>
      </c>
      <c r="AJ1070" s="14">
        <f>0</f>
        <v/>
      </c>
      <c r="AK1070" s="14">
        <f>0</f>
        <v/>
      </c>
      <c r="AL1070" s="14">
        <f>0</f>
        <v/>
      </c>
      <c r="AM1070" s="14">
        <f>0</f>
        <v/>
      </c>
      <c r="AN1070" s="14">
        <f>0</f>
        <v/>
      </c>
      <c r="AO1070" s="14">
        <f>0</f>
        <v/>
      </c>
      <c r="AP1070" s="14">
        <f>0</f>
        <v/>
      </c>
      <c r="AQ1070" s="14">
        <f>0</f>
        <v/>
      </c>
      <c r="AR1070" s="14">
        <f>0</f>
        <v/>
      </c>
      <c r="AS1070" s="14">
        <f>0</f>
        <v/>
      </c>
      <c r="AT1070" s="14">
        <f>0</f>
        <v/>
      </c>
      <c r="AU1070" s="14">
        <f>0</f>
        <v/>
      </c>
    </row>
    <row r="1071">
      <c r="D1071" t="inlineStr">
        <is>
          <t>R7 Mesa share of taxable income</t>
        </is>
      </c>
      <c r="E1071" t="inlineStr">
        <is>
          <t>fraction</t>
        </is>
      </c>
      <c r="J1071" s="14">
        <f>1</f>
        <v/>
      </c>
      <c r="K1071" s="14">
        <f>1</f>
        <v/>
      </c>
      <c r="L1071" s="14">
        <f>1</f>
        <v/>
      </c>
      <c r="M1071" s="14">
        <f>1</f>
        <v/>
      </c>
      <c r="N1071" s="14">
        <f>1</f>
        <v/>
      </c>
      <c r="O1071" s="14">
        <f>1</f>
        <v/>
      </c>
      <c r="P1071" s="14">
        <f>1</f>
        <v/>
      </c>
      <c r="Q1071" s="14">
        <f>1</f>
        <v/>
      </c>
      <c r="R1071" s="14">
        <f>1</f>
        <v/>
      </c>
      <c r="S1071" s="14">
        <f>1</f>
        <v/>
      </c>
      <c r="T1071" s="14">
        <f>1</f>
        <v/>
      </c>
      <c r="U1071" s="14">
        <f>1</f>
        <v/>
      </c>
      <c r="V1071" s="14">
        <f>1</f>
        <v/>
      </c>
      <c r="W1071" s="14">
        <f>1</f>
        <v/>
      </c>
      <c r="X1071" s="14">
        <f>1</f>
        <v/>
      </c>
      <c r="Y1071" s="14">
        <f>1</f>
        <v/>
      </c>
      <c r="Z1071" s="14">
        <f>1</f>
        <v/>
      </c>
      <c r="AA1071" s="14">
        <f>1</f>
        <v/>
      </c>
      <c r="AB1071" s="14">
        <f>1</f>
        <v/>
      </c>
      <c r="AC1071" s="14">
        <f>1</f>
        <v/>
      </c>
      <c r="AD1071" s="14">
        <f>1</f>
        <v/>
      </c>
      <c r="AE1071" s="14">
        <f>1</f>
        <v/>
      </c>
      <c r="AF1071" s="14">
        <f>1</f>
        <v/>
      </c>
      <c r="AG1071" s="14">
        <f>1</f>
        <v/>
      </c>
      <c r="AH1071" s="14">
        <f>1</f>
        <v/>
      </c>
      <c r="AI1071" s="14">
        <f>1</f>
        <v/>
      </c>
      <c r="AJ1071" s="14">
        <f>1</f>
        <v/>
      </c>
      <c r="AK1071" s="14">
        <f>1</f>
        <v/>
      </c>
      <c r="AL1071" s="14">
        <f>1</f>
        <v/>
      </c>
      <c r="AM1071" s="14">
        <f>1</f>
        <v/>
      </c>
      <c r="AN1071" s="14">
        <f>1</f>
        <v/>
      </c>
      <c r="AO1071" s="14">
        <f>1</f>
        <v/>
      </c>
      <c r="AP1071" s="14">
        <f>1</f>
        <v/>
      </c>
      <c r="AQ1071" s="14">
        <f>1</f>
        <v/>
      </c>
      <c r="AR1071" s="14">
        <f>1</f>
        <v/>
      </c>
      <c r="AS1071" s="14">
        <f>1</f>
        <v/>
      </c>
      <c r="AT1071" s="14">
        <f>1</f>
        <v/>
      </c>
      <c r="AU1071" s="14">
        <f>1</f>
        <v/>
      </c>
    </row>
    <row r="1072">
      <c r="D1072" t="inlineStr">
        <is>
          <t>R7 Mesa share of cash flow</t>
        </is>
      </c>
      <c r="E1072" t="inlineStr">
        <is>
          <t>USD m</t>
        </is>
      </c>
      <c r="G1072" s="20">
        <f>SUM(J1072:AU1072)</f>
        <v/>
      </c>
      <c r="J1072" s="20">
        <f>Operations!J1069*(1-Operations!J1070)*Operations!J1052</f>
        <v/>
      </c>
      <c r="K1072" s="20">
        <f>Operations!K1069*(1-Operations!K1070)*Operations!K1052</f>
        <v/>
      </c>
      <c r="L1072" s="20">
        <f>Operations!L1069*(1-Operations!L1070)*Operations!L1052</f>
        <v/>
      </c>
      <c r="M1072" s="20">
        <f>Operations!M1069*(1-Operations!M1070)*Operations!M1052</f>
        <v/>
      </c>
      <c r="N1072" s="20">
        <f>Operations!N1069*(1-Operations!N1070)*Operations!N1052</f>
        <v/>
      </c>
      <c r="O1072" s="20">
        <f>Operations!O1069*(1-Operations!O1070)*Operations!O1052</f>
        <v/>
      </c>
      <c r="P1072" s="20">
        <f>Operations!P1069*(1-Operations!P1070)*Operations!P1052</f>
        <v/>
      </c>
      <c r="Q1072" s="20">
        <f>Operations!Q1069*(1-Operations!Q1070)*Operations!Q1052</f>
        <v/>
      </c>
      <c r="R1072" s="20">
        <f>Operations!R1069*(1-Operations!R1070)*Operations!R1052</f>
        <v/>
      </c>
      <c r="S1072" s="20">
        <f>Operations!S1069*(1-Operations!S1070)*Operations!S1052</f>
        <v/>
      </c>
      <c r="T1072" s="20">
        <f>Operations!T1069*(1-Operations!T1070)*Operations!T1052</f>
        <v/>
      </c>
      <c r="U1072" s="20">
        <f>Operations!U1069*(1-Operations!U1070)*Operations!U1052</f>
        <v/>
      </c>
      <c r="V1072" s="20">
        <f>Operations!V1069*(1-Operations!V1070)*Operations!V1052</f>
        <v/>
      </c>
      <c r="W1072" s="20">
        <f>Operations!W1069*(1-Operations!W1070)*Operations!W1052</f>
        <v/>
      </c>
      <c r="X1072" s="20">
        <f>Operations!X1069*(1-Operations!X1070)*Operations!X1052</f>
        <v/>
      </c>
      <c r="Y1072" s="20">
        <f>Operations!Y1069*(1-Operations!Y1070)*Operations!Y1052</f>
        <v/>
      </c>
      <c r="Z1072" s="20">
        <f>Operations!Z1069*(1-Operations!Z1070)*Operations!Z1052</f>
        <v/>
      </c>
      <c r="AA1072" s="20">
        <f>Operations!AA1069*(1-Operations!AA1070)*Operations!AA1052</f>
        <v/>
      </c>
      <c r="AB1072" s="20">
        <f>Operations!AB1069*(1-Operations!AB1070)*Operations!AB1052</f>
        <v/>
      </c>
      <c r="AC1072" s="20">
        <f>Operations!AC1069*(1-Operations!AC1070)*Operations!AC1052</f>
        <v/>
      </c>
      <c r="AD1072" s="20">
        <f>Operations!AD1069*(1-Operations!AD1070)*Operations!AD1052</f>
        <v/>
      </c>
      <c r="AE1072" s="20">
        <f>Operations!AE1069*(1-Operations!AE1070)*Operations!AE1052</f>
        <v/>
      </c>
      <c r="AF1072" s="20">
        <f>Operations!AF1069*(1-Operations!AF1070)*Operations!AF1052</f>
        <v/>
      </c>
      <c r="AG1072" s="20">
        <f>Operations!AG1069*(1-Operations!AG1070)*Operations!AG1052</f>
        <v/>
      </c>
      <c r="AH1072" s="20">
        <f>Operations!AH1069*(1-Operations!AH1070)*Operations!AH1052</f>
        <v/>
      </c>
      <c r="AI1072" s="20">
        <f>Operations!AI1069*(1-Operations!AI1070)*Operations!AI1052</f>
        <v/>
      </c>
      <c r="AJ1072" s="20">
        <f>Operations!AJ1069*(1-Operations!AJ1070)*Operations!AJ1052</f>
        <v/>
      </c>
      <c r="AK1072" s="20">
        <f>Operations!AK1069*(1-Operations!AK1070)*Operations!AK1052</f>
        <v/>
      </c>
      <c r="AL1072" s="20">
        <f>Operations!AL1069*(1-Operations!AL1070)*Operations!AL1052</f>
        <v/>
      </c>
      <c r="AM1072" s="20">
        <f>Operations!AM1069*(1-Operations!AM1070)*Operations!AM1052</f>
        <v/>
      </c>
      <c r="AN1072" s="20">
        <f>Operations!AN1069*(1-Operations!AN1070)*Operations!AN1052</f>
        <v/>
      </c>
      <c r="AO1072" s="20">
        <f>Operations!AO1069*(1-Operations!AO1070)*Operations!AO1052</f>
        <v/>
      </c>
      <c r="AP1072" s="20">
        <f>Operations!AP1069*(1-Operations!AP1070)*Operations!AP1052</f>
        <v/>
      </c>
      <c r="AQ1072" s="20">
        <f>Operations!AQ1069*(1-Operations!AQ1070)*Operations!AQ1052</f>
        <v/>
      </c>
      <c r="AR1072" s="20">
        <f>Operations!AR1069*(1-Operations!AR1070)*Operations!AR1052</f>
        <v/>
      </c>
      <c r="AS1072" s="20">
        <f>Operations!AS1069*(1-Operations!AS1070)*Operations!AS1052</f>
        <v/>
      </c>
      <c r="AT1072" s="20">
        <f>Operations!AT1069*(1-Operations!AT1070)*Operations!AT1052</f>
        <v/>
      </c>
      <c r="AU1072" s="20">
        <f>Operations!AU1069*(1-Operations!AU1070)*Operations!AU1052</f>
        <v/>
      </c>
    </row>
    <row r="1073">
      <c r="D1073" t="inlineStr">
        <is>
          <t>R7 Mesa taxable operating income</t>
        </is>
      </c>
      <c r="E1073" t="inlineStr">
        <is>
          <t>USD m</t>
        </is>
      </c>
      <c r="J1073" s="20">
        <f>Operations!J1069*Operations!J1071*Operations!J1052</f>
        <v/>
      </c>
      <c r="K1073" s="20">
        <f>Operations!K1069*Operations!K1071*Operations!K1052</f>
        <v/>
      </c>
      <c r="L1073" s="20">
        <f>Operations!L1069*Operations!L1071*Operations!L1052</f>
        <v/>
      </c>
      <c r="M1073" s="20">
        <f>Operations!M1069*Operations!M1071*Operations!M1052</f>
        <v/>
      </c>
      <c r="N1073" s="20">
        <f>Operations!N1069*Operations!N1071*Operations!N1052</f>
        <v/>
      </c>
      <c r="O1073" s="20">
        <f>Operations!O1069*Operations!O1071*Operations!O1052</f>
        <v/>
      </c>
      <c r="P1073" s="20">
        <f>Operations!P1069*Operations!P1071*Operations!P1052</f>
        <v/>
      </c>
      <c r="Q1073" s="20">
        <f>Operations!Q1069*Operations!Q1071*Operations!Q1052</f>
        <v/>
      </c>
      <c r="R1073" s="20">
        <f>Operations!R1069*Operations!R1071*Operations!R1052</f>
        <v/>
      </c>
      <c r="S1073" s="20">
        <f>Operations!S1069*Operations!S1071*Operations!S1052</f>
        <v/>
      </c>
      <c r="T1073" s="20">
        <f>Operations!T1069*Operations!T1071*Operations!T1052</f>
        <v/>
      </c>
      <c r="U1073" s="20">
        <f>Operations!U1069*Operations!U1071*Operations!U1052</f>
        <v/>
      </c>
      <c r="V1073" s="20">
        <f>Operations!V1069*Operations!V1071*Operations!V1052</f>
        <v/>
      </c>
      <c r="W1073" s="20">
        <f>Operations!W1069*Operations!W1071*Operations!W1052</f>
        <v/>
      </c>
      <c r="X1073" s="20">
        <f>Operations!X1069*Operations!X1071*Operations!X1052</f>
        <v/>
      </c>
      <c r="Y1073" s="20">
        <f>Operations!Y1069*Operations!Y1071*Operations!Y1052</f>
        <v/>
      </c>
      <c r="Z1073" s="20">
        <f>Operations!Z1069*Operations!Z1071*Operations!Z1052</f>
        <v/>
      </c>
      <c r="AA1073" s="20">
        <f>Operations!AA1069*Operations!AA1071*Operations!AA1052</f>
        <v/>
      </c>
      <c r="AB1073" s="20">
        <f>Operations!AB1069*Operations!AB1071*Operations!AB1052</f>
        <v/>
      </c>
      <c r="AC1073" s="20">
        <f>Operations!AC1069*Operations!AC1071*Operations!AC1052</f>
        <v/>
      </c>
      <c r="AD1073" s="20">
        <f>Operations!AD1069*Operations!AD1071*Operations!AD1052</f>
        <v/>
      </c>
      <c r="AE1073" s="20">
        <f>Operations!AE1069*Operations!AE1071*Operations!AE1052</f>
        <v/>
      </c>
      <c r="AF1073" s="20">
        <f>Operations!AF1069*Operations!AF1071*Operations!AF1052</f>
        <v/>
      </c>
      <c r="AG1073" s="20">
        <f>Operations!AG1069*Operations!AG1071*Operations!AG1052</f>
        <v/>
      </c>
      <c r="AH1073" s="20">
        <f>Operations!AH1069*Operations!AH1071*Operations!AH1052</f>
        <v/>
      </c>
      <c r="AI1073" s="20">
        <f>Operations!AI1069*Operations!AI1071*Operations!AI1052</f>
        <v/>
      </c>
      <c r="AJ1073" s="20">
        <f>Operations!AJ1069*Operations!AJ1071*Operations!AJ1052</f>
        <v/>
      </c>
      <c r="AK1073" s="20">
        <f>Operations!AK1069*Operations!AK1071*Operations!AK1052</f>
        <v/>
      </c>
      <c r="AL1073" s="20">
        <f>Operations!AL1069*Operations!AL1071*Operations!AL1052</f>
        <v/>
      </c>
      <c r="AM1073" s="20">
        <f>Operations!AM1069*Operations!AM1071*Operations!AM1052</f>
        <v/>
      </c>
      <c r="AN1073" s="20">
        <f>Operations!AN1069*Operations!AN1071*Operations!AN1052</f>
        <v/>
      </c>
      <c r="AO1073" s="20">
        <f>Operations!AO1069*Operations!AO1071*Operations!AO1052</f>
        <v/>
      </c>
      <c r="AP1073" s="20">
        <f>Operations!AP1069*Operations!AP1071*Operations!AP1052</f>
        <v/>
      </c>
      <c r="AQ1073" s="20">
        <f>Operations!AQ1069*Operations!AQ1071*Operations!AQ1052</f>
        <v/>
      </c>
      <c r="AR1073" s="20">
        <f>Operations!AR1069*Operations!AR1071*Operations!AR1052</f>
        <v/>
      </c>
      <c r="AS1073" s="20">
        <f>Operations!AS1069*Operations!AS1071*Operations!AS1052</f>
        <v/>
      </c>
      <c r="AT1073" s="20">
        <f>Operations!AT1069*Operations!AT1071*Operations!AT1052</f>
        <v/>
      </c>
      <c r="AU1073" s="20">
        <f>Operations!AU1069*Operations!AU1071*Operations!AU1052</f>
        <v/>
      </c>
    </row>
    <row r="1074">
      <c r="D1074" t="inlineStr">
        <is>
          <t>R7 Mesa unlevered post-tax cash flow (before price shield)</t>
        </is>
      </c>
      <c r="E1074" t="inlineStr">
        <is>
          <t>USD m</t>
        </is>
      </c>
      <c r="J1074" s="20">
        <f>Operations!J1072-Inputs!$F$241/100*Operations!J1073</f>
        <v/>
      </c>
      <c r="K1074" s="20">
        <f>Operations!K1072-Inputs!$F$241/100*Operations!K1073</f>
        <v/>
      </c>
      <c r="L1074" s="20">
        <f>Operations!L1072-Inputs!$F$241/100*Operations!L1073</f>
        <v/>
      </c>
      <c r="M1074" s="20">
        <f>Operations!M1072-Inputs!$F$241/100*Operations!M1073</f>
        <v/>
      </c>
      <c r="N1074" s="20">
        <f>Operations!N1072-Inputs!$F$241/100*Operations!N1073</f>
        <v/>
      </c>
      <c r="O1074" s="20">
        <f>Operations!O1072-Inputs!$F$241/100*Operations!O1073</f>
        <v/>
      </c>
      <c r="P1074" s="20">
        <f>Operations!P1072-Inputs!$F$241/100*Operations!P1073</f>
        <v/>
      </c>
      <c r="Q1074" s="20">
        <f>Operations!Q1072-Inputs!$F$241/100*Operations!Q1073</f>
        <v/>
      </c>
      <c r="R1074" s="20">
        <f>Operations!R1072-Inputs!$F$241/100*Operations!R1073</f>
        <v/>
      </c>
      <c r="S1074" s="20">
        <f>Operations!S1072-Inputs!$F$241/100*Operations!S1073</f>
        <v/>
      </c>
      <c r="T1074" s="20">
        <f>Operations!T1072-Inputs!$F$241/100*Operations!T1073</f>
        <v/>
      </c>
      <c r="U1074" s="20">
        <f>Operations!U1072-Inputs!$F$241/100*Operations!U1073</f>
        <v/>
      </c>
      <c r="V1074" s="20">
        <f>Operations!V1072-Inputs!$F$241/100*Operations!V1073</f>
        <v/>
      </c>
      <c r="W1074" s="20">
        <f>Operations!W1072-Inputs!$F$241/100*Operations!W1073</f>
        <v/>
      </c>
      <c r="X1074" s="20">
        <f>Operations!X1072-Inputs!$F$241/100*Operations!X1073</f>
        <v/>
      </c>
      <c r="Y1074" s="20">
        <f>Operations!Y1072-Inputs!$F$241/100*Operations!Y1073</f>
        <v/>
      </c>
      <c r="Z1074" s="20">
        <f>Operations!Z1072-Inputs!$F$241/100*Operations!Z1073</f>
        <v/>
      </c>
      <c r="AA1074" s="20">
        <f>Operations!AA1072-Inputs!$F$241/100*Operations!AA1073</f>
        <v/>
      </c>
      <c r="AB1074" s="20">
        <f>Operations!AB1072-Inputs!$F$241/100*Operations!AB1073</f>
        <v/>
      </c>
      <c r="AC1074" s="20">
        <f>Operations!AC1072-Inputs!$F$241/100*Operations!AC1073</f>
        <v/>
      </c>
      <c r="AD1074" s="20">
        <f>Operations!AD1072-Inputs!$F$241/100*Operations!AD1073</f>
        <v/>
      </c>
      <c r="AE1074" s="20">
        <f>Operations!AE1072-Inputs!$F$241/100*Operations!AE1073</f>
        <v/>
      </c>
      <c r="AF1074" s="20">
        <f>Operations!AF1072-Inputs!$F$241/100*Operations!AF1073</f>
        <v/>
      </c>
      <c r="AG1074" s="20">
        <f>Operations!AG1072-Inputs!$F$241/100*Operations!AG1073</f>
        <v/>
      </c>
      <c r="AH1074" s="20">
        <f>Operations!AH1072-Inputs!$F$241/100*Operations!AH1073</f>
        <v/>
      </c>
      <c r="AI1074" s="20">
        <f>Operations!AI1072-Inputs!$F$241/100*Operations!AI1073</f>
        <v/>
      </c>
      <c r="AJ1074" s="20">
        <f>Operations!AJ1072-Inputs!$F$241/100*Operations!AJ1073</f>
        <v/>
      </c>
      <c r="AK1074" s="20">
        <f>Operations!AK1072-Inputs!$F$241/100*Operations!AK1073</f>
        <v/>
      </c>
      <c r="AL1074" s="20">
        <f>Operations!AL1072-Inputs!$F$241/100*Operations!AL1073</f>
        <v/>
      </c>
      <c r="AM1074" s="20">
        <f>Operations!AM1072-Inputs!$F$241/100*Operations!AM1073</f>
        <v/>
      </c>
      <c r="AN1074" s="20">
        <f>Operations!AN1072-Inputs!$F$241/100*Operations!AN1073</f>
        <v/>
      </c>
      <c r="AO1074" s="20">
        <f>Operations!AO1072-Inputs!$F$241/100*Operations!AO1073</f>
        <v/>
      </c>
      <c r="AP1074" s="20">
        <f>Operations!AP1072-Inputs!$F$241/100*Operations!AP1073</f>
        <v/>
      </c>
      <c r="AQ1074" s="20">
        <f>Operations!AQ1072-Inputs!$F$241/100*Operations!AQ1073</f>
        <v/>
      </c>
      <c r="AR1074" s="20">
        <f>Operations!AR1072-Inputs!$F$241/100*Operations!AR1073</f>
        <v/>
      </c>
      <c r="AS1074" s="20">
        <f>Operations!AS1072-Inputs!$F$241/100*Operations!AS1073</f>
        <v/>
      </c>
      <c r="AT1074" s="20">
        <f>Operations!AT1072-Inputs!$F$241/100*Operations!AT1073</f>
        <v/>
      </c>
      <c r="AU1074" s="20">
        <f>Operations!AU1072-Inputs!$F$241/100*Operations!AU1073</f>
        <v/>
      </c>
    </row>
    <row r="1075">
      <c r="D1075" t="inlineStr">
        <is>
          <t>R7 contracted share of revenue</t>
        </is>
      </c>
      <c r="E1075" t="inlineStr">
        <is>
          <t>fraction</t>
        </is>
      </c>
      <c r="J1075" s="14">
        <f>IF(Operations!J1060=0,0,Operations!J1058/Operations!J1060)</f>
        <v/>
      </c>
      <c r="K1075" s="14">
        <f>IF(Operations!K1060=0,0,Operations!K1058/Operations!K1060)</f>
        <v/>
      </c>
      <c r="L1075" s="14">
        <f>IF(Operations!L1060=0,0,Operations!L1058/Operations!L1060)</f>
        <v/>
      </c>
      <c r="M1075" s="14">
        <f>IF(Operations!M1060=0,0,Operations!M1058/Operations!M1060)</f>
        <v/>
      </c>
      <c r="N1075" s="14">
        <f>IF(Operations!N1060=0,0,Operations!N1058/Operations!N1060)</f>
        <v/>
      </c>
      <c r="O1075" s="14">
        <f>IF(Operations!O1060=0,0,Operations!O1058/Operations!O1060)</f>
        <v/>
      </c>
      <c r="P1075" s="14">
        <f>IF(Operations!P1060=0,0,Operations!P1058/Operations!P1060)</f>
        <v/>
      </c>
      <c r="Q1075" s="14">
        <f>IF(Operations!Q1060=0,0,Operations!Q1058/Operations!Q1060)</f>
        <v/>
      </c>
      <c r="R1075" s="14">
        <f>IF(Operations!R1060=0,0,Operations!R1058/Operations!R1060)</f>
        <v/>
      </c>
      <c r="S1075" s="14">
        <f>IF(Operations!S1060=0,0,Operations!S1058/Operations!S1060)</f>
        <v/>
      </c>
      <c r="T1075" s="14">
        <f>IF(Operations!T1060=0,0,Operations!T1058/Operations!T1060)</f>
        <v/>
      </c>
      <c r="U1075" s="14">
        <f>IF(Operations!U1060=0,0,Operations!U1058/Operations!U1060)</f>
        <v/>
      </c>
      <c r="V1075" s="14">
        <f>IF(Operations!V1060=0,0,Operations!V1058/Operations!V1060)</f>
        <v/>
      </c>
      <c r="W1075" s="14">
        <f>IF(Operations!W1060=0,0,Operations!W1058/Operations!W1060)</f>
        <v/>
      </c>
      <c r="X1075" s="14">
        <f>IF(Operations!X1060=0,0,Operations!X1058/Operations!X1060)</f>
        <v/>
      </c>
      <c r="Y1075" s="14">
        <f>IF(Operations!Y1060=0,0,Operations!Y1058/Operations!Y1060)</f>
        <v/>
      </c>
      <c r="Z1075" s="14">
        <f>IF(Operations!Z1060=0,0,Operations!Z1058/Operations!Z1060)</f>
        <v/>
      </c>
      <c r="AA1075" s="14">
        <f>IF(Operations!AA1060=0,0,Operations!AA1058/Operations!AA1060)</f>
        <v/>
      </c>
      <c r="AB1075" s="14">
        <f>IF(Operations!AB1060=0,0,Operations!AB1058/Operations!AB1060)</f>
        <v/>
      </c>
      <c r="AC1075" s="14">
        <f>IF(Operations!AC1060=0,0,Operations!AC1058/Operations!AC1060)</f>
        <v/>
      </c>
      <c r="AD1075" s="14">
        <f>IF(Operations!AD1060=0,0,Operations!AD1058/Operations!AD1060)</f>
        <v/>
      </c>
      <c r="AE1075" s="14">
        <f>IF(Operations!AE1060=0,0,Operations!AE1058/Operations!AE1060)</f>
        <v/>
      </c>
      <c r="AF1075" s="14">
        <f>IF(Operations!AF1060=0,0,Operations!AF1058/Operations!AF1060)</f>
        <v/>
      </c>
      <c r="AG1075" s="14">
        <f>IF(Operations!AG1060=0,0,Operations!AG1058/Operations!AG1060)</f>
        <v/>
      </c>
      <c r="AH1075" s="14">
        <f>IF(Operations!AH1060=0,0,Operations!AH1058/Operations!AH1060)</f>
        <v/>
      </c>
      <c r="AI1075" s="14">
        <f>IF(Operations!AI1060=0,0,Operations!AI1058/Operations!AI1060)</f>
        <v/>
      </c>
      <c r="AJ1075" s="14">
        <f>IF(Operations!AJ1060=0,0,Operations!AJ1058/Operations!AJ1060)</f>
        <v/>
      </c>
      <c r="AK1075" s="14">
        <f>IF(Operations!AK1060=0,0,Operations!AK1058/Operations!AK1060)</f>
        <v/>
      </c>
      <c r="AL1075" s="14">
        <f>IF(Operations!AL1060=0,0,Operations!AL1058/Operations!AL1060)</f>
        <v/>
      </c>
      <c r="AM1075" s="14">
        <f>IF(Operations!AM1060=0,0,Operations!AM1058/Operations!AM1060)</f>
        <v/>
      </c>
      <c r="AN1075" s="14">
        <f>IF(Operations!AN1060=0,0,Operations!AN1058/Operations!AN1060)</f>
        <v/>
      </c>
      <c r="AO1075" s="14">
        <f>IF(Operations!AO1060=0,0,Operations!AO1058/Operations!AO1060)</f>
        <v/>
      </c>
      <c r="AP1075" s="14">
        <f>IF(Operations!AP1060=0,0,Operations!AP1058/Operations!AP1060)</f>
        <v/>
      </c>
      <c r="AQ1075" s="14">
        <f>IF(Operations!AQ1060=0,0,Operations!AQ1058/Operations!AQ1060)</f>
        <v/>
      </c>
      <c r="AR1075" s="14">
        <f>IF(Operations!AR1060=0,0,Operations!AR1058/Operations!AR1060)</f>
        <v/>
      </c>
      <c r="AS1075" s="14">
        <f>IF(Operations!AS1060=0,0,Operations!AS1058/Operations!AS1060)</f>
        <v/>
      </c>
      <c r="AT1075" s="14">
        <f>IF(Operations!AT1060=0,0,Operations!AT1058/Operations!AT1060)</f>
        <v/>
      </c>
      <c r="AU1075" s="14">
        <f>IF(Operations!AU1060=0,0,Operations!AU1058/Operations!AU1060)</f>
        <v/>
      </c>
    </row>
    <row r="1076">
      <c r="D1076" t="inlineStr">
        <is>
          <t>R7 hedged share of revenue</t>
        </is>
      </c>
      <c r="E1076" t="inlineStr">
        <is>
          <t>fraction</t>
        </is>
      </c>
      <c r="J1076" s="14">
        <f>IF(Operations!J1060=0,0,Operations!J1059/Operations!J1060)</f>
        <v/>
      </c>
      <c r="K1076" s="14">
        <f>IF(Operations!K1060=0,0,Operations!K1059/Operations!K1060)</f>
        <v/>
      </c>
      <c r="L1076" s="14">
        <f>IF(Operations!L1060=0,0,Operations!L1059/Operations!L1060)</f>
        <v/>
      </c>
      <c r="M1076" s="14">
        <f>IF(Operations!M1060=0,0,Operations!M1059/Operations!M1060)</f>
        <v/>
      </c>
      <c r="N1076" s="14">
        <f>IF(Operations!N1060=0,0,Operations!N1059/Operations!N1060)</f>
        <v/>
      </c>
      <c r="O1076" s="14">
        <f>IF(Operations!O1060=0,0,Operations!O1059/Operations!O1060)</f>
        <v/>
      </c>
      <c r="P1076" s="14">
        <f>IF(Operations!P1060=0,0,Operations!P1059/Operations!P1060)</f>
        <v/>
      </c>
      <c r="Q1076" s="14">
        <f>IF(Operations!Q1060=0,0,Operations!Q1059/Operations!Q1060)</f>
        <v/>
      </c>
      <c r="R1076" s="14">
        <f>IF(Operations!R1060=0,0,Operations!R1059/Operations!R1060)</f>
        <v/>
      </c>
      <c r="S1076" s="14">
        <f>IF(Operations!S1060=0,0,Operations!S1059/Operations!S1060)</f>
        <v/>
      </c>
      <c r="T1076" s="14">
        <f>IF(Operations!T1060=0,0,Operations!T1059/Operations!T1060)</f>
        <v/>
      </c>
      <c r="U1076" s="14">
        <f>IF(Operations!U1060=0,0,Operations!U1059/Operations!U1060)</f>
        <v/>
      </c>
      <c r="V1076" s="14">
        <f>IF(Operations!V1060=0,0,Operations!V1059/Operations!V1060)</f>
        <v/>
      </c>
      <c r="W1076" s="14">
        <f>IF(Operations!W1060=0,0,Operations!W1059/Operations!W1060)</f>
        <v/>
      </c>
      <c r="X1076" s="14">
        <f>IF(Operations!X1060=0,0,Operations!X1059/Operations!X1060)</f>
        <v/>
      </c>
      <c r="Y1076" s="14">
        <f>IF(Operations!Y1060=0,0,Operations!Y1059/Operations!Y1060)</f>
        <v/>
      </c>
      <c r="Z1076" s="14">
        <f>IF(Operations!Z1060=0,0,Operations!Z1059/Operations!Z1060)</f>
        <v/>
      </c>
      <c r="AA1076" s="14">
        <f>IF(Operations!AA1060=0,0,Operations!AA1059/Operations!AA1060)</f>
        <v/>
      </c>
      <c r="AB1076" s="14">
        <f>IF(Operations!AB1060=0,0,Operations!AB1059/Operations!AB1060)</f>
        <v/>
      </c>
      <c r="AC1076" s="14">
        <f>IF(Operations!AC1060=0,0,Operations!AC1059/Operations!AC1060)</f>
        <v/>
      </c>
      <c r="AD1076" s="14">
        <f>IF(Operations!AD1060=0,0,Operations!AD1059/Operations!AD1060)</f>
        <v/>
      </c>
      <c r="AE1076" s="14">
        <f>IF(Operations!AE1060=0,0,Operations!AE1059/Operations!AE1060)</f>
        <v/>
      </c>
      <c r="AF1076" s="14">
        <f>IF(Operations!AF1060=0,0,Operations!AF1059/Operations!AF1060)</f>
        <v/>
      </c>
      <c r="AG1076" s="14">
        <f>IF(Operations!AG1060=0,0,Operations!AG1059/Operations!AG1060)</f>
        <v/>
      </c>
      <c r="AH1076" s="14">
        <f>IF(Operations!AH1060=0,0,Operations!AH1059/Operations!AH1060)</f>
        <v/>
      </c>
      <c r="AI1076" s="14">
        <f>IF(Operations!AI1060=0,0,Operations!AI1059/Operations!AI1060)</f>
        <v/>
      </c>
      <c r="AJ1076" s="14">
        <f>IF(Operations!AJ1060=0,0,Operations!AJ1059/Operations!AJ1060)</f>
        <v/>
      </c>
      <c r="AK1076" s="14">
        <f>IF(Operations!AK1060=0,0,Operations!AK1059/Operations!AK1060)</f>
        <v/>
      </c>
      <c r="AL1076" s="14">
        <f>IF(Operations!AL1060=0,0,Operations!AL1059/Operations!AL1060)</f>
        <v/>
      </c>
      <c r="AM1076" s="14">
        <f>IF(Operations!AM1060=0,0,Operations!AM1059/Operations!AM1060)</f>
        <v/>
      </c>
      <c r="AN1076" s="14">
        <f>IF(Operations!AN1060=0,0,Operations!AN1059/Operations!AN1060)</f>
        <v/>
      </c>
      <c r="AO1076" s="14">
        <f>IF(Operations!AO1060=0,0,Operations!AO1059/Operations!AO1060)</f>
        <v/>
      </c>
      <c r="AP1076" s="14">
        <f>IF(Operations!AP1060=0,0,Operations!AP1059/Operations!AP1060)</f>
        <v/>
      </c>
      <c r="AQ1076" s="14">
        <f>IF(Operations!AQ1060=0,0,Operations!AQ1059/Operations!AQ1060)</f>
        <v/>
      </c>
      <c r="AR1076" s="14">
        <f>IF(Operations!AR1060=0,0,Operations!AR1059/Operations!AR1060)</f>
        <v/>
      </c>
      <c r="AS1076" s="14">
        <f>IF(Operations!AS1060=0,0,Operations!AS1059/Operations!AS1060)</f>
        <v/>
      </c>
      <c r="AT1076" s="14">
        <f>IF(Operations!AT1060=0,0,Operations!AT1059/Operations!AT1060)</f>
        <v/>
      </c>
      <c r="AU1076" s="14">
        <f>IF(Operations!AU1060=0,0,Operations!AU1059/Operations!AU1060)</f>
        <v/>
      </c>
    </row>
    <row r="1077">
      <c r="D1077" t="inlineStr">
        <is>
          <t>R7 merchant share of revenue</t>
        </is>
      </c>
      <c r="E1077" t="inlineStr">
        <is>
          <t>fraction</t>
        </is>
      </c>
      <c r="J1077" s="14">
        <f>1-Operations!J1075-Operations!J1076</f>
        <v/>
      </c>
      <c r="K1077" s="14">
        <f>1-Operations!K1075-Operations!K1076</f>
        <v/>
      </c>
      <c r="L1077" s="14">
        <f>1-Operations!L1075-Operations!L1076</f>
        <v/>
      </c>
      <c r="M1077" s="14">
        <f>1-Operations!M1075-Operations!M1076</f>
        <v/>
      </c>
      <c r="N1077" s="14">
        <f>1-Operations!N1075-Operations!N1076</f>
        <v/>
      </c>
      <c r="O1077" s="14">
        <f>1-Operations!O1075-Operations!O1076</f>
        <v/>
      </c>
      <c r="P1077" s="14">
        <f>1-Operations!P1075-Operations!P1076</f>
        <v/>
      </c>
      <c r="Q1077" s="14">
        <f>1-Operations!Q1075-Operations!Q1076</f>
        <v/>
      </c>
      <c r="R1077" s="14">
        <f>1-Operations!R1075-Operations!R1076</f>
        <v/>
      </c>
      <c r="S1077" s="14">
        <f>1-Operations!S1075-Operations!S1076</f>
        <v/>
      </c>
      <c r="T1077" s="14">
        <f>1-Operations!T1075-Operations!T1076</f>
        <v/>
      </c>
      <c r="U1077" s="14">
        <f>1-Operations!U1075-Operations!U1076</f>
        <v/>
      </c>
      <c r="V1077" s="14">
        <f>1-Operations!V1075-Operations!V1076</f>
        <v/>
      </c>
      <c r="W1077" s="14">
        <f>1-Operations!W1075-Operations!W1076</f>
        <v/>
      </c>
      <c r="X1077" s="14">
        <f>1-Operations!X1075-Operations!X1076</f>
        <v/>
      </c>
      <c r="Y1077" s="14">
        <f>1-Operations!Y1075-Operations!Y1076</f>
        <v/>
      </c>
      <c r="Z1077" s="14">
        <f>1-Operations!Z1075-Operations!Z1076</f>
        <v/>
      </c>
      <c r="AA1077" s="14">
        <f>1-Operations!AA1075-Operations!AA1076</f>
        <v/>
      </c>
      <c r="AB1077" s="14">
        <f>1-Operations!AB1075-Operations!AB1076</f>
        <v/>
      </c>
      <c r="AC1077" s="14">
        <f>1-Operations!AC1075-Operations!AC1076</f>
        <v/>
      </c>
      <c r="AD1077" s="14">
        <f>1-Operations!AD1075-Operations!AD1076</f>
        <v/>
      </c>
      <c r="AE1077" s="14">
        <f>1-Operations!AE1075-Operations!AE1076</f>
        <v/>
      </c>
      <c r="AF1077" s="14">
        <f>1-Operations!AF1075-Operations!AF1076</f>
        <v/>
      </c>
      <c r="AG1077" s="14">
        <f>1-Operations!AG1075-Operations!AG1076</f>
        <v/>
      </c>
      <c r="AH1077" s="14">
        <f>1-Operations!AH1075-Operations!AH1076</f>
        <v/>
      </c>
      <c r="AI1077" s="14">
        <f>1-Operations!AI1075-Operations!AI1076</f>
        <v/>
      </c>
      <c r="AJ1077" s="14">
        <f>1-Operations!AJ1075-Operations!AJ1076</f>
        <v/>
      </c>
      <c r="AK1077" s="14">
        <f>1-Operations!AK1075-Operations!AK1076</f>
        <v/>
      </c>
      <c r="AL1077" s="14">
        <f>1-Operations!AL1075-Operations!AL1076</f>
        <v/>
      </c>
      <c r="AM1077" s="14">
        <f>1-Operations!AM1075-Operations!AM1076</f>
        <v/>
      </c>
      <c r="AN1077" s="14">
        <f>1-Operations!AN1075-Operations!AN1076</f>
        <v/>
      </c>
      <c r="AO1077" s="14">
        <f>1-Operations!AO1075-Operations!AO1076</f>
        <v/>
      </c>
      <c r="AP1077" s="14">
        <f>1-Operations!AP1075-Operations!AP1076</f>
        <v/>
      </c>
      <c r="AQ1077" s="14">
        <f>1-Operations!AQ1075-Operations!AQ1076</f>
        <v/>
      </c>
      <c r="AR1077" s="14">
        <f>1-Operations!AR1075-Operations!AR1076</f>
        <v/>
      </c>
      <c r="AS1077" s="14">
        <f>1-Operations!AS1075-Operations!AS1076</f>
        <v/>
      </c>
      <c r="AT1077" s="14">
        <f>1-Operations!AT1075-Operations!AT1076</f>
        <v/>
      </c>
      <c r="AU1077" s="14">
        <f>1-Operations!AU1075-Operations!AU1076</f>
        <v/>
      </c>
    </row>
    <row r="1078">
      <c r="D1078" t="inlineStr">
        <is>
          <t>R7 Mesa-share contracted revenue</t>
        </is>
      </c>
      <c r="E1078" t="inlineStr">
        <is>
          <t>USD m</t>
        </is>
      </c>
      <c r="J1078" s="20">
        <f>Operations!J1058*Operations!J1052*(1-Operations!J1070)</f>
        <v/>
      </c>
      <c r="K1078" s="20">
        <f>Operations!K1058*Operations!K1052*(1-Operations!K1070)</f>
        <v/>
      </c>
      <c r="L1078" s="20">
        <f>Operations!L1058*Operations!L1052*(1-Operations!L1070)</f>
        <v/>
      </c>
      <c r="M1078" s="20">
        <f>Operations!M1058*Operations!M1052*(1-Operations!M1070)</f>
        <v/>
      </c>
      <c r="N1078" s="20">
        <f>Operations!N1058*Operations!N1052*(1-Operations!N1070)</f>
        <v/>
      </c>
      <c r="O1078" s="20">
        <f>Operations!O1058*Operations!O1052*(1-Operations!O1070)</f>
        <v/>
      </c>
      <c r="P1078" s="20">
        <f>Operations!P1058*Operations!P1052*(1-Operations!P1070)</f>
        <v/>
      </c>
      <c r="Q1078" s="20">
        <f>Operations!Q1058*Operations!Q1052*(1-Operations!Q1070)</f>
        <v/>
      </c>
      <c r="R1078" s="20">
        <f>Operations!R1058*Operations!R1052*(1-Operations!R1070)</f>
        <v/>
      </c>
      <c r="S1078" s="20">
        <f>Operations!S1058*Operations!S1052*(1-Operations!S1070)</f>
        <v/>
      </c>
      <c r="T1078" s="20">
        <f>Operations!T1058*Operations!T1052*(1-Operations!T1070)</f>
        <v/>
      </c>
      <c r="U1078" s="20">
        <f>Operations!U1058*Operations!U1052*(1-Operations!U1070)</f>
        <v/>
      </c>
      <c r="V1078" s="20">
        <f>Operations!V1058*Operations!V1052*(1-Operations!V1070)</f>
        <v/>
      </c>
      <c r="W1078" s="20">
        <f>Operations!W1058*Operations!W1052*(1-Operations!W1070)</f>
        <v/>
      </c>
      <c r="X1078" s="20">
        <f>Operations!X1058*Operations!X1052*(1-Operations!X1070)</f>
        <v/>
      </c>
      <c r="Y1078" s="20">
        <f>Operations!Y1058*Operations!Y1052*(1-Operations!Y1070)</f>
        <v/>
      </c>
      <c r="Z1078" s="20">
        <f>Operations!Z1058*Operations!Z1052*(1-Operations!Z1070)</f>
        <v/>
      </c>
      <c r="AA1078" s="20">
        <f>Operations!AA1058*Operations!AA1052*(1-Operations!AA1070)</f>
        <v/>
      </c>
      <c r="AB1078" s="20">
        <f>Operations!AB1058*Operations!AB1052*(1-Operations!AB1070)</f>
        <v/>
      </c>
      <c r="AC1078" s="20">
        <f>Operations!AC1058*Operations!AC1052*(1-Operations!AC1070)</f>
        <v/>
      </c>
      <c r="AD1078" s="20">
        <f>Operations!AD1058*Operations!AD1052*(1-Operations!AD1070)</f>
        <v/>
      </c>
      <c r="AE1078" s="20">
        <f>Operations!AE1058*Operations!AE1052*(1-Operations!AE1070)</f>
        <v/>
      </c>
      <c r="AF1078" s="20">
        <f>Operations!AF1058*Operations!AF1052*(1-Operations!AF1070)</f>
        <v/>
      </c>
      <c r="AG1078" s="20">
        <f>Operations!AG1058*Operations!AG1052*(1-Operations!AG1070)</f>
        <v/>
      </c>
      <c r="AH1078" s="20">
        <f>Operations!AH1058*Operations!AH1052*(1-Operations!AH1070)</f>
        <v/>
      </c>
      <c r="AI1078" s="20">
        <f>Operations!AI1058*Operations!AI1052*(1-Operations!AI1070)</f>
        <v/>
      </c>
      <c r="AJ1078" s="20">
        <f>Operations!AJ1058*Operations!AJ1052*(1-Operations!AJ1070)</f>
        <v/>
      </c>
      <c r="AK1078" s="20">
        <f>Operations!AK1058*Operations!AK1052*(1-Operations!AK1070)</f>
        <v/>
      </c>
      <c r="AL1078" s="20">
        <f>Operations!AL1058*Operations!AL1052*(1-Operations!AL1070)</f>
        <v/>
      </c>
      <c r="AM1078" s="20">
        <f>Operations!AM1058*Operations!AM1052*(1-Operations!AM1070)</f>
        <v/>
      </c>
      <c r="AN1078" s="20">
        <f>Operations!AN1058*Operations!AN1052*(1-Operations!AN1070)</f>
        <v/>
      </c>
      <c r="AO1078" s="20">
        <f>Operations!AO1058*Operations!AO1052*(1-Operations!AO1070)</f>
        <v/>
      </c>
      <c r="AP1078" s="20">
        <f>Operations!AP1058*Operations!AP1052*(1-Operations!AP1070)</f>
        <v/>
      </c>
      <c r="AQ1078" s="20">
        <f>Operations!AQ1058*Operations!AQ1052*(1-Operations!AQ1070)</f>
        <v/>
      </c>
      <c r="AR1078" s="20">
        <f>Operations!AR1058*Operations!AR1052*(1-Operations!AR1070)</f>
        <v/>
      </c>
      <c r="AS1078" s="20">
        <f>Operations!AS1058*Operations!AS1052*(1-Operations!AS1070)</f>
        <v/>
      </c>
      <c r="AT1078" s="20">
        <f>Operations!AT1058*Operations!AT1052*(1-Operations!AT1070)</f>
        <v/>
      </c>
      <c r="AU1078" s="20">
        <f>Operations!AU1058*Operations!AU1052*(1-Operations!AU1070)</f>
        <v/>
      </c>
    </row>
    <row r="1079">
      <c r="D1079" t="inlineStr">
        <is>
          <t>R7 Mesa-share hedged revenue</t>
        </is>
      </c>
      <c r="E1079" t="inlineStr">
        <is>
          <t>USD m</t>
        </is>
      </c>
      <c r="J1079" s="20">
        <f>Operations!J1059*Operations!J1052*(1-Operations!J1070)</f>
        <v/>
      </c>
      <c r="K1079" s="20">
        <f>Operations!K1059*Operations!K1052*(1-Operations!K1070)</f>
        <v/>
      </c>
      <c r="L1079" s="20">
        <f>Operations!L1059*Operations!L1052*(1-Operations!L1070)</f>
        <v/>
      </c>
      <c r="M1079" s="20">
        <f>Operations!M1059*Operations!M1052*(1-Operations!M1070)</f>
        <v/>
      </c>
      <c r="N1079" s="20">
        <f>Operations!N1059*Operations!N1052*(1-Operations!N1070)</f>
        <v/>
      </c>
      <c r="O1079" s="20">
        <f>Operations!O1059*Operations!O1052*(1-Operations!O1070)</f>
        <v/>
      </c>
      <c r="P1079" s="20">
        <f>Operations!P1059*Operations!P1052*(1-Operations!P1070)</f>
        <v/>
      </c>
      <c r="Q1079" s="20">
        <f>Operations!Q1059*Operations!Q1052*(1-Operations!Q1070)</f>
        <v/>
      </c>
      <c r="R1079" s="20">
        <f>Operations!R1059*Operations!R1052*(1-Operations!R1070)</f>
        <v/>
      </c>
      <c r="S1079" s="20">
        <f>Operations!S1059*Operations!S1052*(1-Operations!S1070)</f>
        <v/>
      </c>
      <c r="T1079" s="20">
        <f>Operations!T1059*Operations!T1052*(1-Operations!T1070)</f>
        <v/>
      </c>
      <c r="U1079" s="20">
        <f>Operations!U1059*Operations!U1052*(1-Operations!U1070)</f>
        <v/>
      </c>
      <c r="V1079" s="20">
        <f>Operations!V1059*Operations!V1052*(1-Operations!V1070)</f>
        <v/>
      </c>
      <c r="W1079" s="20">
        <f>Operations!W1059*Operations!W1052*(1-Operations!W1070)</f>
        <v/>
      </c>
      <c r="X1079" s="20">
        <f>Operations!X1059*Operations!X1052*(1-Operations!X1070)</f>
        <v/>
      </c>
      <c r="Y1079" s="20">
        <f>Operations!Y1059*Operations!Y1052*(1-Operations!Y1070)</f>
        <v/>
      </c>
      <c r="Z1079" s="20">
        <f>Operations!Z1059*Operations!Z1052*(1-Operations!Z1070)</f>
        <v/>
      </c>
      <c r="AA1079" s="20">
        <f>Operations!AA1059*Operations!AA1052*(1-Operations!AA1070)</f>
        <v/>
      </c>
      <c r="AB1079" s="20">
        <f>Operations!AB1059*Operations!AB1052*(1-Operations!AB1070)</f>
        <v/>
      </c>
      <c r="AC1079" s="20">
        <f>Operations!AC1059*Operations!AC1052*(1-Operations!AC1070)</f>
        <v/>
      </c>
      <c r="AD1079" s="20">
        <f>Operations!AD1059*Operations!AD1052*(1-Operations!AD1070)</f>
        <v/>
      </c>
      <c r="AE1079" s="20">
        <f>Operations!AE1059*Operations!AE1052*(1-Operations!AE1070)</f>
        <v/>
      </c>
      <c r="AF1079" s="20">
        <f>Operations!AF1059*Operations!AF1052*(1-Operations!AF1070)</f>
        <v/>
      </c>
      <c r="AG1079" s="20">
        <f>Operations!AG1059*Operations!AG1052*(1-Operations!AG1070)</f>
        <v/>
      </c>
      <c r="AH1079" s="20">
        <f>Operations!AH1059*Operations!AH1052*(1-Operations!AH1070)</f>
        <v/>
      </c>
      <c r="AI1079" s="20">
        <f>Operations!AI1059*Operations!AI1052*(1-Operations!AI1070)</f>
        <v/>
      </c>
      <c r="AJ1079" s="20">
        <f>Operations!AJ1059*Operations!AJ1052*(1-Operations!AJ1070)</f>
        <v/>
      </c>
      <c r="AK1079" s="20">
        <f>Operations!AK1059*Operations!AK1052*(1-Operations!AK1070)</f>
        <v/>
      </c>
      <c r="AL1079" s="20">
        <f>Operations!AL1059*Operations!AL1052*(1-Operations!AL1070)</f>
        <v/>
      </c>
      <c r="AM1079" s="20">
        <f>Operations!AM1059*Operations!AM1052*(1-Operations!AM1070)</f>
        <v/>
      </c>
      <c r="AN1079" s="20">
        <f>Operations!AN1059*Operations!AN1052*(1-Operations!AN1070)</f>
        <v/>
      </c>
      <c r="AO1079" s="20">
        <f>Operations!AO1059*Operations!AO1052*(1-Operations!AO1070)</f>
        <v/>
      </c>
      <c r="AP1079" s="20">
        <f>Operations!AP1059*Operations!AP1052*(1-Operations!AP1070)</f>
        <v/>
      </c>
      <c r="AQ1079" s="20">
        <f>Operations!AQ1059*Operations!AQ1052*(1-Operations!AQ1070)</f>
        <v/>
      </c>
      <c r="AR1079" s="20">
        <f>Operations!AR1059*Operations!AR1052*(1-Operations!AR1070)</f>
        <v/>
      </c>
      <c r="AS1079" s="20">
        <f>Operations!AS1059*Operations!AS1052*(1-Operations!AS1070)</f>
        <v/>
      </c>
      <c r="AT1079" s="20">
        <f>Operations!AT1059*Operations!AT1052*(1-Operations!AT1070)</f>
        <v/>
      </c>
      <c r="AU1079" s="20">
        <f>Operations!AU1059*Operations!AU1052*(1-Operations!AU1070)</f>
        <v/>
      </c>
    </row>
    <row r="1080">
      <c r="D1080" t="inlineStr">
        <is>
          <t>R7 Mesa-share merchant revenue</t>
        </is>
      </c>
      <c r="E1080" t="inlineStr">
        <is>
          <t>USD m</t>
        </is>
      </c>
      <c r="J1080" s="20">
        <f>Operations!J1061*Operations!J1052*(1-Operations!J1070)</f>
        <v/>
      </c>
      <c r="K1080" s="20">
        <f>Operations!K1061*Operations!K1052*(1-Operations!K1070)</f>
        <v/>
      </c>
      <c r="L1080" s="20">
        <f>Operations!L1061*Operations!L1052*(1-Operations!L1070)</f>
        <v/>
      </c>
      <c r="M1080" s="20">
        <f>Operations!M1061*Operations!M1052*(1-Operations!M1070)</f>
        <v/>
      </c>
      <c r="N1080" s="20">
        <f>Operations!N1061*Operations!N1052*(1-Operations!N1070)</f>
        <v/>
      </c>
      <c r="O1080" s="20">
        <f>Operations!O1061*Operations!O1052*(1-Operations!O1070)</f>
        <v/>
      </c>
      <c r="P1080" s="20">
        <f>Operations!P1061*Operations!P1052*(1-Operations!P1070)</f>
        <v/>
      </c>
      <c r="Q1080" s="20">
        <f>Operations!Q1061*Operations!Q1052*(1-Operations!Q1070)</f>
        <v/>
      </c>
      <c r="R1080" s="20">
        <f>Operations!R1061*Operations!R1052*(1-Operations!R1070)</f>
        <v/>
      </c>
      <c r="S1080" s="20">
        <f>Operations!S1061*Operations!S1052*(1-Operations!S1070)</f>
        <v/>
      </c>
      <c r="T1080" s="20">
        <f>Operations!T1061*Operations!T1052*(1-Operations!T1070)</f>
        <v/>
      </c>
      <c r="U1080" s="20">
        <f>Operations!U1061*Operations!U1052*(1-Operations!U1070)</f>
        <v/>
      </c>
      <c r="V1080" s="20">
        <f>Operations!V1061*Operations!V1052*(1-Operations!V1070)</f>
        <v/>
      </c>
      <c r="W1080" s="20">
        <f>Operations!W1061*Operations!W1052*(1-Operations!W1070)</f>
        <v/>
      </c>
      <c r="X1080" s="20">
        <f>Operations!X1061*Operations!X1052*(1-Operations!X1070)</f>
        <v/>
      </c>
      <c r="Y1080" s="20">
        <f>Operations!Y1061*Operations!Y1052*(1-Operations!Y1070)</f>
        <v/>
      </c>
      <c r="Z1080" s="20">
        <f>Operations!Z1061*Operations!Z1052*(1-Operations!Z1070)</f>
        <v/>
      </c>
      <c r="AA1080" s="20">
        <f>Operations!AA1061*Operations!AA1052*(1-Operations!AA1070)</f>
        <v/>
      </c>
      <c r="AB1080" s="20">
        <f>Operations!AB1061*Operations!AB1052*(1-Operations!AB1070)</f>
        <v/>
      </c>
      <c r="AC1080" s="20">
        <f>Operations!AC1061*Operations!AC1052*(1-Operations!AC1070)</f>
        <v/>
      </c>
      <c r="AD1080" s="20">
        <f>Operations!AD1061*Operations!AD1052*(1-Operations!AD1070)</f>
        <v/>
      </c>
      <c r="AE1080" s="20">
        <f>Operations!AE1061*Operations!AE1052*(1-Operations!AE1070)</f>
        <v/>
      </c>
      <c r="AF1080" s="20">
        <f>Operations!AF1061*Operations!AF1052*(1-Operations!AF1070)</f>
        <v/>
      </c>
      <c r="AG1080" s="20">
        <f>Operations!AG1061*Operations!AG1052*(1-Operations!AG1070)</f>
        <v/>
      </c>
      <c r="AH1080" s="20">
        <f>Operations!AH1061*Operations!AH1052*(1-Operations!AH1070)</f>
        <v/>
      </c>
      <c r="AI1080" s="20">
        <f>Operations!AI1061*Operations!AI1052*(1-Operations!AI1070)</f>
        <v/>
      </c>
      <c r="AJ1080" s="20">
        <f>Operations!AJ1061*Operations!AJ1052*(1-Operations!AJ1070)</f>
        <v/>
      </c>
      <c r="AK1080" s="20">
        <f>Operations!AK1061*Operations!AK1052*(1-Operations!AK1070)</f>
        <v/>
      </c>
      <c r="AL1080" s="20">
        <f>Operations!AL1061*Operations!AL1052*(1-Operations!AL1070)</f>
        <v/>
      </c>
      <c r="AM1080" s="20">
        <f>Operations!AM1061*Operations!AM1052*(1-Operations!AM1070)</f>
        <v/>
      </c>
      <c r="AN1080" s="20">
        <f>Operations!AN1061*Operations!AN1052*(1-Operations!AN1070)</f>
        <v/>
      </c>
      <c r="AO1080" s="20">
        <f>Operations!AO1061*Operations!AO1052*(1-Operations!AO1070)</f>
        <v/>
      </c>
      <c r="AP1080" s="20">
        <f>Operations!AP1061*Operations!AP1052*(1-Operations!AP1070)</f>
        <v/>
      </c>
      <c r="AQ1080" s="20">
        <f>Operations!AQ1061*Operations!AQ1052*(1-Operations!AQ1070)</f>
        <v/>
      </c>
      <c r="AR1080" s="20">
        <f>Operations!AR1061*Operations!AR1052*(1-Operations!AR1070)</f>
        <v/>
      </c>
      <c r="AS1080" s="20">
        <f>Operations!AS1061*Operations!AS1052*(1-Operations!AS1070)</f>
        <v/>
      </c>
      <c r="AT1080" s="20">
        <f>Operations!AT1061*Operations!AT1052*(1-Operations!AT1070)</f>
        <v/>
      </c>
      <c r="AU1080" s="20">
        <f>Operations!AU1061*Operations!AU1052*(1-Operations!AU1070)</f>
        <v/>
      </c>
    </row>
    <row r="1081">
      <c r="D1081" t="inlineStr">
        <is>
          <t>R7 Mesa-share revenue</t>
        </is>
      </c>
      <c r="E1081" t="inlineStr">
        <is>
          <t>USD m</t>
        </is>
      </c>
      <c r="J1081" s="20">
        <f>Operations!J1060*Operations!J1052*(1-Operations!J1070)</f>
        <v/>
      </c>
      <c r="K1081" s="20">
        <f>Operations!K1060*Operations!K1052*(1-Operations!K1070)</f>
        <v/>
      </c>
      <c r="L1081" s="20">
        <f>Operations!L1060*Operations!L1052*(1-Operations!L1070)</f>
        <v/>
      </c>
      <c r="M1081" s="20">
        <f>Operations!M1060*Operations!M1052*(1-Operations!M1070)</f>
        <v/>
      </c>
      <c r="N1081" s="20">
        <f>Operations!N1060*Operations!N1052*(1-Operations!N1070)</f>
        <v/>
      </c>
      <c r="O1081" s="20">
        <f>Operations!O1060*Operations!O1052*(1-Operations!O1070)</f>
        <v/>
      </c>
      <c r="P1081" s="20">
        <f>Operations!P1060*Operations!P1052*(1-Operations!P1070)</f>
        <v/>
      </c>
      <c r="Q1081" s="20">
        <f>Operations!Q1060*Operations!Q1052*(1-Operations!Q1070)</f>
        <v/>
      </c>
      <c r="R1081" s="20">
        <f>Operations!R1060*Operations!R1052*(1-Operations!R1070)</f>
        <v/>
      </c>
      <c r="S1081" s="20">
        <f>Operations!S1060*Operations!S1052*(1-Operations!S1070)</f>
        <v/>
      </c>
      <c r="T1081" s="20">
        <f>Operations!T1060*Operations!T1052*(1-Operations!T1070)</f>
        <v/>
      </c>
      <c r="U1081" s="20">
        <f>Operations!U1060*Operations!U1052*(1-Operations!U1070)</f>
        <v/>
      </c>
      <c r="V1081" s="20">
        <f>Operations!V1060*Operations!V1052*(1-Operations!V1070)</f>
        <v/>
      </c>
      <c r="W1081" s="20">
        <f>Operations!W1060*Operations!W1052*(1-Operations!W1070)</f>
        <v/>
      </c>
      <c r="X1081" s="20">
        <f>Operations!X1060*Operations!X1052*(1-Operations!X1070)</f>
        <v/>
      </c>
      <c r="Y1081" s="20">
        <f>Operations!Y1060*Operations!Y1052*(1-Operations!Y1070)</f>
        <v/>
      </c>
      <c r="Z1081" s="20">
        <f>Operations!Z1060*Operations!Z1052*(1-Operations!Z1070)</f>
        <v/>
      </c>
      <c r="AA1081" s="20">
        <f>Operations!AA1060*Operations!AA1052*(1-Operations!AA1070)</f>
        <v/>
      </c>
      <c r="AB1081" s="20">
        <f>Operations!AB1060*Operations!AB1052*(1-Operations!AB1070)</f>
        <v/>
      </c>
      <c r="AC1081" s="20">
        <f>Operations!AC1060*Operations!AC1052*(1-Operations!AC1070)</f>
        <v/>
      </c>
      <c r="AD1081" s="20">
        <f>Operations!AD1060*Operations!AD1052*(1-Operations!AD1070)</f>
        <v/>
      </c>
      <c r="AE1081" s="20">
        <f>Operations!AE1060*Operations!AE1052*(1-Operations!AE1070)</f>
        <v/>
      </c>
      <c r="AF1081" s="20">
        <f>Operations!AF1060*Operations!AF1052*(1-Operations!AF1070)</f>
        <v/>
      </c>
      <c r="AG1081" s="20">
        <f>Operations!AG1060*Operations!AG1052*(1-Operations!AG1070)</f>
        <v/>
      </c>
      <c r="AH1081" s="20">
        <f>Operations!AH1060*Operations!AH1052*(1-Operations!AH1070)</f>
        <v/>
      </c>
      <c r="AI1081" s="20">
        <f>Operations!AI1060*Operations!AI1052*(1-Operations!AI1070)</f>
        <v/>
      </c>
      <c r="AJ1081" s="20">
        <f>Operations!AJ1060*Operations!AJ1052*(1-Operations!AJ1070)</f>
        <v/>
      </c>
      <c r="AK1081" s="20">
        <f>Operations!AK1060*Operations!AK1052*(1-Operations!AK1070)</f>
        <v/>
      </c>
      <c r="AL1081" s="20">
        <f>Operations!AL1060*Operations!AL1052*(1-Operations!AL1070)</f>
        <v/>
      </c>
      <c r="AM1081" s="20">
        <f>Operations!AM1060*Operations!AM1052*(1-Operations!AM1070)</f>
        <v/>
      </c>
      <c r="AN1081" s="20">
        <f>Operations!AN1060*Operations!AN1052*(1-Operations!AN1070)</f>
        <v/>
      </c>
      <c r="AO1081" s="20">
        <f>Operations!AO1060*Operations!AO1052*(1-Operations!AO1070)</f>
        <v/>
      </c>
      <c r="AP1081" s="20">
        <f>Operations!AP1060*Operations!AP1052*(1-Operations!AP1070)</f>
        <v/>
      </c>
      <c r="AQ1081" s="20">
        <f>Operations!AQ1060*Operations!AQ1052*(1-Operations!AQ1070)</f>
        <v/>
      </c>
      <c r="AR1081" s="20">
        <f>Operations!AR1060*Operations!AR1052*(1-Operations!AR1070)</f>
        <v/>
      </c>
      <c r="AS1081" s="20">
        <f>Operations!AS1060*Operations!AS1052*(1-Operations!AS1070)</f>
        <v/>
      </c>
      <c r="AT1081" s="20">
        <f>Operations!AT1060*Operations!AT1052*(1-Operations!AT1070)</f>
        <v/>
      </c>
      <c r="AU1081" s="20">
        <f>Operations!AU1060*Operations!AU1052*(1-Operations!AU1070)</f>
        <v/>
      </c>
    </row>
    <row r="1082">
      <c r="D1082" s="19" t="inlineStr">
        <is>
          <t>R8 Barlow Gap Solar (single-axis tracking PV)</t>
        </is>
      </c>
    </row>
    <row r="1083">
      <c r="D1083" t="inlineStr">
        <is>
          <t>R8 operating fraction</t>
        </is>
      </c>
      <c r="E1083" t="inlineStr">
        <is>
          <t>fraction</t>
        </is>
      </c>
      <c r="J1083" s="14">
        <f>MAX(0,MIN(Inputs!$F$169,Time!J$6)-MAX(Inputs!$F$168,Time!J$5))/Time!J$7</f>
        <v/>
      </c>
      <c r="K1083" s="14">
        <f>MAX(0,MIN(Inputs!$F$169,Time!K$6)-MAX(Inputs!$F$168,Time!K$5))/Time!K$7</f>
        <v/>
      </c>
      <c r="L1083" s="14">
        <f>MAX(0,MIN(Inputs!$F$169,Time!L$6)-MAX(Inputs!$F$168,Time!L$5))/Time!L$7</f>
        <v/>
      </c>
      <c r="M1083" s="14">
        <f>MAX(0,MIN(Inputs!$F$169,Time!M$6)-MAX(Inputs!$F$168,Time!M$5))/Time!M$7</f>
        <v/>
      </c>
      <c r="N1083" s="14">
        <f>MAX(0,MIN(Inputs!$F$169,Time!N$6)-MAX(Inputs!$F$168,Time!N$5))/Time!N$7</f>
        <v/>
      </c>
      <c r="O1083" s="14">
        <f>MAX(0,MIN(Inputs!$F$169,Time!O$6)-MAX(Inputs!$F$168,Time!O$5))/Time!O$7</f>
        <v/>
      </c>
      <c r="P1083" s="14">
        <f>MAX(0,MIN(Inputs!$F$169,Time!P$6)-MAX(Inputs!$F$168,Time!P$5))/Time!P$7</f>
        <v/>
      </c>
      <c r="Q1083" s="14">
        <f>MAX(0,MIN(Inputs!$F$169,Time!Q$6)-MAX(Inputs!$F$168,Time!Q$5))/Time!Q$7</f>
        <v/>
      </c>
      <c r="R1083" s="14">
        <f>MAX(0,MIN(Inputs!$F$169,Time!R$6)-MAX(Inputs!$F$168,Time!R$5))/Time!R$7</f>
        <v/>
      </c>
      <c r="S1083" s="14">
        <f>MAX(0,MIN(Inputs!$F$169,Time!S$6)-MAX(Inputs!$F$168,Time!S$5))/Time!S$7</f>
        <v/>
      </c>
      <c r="T1083" s="14">
        <f>MAX(0,MIN(Inputs!$F$169,Time!T$6)-MAX(Inputs!$F$168,Time!T$5))/Time!T$7</f>
        <v/>
      </c>
      <c r="U1083" s="14">
        <f>MAX(0,MIN(Inputs!$F$169,Time!U$6)-MAX(Inputs!$F$168,Time!U$5))/Time!U$7</f>
        <v/>
      </c>
      <c r="V1083" s="14">
        <f>MAX(0,MIN(Inputs!$F$169,Time!V$6)-MAX(Inputs!$F$168,Time!V$5))/Time!V$7</f>
        <v/>
      </c>
      <c r="W1083" s="14">
        <f>MAX(0,MIN(Inputs!$F$169,Time!W$6)-MAX(Inputs!$F$168,Time!W$5))/Time!W$7</f>
        <v/>
      </c>
      <c r="X1083" s="14">
        <f>MAX(0,MIN(Inputs!$F$169,Time!X$6)-MAX(Inputs!$F$168,Time!X$5))/Time!X$7</f>
        <v/>
      </c>
      <c r="Y1083" s="14">
        <f>MAX(0,MIN(Inputs!$F$169,Time!Y$6)-MAX(Inputs!$F$168,Time!Y$5))/Time!Y$7</f>
        <v/>
      </c>
      <c r="Z1083" s="14">
        <f>MAX(0,MIN(Inputs!$F$169,Time!Z$6)-MAX(Inputs!$F$168,Time!Z$5))/Time!Z$7</f>
        <v/>
      </c>
      <c r="AA1083" s="14">
        <f>MAX(0,MIN(Inputs!$F$169,Time!AA$6)-MAX(Inputs!$F$168,Time!AA$5))/Time!AA$7</f>
        <v/>
      </c>
      <c r="AB1083" s="14">
        <f>MAX(0,MIN(Inputs!$F$169,Time!AB$6)-MAX(Inputs!$F$168,Time!AB$5))/Time!AB$7</f>
        <v/>
      </c>
      <c r="AC1083" s="14">
        <f>MAX(0,MIN(Inputs!$F$169,Time!AC$6)-MAX(Inputs!$F$168,Time!AC$5))/Time!AC$7</f>
        <v/>
      </c>
      <c r="AD1083" s="14">
        <f>MAX(0,MIN(Inputs!$F$169,Time!AD$6)-MAX(Inputs!$F$168,Time!AD$5))/Time!AD$7</f>
        <v/>
      </c>
      <c r="AE1083" s="14">
        <f>MAX(0,MIN(Inputs!$F$169,Time!AE$6)-MAX(Inputs!$F$168,Time!AE$5))/Time!AE$7</f>
        <v/>
      </c>
      <c r="AF1083" s="14">
        <f>MAX(0,MIN(Inputs!$F$169,Time!AF$6)-MAX(Inputs!$F$168,Time!AF$5))/Time!AF$7</f>
        <v/>
      </c>
      <c r="AG1083" s="14">
        <f>MAX(0,MIN(Inputs!$F$169,Time!AG$6)-MAX(Inputs!$F$168,Time!AG$5))/Time!AG$7</f>
        <v/>
      </c>
      <c r="AH1083" s="14">
        <f>MAX(0,MIN(Inputs!$F$169,Time!AH$6)-MAX(Inputs!$F$168,Time!AH$5))/Time!AH$7</f>
        <v/>
      </c>
      <c r="AI1083" s="14">
        <f>MAX(0,MIN(Inputs!$F$169,Time!AI$6)-MAX(Inputs!$F$168,Time!AI$5))/Time!AI$7</f>
        <v/>
      </c>
      <c r="AJ1083" s="14">
        <f>MAX(0,MIN(Inputs!$F$169,Time!AJ$6)-MAX(Inputs!$F$168,Time!AJ$5))/Time!AJ$7</f>
        <v/>
      </c>
      <c r="AK1083" s="14">
        <f>MAX(0,MIN(Inputs!$F$169,Time!AK$6)-MAX(Inputs!$F$168,Time!AK$5))/Time!AK$7</f>
        <v/>
      </c>
      <c r="AL1083" s="14">
        <f>MAX(0,MIN(Inputs!$F$169,Time!AL$6)-MAX(Inputs!$F$168,Time!AL$5))/Time!AL$7</f>
        <v/>
      </c>
      <c r="AM1083" s="14">
        <f>MAX(0,MIN(Inputs!$F$169,Time!AM$6)-MAX(Inputs!$F$168,Time!AM$5))/Time!AM$7</f>
        <v/>
      </c>
      <c r="AN1083" s="14">
        <f>MAX(0,MIN(Inputs!$F$169,Time!AN$6)-MAX(Inputs!$F$168,Time!AN$5))/Time!AN$7</f>
        <v/>
      </c>
      <c r="AO1083" s="14">
        <f>MAX(0,MIN(Inputs!$F$169,Time!AO$6)-MAX(Inputs!$F$168,Time!AO$5))/Time!AO$7</f>
        <v/>
      </c>
      <c r="AP1083" s="14">
        <f>MAX(0,MIN(Inputs!$F$169,Time!AP$6)-MAX(Inputs!$F$168,Time!AP$5))/Time!AP$7</f>
        <v/>
      </c>
      <c r="AQ1083" s="14">
        <f>MAX(0,MIN(Inputs!$F$169,Time!AQ$6)-MAX(Inputs!$F$168,Time!AQ$5))/Time!AQ$7</f>
        <v/>
      </c>
      <c r="AR1083" s="14">
        <f>MAX(0,MIN(Inputs!$F$169,Time!AR$6)-MAX(Inputs!$F$168,Time!AR$5))/Time!AR$7</f>
        <v/>
      </c>
      <c r="AS1083" s="14">
        <f>MAX(0,MIN(Inputs!$F$169,Time!AS$6)-MAX(Inputs!$F$168,Time!AS$5))/Time!AS$7</f>
        <v/>
      </c>
      <c r="AT1083" s="14">
        <f>MAX(0,MIN(Inputs!$F$169,Time!AT$6)-MAX(Inputs!$F$168,Time!AT$5))/Time!AT$7</f>
        <v/>
      </c>
      <c r="AU1083" s="14">
        <f>MAX(0,MIN(Inputs!$F$169,Time!AU$6)-MAX(Inputs!$F$168,Time!AU$5))/Time!AU$7</f>
        <v/>
      </c>
    </row>
    <row r="1084">
      <c r="D1084" t="inlineStr">
        <is>
          <t>R8 owned fraction</t>
        </is>
      </c>
      <c r="E1084" t="inlineStr">
        <is>
          <t>fraction</t>
        </is>
      </c>
      <c r="J1084" s="14">
        <f>MAX(0,MIN(Inputs!$F$169,Time!J$6)-MAX(MAX(Inputs!$F$170,Inputs!$F$168),Time!J$5))/Time!J$7</f>
        <v/>
      </c>
      <c r="K1084" s="14">
        <f>MAX(0,MIN(Inputs!$F$169,Time!K$6)-MAX(MAX(Inputs!$F$170,Inputs!$F$168),Time!K$5))/Time!K$7</f>
        <v/>
      </c>
      <c r="L1084" s="14">
        <f>MAX(0,MIN(Inputs!$F$169,Time!L$6)-MAX(MAX(Inputs!$F$170,Inputs!$F$168),Time!L$5))/Time!L$7</f>
        <v/>
      </c>
      <c r="M1084" s="14">
        <f>MAX(0,MIN(Inputs!$F$169,Time!M$6)-MAX(MAX(Inputs!$F$170,Inputs!$F$168),Time!M$5))/Time!M$7</f>
        <v/>
      </c>
      <c r="N1084" s="14">
        <f>MAX(0,MIN(Inputs!$F$169,Time!N$6)-MAX(MAX(Inputs!$F$170,Inputs!$F$168),Time!N$5))/Time!N$7</f>
        <v/>
      </c>
      <c r="O1084" s="14">
        <f>MAX(0,MIN(Inputs!$F$169,Time!O$6)-MAX(MAX(Inputs!$F$170,Inputs!$F$168),Time!O$5))/Time!O$7</f>
        <v/>
      </c>
      <c r="P1084" s="14">
        <f>MAX(0,MIN(Inputs!$F$169,Time!P$6)-MAX(MAX(Inputs!$F$170,Inputs!$F$168),Time!P$5))/Time!P$7</f>
        <v/>
      </c>
      <c r="Q1084" s="14">
        <f>MAX(0,MIN(Inputs!$F$169,Time!Q$6)-MAX(MAX(Inputs!$F$170,Inputs!$F$168),Time!Q$5))/Time!Q$7</f>
        <v/>
      </c>
      <c r="R1084" s="14">
        <f>MAX(0,MIN(Inputs!$F$169,Time!R$6)-MAX(MAX(Inputs!$F$170,Inputs!$F$168),Time!R$5))/Time!R$7</f>
        <v/>
      </c>
      <c r="S1084" s="14">
        <f>MAX(0,MIN(Inputs!$F$169,Time!S$6)-MAX(MAX(Inputs!$F$170,Inputs!$F$168),Time!S$5))/Time!S$7</f>
        <v/>
      </c>
      <c r="T1084" s="14">
        <f>MAX(0,MIN(Inputs!$F$169,Time!T$6)-MAX(MAX(Inputs!$F$170,Inputs!$F$168),Time!T$5))/Time!T$7</f>
        <v/>
      </c>
      <c r="U1084" s="14">
        <f>MAX(0,MIN(Inputs!$F$169,Time!U$6)-MAX(MAX(Inputs!$F$170,Inputs!$F$168),Time!U$5))/Time!U$7</f>
        <v/>
      </c>
      <c r="V1084" s="14">
        <f>MAX(0,MIN(Inputs!$F$169,Time!V$6)-MAX(MAX(Inputs!$F$170,Inputs!$F$168),Time!V$5))/Time!V$7</f>
        <v/>
      </c>
      <c r="W1084" s="14">
        <f>MAX(0,MIN(Inputs!$F$169,Time!W$6)-MAX(MAX(Inputs!$F$170,Inputs!$F$168),Time!W$5))/Time!W$7</f>
        <v/>
      </c>
      <c r="X1084" s="14">
        <f>MAX(0,MIN(Inputs!$F$169,Time!X$6)-MAX(MAX(Inputs!$F$170,Inputs!$F$168),Time!X$5))/Time!X$7</f>
        <v/>
      </c>
      <c r="Y1084" s="14">
        <f>MAX(0,MIN(Inputs!$F$169,Time!Y$6)-MAX(MAX(Inputs!$F$170,Inputs!$F$168),Time!Y$5))/Time!Y$7</f>
        <v/>
      </c>
      <c r="Z1084" s="14">
        <f>MAX(0,MIN(Inputs!$F$169,Time!Z$6)-MAX(MAX(Inputs!$F$170,Inputs!$F$168),Time!Z$5))/Time!Z$7</f>
        <v/>
      </c>
      <c r="AA1084" s="14">
        <f>MAX(0,MIN(Inputs!$F$169,Time!AA$6)-MAX(MAX(Inputs!$F$170,Inputs!$F$168),Time!AA$5))/Time!AA$7</f>
        <v/>
      </c>
      <c r="AB1084" s="14">
        <f>MAX(0,MIN(Inputs!$F$169,Time!AB$6)-MAX(MAX(Inputs!$F$170,Inputs!$F$168),Time!AB$5))/Time!AB$7</f>
        <v/>
      </c>
      <c r="AC1084" s="14">
        <f>MAX(0,MIN(Inputs!$F$169,Time!AC$6)-MAX(MAX(Inputs!$F$170,Inputs!$F$168),Time!AC$5))/Time!AC$7</f>
        <v/>
      </c>
      <c r="AD1084" s="14">
        <f>MAX(0,MIN(Inputs!$F$169,Time!AD$6)-MAX(MAX(Inputs!$F$170,Inputs!$F$168),Time!AD$5))/Time!AD$7</f>
        <v/>
      </c>
      <c r="AE1084" s="14">
        <f>MAX(0,MIN(Inputs!$F$169,Time!AE$6)-MAX(MAX(Inputs!$F$170,Inputs!$F$168),Time!AE$5))/Time!AE$7</f>
        <v/>
      </c>
      <c r="AF1084" s="14">
        <f>MAX(0,MIN(Inputs!$F$169,Time!AF$6)-MAX(MAX(Inputs!$F$170,Inputs!$F$168),Time!AF$5))/Time!AF$7</f>
        <v/>
      </c>
      <c r="AG1084" s="14">
        <f>MAX(0,MIN(Inputs!$F$169,Time!AG$6)-MAX(MAX(Inputs!$F$170,Inputs!$F$168),Time!AG$5))/Time!AG$7</f>
        <v/>
      </c>
      <c r="AH1084" s="14">
        <f>MAX(0,MIN(Inputs!$F$169,Time!AH$6)-MAX(MAX(Inputs!$F$170,Inputs!$F$168),Time!AH$5))/Time!AH$7</f>
        <v/>
      </c>
      <c r="AI1084" s="14">
        <f>MAX(0,MIN(Inputs!$F$169,Time!AI$6)-MAX(MAX(Inputs!$F$170,Inputs!$F$168),Time!AI$5))/Time!AI$7</f>
        <v/>
      </c>
      <c r="AJ1084" s="14">
        <f>MAX(0,MIN(Inputs!$F$169,Time!AJ$6)-MAX(MAX(Inputs!$F$170,Inputs!$F$168),Time!AJ$5))/Time!AJ$7</f>
        <v/>
      </c>
      <c r="AK1084" s="14">
        <f>MAX(0,MIN(Inputs!$F$169,Time!AK$6)-MAX(MAX(Inputs!$F$170,Inputs!$F$168),Time!AK$5))/Time!AK$7</f>
        <v/>
      </c>
      <c r="AL1084" s="14">
        <f>MAX(0,MIN(Inputs!$F$169,Time!AL$6)-MAX(MAX(Inputs!$F$170,Inputs!$F$168),Time!AL$5))/Time!AL$7</f>
        <v/>
      </c>
      <c r="AM1084" s="14">
        <f>MAX(0,MIN(Inputs!$F$169,Time!AM$6)-MAX(MAX(Inputs!$F$170,Inputs!$F$168),Time!AM$5))/Time!AM$7</f>
        <v/>
      </c>
      <c r="AN1084" s="14">
        <f>MAX(0,MIN(Inputs!$F$169,Time!AN$6)-MAX(MAX(Inputs!$F$170,Inputs!$F$168),Time!AN$5))/Time!AN$7</f>
        <v/>
      </c>
      <c r="AO1084" s="14">
        <f>MAX(0,MIN(Inputs!$F$169,Time!AO$6)-MAX(MAX(Inputs!$F$170,Inputs!$F$168),Time!AO$5))/Time!AO$7</f>
        <v/>
      </c>
      <c r="AP1084" s="14">
        <f>MAX(0,MIN(Inputs!$F$169,Time!AP$6)-MAX(MAX(Inputs!$F$170,Inputs!$F$168),Time!AP$5))/Time!AP$7</f>
        <v/>
      </c>
      <c r="AQ1084" s="14">
        <f>MAX(0,MIN(Inputs!$F$169,Time!AQ$6)-MAX(MAX(Inputs!$F$170,Inputs!$F$168),Time!AQ$5))/Time!AQ$7</f>
        <v/>
      </c>
      <c r="AR1084" s="14">
        <f>MAX(0,MIN(Inputs!$F$169,Time!AR$6)-MAX(MAX(Inputs!$F$170,Inputs!$F$168),Time!AR$5))/Time!AR$7</f>
        <v/>
      </c>
      <c r="AS1084" s="14">
        <f>MAX(0,MIN(Inputs!$F$169,Time!AS$6)-MAX(MAX(Inputs!$F$170,Inputs!$F$168),Time!AS$5))/Time!AS$7</f>
        <v/>
      </c>
      <c r="AT1084" s="14">
        <f>MAX(0,MIN(Inputs!$F$169,Time!AT$6)-MAX(MAX(Inputs!$F$170,Inputs!$F$168),Time!AT$5))/Time!AT$7</f>
        <v/>
      </c>
      <c r="AU1084" s="14">
        <f>MAX(0,MIN(Inputs!$F$169,Time!AU$6)-MAX(MAX(Inputs!$F$170,Inputs!$F$168),Time!AU$5))/Time!AU$7</f>
        <v/>
      </c>
    </row>
    <row r="1085">
      <c r="D1085" t="inlineStr">
        <is>
          <t>R8 owned share of operating period</t>
        </is>
      </c>
      <c r="E1085" t="inlineStr">
        <is>
          <t>fraction</t>
        </is>
      </c>
      <c r="J1085" s="14">
        <f>IF(Operations!J1083&gt;0,Operations!J1084/Operations!J1083,0)</f>
        <v/>
      </c>
      <c r="K1085" s="14">
        <f>IF(Operations!K1083&gt;0,Operations!K1084/Operations!K1083,0)</f>
        <v/>
      </c>
      <c r="L1085" s="14">
        <f>IF(Operations!L1083&gt;0,Operations!L1084/Operations!L1083,0)</f>
        <v/>
      </c>
      <c r="M1085" s="14">
        <f>IF(Operations!M1083&gt;0,Operations!M1084/Operations!M1083,0)</f>
        <v/>
      </c>
      <c r="N1085" s="14">
        <f>IF(Operations!N1083&gt;0,Operations!N1084/Operations!N1083,0)</f>
        <v/>
      </c>
      <c r="O1085" s="14">
        <f>IF(Operations!O1083&gt;0,Operations!O1084/Operations!O1083,0)</f>
        <v/>
      </c>
      <c r="P1085" s="14">
        <f>IF(Operations!P1083&gt;0,Operations!P1084/Operations!P1083,0)</f>
        <v/>
      </c>
      <c r="Q1085" s="14">
        <f>IF(Operations!Q1083&gt;0,Operations!Q1084/Operations!Q1083,0)</f>
        <v/>
      </c>
      <c r="R1085" s="14">
        <f>IF(Operations!R1083&gt;0,Operations!R1084/Operations!R1083,0)</f>
        <v/>
      </c>
      <c r="S1085" s="14">
        <f>IF(Operations!S1083&gt;0,Operations!S1084/Operations!S1083,0)</f>
        <v/>
      </c>
      <c r="T1085" s="14">
        <f>IF(Operations!T1083&gt;0,Operations!T1084/Operations!T1083,0)</f>
        <v/>
      </c>
      <c r="U1085" s="14">
        <f>IF(Operations!U1083&gt;0,Operations!U1084/Operations!U1083,0)</f>
        <v/>
      </c>
      <c r="V1085" s="14">
        <f>IF(Operations!V1083&gt;0,Operations!V1084/Operations!V1083,0)</f>
        <v/>
      </c>
      <c r="W1085" s="14">
        <f>IF(Operations!W1083&gt;0,Operations!W1084/Operations!W1083,0)</f>
        <v/>
      </c>
      <c r="X1085" s="14">
        <f>IF(Operations!X1083&gt;0,Operations!X1084/Operations!X1083,0)</f>
        <v/>
      </c>
      <c r="Y1085" s="14">
        <f>IF(Operations!Y1083&gt;0,Operations!Y1084/Operations!Y1083,0)</f>
        <v/>
      </c>
      <c r="Z1085" s="14">
        <f>IF(Operations!Z1083&gt;0,Operations!Z1084/Operations!Z1083,0)</f>
        <v/>
      </c>
      <c r="AA1085" s="14">
        <f>IF(Operations!AA1083&gt;0,Operations!AA1084/Operations!AA1083,0)</f>
        <v/>
      </c>
      <c r="AB1085" s="14">
        <f>IF(Operations!AB1083&gt;0,Operations!AB1084/Operations!AB1083,0)</f>
        <v/>
      </c>
      <c r="AC1085" s="14">
        <f>IF(Operations!AC1083&gt;0,Operations!AC1084/Operations!AC1083,0)</f>
        <v/>
      </c>
      <c r="AD1085" s="14">
        <f>IF(Operations!AD1083&gt;0,Operations!AD1084/Operations!AD1083,0)</f>
        <v/>
      </c>
      <c r="AE1085" s="14">
        <f>IF(Operations!AE1083&gt;0,Operations!AE1084/Operations!AE1083,0)</f>
        <v/>
      </c>
      <c r="AF1085" s="14">
        <f>IF(Operations!AF1083&gt;0,Operations!AF1084/Operations!AF1083,0)</f>
        <v/>
      </c>
      <c r="AG1085" s="14">
        <f>IF(Operations!AG1083&gt;0,Operations!AG1084/Operations!AG1083,0)</f>
        <v/>
      </c>
      <c r="AH1085" s="14">
        <f>IF(Operations!AH1083&gt;0,Operations!AH1084/Operations!AH1083,0)</f>
        <v/>
      </c>
      <c r="AI1085" s="14">
        <f>IF(Operations!AI1083&gt;0,Operations!AI1084/Operations!AI1083,0)</f>
        <v/>
      </c>
      <c r="AJ1085" s="14">
        <f>IF(Operations!AJ1083&gt;0,Operations!AJ1084/Operations!AJ1083,0)</f>
        <v/>
      </c>
      <c r="AK1085" s="14">
        <f>IF(Operations!AK1083&gt;0,Operations!AK1084/Operations!AK1083,0)</f>
        <v/>
      </c>
      <c r="AL1085" s="14">
        <f>IF(Operations!AL1083&gt;0,Operations!AL1084/Operations!AL1083,0)</f>
        <v/>
      </c>
      <c r="AM1085" s="14">
        <f>IF(Operations!AM1083&gt;0,Operations!AM1084/Operations!AM1083,0)</f>
        <v/>
      </c>
      <c r="AN1085" s="14">
        <f>IF(Operations!AN1083&gt;0,Operations!AN1084/Operations!AN1083,0)</f>
        <v/>
      </c>
      <c r="AO1085" s="14">
        <f>IF(Operations!AO1083&gt;0,Operations!AO1084/Operations!AO1083,0)</f>
        <v/>
      </c>
      <c r="AP1085" s="14">
        <f>IF(Operations!AP1083&gt;0,Operations!AP1084/Operations!AP1083,0)</f>
        <v/>
      </c>
      <c r="AQ1085" s="14">
        <f>IF(Operations!AQ1083&gt;0,Operations!AQ1084/Operations!AQ1083,0)</f>
        <v/>
      </c>
      <c r="AR1085" s="14">
        <f>IF(Operations!AR1083&gt;0,Operations!AR1084/Operations!AR1083,0)</f>
        <v/>
      </c>
      <c r="AS1085" s="14">
        <f>IF(Operations!AS1083&gt;0,Operations!AS1084/Operations!AS1083,0)</f>
        <v/>
      </c>
      <c r="AT1085" s="14">
        <f>IF(Operations!AT1083&gt;0,Operations!AT1084/Operations!AT1083,0)</f>
        <v/>
      </c>
      <c r="AU1085" s="14">
        <f>IF(Operations!AU1083&gt;0,Operations!AU1084/Operations!AU1083,0)</f>
        <v/>
      </c>
    </row>
    <row r="1086">
      <c r="D1086" t="inlineStr">
        <is>
          <t>R8 own hub ATC</t>
        </is>
      </c>
      <c r="E1086" t="inlineStr">
        <is>
          <t>USD/MWh</t>
        </is>
      </c>
      <c r="J1086" s="18">
        <f>Operations!J796</f>
        <v/>
      </c>
      <c r="K1086" s="18">
        <f>Operations!K796</f>
        <v/>
      </c>
      <c r="L1086" s="18">
        <f>Operations!L796</f>
        <v/>
      </c>
      <c r="M1086" s="18">
        <f>Operations!M796</f>
        <v/>
      </c>
      <c r="N1086" s="18">
        <f>Operations!N796</f>
        <v/>
      </c>
      <c r="O1086" s="18">
        <f>Operations!O796</f>
        <v/>
      </c>
      <c r="P1086" s="18">
        <f>Operations!P796</f>
        <v/>
      </c>
      <c r="Q1086" s="18">
        <f>Operations!Q796</f>
        <v/>
      </c>
      <c r="R1086" s="18">
        <f>Operations!R796</f>
        <v/>
      </c>
      <c r="S1086" s="18">
        <f>Operations!S796</f>
        <v/>
      </c>
      <c r="T1086" s="18">
        <f>Operations!T796</f>
        <v/>
      </c>
      <c r="U1086" s="18">
        <f>Operations!U796</f>
        <v/>
      </c>
      <c r="V1086" s="18">
        <f>Operations!V796</f>
        <v/>
      </c>
      <c r="W1086" s="18">
        <f>Operations!W796</f>
        <v/>
      </c>
      <c r="X1086" s="18">
        <f>Operations!X796</f>
        <v/>
      </c>
      <c r="Y1086" s="18">
        <f>Operations!Y796</f>
        <v/>
      </c>
      <c r="Z1086" s="18">
        <f>Operations!Z796</f>
        <v/>
      </c>
      <c r="AA1086" s="18">
        <f>Operations!AA796</f>
        <v/>
      </c>
      <c r="AB1086" s="18">
        <f>Operations!AB796</f>
        <v/>
      </c>
      <c r="AC1086" s="18">
        <f>Operations!AC796</f>
        <v/>
      </c>
      <c r="AD1086" s="18">
        <f>Operations!AD796</f>
        <v/>
      </c>
      <c r="AE1086" s="18">
        <f>Operations!AE796</f>
        <v/>
      </c>
      <c r="AF1086" s="18">
        <f>Operations!AF796</f>
        <v/>
      </c>
      <c r="AG1086" s="18">
        <f>Operations!AG796</f>
        <v/>
      </c>
      <c r="AH1086" s="18">
        <f>Operations!AH796</f>
        <v/>
      </c>
      <c r="AI1086" s="18">
        <f>Operations!AI796</f>
        <v/>
      </c>
      <c r="AJ1086" s="18">
        <f>Operations!AJ796</f>
        <v/>
      </c>
      <c r="AK1086" s="18">
        <f>Operations!AK796</f>
        <v/>
      </c>
      <c r="AL1086" s="18">
        <f>Operations!AL796</f>
        <v/>
      </c>
      <c r="AM1086" s="18">
        <f>Operations!AM796</f>
        <v/>
      </c>
      <c r="AN1086" s="18">
        <f>Operations!AN796</f>
        <v/>
      </c>
      <c r="AO1086" s="18">
        <f>Operations!AO796</f>
        <v/>
      </c>
      <c r="AP1086" s="18">
        <f>Operations!AP796</f>
        <v/>
      </c>
      <c r="AQ1086" s="18">
        <f>Operations!AQ796</f>
        <v/>
      </c>
      <c r="AR1086" s="18">
        <f>Operations!AR796</f>
        <v/>
      </c>
      <c r="AS1086" s="18">
        <f>Operations!AS796</f>
        <v/>
      </c>
      <c r="AT1086" s="18">
        <f>Operations!AT796</f>
        <v/>
      </c>
      <c r="AU1086" s="18">
        <f>Operations!AU796</f>
        <v/>
      </c>
    </row>
    <row r="1087">
      <c r="D1087" t="inlineStr">
        <is>
          <t>R8 volume factor</t>
        </is>
      </c>
      <c r="E1087" t="inlineStr">
        <is>
          <t>factor</t>
        </is>
      </c>
      <c r="J1087" s="14">
        <f>CHOOSE(Operations!$F$789,1,Inputs!$F$174/100,Inputs!$F$175/100,Operations!$F$42/100)</f>
        <v/>
      </c>
      <c r="K1087" s="14">
        <f>CHOOSE(Operations!$F$789,1,Inputs!$F$174/100,Inputs!$F$175/100,Operations!$F$42/100)</f>
        <v/>
      </c>
      <c r="L1087" s="14">
        <f>CHOOSE(Operations!$F$789,1,Inputs!$F$174/100,Inputs!$F$175/100,Operations!$F$42/100)</f>
        <v/>
      </c>
      <c r="M1087" s="14">
        <f>CHOOSE(Operations!$F$789,1,Inputs!$F$174/100,Inputs!$F$175/100,Operations!$F$42/100)</f>
        <v/>
      </c>
      <c r="N1087" s="14">
        <f>CHOOSE(Operations!$F$789,1,Inputs!$F$174/100,Inputs!$F$175/100,Operations!$F$42/100)</f>
        <v/>
      </c>
      <c r="O1087" s="14">
        <f>CHOOSE(Operations!$F$789,1,Inputs!$F$174/100,Inputs!$F$175/100,Operations!$F$42/100)</f>
        <v/>
      </c>
      <c r="P1087" s="14">
        <f>CHOOSE(Operations!$F$789,1,Inputs!$F$174/100,Inputs!$F$175/100,Operations!$F$42/100)</f>
        <v/>
      </c>
      <c r="Q1087" s="14">
        <f>CHOOSE(Operations!$F$789,1,Inputs!$F$174/100,Inputs!$F$175/100,Operations!$F$42/100)</f>
        <v/>
      </c>
      <c r="R1087" s="14">
        <f>CHOOSE(Operations!$F$789,1,Inputs!$F$174/100,Inputs!$F$175/100,Operations!$F$42/100)</f>
        <v/>
      </c>
      <c r="S1087" s="14">
        <f>CHOOSE(Operations!$F$789,1,Inputs!$F$174/100,Inputs!$F$175/100,Operations!$F$42/100)</f>
        <v/>
      </c>
      <c r="T1087" s="14">
        <f>CHOOSE(Operations!$F$789,1,Inputs!$F$174/100,Inputs!$F$175/100,Operations!$F$42/100)</f>
        <v/>
      </c>
      <c r="U1087" s="14">
        <f>CHOOSE(Operations!$F$789,1,Inputs!$F$174/100,Inputs!$F$175/100,Operations!$F$42/100)</f>
        <v/>
      </c>
      <c r="V1087" s="14">
        <f>CHOOSE(Operations!$F$789,1,Inputs!$F$174/100,Inputs!$F$175/100,Operations!$F$42/100)</f>
        <v/>
      </c>
      <c r="W1087" s="14">
        <f>CHOOSE(Operations!$F$789,1,Inputs!$F$174/100,Inputs!$F$175/100,Operations!$F$42/100)</f>
        <v/>
      </c>
      <c r="X1087" s="14">
        <f>CHOOSE(Operations!$F$789,1,Inputs!$F$174/100,Inputs!$F$175/100,Operations!$F$42/100)</f>
        <v/>
      </c>
      <c r="Y1087" s="14">
        <f>CHOOSE(Operations!$F$789,1,Inputs!$F$174/100,Inputs!$F$175/100,Operations!$F$42/100)</f>
        <v/>
      </c>
      <c r="Z1087" s="14">
        <f>CHOOSE(Operations!$F$789,1,Inputs!$F$174/100,Inputs!$F$175/100,Operations!$F$42/100)</f>
        <v/>
      </c>
      <c r="AA1087" s="14">
        <f>CHOOSE(Operations!$F$789,1,Inputs!$F$174/100,Inputs!$F$175/100,Operations!$F$42/100)</f>
        <v/>
      </c>
      <c r="AB1087" s="14">
        <f>CHOOSE(Operations!$F$789,1,Inputs!$F$174/100,Inputs!$F$175/100,Operations!$F$42/100)</f>
        <v/>
      </c>
      <c r="AC1087" s="14">
        <f>CHOOSE(Operations!$F$789,1,Inputs!$F$174/100,Inputs!$F$175/100,Operations!$F$42/100)</f>
        <v/>
      </c>
      <c r="AD1087" s="14">
        <f>CHOOSE(Operations!$F$789,1,Inputs!$F$174/100,Inputs!$F$175/100,Operations!$F$42/100)</f>
        <v/>
      </c>
      <c r="AE1087" s="14">
        <f>CHOOSE(Operations!$F$789,1,Inputs!$F$174/100,Inputs!$F$175/100,Operations!$F$42/100)</f>
        <v/>
      </c>
      <c r="AF1087" s="14">
        <f>CHOOSE(Operations!$F$789,1,Inputs!$F$174/100,Inputs!$F$175/100,Operations!$F$42/100)</f>
        <v/>
      </c>
      <c r="AG1087" s="14">
        <f>CHOOSE(Operations!$F$789,1,Inputs!$F$174/100,Inputs!$F$175/100,Operations!$F$42/100)</f>
        <v/>
      </c>
      <c r="AH1087" s="14">
        <f>CHOOSE(Operations!$F$789,1,Inputs!$F$174/100,Inputs!$F$175/100,Operations!$F$42/100)</f>
        <v/>
      </c>
      <c r="AI1087" s="14">
        <f>CHOOSE(Operations!$F$789,1,Inputs!$F$174/100,Inputs!$F$175/100,Operations!$F$42/100)</f>
        <v/>
      </c>
      <c r="AJ1087" s="14">
        <f>CHOOSE(Operations!$F$789,1,Inputs!$F$174/100,Inputs!$F$175/100,Operations!$F$42/100)</f>
        <v/>
      </c>
      <c r="AK1087" s="14">
        <f>CHOOSE(Operations!$F$789,1,Inputs!$F$174/100,Inputs!$F$175/100,Operations!$F$42/100)</f>
        <v/>
      </c>
      <c r="AL1087" s="14">
        <f>CHOOSE(Operations!$F$789,1,Inputs!$F$174/100,Inputs!$F$175/100,Operations!$F$42/100)</f>
        <v/>
      </c>
      <c r="AM1087" s="14">
        <f>CHOOSE(Operations!$F$789,1,Inputs!$F$174/100,Inputs!$F$175/100,Operations!$F$42/100)</f>
        <v/>
      </c>
      <c r="AN1087" s="14">
        <f>CHOOSE(Operations!$F$789,1,Inputs!$F$174/100,Inputs!$F$175/100,Operations!$F$42/100)</f>
        <v/>
      </c>
      <c r="AO1087" s="14">
        <f>CHOOSE(Operations!$F$789,1,Inputs!$F$174/100,Inputs!$F$175/100,Operations!$F$42/100)</f>
        <v/>
      </c>
      <c r="AP1087" s="14">
        <f>CHOOSE(Operations!$F$789,1,Inputs!$F$174/100,Inputs!$F$175/100,Operations!$F$42/100)</f>
        <v/>
      </c>
      <c r="AQ1087" s="14">
        <f>CHOOSE(Operations!$F$789,1,Inputs!$F$174/100,Inputs!$F$175/100,Operations!$F$42/100)</f>
        <v/>
      </c>
      <c r="AR1087" s="14">
        <f>CHOOSE(Operations!$F$789,1,Inputs!$F$174/100,Inputs!$F$175/100,Operations!$F$42/100)</f>
        <v/>
      </c>
      <c r="AS1087" s="14">
        <f>CHOOSE(Operations!$F$789,1,Inputs!$F$174/100,Inputs!$F$175/100,Operations!$F$42/100)</f>
        <v/>
      </c>
      <c r="AT1087" s="14">
        <f>CHOOSE(Operations!$F$789,1,Inputs!$F$174/100,Inputs!$F$175/100,Operations!$F$42/100)</f>
        <v/>
      </c>
      <c r="AU1087" s="14">
        <f>CHOOSE(Operations!$F$789,1,Inputs!$F$174/100,Inputs!$F$175/100,Operations!$F$42/100)</f>
        <v/>
      </c>
    </row>
    <row r="1088">
      <c r="D1088" t="inlineStr">
        <is>
          <t>R8 degradation factor</t>
        </is>
      </c>
      <c r="E1088" t="inlineStr">
        <is>
          <t>factor</t>
        </is>
      </c>
      <c r="J1088" s="14">
        <f>(1-Inputs!$F$176/100)^MAX(0,Time!J$4-Inputs!$F$177)</f>
        <v/>
      </c>
      <c r="K1088" s="14">
        <f>(1-Inputs!$F$176/100)^MAX(0,Time!K$4-Inputs!$F$177)</f>
        <v/>
      </c>
      <c r="L1088" s="14">
        <f>(1-Inputs!$F$176/100)^MAX(0,Time!L$4-Inputs!$F$177)</f>
        <v/>
      </c>
      <c r="M1088" s="14">
        <f>(1-Inputs!$F$176/100)^MAX(0,Time!M$4-Inputs!$F$177)</f>
        <v/>
      </c>
      <c r="N1088" s="14">
        <f>(1-Inputs!$F$176/100)^MAX(0,Time!N$4-Inputs!$F$177)</f>
        <v/>
      </c>
      <c r="O1088" s="14">
        <f>(1-Inputs!$F$176/100)^MAX(0,Time!O$4-Inputs!$F$177)</f>
        <v/>
      </c>
      <c r="P1088" s="14">
        <f>(1-Inputs!$F$176/100)^MAX(0,Time!P$4-Inputs!$F$177)</f>
        <v/>
      </c>
      <c r="Q1088" s="14">
        <f>(1-Inputs!$F$176/100)^MAX(0,Time!Q$4-Inputs!$F$177)</f>
        <v/>
      </c>
      <c r="R1088" s="14">
        <f>(1-Inputs!$F$176/100)^MAX(0,Time!R$4-Inputs!$F$177)</f>
        <v/>
      </c>
      <c r="S1088" s="14">
        <f>(1-Inputs!$F$176/100)^MAX(0,Time!S$4-Inputs!$F$177)</f>
        <v/>
      </c>
      <c r="T1088" s="14">
        <f>(1-Inputs!$F$176/100)^MAX(0,Time!T$4-Inputs!$F$177)</f>
        <v/>
      </c>
      <c r="U1088" s="14">
        <f>(1-Inputs!$F$176/100)^MAX(0,Time!U$4-Inputs!$F$177)</f>
        <v/>
      </c>
      <c r="V1088" s="14">
        <f>(1-Inputs!$F$176/100)^MAX(0,Time!V$4-Inputs!$F$177)</f>
        <v/>
      </c>
      <c r="W1088" s="14">
        <f>(1-Inputs!$F$176/100)^MAX(0,Time!W$4-Inputs!$F$177)</f>
        <v/>
      </c>
      <c r="X1088" s="14">
        <f>(1-Inputs!$F$176/100)^MAX(0,Time!X$4-Inputs!$F$177)</f>
        <v/>
      </c>
      <c r="Y1088" s="14">
        <f>(1-Inputs!$F$176/100)^MAX(0,Time!Y$4-Inputs!$F$177)</f>
        <v/>
      </c>
      <c r="Z1088" s="14">
        <f>(1-Inputs!$F$176/100)^MAX(0,Time!Z$4-Inputs!$F$177)</f>
        <v/>
      </c>
      <c r="AA1088" s="14">
        <f>(1-Inputs!$F$176/100)^MAX(0,Time!AA$4-Inputs!$F$177)</f>
        <v/>
      </c>
      <c r="AB1088" s="14">
        <f>(1-Inputs!$F$176/100)^MAX(0,Time!AB$4-Inputs!$F$177)</f>
        <v/>
      </c>
      <c r="AC1088" s="14">
        <f>(1-Inputs!$F$176/100)^MAX(0,Time!AC$4-Inputs!$F$177)</f>
        <v/>
      </c>
      <c r="AD1088" s="14">
        <f>(1-Inputs!$F$176/100)^MAX(0,Time!AD$4-Inputs!$F$177)</f>
        <v/>
      </c>
      <c r="AE1088" s="14">
        <f>(1-Inputs!$F$176/100)^MAX(0,Time!AE$4-Inputs!$F$177)</f>
        <v/>
      </c>
      <c r="AF1088" s="14">
        <f>(1-Inputs!$F$176/100)^MAX(0,Time!AF$4-Inputs!$F$177)</f>
        <v/>
      </c>
      <c r="AG1088" s="14">
        <f>(1-Inputs!$F$176/100)^MAX(0,Time!AG$4-Inputs!$F$177)</f>
        <v/>
      </c>
      <c r="AH1088" s="14">
        <f>(1-Inputs!$F$176/100)^MAX(0,Time!AH$4-Inputs!$F$177)</f>
        <v/>
      </c>
      <c r="AI1088" s="14">
        <f>(1-Inputs!$F$176/100)^MAX(0,Time!AI$4-Inputs!$F$177)</f>
        <v/>
      </c>
      <c r="AJ1088" s="14">
        <f>(1-Inputs!$F$176/100)^MAX(0,Time!AJ$4-Inputs!$F$177)</f>
        <v/>
      </c>
      <c r="AK1088" s="14">
        <f>(1-Inputs!$F$176/100)^MAX(0,Time!AK$4-Inputs!$F$177)</f>
        <v/>
      </c>
      <c r="AL1088" s="14">
        <f>(1-Inputs!$F$176/100)^MAX(0,Time!AL$4-Inputs!$F$177)</f>
        <v/>
      </c>
      <c r="AM1088" s="14">
        <f>(1-Inputs!$F$176/100)^MAX(0,Time!AM$4-Inputs!$F$177)</f>
        <v/>
      </c>
      <c r="AN1088" s="14">
        <f>(1-Inputs!$F$176/100)^MAX(0,Time!AN$4-Inputs!$F$177)</f>
        <v/>
      </c>
      <c r="AO1088" s="14">
        <f>(1-Inputs!$F$176/100)^MAX(0,Time!AO$4-Inputs!$F$177)</f>
        <v/>
      </c>
      <c r="AP1088" s="14">
        <f>(1-Inputs!$F$176/100)^MAX(0,Time!AP$4-Inputs!$F$177)</f>
        <v/>
      </c>
      <c r="AQ1088" s="14">
        <f>(1-Inputs!$F$176/100)^MAX(0,Time!AQ$4-Inputs!$F$177)</f>
        <v/>
      </c>
      <c r="AR1088" s="14">
        <f>(1-Inputs!$F$176/100)^MAX(0,Time!AR$4-Inputs!$F$177)</f>
        <v/>
      </c>
      <c r="AS1088" s="14">
        <f>(1-Inputs!$F$176/100)^MAX(0,Time!AS$4-Inputs!$F$177)</f>
        <v/>
      </c>
      <c r="AT1088" s="14">
        <f>(1-Inputs!$F$176/100)^MAX(0,Time!AT$4-Inputs!$F$177)</f>
        <v/>
      </c>
      <c r="AU1088" s="14">
        <f>(1-Inputs!$F$176/100)^MAX(0,Time!AU$4-Inputs!$F$177)</f>
        <v/>
      </c>
    </row>
    <row r="1089">
      <c r="D1089" t="inlineStr">
        <is>
          <t>R8 curtailment</t>
        </is>
      </c>
      <c r="E1089" t="inlineStr">
        <is>
          <t>fraction</t>
        </is>
      </c>
      <c r="J1089" s="14">
        <f>(IF(Time!J$4&gt;=Inputs!$F$61,Inputs!$F$69,Inputs!$F$68+(Inputs!$F$69-Inputs!$F$68)*(Time!J$4-Inputs!$F$23)/(Inputs!$F$61-Inputs!$F$23))+Operations!$F$791)/100</f>
        <v/>
      </c>
      <c r="K1089" s="14">
        <f>(IF(Time!K$4&gt;=Inputs!$F$61,Inputs!$F$69,Inputs!$F$68+(Inputs!$F$69-Inputs!$F$68)*(Time!K$4-Inputs!$F$23)/(Inputs!$F$61-Inputs!$F$23))+Operations!$F$791)/100</f>
        <v/>
      </c>
      <c r="L1089" s="14">
        <f>(IF(Time!L$4&gt;=Inputs!$F$61,Inputs!$F$69,Inputs!$F$68+(Inputs!$F$69-Inputs!$F$68)*(Time!L$4-Inputs!$F$23)/(Inputs!$F$61-Inputs!$F$23))+Operations!$F$791)/100</f>
        <v/>
      </c>
      <c r="M1089" s="14">
        <f>(IF(Time!M$4&gt;=Inputs!$F$61,Inputs!$F$69,Inputs!$F$68+(Inputs!$F$69-Inputs!$F$68)*(Time!M$4-Inputs!$F$23)/(Inputs!$F$61-Inputs!$F$23))+Operations!$F$791)/100</f>
        <v/>
      </c>
      <c r="N1089" s="14">
        <f>(IF(Time!N$4&gt;=Inputs!$F$61,Inputs!$F$69,Inputs!$F$68+(Inputs!$F$69-Inputs!$F$68)*(Time!N$4-Inputs!$F$23)/(Inputs!$F$61-Inputs!$F$23))+Operations!$F$791)/100</f>
        <v/>
      </c>
      <c r="O1089" s="14">
        <f>(IF(Time!O$4&gt;=Inputs!$F$61,Inputs!$F$69,Inputs!$F$68+(Inputs!$F$69-Inputs!$F$68)*(Time!O$4-Inputs!$F$23)/(Inputs!$F$61-Inputs!$F$23))+Operations!$F$791)/100</f>
        <v/>
      </c>
      <c r="P1089" s="14">
        <f>(IF(Time!P$4&gt;=Inputs!$F$61,Inputs!$F$69,Inputs!$F$68+(Inputs!$F$69-Inputs!$F$68)*(Time!P$4-Inputs!$F$23)/(Inputs!$F$61-Inputs!$F$23))+Operations!$F$791)/100</f>
        <v/>
      </c>
      <c r="Q1089" s="14">
        <f>(IF(Time!Q$4&gt;=Inputs!$F$61,Inputs!$F$69,Inputs!$F$68+(Inputs!$F$69-Inputs!$F$68)*(Time!Q$4-Inputs!$F$23)/(Inputs!$F$61-Inputs!$F$23))+Operations!$F$791)/100</f>
        <v/>
      </c>
      <c r="R1089" s="14">
        <f>(IF(Time!R$4&gt;=Inputs!$F$61,Inputs!$F$69,Inputs!$F$68+(Inputs!$F$69-Inputs!$F$68)*(Time!R$4-Inputs!$F$23)/(Inputs!$F$61-Inputs!$F$23))+Operations!$F$791)/100</f>
        <v/>
      </c>
      <c r="S1089" s="14">
        <f>(IF(Time!S$4&gt;=Inputs!$F$61,Inputs!$F$69,Inputs!$F$68+(Inputs!$F$69-Inputs!$F$68)*(Time!S$4-Inputs!$F$23)/(Inputs!$F$61-Inputs!$F$23))+Operations!$F$791)/100</f>
        <v/>
      </c>
      <c r="T1089" s="14">
        <f>(IF(Time!T$4&gt;=Inputs!$F$61,Inputs!$F$69,Inputs!$F$68+(Inputs!$F$69-Inputs!$F$68)*(Time!T$4-Inputs!$F$23)/(Inputs!$F$61-Inputs!$F$23))+Operations!$F$791)/100</f>
        <v/>
      </c>
      <c r="U1089" s="14">
        <f>(IF(Time!U$4&gt;=Inputs!$F$61,Inputs!$F$69,Inputs!$F$68+(Inputs!$F$69-Inputs!$F$68)*(Time!U$4-Inputs!$F$23)/(Inputs!$F$61-Inputs!$F$23))+Operations!$F$791)/100</f>
        <v/>
      </c>
      <c r="V1089" s="14">
        <f>(IF(Time!V$4&gt;=Inputs!$F$61,Inputs!$F$69,Inputs!$F$68+(Inputs!$F$69-Inputs!$F$68)*(Time!V$4-Inputs!$F$23)/(Inputs!$F$61-Inputs!$F$23))+Operations!$F$791)/100</f>
        <v/>
      </c>
      <c r="W1089" s="14">
        <f>(IF(Time!W$4&gt;=Inputs!$F$61,Inputs!$F$69,Inputs!$F$68+(Inputs!$F$69-Inputs!$F$68)*(Time!W$4-Inputs!$F$23)/(Inputs!$F$61-Inputs!$F$23))+Operations!$F$791)/100</f>
        <v/>
      </c>
      <c r="X1089" s="14">
        <f>(IF(Time!X$4&gt;=Inputs!$F$61,Inputs!$F$69,Inputs!$F$68+(Inputs!$F$69-Inputs!$F$68)*(Time!X$4-Inputs!$F$23)/(Inputs!$F$61-Inputs!$F$23))+Operations!$F$791)/100</f>
        <v/>
      </c>
      <c r="Y1089" s="14">
        <f>(IF(Time!Y$4&gt;=Inputs!$F$61,Inputs!$F$69,Inputs!$F$68+(Inputs!$F$69-Inputs!$F$68)*(Time!Y$4-Inputs!$F$23)/(Inputs!$F$61-Inputs!$F$23))+Operations!$F$791)/100</f>
        <v/>
      </c>
      <c r="Z1089" s="14">
        <f>(IF(Time!Z$4&gt;=Inputs!$F$61,Inputs!$F$69,Inputs!$F$68+(Inputs!$F$69-Inputs!$F$68)*(Time!Z$4-Inputs!$F$23)/(Inputs!$F$61-Inputs!$F$23))+Operations!$F$791)/100</f>
        <v/>
      </c>
      <c r="AA1089" s="14">
        <f>(IF(Time!AA$4&gt;=Inputs!$F$61,Inputs!$F$69,Inputs!$F$68+(Inputs!$F$69-Inputs!$F$68)*(Time!AA$4-Inputs!$F$23)/(Inputs!$F$61-Inputs!$F$23))+Operations!$F$791)/100</f>
        <v/>
      </c>
      <c r="AB1089" s="14">
        <f>(IF(Time!AB$4&gt;=Inputs!$F$61,Inputs!$F$69,Inputs!$F$68+(Inputs!$F$69-Inputs!$F$68)*(Time!AB$4-Inputs!$F$23)/(Inputs!$F$61-Inputs!$F$23))+Operations!$F$791)/100</f>
        <v/>
      </c>
      <c r="AC1089" s="14">
        <f>(IF(Time!AC$4&gt;=Inputs!$F$61,Inputs!$F$69,Inputs!$F$68+(Inputs!$F$69-Inputs!$F$68)*(Time!AC$4-Inputs!$F$23)/(Inputs!$F$61-Inputs!$F$23))+Operations!$F$791)/100</f>
        <v/>
      </c>
      <c r="AD1089" s="14">
        <f>(IF(Time!AD$4&gt;=Inputs!$F$61,Inputs!$F$69,Inputs!$F$68+(Inputs!$F$69-Inputs!$F$68)*(Time!AD$4-Inputs!$F$23)/(Inputs!$F$61-Inputs!$F$23))+Operations!$F$791)/100</f>
        <v/>
      </c>
      <c r="AE1089" s="14">
        <f>(IF(Time!AE$4&gt;=Inputs!$F$61,Inputs!$F$69,Inputs!$F$68+(Inputs!$F$69-Inputs!$F$68)*(Time!AE$4-Inputs!$F$23)/(Inputs!$F$61-Inputs!$F$23))+Operations!$F$791)/100</f>
        <v/>
      </c>
      <c r="AF1089" s="14">
        <f>(IF(Time!AF$4&gt;=Inputs!$F$61,Inputs!$F$69,Inputs!$F$68+(Inputs!$F$69-Inputs!$F$68)*(Time!AF$4-Inputs!$F$23)/(Inputs!$F$61-Inputs!$F$23))+Operations!$F$791)/100</f>
        <v/>
      </c>
      <c r="AG1089" s="14">
        <f>(IF(Time!AG$4&gt;=Inputs!$F$61,Inputs!$F$69,Inputs!$F$68+(Inputs!$F$69-Inputs!$F$68)*(Time!AG$4-Inputs!$F$23)/(Inputs!$F$61-Inputs!$F$23))+Operations!$F$791)/100</f>
        <v/>
      </c>
      <c r="AH1089" s="14">
        <f>(IF(Time!AH$4&gt;=Inputs!$F$61,Inputs!$F$69,Inputs!$F$68+(Inputs!$F$69-Inputs!$F$68)*(Time!AH$4-Inputs!$F$23)/(Inputs!$F$61-Inputs!$F$23))+Operations!$F$791)/100</f>
        <v/>
      </c>
      <c r="AI1089" s="14">
        <f>(IF(Time!AI$4&gt;=Inputs!$F$61,Inputs!$F$69,Inputs!$F$68+(Inputs!$F$69-Inputs!$F$68)*(Time!AI$4-Inputs!$F$23)/(Inputs!$F$61-Inputs!$F$23))+Operations!$F$791)/100</f>
        <v/>
      </c>
      <c r="AJ1089" s="14">
        <f>(IF(Time!AJ$4&gt;=Inputs!$F$61,Inputs!$F$69,Inputs!$F$68+(Inputs!$F$69-Inputs!$F$68)*(Time!AJ$4-Inputs!$F$23)/(Inputs!$F$61-Inputs!$F$23))+Operations!$F$791)/100</f>
        <v/>
      </c>
      <c r="AK1089" s="14">
        <f>(IF(Time!AK$4&gt;=Inputs!$F$61,Inputs!$F$69,Inputs!$F$68+(Inputs!$F$69-Inputs!$F$68)*(Time!AK$4-Inputs!$F$23)/(Inputs!$F$61-Inputs!$F$23))+Operations!$F$791)/100</f>
        <v/>
      </c>
      <c r="AL1089" s="14">
        <f>(IF(Time!AL$4&gt;=Inputs!$F$61,Inputs!$F$69,Inputs!$F$68+(Inputs!$F$69-Inputs!$F$68)*(Time!AL$4-Inputs!$F$23)/(Inputs!$F$61-Inputs!$F$23))+Operations!$F$791)/100</f>
        <v/>
      </c>
      <c r="AM1089" s="14">
        <f>(IF(Time!AM$4&gt;=Inputs!$F$61,Inputs!$F$69,Inputs!$F$68+(Inputs!$F$69-Inputs!$F$68)*(Time!AM$4-Inputs!$F$23)/(Inputs!$F$61-Inputs!$F$23))+Operations!$F$791)/100</f>
        <v/>
      </c>
      <c r="AN1089" s="14">
        <f>(IF(Time!AN$4&gt;=Inputs!$F$61,Inputs!$F$69,Inputs!$F$68+(Inputs!$F$69-Inputs!$F$68)*(Time!AN$4-Inputs!$F$23)/(Inputs!$F$61-Inputs!$F$23))+Operations!$F$791)/100</f>
        <v/>
      </c>
      <c r="AO1089" s="14">
        <f>(IF(Time!AO$4&gt;=Inputs!$F$61,Inputs!$F$69,Inputs!$F$68+(Inputs!$F$69-Inputs!$F$68)*(Time!AO$4-Inputs!$F$23)/(Inputs!$F$61-Inputs!$F$23))+Operations!$F$791)/100</f>
        <v/>
      </c>
      <c r="AP1089" s="14">
        <f>(IF(Time!AP$4&gt;=Inputs!$F$61,Inputs!$F$69,Inputs!$F$68+(Inputs!$F$69-Inputs!$F$68)*(Time!AP$4-Inputs!$F$23)/(Inputs!$F$61-Inputs!$F$23))+Operations!$F$791)/100</f>
        <v/>
      </c>
      <c r="AQ1089" s="14">
        <f>(IF(Time!AQ$4&gt;=Inputs!$F$61,Inputs!$F$69,Inputs!$F$68+(Inputs!$F$69-Inputs!$F$68)*(Time!AQ$4-Inputs!$F$23)/(Inputs!$F$61-Inputs!$F$23))+Operations!$F$791)/100</f>
        <v/>
      </c>
      <c r="AR1089" s="14">
        <f>(IF(Time!AR$4&gt;=Inputs!$F$61,Inputs!$F$69,Inputs!$F$68+(Inputs!$F$69-Inputs!$F$68)*(Time!AR$4-Inputs!$F$23)/(Inputs!$F$61-Inputs!$F$23))+Operations!$F$791)/100</f>
        <v/>
      </c>
      <c r="AS1089" s="14">
        <f>(IF(Time!AS$4&gt;=Inputs!$F$61,Inputs!$F$69,Inputs!$F$68+(Inputs!$F$69-Inputs!$F$68)*(Time!AS$4-Inputs!$F$23)/(Inputs!$F$61-Inputs!$F$23))+Operations!$F$791)/100</f>
        <v/>
      </c>
      <c r="AT1089" s="14">
        <f>(IF(Time!AT$4&gt;=Inputs!$F$61,Inputs!$F$69,Inputs!$F$68+(Inputs!$F$69-Inputs!$F$68)*(Time!AT$4-Inputs!$F$23)/(Inputs!$F$61-Inputs!$F$23))+Operations!$F$791)/100</f>
        <v/>
      </c>
      <c r="AU1089" s="14">
        <f>(IF(Time!AU$4&gt;=Inputs!$F$61,Inputs!$F$69,Inputs!$F$68+(Inputs!$F$69-Inputs!$F$68)*(Time!AU$4-Inputs!$F$23)/(Inputs!$F$61-Inputs!$F$23))+Operations!$F$791)/100</f>
        <v/>
      </c>
    </row>
    <row r="1090">
      <c r="D1090" t="inlineStr">
        <is>
          <t>R8 net generation, full year</t>
        </is>
      </c>
      <c r="E1090" t="inlineStr">
        <is>
          <t>GWh</t>
        </is>
      </c>
      <c r="J1090" s="20">
        <f>Inputs!$F$173*Operations!J1087*Inputs!$F$185/100*Operations!J1088*(1-Operations!J1089)</f>
        <v/>
      </c>
      <c r="K1090" s="20">
        <f>Inputs!$F$173*Operations!K1087*Inputs!$F$185/100*Operations!K1088*(1-Operations!K1089)</f>
        <v/>
      </c>
      <c r="L1090" s="20">
        <f>Inputs!$F$173*Operations!L1087*Inputs!$F$185/100*Operations!L1088*(1-Operations!L1089)</f>
        <v/>
      </c>
      <c r="M1090" s="20">
        <f>Inputs!$F$173*Operations!M1087*Inputs!$F$185/100*Operations!M1088*(1-Operations!M1089)</f>
        <v/>
      </c>
      <c r="N1090" s="20">
        <f>Inputs!$F$173*Operations!N1087*Inputs!$F$185/100*Operations!N1088*(1-Operations!N1089)</f>
        <v/>
      </c>
      <c r="O1090" s="20">
        <f>Inputs!$F$173*Operations!O1087*Inputs!$F$185/100*Operations!O1088*(1-Operations!O1089)</f>
        <v/>
      </c>
      <c r="P1090" s="20">
        <f>Inputs!$F$173*Operations!P1087*Inputs!$F$185/100*Operations!P1088*(1-Operations!P1089)</f>
        <v/>
      </c>
      <c r="Q1090" s="20">
        <f>Inputs!$F$173*Operations!Q1087*Inputs!$F$185/100*Operations!Q1088*(1-Operations!Q1089)</f>
        <v/>
      </c>
      <c r="R1090" s="20">
        <f>Inputs!$F$173*Operations!R1087*Inputs!$F$185/100*Operations!R1088*(1-Operations!R1089)</f>
        <v/>
      </c>
      <c r="S1090" s="20">
        <f>Inputs!$F$173*Operations!S1087*Inputs!$F$185/100*Operations!S1088*(1-Operations!S1089)</f>
        <v/>
      </c>
      <c r="T1090" s="20">
        <f>Inputs!$F$173*Operations!T1087*Inputs!$F$185/100*Operations!T1088*(1-Operations!T1089)</f>
        <v/>
      </c>
      <c r="U1090" s="20">
        <f>Inputs!$F$173*Operations!U1087*Inputs!$F$185/100*Operations!U1088*(1-Operations!U1089)</f>
        <v/>
      </c>
      <c r="V1090" s="20">
        <f>Inputs!$F$173*Operations!V1087*Inputs!$F$185/100*Operations!V1088*(1-Operations!V1089)</f>
        <v/>
      </c>
      <c r="W1090" s="20">
        <f>Inputs!$F$173*Operations!W1087*Inputs!$F$185/100*Operations!W1088*(1-Operations!W1089)</f>
        <v/>
      </c>
      <c r="X1090" s="20">
        <f>Inputs!$F$173*Operations!X1087*Inputs!$F$185/100*Operations!X1088*(1-Operations!X1089)</f>
        <v/>
      </c>
      <c r="Y1090" s="20">
        <f>Inputs!$F$173*Operations!Y1087*Inputs!$F$185/100*Operations!Y1088*(1-Operations!Y1089)</f>
        <v/>
      </c>
      <c r="Z1090" s="20">
        <f>Inputs!$F$173*Operations!Z1087*Inputs!$F$185/100*Operations!Z1088*(1-Operations!Z1089)</f>
        <v/>
      </c>
      <c r="AA1090" s="20">
        <f>Inputs!$F$173*Operations!AA1087*Inputs!$F$185/100*Operations!AA1088*(1-Operations!AA1089)</f>
        <v/>
      </c>
      <c r="AB1090" s="20">
        <f>Inputs!$F$173*Operations!AB1087*Inputs!$F$185/100*Operations!AB1088*(1-Operations!AB1089)</f>
        <v/>
      </c>
      <c r="AC1090" s="20">
        <f>Inputs!$F$173*Operations!AC1087*Inputs!$F$185/100*Operations!AC1088*(1-Operations!AC1089)</f>
        <v/>
      </c>
      <c r="AD1090" s="20">
        <f>Inputs!$F$173*Operations!AD1087*Inputs!$F$185/100*Operations!AD1088*(1-Operations!AD1089)</f>
        <v/>
      </c>
      <c r="AE1090" s="20">
        <f>Inputs!$F$173*Operations!AE1087*Inputs!$F$185/100*Operations!AE1088*(1-Operations!AE1089)</f>
        <v/>
      </c>
      <c r="AF1090" s="20">
        <f>Inputs!$F$173*Operations!AF1087*Inputs!$F$185/100*Operations!AF1088*(1-Operations!AF1089)</f>
        <v/>
      </c>
      <c r="AG1090" s="20">
        <f>Inputs!$F$173*Operations!AG1087*Inputs!$F$185/100*Operations!AG1088*(1-Operations!AG1089)</f>
        <v/>
      </c>
      <c r="AH1090" s="20">
        <f>Inputs!$F$173*Operations!AH1087*Inputs!$F$185/100*Operations!AH1088*(1-Operations!AH1089)</f>
        <v/>
      </c>
      <c r="AI1090" s="20">
        <f>Inputs!$F$173*Operations!AI1087*Inputs!$F$185/100*Operations!AI1088*(1-Operations!AI1089)</f>
        <v/>
      </c>
      <c r="AJ1090" s="20">
        <f>Inputs!$F$173*Operations!AJ1087*Inputs!$F$185/100*Operations!AJ1088*(1-Operations!AJ1089)</f>
        <v/>
      </c>
      <c r="AK1090" s="20">
        <f>Inputs!$F$173*Operations!AK1087*Inputs!$F$185/100*Operations!AK1088*(1-Operations!AK1089)</f>
        <v/>
      </c>
      <c r="AL1090" s="20">
        <f>Inputs!$F$173*Operations!AL1087*Inputs!$F$185/100*Operations!AL1088*(1-Operations!AL1089)</f>
        <v/>
      </c>
      <c r="AM1090" s="20">
        <f>Inputs!$F$173*Operations!AM1087*Inputs!$F$185/100*Operations!AM1088*(1-Operations!AM1089)</f>
        <v/>
      </c>
      <c r="AN1090" s="20">
        <f>Inputs!$F$173*Operations!AN1087*Inputs!$F$185/100*Operations!AN1088*(1-Operations!AN1089)</f>
        <v/>
      </c>
      <c r="AO1090" s="20">
        <f>Inputs!$F$173*Operations!AO1087*Inputs!$F$185/100*Operations!AO1088*(1-Operations!AO1089)</f>
        <v/>
      </c>
      <c r="AP1090" s="20">
        <f>Inputs!$F$173*Operations!AP1087*Inputs!$F$185/100*Operations!AP1088*(1-Operations!AP1089)</f>
        <v/>
      </c>
      <c r="AQ1090" s="20">
        <f>Inputs!$F$173*Operations!AQ1087*Inputs!$F$185/100*Operations!AQ1088*(1-Operations!AQ1089)</f>
        <v/>
      </c>
      <c r="AR1090" s="20">
        <f>Inputs!$F$173*Operations!AR1087*Inputs!$F$185/100*Operations!AR1088*(1-Operations!AR1089)</f>
        <v/>
      </c>
      <c r="AS1090" s="20">
        <f>Inputs!$F$173*Operations!AS1087*Inputs!$F$185/100*Operations!AS1088*(1-Operations!AS1089)</f>
        <v/>
      </c>
      <c r="AT1090" s="20">
        <f>Inputs!$F$173*Operations!AT1087*Inputs!$F$185/100*Operations!AT1088*(1-Operations!AT1089)</f>
        <v/>
      </c>
      <c r="AU1090" s="20">
        <f>Inputs!$F$173*Operations!AU1087*Inputs!$F$185/100*Operations!AU1088*(1-Operations!AU1089)</f>
        <v/>
      </c>
    </row>
    <row r="1091">
      <c r="D1091" t="inlineStr">
        <is>
          <t>R8 net generation</t>
        </is>
      </c>
      <c r="E1091" t="inlineStr">
        <is>
          <t>GWh</t>
        </is>
      </c>
      <c r="G1091" s="20">
        <f>SUM(J1091:AU1091)</f>
        <v/>
      </c>
      <c r="J1091" s="20">
        <f>Operations!J1090*Operations!J1083</f>
        <v/>
      </c>
      <c r="K1091" s="20">
        <f>Operations!K1090*Operations!K1083</f>
        <v/>
      </c>
      <c r="L1091" s="20">
        <f>Operations!L1090*Operations!L1083</f>
        <v/>
      </c>
      <c r="M1091" s="20">
        <f>Operations!M1090*Operations!M1083</f>
        <v/>
      </c>
      <c r="N1091" s="20">
        <f>Operations!N1090*Operations!N1083</f>
        <v/>
      </c>
      <c r="O1091" s="20">
        <f>Operations!O1090*Operations!O1083</f>
        <v/>
      </c>
      <c r="P1091" s="20">
        <f>Operations!P1090*Operations!P1083</f>
        <v/>
      </c>
      <c r="Q1091" s="20">
        <f>Operations!Q1090*Operations!Q1083</f>
        <v/>
      </c>
      <c r="R1091" s="20">
        <f>Operations!R1090*Operations!R1083</f>
        <v/>
      </c>
      <c r="S1091" s="20">
        <f>Operations!S1090*Operations!S1083</f>
        <v/>
      </c>
      <c r="T1091" s="20">
        <f>Operations!T1090*Operations!T1083</f>
        <v/>
      </c>
      <c r="U1091" s="20">
        <f>Operations!U1090*Operations!U1083</f>
        <v/>
      </c>
      <c r="V1091" s="20">
        <f>Operations!V1090*Operations!V1083</f>
        <v/>
      </c>
      <c r="W1091" s="20">
        <f>Operations!W1090*Operations!W1083</f>
        <v/>
      </c>
      <c r="X1091" s="20">
        <f>Operations!X1090*Operations!X1083</f>
        <v/>
      </c>
      <c r="Y1091" s="20">
        <f>Operations!Y1090*Operations!Y1083</f>
        <v/>
      </c>
      <c r="Z1091" s="20">
        <f>Operations!Z1090*Operations!Z1083</f>
        <v/>
      </c>
      <c r="AA1091" s="20">
        <f>Operations!AA1090*Operations!AA1083</f>
        <v/>
      </c>
      <c r="AB1091" s="20">
        <f>Operations!AB1090*Operations!AB1083</f>
        <v/>
      </c>
      <c r="AC1091" s="20">
        <f>Operations!AC1090*Operations!AC1083</f>
        <v/>
      </c>
      <c r="AD1091" s="20">
        <f>Operations!AD1090*Operations!AD1083</f>
        <v/>
      </c>
      <c r="AE1091" s="20">
        <f>Operations!AE1090*Operations!AE1083</f>
        <v/>
      </c>
      <c r="AF1091" s="20">
        <f>Operations!AF1090*Operations!AF1083</f>
        <v/>
      </c>
      <c r="AG1091" s="20">
        <f>Operations!AG1090*Operations!AG1083</f>
        <v/>
      </c>
      <c r="AH1091" s="20">
        <f>Operations!AH1090*Operations!AH1083</f>
        <v/>
      </c>
      <c r="AI1091" s="20">
        <f>Operations!AI1090*Operations!AI1083</f>
        <v/>
      </c>
      <c r="AJ1091" s="20">
        <f>Operations!AJ1090*Operations!AJ1083</f>
        <v/>
      </c>
      <c r="AK1091" s="20">
        <f>Operations!AK1090*Operations!AK1083</f>
        <v/>
      </c>
      <c r="AL1091" s="20">
        <f>Operations!AL1090*Operations!AL1083</f>
        <v/>
      </c>
      <c r="AM1091" s="20">
        <f>Operations!AM1090*Operations!AM1083</f>
        <v/>
      </c>
      <c r="AN1091" s="20">
        <f>Operations!AN1090*Operations!AN1083</f>
        <v/>
      </c>
      <c r="AO1091" s="20">
        <f>Operations!AO1090*Operations!AO1083</f>
        <v/>
      </c>
      <c r="AP1091" s="20">
        <f>Operations!AP1090*Operations!AP1083</f>
        <v/>
      </c>
      <c r="AQ1091" s="20">
        <f>Operations!AQ1090*Operations!AQ1083</f>
        <v/>
      </c>
      <c r="AR1091" s="20">
        <f>Operations!AR1090*Operations!AR1083</f>
        <v/>
      </c>
      <c r="AS1091" s="20">
        <f>Operations!AS1090*Operations!AS1083</f>
        <v/>
      </c>
      <c r="AT1091" s="20">
        <f>Operations!AT1090*Operations!AT1083</f>
        <v/>
      </c>
      <c r="AU1091" s="20">
        <f>Operations!AU1090*Operations!AU1083</f>
        <v/>
      </c>
    </row>
    <row r="1092">
      <c r="D1092" t="inlineStr">
        <is>
          <t>R8 hub capture ratio</t>
        </is>
      </c>
      <c r="E1092" t="inlineStr">
        <is>
          <t>ratio</t>
        </is>
      </c>
      <c r="J1092" s="14">
        <f>Operations!J802</f>
        <v/>
      </c>
      <c r="K1092" s="14">
        <f>Operations!K802</f>
        <v/>
      </c>
      <c r="L1092" s="14">
        <f>Operations!L802</f>
        <v/>
      </c>
      <c r="M1092" s="14">
        <f>Operations!M802</f>
        <v/>
      </c>
      <c r="N1092" s="14">
        <f>Operations!N802</f>
        <v/>
      </c>
      <c r="O1092" s="14">
        <f>Operations!O802</f>
        <v/>
      </c>
      <c r="P1092" s="14">
        <f>Operations!P802</f>
        <v/>
      </c>
      <c r="Q1092" s="14">
        <f>Operations!Q802</f>
        <v/>
      </c>
      <c r="R1092" s="14">
        <f>Operations!R802</f>
        <v/>
      </c>
      <c r="S1092" s="14">
        <f>Operations!S802</f>
        <v/>
      </c>
      <c r="T1092" s="14">
        <f>Operations!T802</f>
        <v/>
      </c>
      <c r="U1092" s="14">
        <f>Operations!U802</f>
        <v/>
      </c>
      <c r="V1092" s="14">
        <f>Operations!V802</f>
        <v/>
      </c>
      <c r="W1092" s="14">
        <f>Operations!W802</f>
        <v/>
      </c>
      <c r="X1092" s="14">
        <f>Operations!X802</f>
        <v/>
      </c>
      <c r="Y1092" s="14">
        <f>Operations!Y802</f>
        <v/>
      </c>
      <c r="Z1092" s="14">
        <f>Operations!Z802</f>
        <v/>
      </c>
      <c r="AA1092" s="14">
        <f>Operations!AA802</f>
        <v/>
      </c>
      <c r="AB1092" s="14">
        <f>Operations!AB802</f>
        <v/>
      </c>
      <c r="AC1092" s="14">
        <f>Operations!AC802</f>
        <v/>
      </c>
      <c r="AD1092" s="14">
        <f>Operations!AD802</f>
        <v/>
      </c>
      <c r="AE1092" s="14">
        <f>Operations!AE802</f>
        <v/>
      </c>
      <c r="AF1092" s="14">
        <f>Operations!AF802</f>
        <v/>
      </c>
      <c r="AG1092" s="14">
        <f>Operations!AG802</f>
        <v/>
      </c>
      <c r="AH1092" s="14">
        <f>Operations!AH802</f>
        <v/>
      </c>
      <c r="AI1092" s="14">
        <f>Operations!AI802</f>
        <v/>
      </c>
      <c r="AJ1092" s="14">
        <f>Operations!AJ802</f>
        <v/>
      </c>
      <c r="AK1092" s="14">
        <f>Operations!AK802</f>
        <v/>
      </c>
      <c r="AL1092" s="14">
        <f>Operations!AL802</f>
        <v/>
      </c>
      <c r="AM1092" s="14">
        <f>Operations!AM802</f>
        <v/>
      </c>
      <c r="AN1092" s="14">
        <f>Operations!AN802</f>
        <v/>
      </c>
      <c r="AO1092" s="14">
        <f>Operations!AO802</f>
        <v/>
      </c>
      <c r="AP1092" s="14">
        <f>Operations!AP802</f>
        <v/>
      </c>
      <c r="AQ1092" s="14">
        <f>Operations!AQ802</f>
        <v/>
      </c>
      <c r="AR1092" s="14">
        <f>Operations!AR802</f>
        <v/>
      </c>
      <c r="AS1092" s="14">
        <f>Operations!AS802</f>
        <v/>
      </c>
      <c r="AT1092" s="14">
        <f>Operations!AT802</f>
        <v/>
      </c>
      <c r="AU1092" s="14">
        <f>Operations!AU802</f>
        <v/>
      </c>
    </row>
    <row r="1093">
      <c r="D1093" t="inlineStr">
        <is>
          <t>R8 node capture ratio</t>
        </is>
      </c>
      <c r="E1093" t="inlineStr">
        <is>
          <t>ratio</t>
        </is>
      </c>
      <c r="J1093" s="14">
        <f>Operations!J1092-Inputs!$F$56</f>
        <v/>
      </c>
      <c r="K1093" s="14">
        <f>Operations!K1092-Inputs!$F$56</f>
        <v/>
      </c>
      <c r="L1093" s="14">
        <f>Operations!L1092-Inputs!$F$56</f>
        <v/>
      </c>
      <c r="M1093" s="14">
        <f>Operations!M1092-Inputs!$F$56</f>
        <v/>
      </c>
      <c r="N1093" s="14">
        <f>Operations!N1092-Inputs!$F$56</f>
        <v/>
      </c>
      <c r="O1093" s="14">
        <f>Operations!O1092-Inputs!$F$56</f>
        <v/>
      </c>
      <c r="P1093" s="14">
        <f>Operations!P1092-Inputs!$F$56</f>
        <v/>
      </c>
      <c r="Q1093" s="14">
        <f>Operations!Q1092-Inputs!$F$56</f>
        <v/>
      </c>
      <c r="R1093" s="14">
        <f>Operations!R1092-Inputs!$F$56</f>
        <v/>
      </c>
      <c r="S1093" s="14">
        <f>Operations!S1092-Inputs!$F$56</f>
        <v/>
      </c>
      <c r="T1093" s="14">
        <f>Operations!T1092-Inputs!$F$56</f>
        <v/>
      </c>
      <c r="U1093" s="14">
        <f>Operations!U1092-Inputs!$F$56</f>
        <v/>
      </c>
      <c r="V1093" s="14">
        <f>Operations!V1092-Inputs!$F$56</f>
        <v/>
      </c>
      <c r="W1093" s="14">
        <f>Operations!W1092-Inputs!$F$56</f>
        <v/>
      </c>
      <c r="X1093" s="14">
        <f>Operations!X1092-Inputs!$F$56</f>
        <v/>
      </c>
      <c r="Y1093" s="14">
        <f>Operations!Y1092-Inputs!$F$56</f>
        <v/>
      </c>
      <c r="Z1093" s="14">
        <f>Operations!Z1092-Inputs!$F$56</f>
        <v/>
      </c>
      <c r="AA1093" s="14">
        <f>Operations!AA1092-Inputs!$F$56</f>
        <v/>
      </c>
      <c r="AB1093" s="14">
        <f>Operations!AB1092-Inputs!$F$56</f>
        <v/>
      </c>
      <c r="AC1093" s="14">
        <f>Operations!AC1092-Inputs!$F$56</f>
        <v/>
      </c>
      <c r="AD1093" s="14">
        <f>Operations!AD1092-Inputs!$F$56</f>
        <v/>
      </c>
      <c r="AE1093" s="14">
        <f>Operations!AE1092-Inputs!$F$56</f>
        <v/>
      </c>
      <c r="AF1093" s="14">
        <f>Operations!AF1092-Inputs!$F$56</f>
        <v/>
      </c>
      <c r="AG1093" s="14">
        <f>Operations!AG1092-Inputs!$F$56</f>
        <v/>
      </c>
      <c r="AH1093" s="14">
        <f>Operations!AH1092-Inputs!$F$56</f>
        <v/>
      </c>
      <c r="AI1093" s="14">
        <f>Operations!AI1092-Inputs!$F$56</f>
        <v/>
      </c>
      <c r="AJ1093" s="14">
        <f>Operations!AJ1092-Inputs!$F$56</f>
        <v/>
      </c>
      <c r="AK1093" s="14">
        <f>Operations!AK1092-Inputs!$F$56</f>
        <v/>
      </c>
      <c r="AL1093" s="14">
        <f>Operations!AL1092-Inputs!$F$56</f>
        <v/>
      </c>
      <c r="AM1093" s="14">
        <f>Operations!AM1092-Inputs!$F$56</f>
        <v/>
      </c>
      <c r="AN1093" s="14">
        <f>Operations!AN1092-Inputs!$F$56</f>
        <v/>
      </c>
      <c r="AO1093" s="14">
        <f>Operations!AO1092-Inputs!$F$56</f>
        <v/>
      </c>
      <c r="AP1093" s="14">
        <f>Operations!AP1092-Inputs!$F$56</f>
        <v/>
      </c>
      <c r="AQ1093" s="14">
        <f>Operations!AQ1092-Inputs!$F$56</f>
        <v/>
      </c>
      <c r="AR1093" s="14">
        <f>Operations!AR1092-Inputs!$F$56</f>
        <v/>
      </c>
      <c r="AS1093" s="14">
        <f>Operations!AS1092-Inputs!$F$56</f>
        <v/>
      </c>
      <c r="AT1093" s="14">
        <f>Operations!AT1092-Inputs!$F$56</f>
        <v/>
      </c>
      <c r="AU1093" s="14">
        <f>Operations!AU1092-Inputs!$F$56</f>
        <v/>
      </c>
    </row>
    <row r="1094">
      <c r="D1094" t="inlineStr">
        <is>
          <t>R8 realized node price</t>
        </is>
      </c>
      <c r="E1094" t="inlineStr">
        <is>
          <t>USD/MWh</t>
        </is>
      </c>
      <c r="J1094" s="18">
        <f>Operations!J1086*Operations!J1093</f>
        <v/>
      </c>
      <c r="K1094" s="18">
        <f>Operations!K1086*Operations!K1093</f>
        <v/>
      </c>
      <c r="L1094" s="18">
        <f>Operations!L1086*Operations!L1093</f>
        <v/>
      </c>
      <c r="M1094" s="18">
        <f>Operations!M1086*Operations!M1093</f>
        <v/>
      </c>
      <c r="N1094" s="18">
        <f>Operations!N1086*Operations!N1093</f>
        <v/>
      </c>
      <c r="O1094" s="18">
        <f>Operations!O1086*Operations!O1093</f>
        <v/>
      </c>
      <c r="P1094" s="18">
        <f>Operations!P1086*Operations!P1093</f>
        <v/>
      </c>
      <c r="Q1094" s="18">
        <f>Operations!Q1086*Operations!Q1093</f>
        <v/>
      </c>
      <c r="R1094" s="18">
        <f>Operations!R1086*Operations!R1093</f>
        <v/>
      </c>
      <c r="S1094" s="18">
        <f>Operations!S1086*Operations!S1093</f>
        <v/>
      </c>
      <c r="T1094" s="18">
        <f>Operations!T1086*Operations!T1093</f>
        <v/>
      </c>
      <c r="U1094" s="18">
        <f>Operations!U1086*Operations!U1093</f>
        <v/>
      </c>
      <c r="V1094" s="18">
        <f>Operations!V1086*Operations!V1093</f>
        <v/>
      </c>
      <c r="W1094" s="18">
        <f>Operations!W1086*Operations!W1093</f>
        <v/>
      </c>
      <c r="X1094" s="18">
        <f>Operations!X1086*Operations!X1093</f>
        <v/>
      </c>
      <c r="Y1094" s="18">
        <f>Operations!Y1086*Operations!Y1093</f>
        <v/>
      </c>
      <c r="Z1094" s="18">
        <f>Operations!Z1086*Operations!Z1093</f>
        <v/>
      </c>
      <c r="AA1094" s="18">
        <f>Operations!AA1086*Operations!AA1093</f>
        <v/>
      </c>
      <c r="AB1094" s="18">
        <f>Operations!AB1086*Operations!AB1093</f>
        <v/>
      </c>
      <c r="AC1094" s="18">
        <f>Operations!AC1086*Operations!AC1093</f>
        <v/>
      </c>
      <c r="AD1094" s="18">
        <f>Operations!AD1086*Operations!AD1093</f>
        <v/>
      </c>
      <c r="AE1094" s="18">
        <f>Operations!AE1086*Operations!AE1093</f>
        <v/>
      </c>
      <c r="AF1094" s="18">
        <f>Operations!AF1086*Operations!AF1093</f>
        <v/>
      </c>
      <c r="AG1094" s="18">
        <f>Operations!AG1086*Operations!AG1093</f>
        <v/>
      </c>
      <c r="AH1094" s="18">
        <f>Operations!AH1086*Operations!AH1093</f>
        <v/>
      </c>
      <c r="AI1094" s="18">
        <f>Operations!AI1086*Operations!AI1093</f>
        <v/>
      </c>
      <c r="AJ1094" s="18">
        <f>Operations!AJ1086*Operations!AJ1093</f>
        <v/>
      </c>
      <c r="AK1094" s="18">
        <f>Operations!AK1086*Operations!AK1093</f>
        <v/>
      </c>
      <c r="AL1094" s="18">
        <f>Operations!AL1086*Operations!AL1093</f>
        <v/>
      </c>
      <c r="AM1094" s="18">
        <f>Operations!AM1086*Operations!AM1093</f>
        <v/>
      </c>
      <c r="AN1094" s="18">
        <f>Operations!AN1086*Operations!AN1093</f>
        <v/>
      </c>
      <c r="AO1094" s="18">
        <f>Operations!AO1086*Operations!AO1093</f>
        <v/>
      </c>
      <c r="AP1094" s="18">
        <f>Operations!AP1086*Operations!AP1093</f>
        <v/>
      </c>
      <c r="AQ1094" s="18">
        <f>Operations!AQ1086*Operations!AQ1093</f>
        <v/>
      </c>
      <c r="AR1094" s="18">
        <f>Operations!AR1086*Operations!AR1093</f>
        <v/>
      </c>
      <c r="AS1094" s="18">
        <f>Operations!AS1086*Operations!AS1093</f>
        <v/>
      </c>
      <c r="AT1094" s="18">
        <f>Operations!AT1086*Operations!AT1093</f>
        <v/>
      </c>
      <c r="AU1094" s="18">
        <f>Operations!AU1086*Operations!AU1093</f>
        <v/>
      </c>
    </row>
    <row r="1095">
      <c r="D1095" t="inlineStr">
        <is>
          <t>R8 shape hedge term fraction</t>
        </is>
      </c>
      <c r="E1095" t="inlineStr">
        <is>
          <t>fraction</t>
        </is>
      </c>
      <c r="J1095" s="14">
        <f>MAX(0,MIN(Inputs!$F$220,Time!J$6)-MAX(Inputs!$F$219-1,Time!J$5))/Time!J$7</f>
        <v/>
      </c>
      <c r="K1095" s="14">
        <f>MAX(0,MIN(Inputs!$F$220,Time!K$6)-MAX(Inputs!$F$219-1,Time!K$5))/Time!K$7</f>
        <v/>
      </c>
      <c r="L1095" s="14">
        <f>MAX(0,MIN(Inputs!$F$220,Time!L$6)-MAX(Inputs!$F$219-1,Time!L$5))/Time!L$7</f>
        <v/>
      </c>
      <c r="M1095" s="14">
        <f>MAX(0,MIN(Inputs!$F$220,Time!M$6)-MAX(Inputs!$F$219-1,Time!M$5))/Time!M$7</f>
        <v/>
      </c>
      <c r="N1095" s="14">
        <f>MAX(0,MIN(Inputs!$F$220,Time!N$6)-MAX(Inputs!$F$219-1,Time!N$5))/Time!N$7</f>
        <v/>
      </c>
      <c r="O1095" s="14">
        <f>MAX(0,MIN(Inputs!$F$220,Time!O$6)-MAX(Inputs!$F$219-1,Time!O$5))/Time!O$7</f>
        <v/>
      </c>
      <c r="P1095" s="14">
        <f>MAX(0,MIN(Inputs!$F$220,Time!P$6)-MAX(Inputs!$F$219-1,Time!P$5))/Time!P$7</f>
        <v/>
      </c>
      <c r="Q1095" s="14">
        <f>MAX(0,MIN(Inputs!$F$220,Time!Q$6)-MAX(Inputs!$F$219-1,Time!Q$5))/Time!Q$7</f>
        <v/>
      </c>
      <c r="R1095" s="14">
        <f>MAX(0,MIN(Inputs!$F$220,Time!R$6)-MAX(Inputs!$F$219-1,Time!R$5))/Time!R$7</f>
        <v/>
      </c>
      <c r="S1095" s="14">
        <f>MAX(0,MIN(Inputs!$F$220,Time!S$6)-MAX(Inputs!$F$219-1,Time!S$5))/Time!S$7</f>
        <v/>
      </c>
      <c r="T1095" s="14">
        <f>MAX(0,MIN(Inputs!$F$220,Time!T$6)-MAX(Inputs!$F$219-1,Time!T$5))/Time!T$7</f>
        <v/>
      </c>
      <c r="U1095" s="14">
        <f>MAX(0,MIN(Inputs!$F$220,Time!U$6)-MAX(Inputs!$F$219-1,Time!U$5))/Time!U$7</f>
        <v/>
      </c>
      <c r="V1095" s="14">
        <f>MAX(0,MIN(Inputs!$F$220,Time!V$6)-MAX(Inputs!$F$219-1,Time!V$5))/Time!V$7</f>
        <v/>
      </c>
      <c r="W1095" s="14">
        <f>MAX(0,MIN(Inputs!$F$220,Time!W$6)-MAX(Inputs!$F$219-1,Time!W$5))/Time!W$7</f>
        <v/>
      </c>
      <c r="X1095" s="14">
        <f>MAX(0,MIN(Inputs!$F$220,Time!X$6)-MAX(Inputs!$F$219-1,Time!X$5))/Time!X$7</f>
        <v/>
      </c>
      <c r="Y1095" s="14">
        <f>MAX(0,MIN(Inputs!$F$220,Time!Y$6)-MAX(Inputs!$F$219-1,Time!Y$5))/Time!Y$7</f>
        <v/>
      </c>
      <c r="Z1095" s="14">
        <f>MAX(0,MIN(Inputs!$F$220,Time!Z$6)-MAX(Inputs!$F$219-1,Time!Z$5))/Time!Z$7</f>
        <v/>
      </c>
      <c r="AA1095" s="14">
        <f>MAX(0,MIN(Inputs!$F$220,Time!AA$6)-MAX(Inputs!$F$219-1,Time!AA$5))/Time!AA$7</f>
        <v/>
      </c>
      <c r="AB1095" s="14">
        <f>MAX(0,MIN(Inputs!$F$220,Time!AB$6)-MAX(Inputs!$F$219-1,Time!AB$5))/Time!AB$7</f>
        <v/>
      </c>
      <c r="AC1095" s="14">
        <f>MAX(0,MIN(Inputs!$F$220,Time!AC$6)-MAX(Inputs!$F$219-1,Time!AC$5))/Time!AC$7</f>
        <v/>
      </c>
      <c r="AD1095" s="14">
        <f>MAX(0,MIN(Inputs!$F$220,Time!AD$6)-MAX(Inputs!$F$219-1,Time!AD$5))/Time!AD$7</f>
        <v/>
      </c>
      <c r="AE1095" s="14">
        <f>MAX(0,MIN(Inputs!$F$220,Time!AE$6)-MAX(Inputs!$F$219-1,Time!AE$5))/Time!AE$7</f>
        <v/>
      </c>
      <c r="AF1095" s="14">
        <f>MAX(0,MIN(Inputs!$F$220,Time!AF$6)-MAX(Inputs!$F$219-1,Time!AF$5))/Time!AF$7</f>
        <v/>
      </c>
      <c r="AG1095" s="14">
        <f>MAX(0,MIN(Inputs!$F$220,Time!AG$6)-MAX(Inputs!$F$219-1,Time!AG$5))/Time!AG$7</f>
        <v/>
      </c>
      <c r="AH1095" s="14">
        <f>MAX(0,MIN(Inputs!$F$220,Time!AH$6)-MAX(Inputs!$F$219-1,Time!AH$5))/Time!AH$7</f>
        <v/>
      </c>
      <c r="AI1095" s="14">
        <f>MAX(0,MIN(Inputs!$F$220,Time!AI$6)-MAX(Inputs!$F$219-1,Time!AI$5))/Time!AI$7</f>
        <v/>
      </c>
      <c r="AJ1095" s="14">
        <f>MAX(0,MIN(Inputs!$F$220,Time!AJ$6)-MAX(Inputs!$F$219-1,Time!AJ$5))/Time!AJ$7</f>
        <v/>
      </c>
      <c r="AK1095" s="14">
        <f>MAX(0,MIN(Inputs!$F$220,Time!AK$6)-MAX(Inputs!$F$219-1,Time!AK$5))/Time!AK$7</f>
        <v/>
      </c>
      <c r="AL1095" s="14">
        <f>MAX(0,MIN(Inputs!$F$220,Time!AL$6)-MAX(Inputs!$F$219-1,Time!AL$5))/Time!AL$7</f>
        <v/>
      </c>
      <c r="AM1095" s="14">
        <f>MAX(0,MIN(Inputs!$F$220,Time!AM$6)-MAX(Inputs!$F$219-1,Time!AM$5))/Time!AM$7</f>
        <v/>
      </c>
      <c r="AN1095" s="14">
        <f>MAX(0,MIN(Inputs!$F$220,Time!AN$6)-MAX(Inputs!$F$219-1,Time!AN$5))/Time!AN$7</f>
        <v/>
      </c>
      <c r="AO1095" s="14">
        <f>MAX(0,MIN(Inputs!$F$220,Time!AO$6)-MAX(Inputs!$F$219-1,Time!AO$5))/Time!AO$7</f>
        <v/>
      </c>
      <c r="AP1095" s="14">
        <f>MAX(0,MIN(Inputs!$F$220,Time!AP$6)-MAX(Inputs!$F$219-1,Time!AP$5))/Time!AP$7</f>
        <v/>
      </c>
      <c r="AQ1095" s="14">
        <f>MAX(0,MIN(Inputs!$F$220,Time!AQ$6)-MAX(Inputs!$F$219-1,Time!AQ$5))/Time!AQ$7</f>
        <v/>
      </c>
      <c r="AR1095" s="14">
        <f>MAX(0,MIN(Inputs!$F$220,Time!AR$6)-MAX(Inputs!$F$219-1,Time!AR$5))/Time!AR$7</f>
        <v/>
      </c>
      <c r="AS1095" s="14">
        <f>MAX(0,MIN(Inputs!$F$220,Time!AS$6)-MAX(Inputs!$F$219-1,Time!AS$5))/Time!AS$7</f>
        <v/>
      </c>
      <c r="AT1095" s="14">
        <f>MAX(0,MIN(Inputs!$F$220,Time!AT$6)-MAX(Inputs!$F$219-1,Time!AT$5))/Time!AT$7</f>
        <v/>
      </c>
      <c r="AU1095" s="14">
        <f>MAX(0,MIN(Inputs!$F$220,Time!AU$6)-MAX(Inputs!$F$219-1,Time!AU$5))/Time!AU$7</f>
        <v/>
      </c>
    </row>
    <row r="1096">
      <c r="D1096" t="inlineStr">
        <is>
          <t>R8 shape hedge volume</t>
        </is>
      </c>
      <c r="E1096" t="inlineStr">
        <is>
          <t>GWh</t>
        </is>
      </c>
      <c r="J1096" s="20">
        <f>Inputs!$F$217*Operations!J1095</f>
        <v/>
      </c>
      <c r="K1096" s="20">
        <f>Inputs!$F$217*Operations!K1095</f>
        <v/>
      </c>
      <c r="L1096" s="20">
        <f>Inputs!$F$217*Operations!L1095</f>
        <v/>
      </c>
      <c r="M1096" s="20">
        <f>Inputs!$F$217*Operations!M1095</f>
        <v/>
      </c>
      <c r="N1096" s="20">
        <f>Inputs!$F$217*Operations!N1095</f>
        <v/>
      </c>
      <c r="O1096" s="20">
        <f>Inputs!$F$217*Operations!O1095</f>
        <v/>
      </c>
      <c r="P1096" s="20">
        <f>Inputs!$F$217*Operations!P1095</f>
        <v/>
      </c>
      <c r="Q1096" s="20">
        <f>Inputs!$F$217*Operations!Q1095</f>
        <v/>
      </c>
      <c r="R1096" s="20">
        <f>Inputs!$F$217*Operations!R1095</f>
        <v/>
      </c>
      <c r="S1096" s="20">
        <f>Inputs!$F$217*Operations!S1095</f>
        <v/>
      </c>
      <c r="T1096" s="20">
        <f>Inputs!$F$217*Operations!T1095</f>
        <v/>
      </c>
      <c r="U1096" s="20">
        <f>Inputs!$F$217*Operations!U1095</f>
        <v/>
      </c>
      <c r="V1096" s="20">
        <f>Inputs!$F$217*Operations!V1095</f>
        <v/>
      </c>
      <c r="W1096" s="20">
        <f>Inputs!$F$217*Operations!W1095</f>
        <v/>
      </c>
      <c r="X1096" s="20">
        <f>Inputs!$F$217*Operations!X1095</f>
        <v/>
      </c>
      <c r="Y1096" s="20">
        <f>Inputs!$F$217*Operations!Y1095</f>
        <v/>
      </c>
      <c r="Z1096" s="20">
        <f>Inputs!$F$217*Operations!Z1095</f>
        <v/>
      </c>
      <c r="AA1096" s="20">
        <f>Inputs!$F$217*Operations!AA1095</f>
        <v/>
      </c>
      <c r="AB1096" s="20">
        <f>Inputs!$F$217*Operations!AB1095</f>
        <v/>
      </c>
      <c r="AC1096" s="20">
        <f>Inputs!$F$217*Operations!AC1095</f>
        <v/>
      </c>
      <c r="AD1096" s="20">
        <f>Inputs!$F$217*Operations!AD1095</f>
        <v/>
      </c>
      <c r="AE1096" s="20">
        <f>Inputs!$F$217*Operations!AE1095</f>
        <v/>
      </c>
      <c r="AF1096" s="20">
        <f>Inputs!$F$217*Operations!AF1095</f>
        <v/>
      </c>
      <c r="AG1096" s="20">
        <f>Inputs!$F$217*Operations!AG1095</f>
        <v/>
      </c>
      <c r="AH1096" s="20">
        <f>Inputs!$F$217*Operations!AH1095</f>
        <v/>
      </c>
      <c r="AI1096" s="20">
        <f>Inputs!$F$217*Operations!AI1095</f>
        <v/>
      </c>
      <c r="AJ1096" s="20">
        <f>Inputs!$F$217*Operations!AJ1095</f>
        <v/>
      </c>
      <c r="AK1096" s="20">
        <f>Inputs!$F$217*Operations!AK1095</f>
        <v/>
      </c>
      <c r="AL1096" s="20">
        <f>Inputs!$F$217*Operations!AL1095</f>
        <v/>
      </c>
      <c r="AM1096" s="20">
        <f>Inputs!$F$217*Operations!AM1095</f>
        <v/>
      </c>
      <c r="AN1096" s="20">
        <f>Inputs!$F$217*Operations!AN1095</f>
        <v/>
      </c>
      <c r="AO1096" s="20">
        <f>Inputs!$F$217*Operations!AO1095</f>
        <v/>
      </c>
      <c r="AP1096" s="20">
        <f>Inputs!$F$217*Operations!AP1095</f>
        <v/>
      </c>
      <c r="AQ1096" s="20">
        <f>Inputs!$F$217*Operations!AQ1095</f>
        <v/>
      </c>
      <c r="AR1096" s="20">
        <f>Inputs!$F$217*Operations!AR1095</f>
        <v/>
      </c>
      <c r="AS1096" s="20">
        <f>Inputs!$F$217*Operations!AS1095</f>
        <v/>
      </c>
      <c r="AT1096" s="20">
        <f>Inputs!$F$217*Operations!AT1095</f>
        <v/>
      </c>
      <c r="AU1096" s="20">
        <f>Inputs!$F$217*Operations!AU1095</f>
        <v/>
      </c>
    </row>
    <row r="1097">
      <c r="D1097" t="inlineStr">
        <is>
          <t>R8 shape hedge settlement (strike less hub x shape factor)</t>
        </is>
      </c>
      <c r="E1097" t="inlineStr">
        <is>
          <t>USD m</t>
        </is>
      </c>
      <c r="G1097" s="20">
        <f>SUM(J1097:AU1097)</f>
        <v/>
      </c>
      <c r="J1097" s="20">
        <f>Operations!J1096*(Inputs!$F$218-Operations!J1086*Operations!J1092)/1000</f>
        <v/>
      </c>
      <c r="K1097" s="20">
        <f>Operations!K1096*(Inputs!$F$218-Operations!K1086*Operations!K1092)/1000</f>
        <v/>
      </c>
      <c r="L1097" s="20">
        <f>Operations!L1096*(Inputs!$F$218-Operations!L1086*Operations!L1092)/1000</f>
        <v/>
      </c>
      <c r="M1097" s="20">
        <f>Operations!M1096*(Inputs!$F$218-Operations!M1086*Operations!M1092)/1000</f>
        <v/>
      </c>
      <c r="N1097" s="20">
        <f>Operations!N1096*(Inputs!$F$218-Operations!N1086*Operations!N1092)/1000</f>
        <v/>
      </c>
      <c r="O1097" s="20">
        <f>Operations!O1096*(Inputs!$F$218-Operations!O1086*Operations!O1092)/1000</f>
        <v/>
      </c>
      <c r="P1097" s="20">
        <f>Operations!P1096*(Inputs!$F$218-Operations!P1086*Operations!P1092)/1000</f>
        <v/>
      </c>
      <c r="Q1097" s="20">
        <f>Operations!Q1096*(Inputs!$F$218-Operations!Q1086*Operations!Q1092)/1000</f>
        <v/>
      </c>
      <c r="R1097" s="20">
        <f>Operations!R1096*(Inputs!$F$218-Operations!R1086*Operations!R1092)/1000</f>
        <v/>
      </c>
      <c r="S1097" s="20">
        <f>Operations!S1096*(Inputs!$F$218-Operations!S1086*Operations!S1092)/1000</f>
        <v/>
      </c>
      <c r="T1097" s="20">
        <f>Operations!T1096*(Inputs!$F$218-Operations!T1086*Operations!T1092)/1000</f>
        <v/>
      </c>
      <c r="U1097" s="20">
        <f>Operations!U1096*(Inputs!$F$218-Operations!U1086*Operations!U1092)/1000</f>
        <v/>
      </c>
      <c r="V1097" s="20">
        <f>Operations!V1096*(Inputs!$F$218-Operations!V1086*Operations!V1092)/1000</f>
        <v/>
      </c>
      <c r="W1097" s="20">
        <f>Operations!W1096*(Inputs!$F$218-Operations!W1086*Operations!W1092)/1000</f>
        <v/>
      </c>
      <c r="X1097" s="20">
        <f>Operations!X1096*(Inputs!$F$218-Operations!X1086*Operations!X1092)/1000</f>
        <v/>
      </c>
      <c r="Y1097" s="20">
        <f>Operations!Y1096*(Inputs!$F$218-Operations!Y1086*Operations!Y1092)/1000</f>
        <v/>
      </c>
      <c r="Z1097" s="20">
        <f>Operations!Z1096*(Inputs!$F$218-Operations!Z1086*Operations!Z1092)/1000</f>
        <v/>
      </c>
      <c r="AA1097" s="20">
        <f>Operations!AA1096*(Inputs!$F$218-Operations!AA1086*Operations!AA1092)/1000</f>
        <v/>
      </c>
      <c r="AB1097" s="20">
        <f>Operations!AB1096*(Inputs!$F$218-Operations!AB1086*Operations!AB1092)/1000</f>
        <v/>
      </c>
      <c r="AC1097" s="20">
        <f>Operations!AC1096*(Inputs!$F$218-Operations!AC1086*Operations!AC1092)/1000</f>
        <v/>
      </c>
      <c r="AD1097" s="20">
        <f>Operations!AD1096*(Inputs!$F$218-Operations!AD1086*Operations!AD1092)/1000</f>
        <v/>
      </c>
      <c r="AE1097" s="20">
        <f>Operations!AE1096*(Inputs!$F$218-Operations!AE1086*Operations!AE1092)/1000</f>
        <v/>
      </c>
      <c r="AF1097" s="20">
        <f>Operations!AF1096*(Inputs!$F$218-Operations!AF1086*Operations!AF1092)/1000</f>
        <v/>
      </c>
      <c r="AG1097" s="20">
        <f>Operations!AG1096*(Inputs!$F$218-Operations!AG1086*Operations!AG1092)/1000</f>
        <v/>
      </c>
      <c r="AH1097" s="20">
        <f>Operations!AH1096*(Inputs!$F$218-Operations!AH1086*Operations!AH1092)/1000</f>
        <v/>
      </c>
      <c r="AI1097" s="20">
        <f>Operations!AI1096*(Inputs!$F$218-Operations!AI1086*Operations!AI1092)/1000</f>
        <v/>
      </c>
      <c r="AJ1097" s="20">
        <f>Operations!AJ1096*(Inputs!$F$218-Operations!AJ1086*Operations!AJ1092)/1000</f>
        <v/>
      </c>
      <c r="AK1097" s="20">
        <f>Operations!AK1096*(Inputs!$F$218-Operations!AK1086*Operations!AK1092)/1000</f>
        <v/>
      </c>
      <c r="AL1097" s="20">
        <f>Operations!AL1096*(Inputs!$F$218-Operations!AL1086*Operations!AL1092)/1000</f>
        <v/>
      </c>
      <c r="AM1097" s="20">
        <f>Operations!AM1096*(Inputs!$F$218-Operations!AM1086*Operations!AM1092)/1000</f>
        <v/>
      </c>
      <c r="AN1097" s="20">
        <f>Operations!AN1096*(Inputs!$F$218-Operations!AN1086*Operations!AN1092)/1000</f>
        <v/>
      </c>
      <c r="AO1097" s="20">
        <f>Operations!AO1096*(Inputs!$F$218-Operations!AO1086*Operations!AO1092)/1000</f>
        <v/>
      </c>
      <c r="AP1097" s="20">
        <f>Operations!AP1096*(Inputs!$F$218-Operations!AP1086*Operations!AP1092)/1000</f>
        <v/>
      </c>
      <c r="AQ1097" s="20">
        <f>Operations!AQ1096*(Inputs!$F$218-Operations!AQ1086*Operations!AQ1092)/1000</f>
        <v/>
      </c>
      <c r="AR1097" s="20">
        <f>Operations!AR1096*(Inputs!$F$218-Operations!AR1086*Operations!AR1092)/1000</f>
        <v/>
      </c>
      <c r="AS1097" s="20">
        <f>Operations!AS1096*(Inputs!$F$218-Operations!AS1086*Operations!AS1092)/1000</f>
        <v/>
      </c>
      <c r="AT1097" s="20">
        <f>Operations!AT1096*(Inputs!$F$218-Operations!AT1086*Operations!AT1092)/1000</f>
        <v/>
      </c>
      <c r="AU1097" s="20">
        <f>Operations!AU1096*(Inputs!$F$218-Operations!AU1086*Operations!AU1092)/1000</f>
        <v/>
      </c>
    </row>
    <row r="1098">
      <c r="D1098" t="inlineStr">
        <is>
          <t>R8 generation sold at node</t>
        </is>
      </c>
      <c r="E1098" t="inlineStr">
        <is>
          <t>GWh</t>
        </is>
      </c>
      <c r="J1098" s="20">
        <f>Operations!J1091</f>
        <v/>
      </c>
      <c r="K1098" s="20">
        <f>Operations!K1091</f>
        <v/>
      </c>
      <c r="L1098" s="20">
        <f>Operations!L1091</f>
        <v/>
      </c>
      <c r="M1098" s="20">
        <f>Operations!M1091</f>
        <v/>
      </c>
      <c r="N1098" s="20">
        <f>Operations!N1091</f>
        <v/>
      </c>
      <c r="O1098" s="20">
        <f>Operations!O1091</f>
        <v/>
      </c>
      <c r="P1098" s="20">
        <f>Operations!P1091</f>
        <v/>
      </c>
      <c r="Q1098" s="20">
        <f>Operations!Q1091</f>
        <v/>
      </c>
      <c r="R1098" s="20">
        <f>Operations!R1091</f>
        <v/>
      </c>
      <c r="S1098" s="20">
        <f>Operations!S1091</f>
        <v/>
      </c>
      <c r="T1098" s="20">
        <f>Operations!T1091</f>
        <v/>
      </c>
      <c r="U1098" s="20">
        <f>Operations!U1091</f>
        <v/>
      </c>
      <c r="V1098" s="20">
        <f>Operations!V1091</f>
        <v/>
      </c>
      <c r="W1098" s="20">
        <f>Operations!W1091</f>
        <v/>
      </c>
      <c r="X1098" s="20">
        <f>Operations!X1091</f>
        <v/>
      </c>
      <c r="Y1098" s="20">
        <f>Operations!Y1091</f>
        <v/>
      </c>
      <c r="Z1098" s="20">
        <f>Operations!Z1091</f>
        <v/>
      </c>
      <c r="AA1098" s="20">
        <f>Operations!AA1091</f>
        <v/>
      </c>
      <c r="AB1098" s="20">
        <f>Operations!AB1091</f>
        <v/>
      </c>
      <c r="AC1098" s="20">
        <f>Operations!AC1091</f>
        <v/>
      </c>
      <c r="AD1098" s="20">
        <f>Operations!AD1091</f>
        <v/>
      </c>
      <c r="AE1098" s="20">
        <f>Operations!AE1091</f>
        <v/>
      </c>
      <c r="AF1098" s="20">
        <f>Operations!AF1091</f>
        <v/>
      </c>
      <c r="AG1098" s="20">
        <f>Operations!AG1091</f>
        <v/>
      </c>
      <c r="AH1098" s="20">
        <f>Operations!AH1091</f>
        <v/>
      </c>
      <c r="AI1098" s="20">
        <f>Operations!AI1091</f>
        <v/>
      </c>
      <c r="AJ1098" s="20">
        <f>Operations!AJ1091</f>
        <v/>
      </c>
      <c r="AK1098" s="20">
        <f>Operations!AK1091</f>
        <v/>
      </c>
      <c r="AL1098" s="20">
        <f>Operations!AL1091</f>
        <v/>
      </c>
      <c r="AM1098" s="20">
        <f>Operations!AM1091</f>
        <v/>
      </c>
      <c r="AN1098" s="20">
        <f>Operations!AN1091</f>
        <v/>
      </c>
      <c r="AO1098" s="20">
        <f>Operations!AO1091</f>
        <v/>
      </c>
      <c r="AP1098" s="20">
        <f>Operations!AP1091</f>
        <v/>
      </c>
      <c r="AQ1098" s="20">
        <f>Operations!AQ1091</f>
        <v/>
      </c>
      <c r="AR1098" s="20">
        <f>Operations!AR1091</f>
        <v/>
      </c>
      <c r="AS1098" s="20">
        <f>Operations!AS1091</f>
        <v/>
      </c>
      <c r="AT1098" s="20">
        <f>Operations!AT1091</f>
        <v/>
      </c>
      <c r="AU1098" s="20">
        <f>Operations!AU1091</f>
        <v/>
      </c>
    </row>
    <row r="1099">
      <c r="D1099" t="inlineStr">
        <is>
          <t>R8 contracted revenue</t>
        </is>
      </c>
      <c r="E1099" t="inlineStr">
        <is>
          <t>USD m</t>
        </is>
      </c>
      <c r="J1099" s="20">
        <f>0</f>
        <v/>
      </c>
      <c r="K1099" s="20">
        <f>0</f>
        <v/>
      </c>
      <c r="L1099" s="20">
        <f>0</f>
        <v/>
      </c>
      <c r="M1099" s="20">
        <f>0</f>
        <v/>
      </c>
      <c r="N1099" s="20">
        <f>0</f>
        <v/>
      </c>
      <c r="O1099" s="20">
        <f>0</f>
        <v/>
      </c>
      <c r="P1099" s="20">
        <f>0</f>
        <v/>
      </c>
      <c r="Q1099" s="20">
        <f>0</f>
        <v/>
      </c>
      <c r="R1099" s="20">
        <f>0</f>
        <v/>
      </c>
      <c r="S1099" s="20">
        <f>0</f>
        <v/>
      </c>
      <c r="T1099" s="20">
        <f>0</f>
        <v/>
      </c>
      <c r="U1099" s="20">
        <f>0</f>
        <v/>
      </c>
      <c r="V1099" s="20">
        <f>0</f>
        <v/>
      </c>
      <c r="W1099" s="20">
        <f>0</f>
        <v/>
      </c>
      <c r="X1099" s="20">
        <f>0</f>
        <v/>
      </c>
      <c r="Y1099" s="20">
        <f>0</f>
        <v/>
      </c>
      <c r="Z1099" s="20">
        <f>0</f>
        <v/>
      </c>
      <c r="AA1099" s="20">
        <f>0</f>
        <v/>
      </c>
      <c r="AB1099" s="20">
        <f>0</f>
        <v/>
      </c>
      <c r="AC1099" s="20">
        <f>0</f>
        <v/>
      </c>
      <c r="AD1099" s="20">
        <f>0</f>
        <v/>
      </c>
      <c r="AE1099" s="20">
        <f>0</f>
        <v/>
      </c>
      <c r="AF1099" s="20">
        <f>0</f>
        <v/>
      </c>
      <c r="AG1099" s="20">
        <f>0</f>
        <v/>
      </c>
      <c r="AH1099" s="20">
        <f>0</f>
        <v/>
      </c>
      <c r="AI1099" s="20">
        <f>0</f>
        <v/>
      </c>
      <c r="AJ1099" s="20">
        <f>0</f>
        <v/>
      </c>
      <c r="AK1099" s="20">
        <f>0</f>
        <v/>
      </c>
      <c r="AL1099" s="20">
        <f>0</f>
        <v/>
      </c>
      <c r="AM1099" s="20">
        <f>0</f>
        <v/>
      </c>
      <c r="AN1099" s="20">
        <f>0</f>
        <v/>
      </c>
      <c r="AO1099" s="20">
        <f>0</f>
        <v/>
      </c>
      <c r="AP1099" s="20">
        <f>0</f>
        <v/>
      </c>
      <c r="AQ1099" s="20">
        <f>0</f>
        <v/>
      </c>
      <c r="AR1099" s="20">
        <f>0</f>
        <v/>
      </c>
      <c r="AS1099" s="20">
        <f>0</f>
        <v/>
      </c>
      <c r="AT1099" s="20">
        <f>0</f>
        <v/>
      </c>
      <c r="AU1099" s="20">
        <f>0</f>
        <v/>
      </c>
    </row>
    <row r="1100">
      <c r="D1100" t="inlineStr">
        <is>
          <t>R8 hedged revenue (volume x strike)</t>
        </is>
      </c>
      <c r="E1100" t="inlineStr">
        <is>
          <t>USD m</t>
        </is>
      </c>
      <c r="J1100" s="20">
        <f>Operations!J1096*Inputs!$F$218/1000</f>
        <v/>
      </c>
      <c r="K1100" s="20">
        <f>Operations!K1096*Inputs!$F$218/1000</f>
        <v/>
      </c>
      <c r="L1100" s="20">
        <f>Operations!L1096*Inputs!$F$218/1000</f>
        <v/>
      </c>
      <c r="M1100" s="20">
        <f>Operations!M1096*Inputs!$F$218/1000</f>
        <v/>
      </c>
      <c r="N1100" s="20">
        <f>Operations!N1096*Inputs!$F$218/1000</f>
        <v/>
      </c>
      <c r="O1100" s="20">
        <f>Operations!O1096*Inputs!$F$218/1000</f>
        <v/>
      </c>
      <c r="P1100" s="20">
        <f>Operations!P1096*Inputs!$F$218/1000</f>
        <v/>
      </c>
      <c r="Q1100" s="20">
        <f>Operations!Q1096*Inputs!$F$218/1000</f>
        <v/>
      </c>
      <c r="R1100" s="20">
        <f>Operations!R1096*Inputs!$F$218/1000</f>
        <v/>
      </c>
      <c r="S1100" s="20">
        <f>Operations!S1096*Inputs!$F$218/1000</f>
        <v/>
      </c>
      <c r="T1100" s="20">
        <f>Operations!T1096*Inputs!$F$218/1000</f>
        <v/>
      </c>
      <c r="U1100" s="20">
        <f>Operations!U1096*Inputs!$F$218/1000</f>
        <v/>
      </c>
      <c r="V1100" s="20">
        <f>Operations!V1096*Inputs!$F$218/1000</f>
        <v/>
      </c>
      <c r="W1100" s="20">
        <f>Operations!W1096*Inputs!$F$218/1000</f>
        <v/>
      </c>
      <c r="X1100" s="20">
        <f>Operations!X1096*Inputs!$F$218/1000</f>
        <v/>
      </c>
      <c r="Y1100" s="20">
        <f>Operations!Y1096*Inputs!$F$218/1000</f>
        <v/>
      </c>
      <c r="Z1100" s="20">
        <f>Operations!Z1096*Inputs!$F$218/1000</f>
        <v/>
      </c>
      <c r="AA1100" s="20">
        <f>Operations!AA1096*Inputs!$F$218/1000</f>
        <v/>
      </c>
      <c r="AB1100" s="20">
        <f>Operations!AB1096*Inputs!$F$218/1000</f>
        <v/>
      </c>
      <c r="AC1100" s="20">
        <f>Operations!AC1096*Inputs!$F$218/1000</f>
        <v/>
      </c>
      <c r="AD1100" s="20">
        <f>Operations!AD1096*Inputs!$F$218/1000</f>
        <v/>
      </c>
      <c r="AE1100" s="20">
        <f>Operations!AE1096*Inputs!$F$218/1000</f>
        <v/>
      </c>
      <c r="AF1100" s="20">
        <f>Operations!AF1096*Inputs!$F$218/1000</f>
        <v/>
      </c>
      <c r="AG1100" s="20">
        <f>Operations!AG1096*Inputs!$F$218/1000</f>
        <v/>
      </c>
      <c r="AH1100" s="20">
        <f>Operations!AH1096*Inputs!$F$218/1000</f>
        <v/>
      </c>
      <c r="AI1100" s="20">
        <f>Operations!AI1096*Inputs!$F$218/1000</f>
        <v/>
      </c>
      <c r="AJ1100" s="20">
        <f>Operations!AJ1096*Inputs!$F$218/1000</f>
        <v/>
      </c>
      <c r="AK1100" s="20">
        <f>Operations!AK1096*Inputs!$F$218/1000</f>
        <v/>
      </c>
      <c r="AL1100" s="20">
        <f>Operations!AL1096*Inputs!$F$218/1000</f>
        <v/>
      </c>
      <c r="AM1100" s="20">
        <f>Operations!AM1096*Inputs!$F$218/1000</f>
        <v/>
      </c>
      <c r="AN1100" s="20">
        <f>Operations!AN1096*Inputs!$F$218/1000</f>
        <v/>
      </c>
      <c r="AO1100" s="20">
        <f>Operations!AO1096*Inputs!$F$218/1000</f>
        <v/>
      </c>
      <c r="AP1100" s="20">
        <f>Operations!AP1096*Inputs!$F$218/1000</f>
        <v/>
      </c>
      <c r="AQ1100" s="20">
        <f>Operations!AQ1096*Inputs!$F$218/1000</f>
        <v/>
      </c>
      <c r="AR1100" s="20">
        <f>Operations!AR1096*Inputs!$F$218/1000</f>
        <v/>
      </c>
      <c r="AS1100" s="20">
        <f>Operations!AS1096*Inputs!$F$218/1000</f>
        <v/>
      </c>
      <c r="AT1100" s="20">
        <f>Operations!AT1096*Inputs!$F$218/1000</f>
        <v/>
      </c>
      <c r="AU1100" s="20">
        <f>Operations!AU1096*Inputs!$F$218/1000</f>
        <v/>
      </c>
    </row>
    <row r="1101">
      <c r="D1101" t="inlineStr">
        <is>
          <t>R8 market revenue at node</t>
        </is>
      </c>
      <c r="E1101" t="inlineStr">
        <is>
          <t>USD m</t>
        </is>
      </c>
      <c r="G1101" s="20">
        <f>SUM(J1101:AU1101)</f>
        <v/>
      </c>
      <c r="J1101" s="20">
        <f>Operations!J1098*Operations!J1094/1000</f>
        <v/>
      </c>
      <c r="K1101" s="20">
        <f>Operations!K1098*Operations!K1094/1000</f>
        <v/>
      </c>
      <c r="L1101" s="20">
        <f>Operations!L1098*Operations!L1094/1000</f>
        <v/>
      </c>
      <c r="M1101" s="20">
        <f>Operations!M1098*Operations!M1094/1000</f>
        <v/>
      </c>
      <c r="N1101" s="20">
        <f>Operations!N1098*Operations!N1094/1000</f>
        <v/>
      </c>
      <c r="O1101" s="20">
        <f>Operations!O1098*Operations!O1094/1000</f>
        <v/>
      </c>
      <c r="P1101" s="20">
        <f>Operations!P1098*Operations!P1094/1000</f>
        <v/>
      </c>
      <c r="Q1101" s="20">
        <f>Operations!Q1098*Operations!Q1094/1000</f>
        <v/>
      </c>
      <c r="R1101" s="20">
        <f>Operations!R1098*Operations!R1094/1000</f>
        <v/>
      </c>
      <c r="S1101" s="20">
        <f>Operations!S1098*Operations!S1094/1000</f>
        <v/>
      </c>
      <c r="T1101" s="20">
        <f>Operations!T1098*Operations!T1094/1000</f>
        <v/>
      </c>
      <c r="U1101" s="20">
        <f>Operations!U1098*Operations!U1094/1000</f>
        <v/>
      </c>
      <c r="V1101" s="20">
        <f>Operations!V1098*Operations!V1094/1000</f>
        <v/>
      </c>
      <c r="W1101" s="20">
        <f>Operations!W1098*Operations!W1094/1000</f>
        <v/>
      </c>
      <c r="X1101" s="20">
        <f>Operations!X1098*Operations!X1094/1000</f>
        <v/>
      </c>
      <c r="Y1101" s="20">
        <f>Operations!Y1098*Operations!Y1094/1000</f>
        <v/>
      </c>
      <c r="Z1101" s="20">
        <f>Operations!Z1098*Operations!Z1094/1000</f>
        <v/>
      </c>
      <c r="AA1101" s="20">
        <f>Operations!AA1098*Operations!AA1094/1000</f>
        <v/>
      </c>
      <c r="AB1101" s="20">
        <f>Operations!AB1098*Operations!AB1094/1000</f>
        <v/>
      </c>
      <c r="AC1101" s="20">
        <f>Operations!AC1098*Operations!AC1094/1000</f>
        <v/>
      </c>
      <c r="AD1101" s="20">
        <f>Operations!AD1098*Operations!AD1094/1000</f>
        <v/>
      </c>
      <c r="AE1101" s="20">
        <f>Operations!AE1098*Operations!AE1094/1000</f>
        <v/>
      </c>
      <c r="AF1101" s="20">
        <f>Operations!AF1098*Operations!AF1094/1000</f>
        <v/>
      </c>
      <c r="AG1101" s="20">
        <f>Operations!AG1098*Operations!AG1094/1000</f>
        <v/>
      </c>
      <c r="AH1101" s="20">
        <f>Operations!AH1098*Operations!AH1094/1000</f>
        <v/>
      </c>
      <c r="AI1101" s="20">
        <f>Operations!AI1098*Operations!AI1094/1000</f>
        <v/>
      </c>
      <c r="AJ1101" s="20">
        <f>Operations!AJ1098*Operations!AJ1094/1000</f>
        <v/>
      </c>
      <c r="AK1101" s="20">
        <f>Operations!AK1098*Operations!AK1094/1000</f>
        <v/>
      </c>
      <c r="AL1101" s="20">
        <f>Operations!AL1098*Operations!AL1094/1000</f>
        <v/>
      </c>
      <c r="AM1101" s="20">
        <f>Operations!AM1098*Operations!AM1094/1000</f>
        <v/>
      </c>
      <c r="AN1101" s="20">
        <f>Operations!AN1098*Operations!AN1094/1000</f>
        <v/>
      </c>
      <c r="AO1101" s="20">
        <f>Operations!AO1098*Operations!AO1094/1000</f>
        <v/>
      </c>
      <c r="AP1101" s="20">
        <f>Operations!AP1098*Operations!AP1094/1000</f>
        <v/>
      </c>
      <c r="AQ1101" s="20">
        <f>Operations!AQ1098*Operations!AQ1094/1000</f>
        <v/>
      </c>
      <c r="AR1101" s="20">
        <f>Operations!AR1098*Operations!AR1094/1000</f>
        <v/>
      </c>
      <c r="AS1101" s="20">
        <f>Operations!AS1098*Operations!AS1094/1000</f>
        <v/>
      </c>
      <c r="AT1101" s="20">
        <f>Operations!AT1098*Operations!AT1094/1000</f>
        <v/>
      </c>
      <c r="AU1101" s="20">
        <f>Operations!AU1098*Operations!AU1094/1000</f>
        <v/>
      </c>
    </row>
    <row r="1102">
      <c r="D1102" t="inlineStr">
        <is>
          <t>R8 total revenue</t>
        </is>
      </c>
      <c r="E1102" t="inlineStr">
        <is>
          <t>USD m</t>
        </is>
      </c>
      <c r="G1102" s="20">
        <f>SUM(J1102:AU1102)</f>
        <v/>
      </c>
      <c r="J1102" s="20">
        <f>Operations!J1101+Operations!J1097</f>
        <v/>
      </c>
      <c r="K1102" s="20">
        <f>Operations!K1101+Operations!K1097</f>
        <v/>
      </c>
      <c r="L1102" s="20">
        <f>Operations!L1101+Operations!L1097</f>
        <v/>
      </c>
      <c r="M1102" s="20">
        <f>Operations!M1101+Operations!M1097</f>
        <v/>
      </c>
      <c r="N1102" s="20">
        <f>Operations!N1101+Operations!N1097</f>
        <v/>
      </c>
      <c r="O1102" s="20">
        <f>Operations!O1101+Operations!O1097</f>
        <v/>
      </c>
      <c r="P1102" s="20">
        <f>Operations!P1101+Operations!P1097</f>
        <v/>
      </c>
      <c r="Q1102" s="20">
        <f>Operations!Q1101+Operations!Q1097</f>
        <v/>
      </c>
      <c r="R1102" s="20">
        <f>Operations!R1101+Operations!R1097</f>
        <v/>
      </c>
      <c r="S1102" s="20">
        <f>Operations!S1101+Operations!S1097</f>
        <v/>
      </c>
      <c r="T1102" s="20">
        <f>Operations!T1101+Operations!T1097</f>
        <v/>
      </c>
      <c r="U1102" s="20">
        <f>Operations!U1101+Operations!U1097</f>
        <v/>
      </c>
      <c r="V1102" s="20">
        <f>Operations!V1101+Operations!V1097</f>
        <v/>
      </c>
      <c r="W1102" s="20">
        <f>Operations!W1101+Operations!W1097</f>
        <v/>
      </c>
      <c r="X1102" s="20">
        <f>Operations!X1101+Operations!X1097</f>
        <v/>
      </c>
      <c r="Y1102" s="20">
        <f>Operations!Y1101+Operations!Y1097</f>
        <v/>
      </c>
      <c r="Z1102" s="20">
        <f>Operations!Z1101+Operations!Z1097</f>
        <v/>
      </c>
      <c r="AA1102" s="20">
        <f>Operations!AA1101+Operations!AA1097</f>
        <v/>
      </c>
      <c r="AB1102" s="20">
        <f>Operations!AB1101+Operations!AB1097</f>
        <v/>
      </c>
      <c r="AC1102" s="20">
        <f>Operations!AC1101+Operations!AC1097</f>
        <v/>
      </c>
      <c r="AD1102" s="20">
        <f>Operations!AD1101+Operations!AD1097</f>
        <v/>
      </c>
      <c r="AE1102" s="20">
        <f>Operations!AE1101+Operations!AE1097</f>
        <v/>
      </c>
      <c r="AF1102" s="20">
        <f>Operations!AF1101+Operations!AF1097</f>
        <v/>
      </c>
      <c r="AG1102" s="20">
        <f>Operations!AG1101+Operations!AG1097</f>
        <v/>
      </c>
      <c r="AH1102" s="20">
        <f>Operations!AH1101+Operations!AH1097</f>
        <v/>
      </c>
      <c r="AI1102" s="20">
        <f>Operations!AI1101+Operations!AI1097</f>
        <v/>
      </c>
      <c r="AJ1102" s="20">
        <f>Operations!AJ1101+Operations!AJ1097</f>
        <v/>
      </c>
      <c r="AK1102" s="20">
        <f>Operations!AK1101+Operations!AK1097</f>
        <v/>
      </c>
      <c r="AL1102" s="20">
        <f>Operations!AL1101+Operations!AL1097</f>
        <v/>
      </c>
      <c r="AM1102" s="20">
        <f>Operations!AM1101+Operations!AM1097</f>
        <v/>
      </c>
      <c r="AN1102" s="20">
        <f>Operations!AN1101+Operations!AN1097</f>
        <v/>
      </c>
      <c r="AO1102" s="20">
        <f>Operations!AO1101+Operations!AO1097</f>
        <v/>
      </c>
      <c r="AP1102" s="20">
        <f>Operations!AP1101+Operations!AP1097</f>
        <v/>
      </c>
      <c r="AQ1102" s="20">
        <f>Operations!AQ1101+Operations!AQ1097</f>
        <v/>
      </c>
      <c r="AR1102" s="20">
        <f>Operations!AR1101+Operations!AR1097</f>
        <v/>
      </c>
      <c r="AS1102" s="20">
        <f>Operations!AS1101+Operations!AS1097</f>
        <v/>
      </c>
      <c r="AT1102" s="20">
        <f>Operations!AT1101+Operations!AT1097</f>
        <v/>
      </c>
      <c r="AU1102" s="20">
        <f>Operations!AU1101+Operations!AU1097</f>
        <v/>
      </c>
    </row>
    <row r="1103">
      <c r="D1103" t="inlineStr">
        <is>
          <t>R8 merchant revenue (total less contracted and hedged)</t>
        </is>
      </c>
      <c r="E1103" t="inlineStr">
        <is>
          <t>USD m</t>
        </is>
      </c>
      <c r="J1103" s="20">
        <f>Operations!J1102-Operations!J1099-Operations!J1100</f>
        <v/>
      </c>
      <c r="K1103" s="20">
        <f>Operations!K1102-Operations!K1099-Operations!K1100</f>
        <v/>
      </c>
      <c r="L1103" s="20">
        <f>Operations!L1102-Operations!L1099-Operations!L1100</f>
        <v/>
      </c>
      <c r="M1103" s="20">
        <f>Operations!M1102-Operations!M1099-Operations!M1100</f>
        <v/>
      </c>
      <c r="N1103" s="20">
        <f>Operations!N1102-Operations!N1099-Operations!N1100</f>
        <v/>
      </c>
      <c r="O1103" s="20">
        <f>Operations!O1102-Operations!O1099-Operations!O1100</f>
        <v/>
      </c>
      <c r="P1103" s="20">
        <f>Operations!P1102-Operations!P1099-Operations!P1100</f>
        <v/>
      </c>
      <c r="Q1103" s="20">
        <f>Operations!Q1102-Operations!Q1099-Operations!Q1100</f>
        <v/>
      </c>
      <c r="R1103" s="20">
        <f>Operations!R1102-Operations!R1099-Operations!R1100</f>
        <v/>
      </c>
      <c r="S1103" s="20">
        <f>Operations!S1102-Operations!S1099-Operations!S1100</f>
        <v/>
      </c>
      <c r="T1103" s="20">
        <f>Operations!T1102-Operations!T1099-Operations!T1100</f>
        <v/>
      </c>
      <c r="U1103" s="20">
        <f>Operations!U1102-Operations!U1099-Operations!U1100</f>
        <v/>
      </c>
      <c r="V1103" s="20">
        <f>Operations!V1102-Operations!V1099-Operations!V1100</f>
        <v/>
      </c>
      <c r="W1103" s="20">
        <f>Operations!W1102-Operations!W1099-Operations!W1100</f>
        <v/>
      </c>
      <c r="X1103" s="20">
        <f>Operations!X1102-Operations!X1099-Operations!X1100</f>
        <v/>
      </c>
      <c r="Y1103" s="20">
        <f>Operations!Y1102-Operations!Y1099-Operations!Y1100</f>
        <v/>
      </c>
      <c r="Z1103" s="20">
        <f>Operations!Z1102-Operations!Z1099-Operations!Z1100</f>
        <v/>
      </c>
      <c r="AA1103" s="20">
        <f>Operations!AA1102-Operations!AA1099-Operations!AA1100</f>
        <v/>
      </c>
      <c r="AB1103" s="20">
        <f>Operations!AB1102-Operations!AB1099-Operations!AB1100</f>
        <v/>
      </c>
      <c r="AC1103" s="20">
        <f>Operations!AC1102-Operations!AC1099-Operations!AC1100</f>
        <v/>
      </c>
      <c r="AD1103" s="20">
        <f>Operations!AD1102-Operations!AD1099-Operations!AD1100</f>
        <v/>
      </c>
      <c r="AE1103" s="20">
        <f>Operations!AE1102-Operations!AE1099-Operations!AE1100</f>
        <v/>
      </c>
      <c r="AF1103" s="20">
        <f>Operations!AF1102-Operations!AF1099-Operations!AF1100</f>
        <v/>
      </c>
      <c r="AG1103" s="20">
        <f>Operations!AG1102-Operations!AG1099-Operations!AG1100</f>
        <v/>
      </c>
      <c r="AH1103" s="20">
        <f>Operations!AH1102-Operations!AH1099-Operations!AH1100</f>
        <v/>
      </c>
      <c r="AI1103" s="20">
        <f>Operations!AI1102-Operations!AI1099-Operations!AI1100</f>
        <v/>
      </c>
      <c r="AJ1103" s="20">
        <f>Operations!AJ1102-Operations!AJ1099-Operations!AJ1100</f>
        <v/>
      </c>
      <c r="AK1103" s="20">
        <f>Operations!AK1102-Operations!AK1099-Operations!AK1100</f>
        <v/>
      </c>
      <c r="AL1103" s="20">
        <f>Operations!AL1102-Operations!AL1099-Operations!AL1100</f>
        <v/>
      </c>
      <c r="AM1103" s="20">
        <f>Operations!AM1102-Operations!AM1099-Operations!AM1100</f>
        <v/>
      </c>
      <c r="AN1103" s="20">
        <f>Operations!AN1102-Operations!AN1099-Operations!AN1100</f>
        <v/>
      </c>
      <c r="AO1103" s="20">
        <f>Operations!AO1102-Operations!AO1099-Operations!AO1100</f>
        <v/>
      </c>
      <c r="AP1103" s="20">
        <f>Operations!AP1102-Operations!AP1099-Operations!AP1100</f>
        <v/>
      </c>
      <c r="AQ1103" s="20">
        <f>Operations!AQ1102-Operations!AQ1099-Operations!AQ1100</f>
        <v/>
      </c>
      <c r="AR1103" s="20">
        <f>Operations!AR1102-Operations!AR1099-Operations!AR1100</f>
        <v/>
      </c>
      <c r="AS1103" s="20">
        <f>Operations!AS1102-Operations!AS1099-Operations!AS1100</f>
        <v/>
      </c>
      <c r="AT1103" s="20">
        <f>Operations!AT1102-Operations!AT1099-Operations!AT1100</f>
        <v/>
      </c>
      <c r="AU1103" s="20">
        <f>Operations!AU1102-Operations!AU1099-Operations!AU1100</f>
        <v/>
      </c>
    </row>
    <row r="1104">
      <c r="D1104" t="inlineStr">
        <is>
          <t>R8 opex (O&amp;M, land, insurance, property tax, site)</t>
        </is>
      </c>
      <c r="E1104" t="inlineStr">
        <is>
          <t>USD m</t>
        </is>
      </c>
      <c r="J1104" s="20">
        <f>Inputs!$F$171*Inputs!$F$167/1000*Time!J$9*Time!J$10*Operations!J1083*Operations!$F$792</f>
        <v/>
      </c>
      <c r="K1104" s="20">
        <f>Inputs!$F$171*Inputs!$F$167/1000*Time!K$9*Time!K$10*Operations!K1083*Operations!$F$792</f>
        <v/>
      </c>
      <c r="L1104" s="20">
        <f>Inputs!$F$171*Inputs!$F$167/1000*Time!L$9*Time!L$10*Operations!L1083*Operations!$F$792</f>
        <v/>
      </c>
      <c r="M1104" s="20">
        <f>Inputs!$F$171*Inputs!$F$167/1000*Time!M$9*Time!M$10*Operations!M1083*Operations!$F$792</f>
        <v/>
      </c>
      <c r="N1104" s="20">
        <f>Inputs!$F$171*Inputs!$F$167/1000*Time!N$9*Time!N$10*Operations!N1083*Operations!$F$792</f>
        <v/>
      </c>
      <c r="O1104" s="20">
        <f>Inputs!$F$171*Inputs!$F$167/1000*Time!O$9*Time!O$10*Operations!O1083*Operations!$F$792</f>
        <v/>
      </c>
      <c r="P1104" s="20">
        <f>Inputs!$F$171*Inputs!$F$167/1000*Time!P$9*Time!P$10*Operations!P1083*Operations!$F$792</f>
        <v/>
      </c>
      <c r="Q1104" s="20">
        <f>Inputs!$F$171*Inputs!$F$167/1000*Time!Q$9*Time!Q$10*Operations!Q1083*Operations!$F$792</f>
        <v/>
      </c>
      <c r="R1104" s="20">
        <f>Inputs!$F$171*Inputs!$F$167/1000*Time!R$9*Time!R$10*Operations!R1083*Operations!$F$792</f>
        <v/>
      </c>
      <c r="S1104" s="20">
        <f>Inputs!$F$171*Inputs!$F$167/1000*Time!S$9*Time!S$10*Operations!S1083*Operations!$F$792</f>
        <v/>
      </c>
      <c r="T1104" s="20">
        <f>Inputs!$F$171*Inputs!$F$167/1000*Time!T$9*Time!T$10*Operations!T1083*Operations!$F$792</f>
        <v/>
      </c>
      <c r="U1104" s="20">
        <f>Inputs!$F$171*Inputs!$F$167/1000*Time!U$9*Time!U$10*Operations!U1083*Operations!$F$792</f>
        <v/>
      </c>
      <c r="V1104" s="20">
        <f>Inputs!$F$171*Inputs!$F$167/1000*Time!V$9*Time!V$10*Operations!V1083*Operations!$F$792</f>
        <v/>
      </c>
      <c r="W1104" s="20">
        <f>Inputs!$F$171*Inputs!$F$167/1000*Time!W$9*Time!W$10*Operations!W1083*Operations!$F$792</f>
        <v/>
      </c>
      <c r="X1104" s="20">
        <f>Inputs!$F$171*Inputs!$F$167/1000*Time!X$9*Time!X$10*Operations!X1083*Operations!$F$792</f>
        <v/>
      </c>
      <c r="Y1104" s="20">
        <f>Inputs!$F$171*Inputs!$F$167/1000*Time!Y$9*Time!Y$10*Operations!Y1083*Operations!$F$792</f>
        <v/>
      </c>
      <c r="Z1104" s="20">
        <f>Inputs!$F$171*Inputs!$F$167/1000*Time!Z$9*Time!Z$10*Operations!Z1083*Operations!$F$792</f>
        <v/>
      </c>
      <c r="AA1104" s="20">
        <f>Inputs!$F$171*Inputs!$F$167/1000*Time!AA$9*Time!AA$10*Operations!AA1083*Operations!$F$792</f>
        <v/>
      </c>
      <c r="AB1104" s="20">
        <f>Inputs!$F$171*Inputs!$F$167/1000*Time!AB$9*Time!AB$10*Operations!AB1083*Operations!$F$792</f>
        <v/>
      </c>
      <c r="AC1104" s="20">
        <f>Inputs!$F$171*Inputs!$F$167/1000*Time!AC$9*Time!AC$10*Operations!AC1083*Operations!$F$792</f>
        <v/>
      </c>
      <c r="AD1104" s="20">
        <f>Inputs!$F$171*Inputs!$F$167/1000*Time!AD$9*Time!AD$10*Operations!AD1083*Operations!$F$792</f>
        <v/>
      </c>
      <c r="AE1104" s="20">
        <f>Inputs!$F$171*Inputs!$F$167/1000*Time!AE$9*Time!AE$10*Operations!AE1083*Operations!$F$792</f>
        <v/>
      </c>
      <c r="AF1104" s="20">
        <f>Inputs!$F$171*Inputs!$F$167/1000*Time!AF$9*Time!AF$10*Operations!AF1083*Operations!$F$792</f>
        <v/>
      </c>
      <c r="AG1104" s="20">
        <f>Inputs!$F$171*Inputs!$F$167/1000*Time!AG$9*Time!AG$10*Operations!AG1083*Operations!$F$792</f>
        <v/>
      </c>
      <c r="AH1104" s="20">
        <f>Inputs!$F$171*Inputs!$F$167/1000*Time!AH$9*Time!AH$10*Operations!AH1083*Operations!$F$792</f>
        <v/>
      </c>
      <c r="AI1104" s="20">
        <f>Inputs!$F$171*Inputs!$F$167/1000*Time!AI$9*Time!AI$10*Operations!AI1083*Operations!$F$792</f>
        <v/>
      </c>
      <c r="AJ1104" s="20">
        <f>Inputs!$F$171*Inputs!$F$167/1000*Time!AJ$9*Time!AJ$10*Operations!AJ1083*Operations!$F$792</f>
        <v/>
      </c>
      <c r="AK1104" s="20">
        <f>Inputs!$F$171*Inputs!$F$167/1000*Time!AK$9*Time!AK$10*Operations!AK1083*Operations!$F$792</f>
        <v/>
      </c>
      <c r="AL1104" s="20">
        <f>Inputs!$F$171*Inputs!$F$167/1000*Time!AL$9*Time!AL$10*Operations!AL1083*Operations!$F$792</f>
        <v/>
      </c>
      <c r="AM1104" s="20">
        <f>Inputs!$F$171*Inputs!$F$167/1000*Time!AM$9*Time!AM$10*Operations!AM1083*Operations!$F$792</f>
        <v/>
      </c>
      <c r="AN1104" s="20">
        <f>Inputs!$F$171*Inputs!$F$167/1000*Time!AN$9*Time!AN$10*Operations!AN1083*Operations!$F$792</f>
        <v/>
      </c>
      <c r="AO1104" s="20">
        <f>Inputs!$F$171*Inputs!$F$167/1000*Time!AO$9*Time!AO$10*Operations!AO1083*Operations!$F$792</f>
        <v/>
      </c>
      <c r="AP1104" s="20">
        <f>Inputs!$F$171*Inputs!$F$167/1000*Time!AP$9*Time!AP$10*Operations!AP1083*Operations!$F$792</f>
        <v/>
      </c>
      <c r="AQ1104" s="20">
        <f>Inputs!$F$171*Inputs!$F$167/1000*Time!AQ$9*Time!AQ$10*Operations!AQ1083*Operations!$F$792</f>
        <v/>
      </c>
      <c r="AR1104" s="20">
        <f>Inputs!$F$171*Inputs!$F$167/1000*Time!AR$9*Time!AR$10*Operations!AR1083*Operations!$F$792</f>
        <v/>
      </c>
      <c r="AS1104" s="20">
        <f>Inputs!$F$171*Inputs!$F$167/1000*Time!AS$9*Time!AS$10*Operations!AS1083*Operations!$F$792</f>
        <v/>
      </c>
      <c r="AT1104" s="20">
        <f>Inputs!$F$171*Inputs!$F$167/1000*Time!AT$9*Time!AT$10*Operations!AT1083*Operations!$F$792</f>
        <v/>
      </c>
      <c r="AU1104" s="20">
        <f>Inputs!$F$171*Inputs!$F$167/1000*Time!AU$9*Time!AU$10*Operations!AU1083*Operations!$F$792</f>
        <v/>
      </c>
    </row>
    <row r="1105">
      <c r="D1105" t="inlineStr">
        <is>
          <t>R8 land lease (in opex)</t>
        </is>
      </c>
      <c r="E1105" t="inlineStr">
        <is>
          <t>USD m</t>
        </is>
      </c>
      <c r="J1105" s="20">
        <f>0</f>
        <v/>
      </c>
      <c r="K1105" s="20">
        <f>0</f>
        <v/>
      </c>
      <c r="L1105" s="20">
        <f>0</f>
        <v/>
      </c>
      <c r="M1105" s="20">
        <f>0</f>
        <v/>
      </c>
      <c r="N1105" s="20">
        <f>0</f>
        <v/>
      </c>
      <c r="O1105" s="20">
        <f>0</f>
        <v/>
      </c>
      <c r="P1105" s="20">
        <f>0</f>
        <v/>
      </c>
      <c r="Q1105" s="20">
        <f>0</f>
        <v/>
      </c>
      <c r="R1105" s="20">
        <f>0</f>
        <v/>
      </c>
      <c r="S1105" s="20">
        <f>0</f>
        <v/>
      </c>
      <c r="T1105" s="20">
        <f>0</f>
        <v/>
      </c>
      <c r="U1105" s="20">
        <f>0</f>
        <v/>
      </c>
      <c r="V1105" s="20">
        <f>0</f>
        <v/>
      </c>
      <c r="W1105" s="20">
        <f>0</f>
        <v/>
      </c>
      <c r="X1105" s="20">
        <f>0</f>
        <v/>
      </c>
      <c r="Y1105" s="20">
        <f>0</f>
        <v/>
      </c>
      <c r="Z1105" s="20">
        <f>0</f>
        <v/>
      </c>
      <c r="AA1105" s="20">
        <f>0</f>
        <v/>
      </c>
      <c r="AB1105" s="20">
        <f>0</f>
        <v/>
      </c>
      <c r="AC1105" s="20">
        <f>0</f>
        <v/>
      </c>
      <c r="AD1105" s="20">
        <f>0</f>
        <v/>
      </c>
      <c r="AE1105" s="20">
        <f>0</f>
        <v/>
      </c>
      <c r="AF1105" s="20">
        <f>0</f>
        <v/>
      </c>
      <c r="AG1105" s="20">
        <f>0</f>
        <v/>
      </c>
      <c r="AH1105" s="20">
        <f>0</f>
        <v/>
      </c>
      <c r="AI1105" s="20">
        <f>0</f>
        <v/>
      </c>
      <c r="AJ1105" s="20">
        <f>0</f>
        <v/>
      </c>
      <c r="AK1105" s="20">
        <f>0</f>
        <v/>
      </c>
      <c r="AL1105" s="20">
        <f>0</f>
        <v/>
      </c>
      <c r="AM1105" s="20">
        <f>0</f>
        <v/>
      </c>
      <c r="AN1105" s="20">
        <f>0</f>
        <v/>
      </c>
      <c r="AO1105" s="20">
        <f>0</f>
        <v/>
      </c>
      <c r="AP1105" s="20">
        <f>0</f>
        <v/>
      </c>
      <c r="AQ1105" s="20">
        <f>0</f>
        <v/>
      </c>
      <c r="AR1105" s="20">
        <f>0</f>
        <v/>
      </c>
      <c r="AS1105" s="20">
        <f>0</f>
        <v/>
      </c>
      <c r="AT1105" s="20">
        <f>0</f>
        <v/>
      </c>
      <c r="AU1105" s="20">
        <f>0</f>
        <v/>
      </c>
    </row>
    <row r="1106">
      <c r="D1106" t="inlineStr">
        <is>
          <t>R8 decommissioning surety cost</t>
        </is>
      </c>
      <c r="E1106" t="inlineStr">
        <is>
          <t>USD m</t>
        </is>
      </c>
      <c r="J1106" s="20">
        <f>Inputs!$F$236/100*Inputs!$F$172*Inputs!$F$167/1000*Time!J$9*Operations!J1083</f>
        <v/>
      </c>
      <c r="K1106" s="20">
        <f>Inputs!$F$236/100*Inputs!$F$172*Inputs!$F$167/1000*Time!K$9*Operations!K1083</f>
        <v/>
      </c>
      <c r="L1106" s="20">
        <f>Inputs!$F$236/100*Inputs!$F$172*Inputs!$F$167/1000*Time!L$9*Operations!L1083</f>
        <v/>
      </c>
      <c r="M1106" s="20">
        <f>Inputs!$F$236/100*Inputs!$F$172*Inputs!$F$167/1000*Time!M$9*Operations!M1083</f>
        <v/>
      </c>
      <c r="N1106" s="20">
        <f>Inputs!$F$236/100*Inputs!$F$172*Inputs!$F$167/1000*Time!N$9*Operations!N1083</f>
        <v/>
      </c>
      <c r="O1106" s="20">
        <f>Inputs!$F$236/100*Inputs!$F$172*Inputs!$F$167/1000*Time!O$9*Operations!O1083</f>
        <v/>
      </c>
      <c r="P1106" s="20">
        <f>Inputs!$F$236/100*Inputs!$F$172*Inputs!$F$167/1000*Time!P$9*Operations!P1083</f>
        <v/>
      </c>
      <c r="Q1106" s="20">
        <f>Inputs!$F$236/100*Inputs!$F$172*Inputs!$F$167/1000*Time!Q$9*Operations!Q1083</f>
        <v/>
      </c>
      <c r="R1106" s="20">
        <f>Inputs!$F$236/100*Inputs!$F$172*Inputs!$F$167/1000*Time!R$9*Operations!R1083</f>
        <v/>
      </c>
      <c r="S1106" s="20">
        <f>Inputs!$F$236/100*Inputs!$F$172*Inputs!$F$167/1000*Time!S$9*Operations!S1083</f>
        <v/>
      </c>
      <c r="T1106" s="20">
        <f>Inputs!$F$236/100*Inputs!$F$172*Inputs!$F$167/1000*Time!T$9*Operations!T1083</f>
        <v/>
      </c>
      <c r="U1106" s="20">
        <f>Inputs!$F$236/100*Inputs!$F$172*Inputs!$F$167/1000*Time!U$9*Operations!U1083</f>
        <v/>
      </c>
      <c r="V1106" s="20">
        <f>Inputs!$F$236/100*Inputs!$F$172*Inputs!$F$167/1000*Time!V$9*Operations!V1083</f>
        <v/>
      </c>
      <c r="W1106" s="20">
        <f>Inputs!$F$236/100*Inputs!$F$172*Inputs!$F$167/1000*Time!W$9*Operations!W1083</f>
        <v/>
      </c>
      <c r="X1106" s="20">
        <f>Inputs!$F$236/100*Inputs!$F$172*Inputs!$F$167/1000*Time!X$9*Operations!X1083</f>
        <v/>
      </c>
      <c r="Y1106" s="20">
        <f>Inputs!$F$236/100*Inputs!$F$172*Inputs!$F$167/1000*Time!Y$9*Operations!Y1083</f>
        <v/>
      </c>
      <c r="Z1106" s="20">
        <f>Inputs!$F$236/100*Inputs!$F$172*Inputs!$F$167/1000*Time!Z$9*Operations!Z1083</f>
        <v/>
      </c>
      <c r="AA1106" s="20">
        <f>Inputs!$F$236/100*Inputs!$F$172*Inputs!$F$167/1000*Time!AA$9*Operations!AA1083</f>
        <v/>
      </c>
      <c r="AB1106" s="20">
        <f>Inputs!$F$236/100*Inputs!$F$172*Inputs!$F$167/1000*Time!AB$9*Operations!AB1083</f>
        <v/>
      </c>
      <c r="AC1106" s="20">
        <f>Inputs!$F$236/100*Inputs!$F$172*Inputs!$F$167/1000*Time!AC$9*Operations!AC1083</f>
        <v/>
      </c>
      <c r="AD1106" s="20">
        <f>Inputs!$F$236/100*Inputs!$F$172*Inputs!$F$167/1000*Time!AD$9*Operations!AD1083</f>
        <v/>
      </c>
      <c r="AE1106" s="20">
        <f>Inputs!$F$236/100*Inputs!$F$172*Inputs!$F$167/1000*Time!AE$9*Operations!AE1083</f>
        <v/>
      </c>
      <c r="AF1106" s="20">
        <f>Inputs!$F$236/100*Inputs!$F$172*Inputs!$F$167/1000*Time!AF$9*Operations!AF1083</f>
        <v/>
      </c>
      <c r="AG1106" s="20">
        <f>Inputs!$F$236/100*Inputs!$F$172*Inputs!$F$167/1000*Time!AG$9*Operations!AG1083</f>
        <v/>
      </c>
      <c r="AH1106" s="20">
        <f>Inputs!$F$236/100*Inputs!$F$172*Inputs!$F$167/1000*Time!AH$9*Operations!AH1083</f>
        <v/>
      </c>
      <c r="AI1106" s="20">
        <f>Inputs!$F$236/100*Inputs!$F$172*Inputs!$F$167/1000*Time!AI$9*Operations!AI1083</f>
        <v/>
      </c>
      <c r="AJ1106" s="20">
        <f>Inputs!$F$236/100*Inputs!$F$172*Inputs!$F$167/1000*Time!AJ$9*Operations!AJ1083</f>
        <v/>
      </c>
      <c r="AK1106" s="20">
        <f>Inputs!$F$236/100*Inputs!$F$172*Inputs!$F$167/1000*Time!AK$9*Operations!AK1083</f>
        <v/>
      </c>
      <c r="AL1106" s="20">
        <f>Inputs!$F$236/100*Inputs!$F$172*Inputs!$F$167/1000*Time!AL$9*Operations!AL1083</f>
        <v/>
      </c>
      <c r="AM1106" s="20">
        <f>Inputs!$F$236/100*Inputs!$F$172*Inputs!$F$167/1000*Time!AM$9*Operations!AM1083</f>
        <v/>
      </c>
      <c r="AN1106" s="20">
        <f>Inputs!$F$236/100*Inputs!$F$172*Inputs!$F$167/1000*Time!AN$9*Operations!AN1083</f>
        <v/>
      </c>
      <c r="AO1106" s="20">
        <f>Inputs!$F$236/100*Inputs!$F$172*Inputs!$F$167/1000*Time!AO$9*Operations!AO1083</f>
        <v/>
      </c>
      <c r="AP1106" s="20">
        <f>Inputs!$F$236/100*Inputs!$F$172*Inputs!$F$167/1000*Time!AP$9*Operations!AP1083</f>
        <v/>
      </c>
      <c r="AQ1106" s="20">
        <f>Inputs!$F$236/100*Inputs!$F$172*Inputs!$F$167/1000*Time!AQ$9*Operations!AQ1083</f>
        <v/>
      </c>
      <c r="AR1106" s="20">
        <f>Inputs!$F$236/100*Inputs!$F$172*Inputs!$F$167/1000*Time!AR$9*Operations!AR1083</f>
        <v/>
      </c>
      <c r="AS1106" s="20">
        <f>Inputs!$F$236/100*Inputs!$F$172*Inputs!$F$167/1000*Time!AS$9*Operations!AS1083</f>
        <v/>
      </c>
      <c r="AT1106" s="20">
        <f>Inputs!$F$236/100*Inputs!$F$172*Inputs!$F$167/1000*Time!AT$9*Operations!AT1083</f>
        <v/>
      </c>
      <c r="AU1106" s="20">
        <f>Inputs!$F$236/100*Inputs!$F$172*Inputs!$F$167/1000*Time!AU$9*Operations!AU1083</f>
        <v/>
      </c>
    </row>
    <row r="1107">
      <c r="D1107" t="inlineStr">
        <is>
          <t>R8 Texas margin tax</t>
        </is>
      </c>
      <c r="E1107" t="inlineStr">
        <is>
          <t>USD m</t>
        </is>
      </c>
      <c r="J1107" s="20">
        <f>Inputs!$F$237/100*Inputs!$F$238/100*Operations!J1102</f>
        <v/>
      </c>
      <c r="K1107" s="20">
        <f>Inputs!$F$237/100*Inputs!$F$238/100*Operations!K1102</f>
        <v/>
      </c>
      <c r="L1107" s="20">
        <f>Inputs!$F$237/100*Inputs!$F$238/100*Operations!L1102</f>
        <v/>
      </c>
      <c r="M1107" s="20">
        <f>Inputs!$F$237/100*Inputs!$F$238/100*Operations!M1102</f>
        <v/>
      </c>
      <c r="N1107" s="20">
        <f>Inputs!$F$237/100*Inputs!$F$238/100*Operations!N1102</f>
        <v/>
      </c>
      <c r="O1107" s="20">
        <f>Inputs!$F$237/100*Inputs!$F$238/100*Operations!O1102</f>
        <v/>
      </c>
      <c r="P1107" s="20">
        <f>Inputs!$F$237/100*Inputs!$F$238/100*Operations!P1102</f>
        <v/>
      </c>
      <c r="Q1107" s="20">
        <f>Inputs!$F$237/100*Inputs!$F$238/100*Operations!Q1102</f>
        <v/>
      </c>
      <c r="R1107" s="20">
        <f>Inputs!$F$237/100*Inputs!$F$238/100*Operations!R1102</f>
        <v/>
      </c>
      <c r="S1107" s="20">
        <f>Inputs!$F$237/100*Inputs!$F$238/100*Operations!S1102</f>
        <v/>
      </c>
      <c r="T1107" s="20">
        <f>Inputs!$F$237/100*Inputs!$F$238/100*Operations!T1102</f>
        <v/>
      </c>
      <c r="U1107" s="20">
        <f>Inputs!$F$237/100*Inputs!$F$238/100*Operations!U1102</f>
        <v/>
      </c>
      <c r="V1107" s="20">
        <f>Inputs!$F$237/100*Inputs!$F$238/100*Operations!V1102</f>
        <v/>
      </c>
      <c r="W1107" s="20">
        <f>Inputs!$F$237/100*Inputs!$F$238/100*Operations!W1102</f>
        <v/>
      </c>
      <c r="X1107" s="20">
        <f>Inputs!$F$237/100*Inputs!$F$238/100*Operations!X1102</f>
        <v/>
      </c>
      <c r="Y1107" s="20">
        <f>Inputs!$F$237/100*Inputs!$F$238/100*Operations!Y1102</f>
        <v/>
      </c>
      <c r="Z1107" s="20">
        <f>Inputs!$F$237/100*Inputs!$F$238/100*Operations!Z1102</f>
        <v/>
      </c>
      <c r="AA1107" s="20">
        <f>Inputs!$F$237/100*Inputs!$F$238/100*Operations!AA1102</f>
        <v/>
      </c>
      <c r="AB1107" s="20">
        <f>Inputs!$F$237/100*Inputs!$F$238/100*Operations!AB1102</f>
        <v/>
      </c>
      <c r="AC1107" s="20">
        <f>Inputs!$F$237/100*Inputs!$F$238/100*Operations!AC1102</f>
        <v/>
      </c>
      <c r="AD1107" s="20">
        <f>Inputs!$F$237/100*Inputs!$F$238/100*Operations!AD1102</f>
        <v/>
      </c>
      <c r="AE1107" s="20">
        <f>Inputs!$F$237/100*Inputs!$F$238/100*Operations!AE1102</f>
        <v/>
      </c>
      <c r="AF1107" s="20">
        <f>Inputs!$F$237/100*Inputs!$F$238/100*Operations!AF1102</f>
        <v/>
      </c>
      <c r="AG1107" s="20">
        <f>Inputs!$F$237/100*Inputs!$F$238/100*Operations!AG1102</f>
        <v/>
      </c>
      <c r="AH1107" s="20">
        <f>Inputs!$F$237/100*Inputs!$F$238/100*Operations!AH1102</f>
        <v/>
      </c>
      <c r="AI1107" s="20">
        <f>Inputs!$F$237/100*Inputs!$F$238/100*Operations!AI1102</f>
        <v/>
      </c>
      <c r="AJ1107" s="20">
        <f>Inputs!$F$237/100*Inputs!$F$238/100*Operations!AJ1102</f>
        <v/>
      </c>
      <c r="AK1107" s="20">
        <f>Inputs!$F$237/100*Inputs!$F$238/100*Operations!AK1102</f>
        <v/>
      </c>
      <c r="AL1107" s="20">
        <f>Inputs!$F$237/100*Inputs!$F$238/100*Operations!AL1102</f>
        <v/>
      </c>
      <c r="AM1107" s="20">
        <f>Inputs!$F$237/100*Inputs!$F$238/100*Operations!AM1102</f>
        <v/>
      </c>
      <c r="AN1107" s="20">
        <f>Inputs!$F$237/100*Inputs!$F$238/100*Operations!AN1102</f>
        <v/>
      </c>
      <c r="AO1107" s="20">
        <f>Inputs!$F$237/100*Inputs!$F$238/100*Operations!AO1102</f>
        <v/>
      </c>
      <c r="AP1107" s="20">
        <f>Inputs!$F$237/100*Inputs!$F$238/100*Operations!AP1102</f>
        <v/>
      </c>
      <c r="AQ1107" s="20">
        <f>Inputs!$F$237/100*Inputs!$F$238/100*Operations!AQ1102</f>
        <v/>
      </c>
      <c r="AR1107" s="20">
        <f>Inputs!$F$237/100*Inputs!$F$238/100*Operations!AR1102</f>
        <v/>
      </c>
      <c r="AS1107" s="20">
        <f>Inputs!$F$237/100*Inputs!$F$238/100*Operations!AS1102</f>
        <v/>
      </c>
      <c r="AT1107" s="20">
        <f>Inputs!$F$237/100*Inputs!$F$238/100*Operations!AT1102</f>
        <v/>
      </c>
      <c r="AU1107" s="20">
        <f>Inputs!$F$237/100*Inputs!$F$238/100*Operations!AU1102</f>
        <v/>
      </c>
    </row>
    <row r="1108">
      <c r="D1108" t="inlineStr">
        <is>
          <t>R8 EBITDA</t>
        </is>
      </c>
      <c r="E1108" t="inlineStr">
        <is>
          <t>USD m</t>
        </is>
      </c>
      <c r="G1108" s="20">
        <f>SUM(J1108:AU1108)</f>
        <v/>
      </c>
      <c r="J1108" s="20">
        <f>Operations!J1102-Operations!J1104-Operations!J1105-Operations!J1106-Operations!J1107</f>
        <v/>
      </c>
      <c r="K1108" s="20">
        <f>Operations!K1102-Operations!K1104-Operations!K1105-Operations!K1106-Operations!K1107</f>
        <v/>
      </c>
      <c r="L1108" s="20">
        <f>Operations!L1102-Operations!L1104-Operations!L1105-Operations!L1106-Operations!L1107</f>
        <v/>
      </c>
      <c r="M1108" s="20">
        <f>Operations!M1102-Operations!M1104-Operations!M1105-Operations!M1106-Operations!M1107</f>
        <v/>
      </c>
      <c r="N1108" s="20">
        <f>Operations!N1102-Operations!N1104-Operations!N1105-Operations!N1106-Operations!N1107</f>
        <v/>
      </c>
      <c r="O1108" s="20">
        <f>Operations!O1102-Operations!O1104-Operations!O1105-Operations!O1106-Operations!O1107</f>
        <v/>
      </c>
      <c r="P1108" s="20">
        <f>Operations!P1102-Operations!P1104-Operations!P1105-Operations!P1106-Operations!P1107</f>
        <v/>
      </c>
      <c r="Q1108" s="20">
        <f>Operations!Q1102-Operations!Q1104-Operations!Q1105-Operations!Q1106-Operations!Q1107</f>
        <v/>
      </c>
      <c r="R1108" s="20">
        <f>Operations!R1102-Operations!R1104-Operations!R1105-Operations!R1106-Operations!R1107</f>
        <v/>
      </c>
      <c r="S1108" s="20">
        <f>Operations!S1102-Operations!S1104-Operations!S1105-Operations!S1106-Operations!S1107</f>
        <v/>
      </c>
      <c r="T1108" s="20">
        <f>Operations!T1102-Operations!T1104-Operations!T1105-Operations!T1106-Operations!T1107</f>
        <v/>
      </c>
      <c r="U1108" s="20">
        <f>Operations!U1102-Operations!U1104-Operations!U1105-Operations!U1106-Operations!U1107</f>
        <v/>
      </c>
      <c r="V1108" s="20">
        <f>Operations!V1102-Operations!V1104-Operations!V1105-Operations!V1106-Operations!V1107</f>
        <v/>
      </c>
      <c r="W1108" s="20">
        <f>Operations!W1102-Operations!W1104-Operations!W1105-Operations!W1106-Operations!W1107</f>
        <v/>
      </c>
      <c r="X1108" s="20">
        <f>Operations!X1102-Operations!X1104-Operations!X1105-Operations!X1106-Operations!X1107</f>
        <v/>
      </c>
      <c r="Y1108" s="20">
        <f>Operations!Y1102-Operations!Y1104-Operations!Y1105-Operations!Y1106-Operations!Y1107</f>
        <v/>
      </c>
      <c r="Z1108" s="20">
        <f>Operations!Z1102-Operations!Z1104-Operations!Z1105-Operations!Z1106-Operations!Z1107</f>
        <v/>
      </c>
      <c r="AA1108" s="20">
        <f>Operations!AA1102-Operations!AA1104-Operations!AA1105-Operations!AA1106-Operations!AA1107</f>
        <v/>
      </c>
      <c r="AB1108" s="20">
        <f>Operations!AB1102-Operations!AB1104-Operations!AB1105-Operations!AB1106-Operations!AB1107</f>
        <v/>
      </c>
      <c r="AC1108" s="20">
        <f>Operations!AC1102-Operations!AC1104-Operations!AC1105-Operations!AC1106-Operations!AC1107</f>
        <v/>
      </c>
      <c r="AD1108" s="20">
        <f>Operations!AD1102-Operations!AD1104-Operations!AD1105-Operations!AD1106-Operations!AD1107</f>
        <v/>
      </c>
      <c r="AE1108" s="20">
        <f>Operations!AE1102-Operations!AE1104-Operations!AE1105-Operations!AE1106-Operations!AE1107</f>
        <v/>
      </c>
      <c r="AF1108" s="20">
        <f>Operations!AF1102-Operations!AF1104-Operations!AF1105-Operations!AF1106-Operations!AF1107</f>
        <v/>
      </c>
      <c r="AG1108" s="20">
        <f>Operations!AG1102-Operations!AG1104-Operations!AG1105-Operations!AG1106-Operations!AG1107</f>
        <v/>
      </c>
      <c r="AH1108" s="20">
        <f>Operations!AH1102-Operations!AH1104-Operations!AH1105-Operations!AH1106-Operations!AH1107</f>
        <v/>
      </c>
      <c r="AI1108" s="20">
        <f>Operations!AI1102-Operations!AI1104-Operations!AI1105-Operations!AI1106-Operations!AI1107</f>
        <v/>
      </c>
      <c r="AJ1108" s="20">
        <f>Operations!AJ1102-Operations!AJ1104-Operations!AJ1105-Operations!AJ1106-Operations!AJ1107</f>
        <v/>
      </c>
      <c r="AK1108" s="20">
        <f>Operations!AK1102-Operations!AK1104-Operations!AK1105-Operations!AK1106-Operations!AK1107</f>
        <v/>
      </c>
      <c r="AL1108" s="20">
        <f>Operations!AL1102-Operations!AL1104-Operations!AL1105-Operations!AL1106-Operations!AL1107</f>
        <v/>
      </c>
      <c r="AM1108" s="20">
        <f>Operations!AM1102-Operations!AM1104-Operations!AM1105-Operations!AM1106-Operations!AM1107</f>
        <v/>
      </c>
      <c r="AN1108" s="20">
        <f>Operations!AN1102-Operations!AN1104-Operations!AN1105-Operations!AN1106-Operations!AN1107</f>
        <v/>
      </c>
      <c r="AO1108" s="20">
        <f>Operations!AO1102-Operations!AO1104-Operations!AO1105-Operations!AO1106-Operations!AO1107</f>
        <v/>
      </c>
      <c r="AP1108" s="20">
        <f>Operations!AP1102-Operations!AP1104-Operations!AP1105-Operations!AP1106-Operations!AP1107</f>
        <v/>
      </c>
      <c r="AQ1108" s="20">
        <f>Operations!AQ1102-Operations!AQ1104-Operations!AQ1105-Operations!AQ1106-Operations!AQ1107</f>
        <v/>
      </c>
      <c r="AR1108" s="20">
        <f>Operations!AR1102-Operations!AR1104-Operations!AR1105-Operations!AR1106-Operations!AR1107</f>
        <v/>
      </c>
      <c r="AS1108" s="20">
        <f>Operations!AS1102-Operations!AS1104-Operations!AS1105-Operations!AS1106-Operations!AS1107</f>
        <v/>
      </c>
      <c r="AT1108" s="20">
        <f>Operations!AT1102-Operations!AT1104-Operations!AT1105-Operations!AT1106-Operations!AT1107</f>
        <v/>
      </c>
      <c r="AU1108" s="20">
        <f>Operations!AU1102-Operations!AU1104-Operations!AU1105-Operations!AU1106-Operations!AU1107</f>
        <v/>
      </c>
    </row>
    <row r="1109">
      <c r="D1109" t="inlineStr">
        <is>
          <t>R8 capex</t>
        </is>
      </c>
      <c r="E1109" t="inlineStr">
        <is>
          <t>USD m</t>
        </is>
      </c>
      <c r="J1109" s="20">
        <f>0</f>
        <v/>
      </c>
      <c r="K1109" s="20">
        <f>0</f>
        <v/>
      </c>
      <c r="L1109" s="20">
        <f>0</f>
        <v/>
      </c>
      <c r="M1109" s="20">
        <f>0</f>
        <v/>
      </c>
      <c r="N1109" s="20">
        <f>0</f>
        <v/>
      </c>
      <c r="O1109" s="20">
        <f>0</f>
        <v/>
      </c>
      <c r="P1109" s="20">
        <f>0</f>
        <v/>
      </c>
      <c r="Q1109" s="20">
        <f>0</f>
        <v/>
      </c>
      <c r="R1109" s="20">
        <f>0</f>
        <v/>
      </c>
      <c r="S1109" s="20">
        <f>0</f>
        <v/>
      </c>
      <c r="T1109" s="20">
        <f>0</f>
        <v/>
      </c>
      <c r="U1109" s="20">
        <f>0</f>
        <v/>
      </c>
      <c r="V1109" s="20">
        <f>0</f>
        <v/>
      </c>
      <c r="W1109" s="20">
        <f>0</f>
        <v/>
      </c>
      <c r="X1109" s="20">
        <f>0</f>
        <v/>
      </c>
      <c r="Y1109" s="20">
        <f>0</f>
        <v/>
      </c>
      <c r="Z1109" s="20">
        <f>0</f>
        <v/>
      </c>
      <c r="AA1109" s="20">
        <f>0</f>
        <v/>
      </c>
      <c r="AB1109" s="20">
        <f>0</f>
        <v/>
      </c>
      <c r="AC1109" s="20">
        <f>0</f>
        <v/>
      </c>
      <c r="AD1109" s="20">
        <f>0</f>
        <v/>
      </c>
      <c r="AE1109" s="20">
        <f>0</f>
        <v/>
      </c>
      <c r="AF1109" s="20">
        <f>0</f>
        <v/>
      </c>
      <c r="AG1109" s="20">
        <f>0</f>
        <v/>
      </c>
      <c r="AH1109" s="20">
        <f>0</f>
        <v/>
      </c>
      <c r="AI1109" s="20">
        <f>0</f>
        <v/>
      </c>
      <c r="AJ1109" s="20">
        <f>0</f>
        <v/>
      </c>
      <c r="AK1109" s="20">
        <f>0</f>
        <v/>
      </c>
      <c r="AL1109" s="20">
        <f>0</f>
        <v/>
      </c>
      <c r="AM1109" s="20">
        <f>0</f>
        <v/>
      </c>
      <c r="AN1109" s="20">
        <f>0</f>
        <v/>
      </c>
      <c r="AO1109" s="20">
        <f>0</f>
        <v/>
      </c>
      <c r="AP1109" s="20">
        <f>0</f>
        <v/>
      </c>
      <c r="AQ1109" s="20">
        <f>0</f>
        <v/>
      </c>
      <c r="AR1109" s="20">
        <f>0</f>
        <v/>
      </c>
      <c r="AS1109" s="20">
        <f>0</f>
        <v/>
      </c>
      <c r="AT1109" s="20">
        <f>0</f>
        <v/>
      </c>
      <c r="AU1109" s="20">
        <f>0</f>
        <v/>
      </c>
    </row>
    <row r="1110">
      <c r="D1110" t="inlineStr">
        <is>
          <t>R8 decommissioning at end of life</t>
        </is>
      </c>
      <c r="E1110" t="inlineStr">
        <is>
          <t>USD m</t>
        </is>
      </c>
      <c r="J1110" s="20">
        <f>IF(Time!J$4=YEAR(Inputs!$F$169),Inputs!$F$172*Inputs!$F$167/1000*Time!J$9,0)</f>
        <v/>
      </c>
      <c r="K1110" s="20">
        <f>IF(Time!K$4=YEAR(Inputs!$F$169),Inputs!$F$172*Inputs!$F$167/1000*Time!K$9,0)</f>
        <v/>
      </c>
      <c r="L1110" s="20">
        <f>IF(Time!L$4=YEAR(Inputs!$F$169),Inputs!$F$172*Inputs!$F$167/1000*Time!L$9,0)</f>
        <v/>
      </c>
      <c r="M1110" s="20">
        <f>IF(Time!M$4=YEAR(Inputs!$F$169),Inputs!$F$172*Inputs!$F$167/1000*Time!M$9,0)</f>
        <v/>
      </c>
      <c r="N1110" s="20">
        <f>IF(Time!N$4=YEAR(Inputs!$F$169),Inputs!$F$172*Inputs!$F$167/1000*Time!N$9,0)</f>
        <v/>
      </c>
      <c r="O1110" s="20">
        <f>IF(Time!O$4=YEAR(Inputs!$F$169),Inputs!$F$172*Inputs!$F$167/1000*Time!O$9,0)</f>
        <v/>
      </c>
      <c r="P1110" s="20">
        <f>IF(Time!P$4=YEAR(Inputs!$F$169),Inputs!$F$172*Inputs!$F$167/1000*Time!P$9,0)</f>
        <v/>
      </c>
      <c r="Q1110" s="20">
        <f>IF(Time!Q$4=YEAR(Inputs!$F$169),Inputs!$F$172*Inputs!$F$167/1000*Time!Q$9,0)</f>
        <v/>
      </c>
      <c r="R1110" s="20">
        <f>IF(Time!R$4=YEAR(Inputs!$F$169),Inputs!$F$172*Inputs!$F$167/1000*Time!R$9,0)</f>
        <v/>
      </c>
      <c r="S1110" s="20">
        <f>IF(Time!S$4=YEAR(Inputs!$F$169),Inputs!$F$172*Inputs!$F$167/1000*Time!S$9,0)</f>
        <v/>
      </c>
      <c r="T1110" s="20">
        <f>IF(Time!T$4=YEAR(Inputs!$F$169),Inputs!$F$172*Inputs!$F$167/1000*Time!T$9,0)</f>
        <v/>
      </c>
      <c r="U1110" s="20">
        <f>IF(Time!U$4=YEAR(Inputs!$F$169),Inputs!$F$172*Inputs!$F$167/1000*Time!U$9,0)</f>
        <v/>
      </c>
      <c r="V1110" s="20">
        <f>IF(Time!V$4=YEAR(Inputs!$F$169),Inputs!$F$172*Inputs!$F$167/1000*Time!V$9,0)</f>
        <v/>
      </c>
      <c r="W1110" s="20">
        <f>IF(Time!W$4=YEAR(Inputs!$F$169),Inputs!$F$172*Inputs!$F$167/1000*Time!W$9,0)</f>
        <v/>
      </c>
      <c r="X1110" s="20">
        <f>IF(Time!X$4=YEAR(Inputs!$F$169),Inputs!$F$172*Inputs!$F$167/1000*Time!X$9,0)</f>
        <v/>
      </c>
      <c r="Y1110" s="20">
        <f>IF(Time!Y$4=YEAR(Inputs!$F$169),Inputs!$F$172*Inputs!$F$167/1000*Time!Y$9,0)</f>
        <v/>
      </c>
      <c r="Z1110" s="20">
        <f>IF(Time!Z$4=YEAR(Inputs!$F$169),Inputs!$F$172*Inputs!$F$167/1000*Time!Z$9,0)</f>
        <v/>
      </c>
      <c r="AA1110" s="20">
        <f>IF(Time!AA$4=YEAR(Inputs!$F$169),Inputs!$F$172*Inputs!$F$167/1000*Time!AA$9,0)</f>
        <v/>
      </c>
      <c r="AB1110" s="20">
        <f>IF(Time!AB$4=YEAR(Inputs!$F$169),Inputs!$F$172*Inputs!$F$167/1000*Time!AB$9,0)</f>
        <v/>
      </c>
      <c r="AC1110" s="20">
        <f>IF(Time!AC$4=YEAR(Inputs!$F$169),Inputs!$F$172*Inputs!$F$167/1000*Time!AC$9,0)</f>
        <v/>
      </c>
      <c r="AD1110" s="20">
        <f>IF(Time!AD$4=YEAR(Inputs!$F$169),Inputs!$F$172*Inputs!$F$167/1000*Time!AD$9,0)</f>
        <v/>
      </c>
      <c r="AE1110" s="20">
        <f>IF(Time!AE$4=YEAR(Inputs!$F$169),Inputs!$F$172*Inputs!$F$167/1000*Time!AE$9,0)</f>
        <v/>
      </c>
      <c r="AF1110" s="20">
        <f>IF(Time!AF$4=YEAR(Inputs!$F$169),Inputs!$F$172*Inputs!$F$167/1000*Time!AF$9,0)</f>
        <v/>
      </c>
      <c r="AG1110" s="20">
        <f>IF(Time!AG$4=YEAR(Inputs!$F$169),Inputs!$F$172*Inputs!$F$167/1000*Time!AG$9,0)</f>
        <v/>
      </c>
      <c r="AH1110" s="20">
        <f>IF(Time!AH$4=YEAR(Inputs!$F$169),Inputs!$F$172*Inputs!$F$167/1000*Time!AH$9,0)</f>
        <v/>
      </c>
      <c r="AI1110" s="20">
        <f>IF(Time!AI$4=YEAR(Inputs!$F$169),Inputs!$F$172*Inputs!$F$167/1000*Time!AI$9,0)</f>
        <v/>
      </c>
      <c r="AJ1110" s="20">
        <f>IF(Time!AJ$4=YEAR(Inputs!$F$169),Inputs!$F$172*Inputs!$F$167/1000*Time!AJ$9,0)</f>
        <v/>
      </c>
      <c r="AK1110" s="20">
        <f>IF(Time!AK$4=YEAR(Inputs!$F$169),Inputs!$F$172*Inputs!$F$167/1000*Time!AK$9,0)</f>
        <v/>
      </c>
      <c r="AL1110" s="20">
        <f>IF(Time!AL$4=YEAR(Inputs!$F$169),Inputs!$F$172*Inputs!$F$167/1000*Time!AL$9,0)</f>
        <v/>
      </c>
      <c r="AM1110" s="20">
        <f>IF(Time!AM$4=YEAR(Inputs!$F$169),Inputs!$F$172*Inputs!$F$167/1000*Time!AM$9,0)</f>
        <v/>
      </c>
      <c r="AN1110" s="20">
        <f>IF(Time!AN$4=YEAR(Inputs!$F$169),Inputs!$F$172*Inputs!$F$167/1000*Time!AN$9,0)</f>
        <v/>
      </c>
      <c r="AO1110" s="20">
        <f>IF(Time!AO$4=YEAR(Inputs!$F$169),Inputs!$F$172*Inputs!$F$167/1000*Time!AO$9,0)</f>
        <v/>
      </c>
      <c r="AP1110" s="20">
        <f>IF(Time!AP$4=YEAR(Inputs!$F$169),Inputs!$F$172*Inputs!$F$167/1000*Time!AP$9,0)</f>
        <v/>
      </c>
      <c r="AQ1110" s="20">
        <f>IF(Time!AQ$4=YEAR(Inputs!$F$169),Inputs!$F$172*Inputs!$F$167/1000*Time!AQ$9,0)</f>
        <v/>
      </c>
      <c r="AR1110" s="20">
        <f>IF(Time!AR$4=YEAR(Inputs!$F$169),Inputs!$F$172*Inputs!$F$167/1000*Time!AR$9,0)</f>
        <v/>
      </c>
      <c r="AS1110" s="20">
        <f>IF(Time!AS$4=YEAR(Inputs!$F$169),Inputs!$F$172*Inputs!$F$167/1000*Time!AS$9,0)</f>
        <v/>
      </c>
      <c r="AT1110" s="20">
        <f>IF(Time!AT$4=YEAR(Inputs!$F$169),Inputs!$F$172*Inputs!$F$167/1000*Time!AT$9,0)</f>
        <v/>
      </c>
      <c r="AU1110" s="20">
        <f>IF(Time!AU$4=YEAR(Inputs!$F$169),Inputs!$F$172*Inputs!$F$167/1000*Time!AU$9,0)</f>
        <v/>
      </c>
    </row>
    <row r="1111">
      <c r="D1111" t="inlineStr">
        <is>
          <t>R8 pre-tax cash flow, 100% of asset</t>
        </is>
      </c>
      <c r="E1111" t="inlineStr">
        <is>
          <t>USD m</t>
        </is>
      </c>
      <c r="G1111" s="20">
        <f>SUM(J1111:AU1111)</f>
        <v/>
      </c>
      <c r="J1111" s="20">
        <f>Operations!J1108-Operations!J1109-Operations!J1110</f>
        <v/>
      </c>
      <c r="K1111" s="20">
        <f>Operations!K1108-Operations!K1109-Operations!K1110</f>
        <v/>
      </c>
      <c r="L1111" s="20">
        <f>Operations!L1108-Operations!L1109-Operations!L1110</f>
        <v/>
      </c>
      <c r="M1111" s="20">
        <f>Operations!M1108-Operations!M1109-Operations!M1110</f>
        <v/>
      </c>
      <c r="N1111" s="20">
        <f>Operations!N1108-Operations!N1109-Operations!N1110</f>
        <v/>
      </c>
      <c r="O1111" s="20">
        <f>Operations!O1108-Operations!O1109-Operations!O1110</f>
        <v/>
      </c>
      <c r="P1111" s="20">
        <f>Operations!P1108-Operations!P1109-Operations!P1110</f>
        <v/>
      </c>
      <c r="Q1111" s="20">
        <f>Operations!Q1108-Operations!Q1109-Operations!Q1110</f>
        <v/>
      </c>
      <c r="R1111" s="20">
        <f>Operations!R1108-Operations!R1109-Operations!R1110</f>
        <v/>
      </c>
      <c r="S1111" s="20">
        <f>Operations!S1108-Operations!S1109-Operations!S1110</f>
        <v/>
      </c>
      <c r="T1111" s="20">
        <f>Operations!T1108-Operations!T1109-Operations!T1110</f>
        <v/>
      </c>
      <c r="U1111" s="20">
        <f>Operations!U1108-Operations!U1109-Operations!U1110</f>
        <v/>
      </c>
      <c r="V1111" s="20">
        <f>Operations!V1108-Operations!V1109-Operations!V1110</f>
        <v/>
      </c>
      <c r="W1111" s="20">
        <f>Operations!W1108-Operations!W1109-Operations!W1110</f>
        <v/>
      </c>
      <c r="X1111" s="20">
        <f>Operations!X1108-Operations!X1109-Operations!X1110</f>
        <v/>
      </c>
      <c r="Y1111" s="20">
        <f>Operations!Y1108-Operations!Y1109-Operations!Y1110</f>
        <v/>
      </c>
      <c r="Z1111" s="20">
        <f>Operations!Z1108-Operations!Z1109-Operations!Z1110</f>
        <v/>
      </c>
      <c r="AA1111" s="20">
        <f>Operations!AA1108-Operations!AA1109-Operations!AA1110</f>
        <v/>
      </c>
      <c r="AB1111" s="20">
        <f>Operations!AB1108-Operations!AB1109-Operations!AB1110</f>
        <v/>
      </c>
      <c r="AC1111" s="20">
        <f>Operations!AC1108-Operations!AC1109-Operations!AC1110</f>
        <v/>
      </c>
      <c r="AD1111" s="20">
        <f>Operations!AD1108-Operations!AD1109-Operations!AD1110</f>
        <v/>
      </c>
      <c r="AE1111" s="20">
        <f>Operations!AE1108-Operations!AE1109-Operations!AE1110</f>
        <v/>
      </c>
      <c r="AF1111" s="20">
        <f>Operations!AF1108-Operations!AF1109-Operations!AF1110</f>
        <v/>
      </c>
      <c r="AG1111" s="20">
        <f>Operations!AG1108-Operations!AG1109-Operations!AG1110</f>
        <v/>
      </c>
      <c r="AH1111" s="20">
        <f>Operations!AH1108-Operations!AH1109-Operations!AH1110</f>
        <v/>
      </c>
      <c r="AI1111" s="20">
        <f>Operations!AI1108-Operations!AI1109-Operations!AI1110</f>
        <v/>
      </c>
      <c r="AJ1111" s="20">
        <f>Operations!AJ1108-Operations!AJ1109-Operations!AJ1110</f>
        <v/>
      </c>
      <c r="AK1111" s="20">
        <f>Operations!AK1108-Operations!AK1109-Operations!AK1110</f>
        <v/>
      </c>
      <c r="AL1111" s="20">
        <f>Operations!AL1108-Operations!AL1109-Operations!AL1110</f>
        <v/>
      </c>
      <c r="AM1111" s="20">
        <f>Operations!AM1108-Operations!AM1109-Operations!AM1110</f>
        <v/>
      </c>
      <c r="AN1111" s="20">
        <f>Operations!AN1108-Operations!AN1109-Operations!AN1110</f>
        <v/>
      </c>
      <c r="AO1111" s="20">
        <f>Operations!AO1108-Operations!AO1109-Operations!AO1110</f>
        <v/>
      </c>
      <c r="AP1111" s="20">
        <f>Operations!AP1108-Operations!AP1109-Operations!AP1110</f>
        <v/>
      </c>
      <c r="AQ1111" s="20">
        <f>Operations!AQ1108-Operations!AQ1109-Operations!AQ1110</f>
        <v/>
      </c>
      <c r="AR1111" s="20">
        <f>Operations!AR1108-Operations!AR1109-Operations!AR1110</f>
        <v/>
      </c>
      <c r="AS1111" s="20">
        <f>Operations!AS1108-Operations!AS1109-Operations!AS1110</f>
        <v/>
      </c>
      <c r="AT1111" s="20">
        <f>Operations!AT1108-Operations!AT1109-Operations!AT1110</f>
        <v/>
      </c>
      <c r="AU1111" s="20">
        <f>Operations!AU1108-Operations!AU1109-Operations!AU1110</f>
        <v/>
      </c>
    </row>
    <row r="1112">
      <c r="D1112" t="inlineStr">
        <is>
          <t>R8 tax equity cash share</t>
        </is>
      </c>
      <c r="E1112" t="inlineStr">
        <is>
          <t>fraction</t>
        </is>
      </c>
      <c r="J1112" s="14">
        <f>0</f>
        <v/>
      </c>
      <c r="K1112" s="14">
        <f>0</f>
        <v/>
      </c>
      <c r="L1112" s="14">
        <f>0</f>
        <v/>
      </c>
      <c r="M1112" s="14">
        <f>0</f>
        <v/>
      </c>
      <c r="N1112" s="14">
        <f>0</f>
        <v/>
      </c>
      <c r="O1112" s="14">
        <f>0</f>
        <v/>
      </c>
      <c r="P1112" s="14">
        <f>0</f>
        <v/>
      </c>
      <c r="Q1112" s="14">
        <f>0</f>
        <v/>
      </c>
      <c r="R1112" s="14">
        <f>0</f>
        <v/>
      </c>
      <c r="S1112" s="14">
        <f>0</f>
        <v/>
      </c>
      <c r="T1112" s="14">
        <f>0</f>
        <v/>
      </c>
      <c r="U1112" s="14">
        <f>0</f>
        <v/>
      </c>
      <c r="V1112" s="14">
        <f>0</f>
        <v/>
      </c>
      <c r="W1112" s="14">
        <f>0</f>
        <v/>
      </c>
      <c r="X1112" s="14">
        <f>0</f>
        <v/>
      </c>
      <c r="Y1112" s="14">
        <f>0</f>
        <v/>
      </c>
      <c r="Z1112" s="14">
        <f>0</f>
        <v/>
      </c>
      <c r="AA1112" s="14">
        <f>0</f>
        <v/>
      </c>
      <c r="AB1112" s="14">
        <f>0</f>
        <v/>
      </c>
      <c r="AC1112" s="14">
        <f>0</f>
        <v/>
      </c>
      <c r="AD1112" s="14">
        <f>0</f>
        <v/>
      </c>
      <c r="AE1112" s="14">
        <f>0</f>
        <v/>
      </c>
      <c r="AF1112" s="14">
        <f>0</f>
        <v/>
      </c>
      <c r="AG1112" s="14">
        <f>0</f>
        <v/>
      </c>
      <c r="AH1112" s="14">
        <f>0</f>
        <v/>
      </c>
      <c r="AI1112" s="14">
        <f>0</f>
        <v/>
      </c>
      <c r="AJ1112" s="14">
        <f>0</f>
        <v/>
      </c>
      <c r="AK1112" s="14">
        <f>0</f>
        <v/>
      </c>
      <c r="AL1112" s="14">
        <f>0</f>
        <v/>
      </c>
      <c r="AM1112" s="14">
        <f>0</f>
        <v/>
      </c>
      <c r="AN1112" s="14">
        <f>0</f>
        <v/>
      </c>
      <c r="AO1112" s="14">
        <f>0</f>
        <v/>
      </c>
      <c r="AP1112" s="14">
        <f>0</f>
        <v/>
      </c>
      <c r="AQ1112" s="14">
        <f>0</f>
        <v/>
      </c>
      <c r="AR1112" s="14">
        <f>0</f>
        <v/>
      </c>
      <c r="AS1112" s="14">
        <f>0</f>
        <v/>
      </c>
      <c r="AT1112" s="14">
        <f>0</f>
        <v/>
      </c>
      <c r="AU1112" s="14">
        <f>0</f>
        <v/>
      </c>
    </row>
    <row r="1113">
      <c r="D1113" t="inlineStr">
        <is>
          <t>R8 Mesa share of taxable income</t>
        </is>
      </c>
      <c r="E1113" t="inlineStr">
        <is>
          <t>fraction</t>
        </is>
      </c>
      <c r="J1113" s="14">
        <f>1</f>
        <v/>
      </c>
      <c r="K1113" s="14">
        <f>1</f>
        <v/>
      </c>
      <c r="L1113" s="14">
        <f>1</f>
        <v/>
      </c>
      <c r="M1113" s="14">
        <f>1</f>
        <v/>
      </c>
      <c r="N1113" s="14">
        <f>1</f>
        <v/>
      </c>
      <c r="O1113" s="14">
        <f>1</f>
        <v/>
      </c>
      <c r="P1113" s="14">
        <f>1</f>
        <v/>
      </c>
      <c r="Q1113" s="14">
        <f>1</f>
        <v/>
      </c>
      <c r="R1113" s="14">
        <f>1</f>
        <v/>
      </c>
      <c r="S1113" s="14">
        <f>1</f>
        <v/>
      </c>
      <c r="T1113" s="14">
        <f>1</f>
        <v/>
      </c>
      <c r="U1113" s="14">
        <f>1</f>
        <v/>
      </c>
      <c r="V1113" s="14">
        <f>1</f>
        <v/>
      </c>
      <c r="W1113" s="14">
        <f>1</f>
        <v/>
      </c>
      <c r="X1113" s="14">
        <f>1</f>
        <v/>
      </c>
      <c r="Y1113" s="14">
        <f>1</f>
        <v/>
      </c>
      <c r="Z1113" s="14">
        <f>1</f>
        <v/>
      </c>
      <c r="AA1113" s="14">
        <f>1</f>
        <v/>
      </c>
      <c r="AB1113" s="14">
        <f>1</f>
        <v/>
      </c>
      <c r="AC1113" s="14">
        <f>1</f>
        <v/>
      </c>
      <c r="AD1113" s="14">
        <f>1</f>
        <v/>
      </c>
      <c r="AE1113" s="14">
        <f>1</f>
        <v/>
      </c>
      <c r="AF1113" s="14">
        <f>1</f>
        <v/>
      </c>
      <c r="AG1113" s="14">
        <f>1</f>
        <v/>
      </c>
      <c r="AH1113" s="14">
        <f>1</f>
        <v/>
      </c>
      <c r="AI1113" s="14">
        <f>1</f>
        <v/>
      </c>
      <c r="AJ1113" s="14">
        <f>1</f>
        <v/>
      </c>
      <c r="AK1113" s="14">
        <f>1</f>
        <v/>
      </c>
      <c r="AL1113" s="14">
        <f>1</f>
        <v/>
      </c>
      <c r="AM1113" s="14">
        <f>1</f>
        <v/>
      </c>
      <c r="AN1113" s="14">
        <f>1</f>
        <v/>
      </c>
      <c r="AO1113" s="14">
        <f>1</f>
        <v/>
      </c>
      <c r="AP1113" s="14">
        <f>1</f>
        <v/>
      </c>
      <c r="AQ1113" s="14">
        <f>1</f>
        <v/>
      </c>
      <c r="AR1113" s="14">
        <f>1</f>
        <v/>
      </c>
      <c r="AS1113" s="14">
        <f>1</f>
        <v/>
      </c>
      <c r="AT1113" s="14">
        <f>1</f>
        <v/>
      </c>
      <c r="AU1113" s="14">
        <f>1</f>
        <v/>
      </c>
    </row>
    <row r="1114">
      <c r="D1114" t="inlineStr">
        <is>
          <t>R8 Mesa share of cash flow</t>
        </is>
      </c>
      <c r="E1114" t="inlineStr">
        <is>
          <t>USD m</t>
        </is>
      </c>
      <c r="G1114" s="20">
        <f>SUM(J1114:AU1114)</f>
        <v/>
      </c>
      <c r="J1114" s="20">
        <f>Operations!J1111*(1-Operations!J1112)*Operations!J1085</f>
        <v/>
      </c>
      <c r="K1114" s="20">
        <f>Operations!K1111*(1-Operations!K1112)*Operations!K1085</f>
        <v/>
      </c>
      <c r="L1114" s="20">
        <f>Operations!L1111*(1-Operations!L1112)*Operations!L1085</f>
        <v/>
      </c>
      <c r="M1114" s="20">
        <f>Operations!M1111*(1-Operations!M1112)*Operations!M1085</f>
        <v/>
      </c>
      <c r="N1114" s="20">
        <f>Operations!N1111*(1-Operations!N1112)*Operations!N1085</f>
        <v/>
      </c>
      <c r="O1114" s="20">
        <f>Operations!O1111*(1-Operations!O1112)*Operations!O1085</f>
        <v/>
      </c>
      <c r="P1114" s="20">
        <f>Operations!P1111*(1-Operations!P1112)*Operations!P1085</f>
        <v/>
      </c>
      <c r="Q1114" s="20">
        <f>Operations!Q1111*(1-Operations!Q1112)*Operations!Q1085</f>
        <v/>
      </c>
      <c r="R1114" s="20">
        <f>Operations!R1111*(1-Operations!R1112)*Operations!R1085</f>
        <v/>
      </c>
      <c r="S1114" s="20">
        <f>Operations!S1111*(1-Operations!S1112)*Operations!S1085</f>
        <v/>
      </c>
      <c r="T1114" s="20">
        <f>Operations!T1111*(1-Operations!T1112)*Operations!T1085</f>
        <v/>
      </c>
      <c r="U1114" s="20">
        <f>Operations!U1111*(1-Operations!U1112)*Operations!U1085</f>
        <v/>
      </c>
      <c r="V1114" s="20">
        <f>Operations!V1111*(1-Operations!V1112)*Operations!V1085</f>
        <v/>
      </c>
      <c r="W1114" s="20">
        <f>Operations!W1111*(1-Operations!W1112)*Operations!W1085</f>
        <v/>
      </c>
      <c r="X1114" s="20">
        <f>Operations!X1111*(1-Operations!X1112)*Operations!X1085</f>
        <v/>
      </c>
      <c r="Y1114" s="20">
        <f>Operations!Y1111*(1-Operations!Y1112)*Operations!Y1085</f>
        <v/>
      </c>
      <c r="Z1114" s="20">
        <f>Operations!Z1111*(1-Operations!Z1112)*Operations!Z1085</f>
        <v/>
      </c>
      <c r="AA1114" s="20">
        <f>Operations!AA1111*(1-Operations!AA1112)*Operations!AA1085</f>
        <v/>
      </c>
      <c r="AB1114" s="20">
        <f>Operations!AB1111*(1-Operations!AB1112)*Operations!AB1085</f>
        <v/>
      </c>
      <c r="AC1114" s="20">
        <f>Operations!AC1111*(1-Operations!AC1112)*Operations!AC1085</f>
        <v/>
      </c>
      <c r="AD1114" s="20">
        <f>Operations!AD1111*(1-Operations!AD1112)*Operations!AD1085</f>
        <v/>
      </c>
      <c r="AE1114" s="20">
        <f>Operations!AE1111*(1-Operations!AE1112)*Operations!AE1085</f>
        <v/>
      </c>
      <c r="AF1114" s="20">
        <f>Operations!AF1111*(1-Operations!AF1112)*Operations!AF1085</f>
        <v/>
      </c>
      <c r="AG1114" s="20">
        <f>Operations!AG1111*(1-Operations!AG1112)*Operations!AG1085</f>
        <v/>
      </c>
      <c r="AH1114" s="20">
        <f>Operations!AH1111*(1-Operations!AH1112)*Operations!AH1085</f>
        <v/>
      </c>
      <c r="AI1114" s="20">
        <f>Operations!AI1111*(1-Operations!AI1112)*Operations!AI1085</f>
        <v/>
      </c>
      <c r="AJ1114" s="20">
        <f>Operations!AJ1111*(1-Operations!AJ1112)*Operations!AJ1085</f>
        <v/>
      </c>
      <c r="AK1114" s="20">
        <f>Operations!AK1111*(1-Operations!AK1112)*Operations!AK1085</f>
        <v/>
      </c>
      <c r="AL1114" s="20">
        <f>Operations!AL1111*(1-Operations!AL1112)*Operations!AL1085</f>
        <v/>
      </c>
      <c r="AM1114" s="20">
        <f>Operations!AM1111*(1-Operations!AM1112)*Operations!AM1085</f>
        <v/>
      </c>
      <c r="AN1114" s="20">
        <f>Operations!AN1111*(1-Operations!AN1112)*Operations!AN1085</f>
        <v/>
      </c>
      <c r="AO1114" s="20">
        <f>Operations!AO1111*(1-Operations!AO1112)*Operations!AO1085</f>
        <v/>
      </c>
      <c r="AP1114" s="20">
        <f>Operations!AP1111*(1-Operations!AP1112)*Operations!AP1085</f>
        <v/>
      </c>
      <c r="AQ1114" s="20">
        <f>Operations!AQ1111*(1-Operations!AQ1112)*Operations!AQ1085</f>
        <v/>
      </c>
      <c r="AR1114" s="20">
        <f>Operations!AR1111*(1-Operations!AR1112)*Operations!AR1085</f>
        <v/>
      </c>
      <c r="AS1114" s="20">
        <f>Operations!AS1111*(1-Operations!AS1112)*Operations!AS1085</f>
        <v/>
      </c>
      <c r="AT1114" s="20">
        <f>Operations!AT1111*(1-Operations!AT1112)*Operations!AT1085</f>
        <v/>
      </c>
      <c r="AU1114" s="20">
        <f>Operations!AU1111*(1-Operations!AU1112)*Operations!AU1085</f>
        <v/>
      </c>
    </row>
    <row r="1115">
      <c r="D1115" t="inlineStr">
        <is>
          <t>R8 Mesa taxable operating income</t>
        </is>
      </c>
      <c r="E1115" t="inlineStr">
        <is>
          <t>USD m</t>
        </is>
      </c>
      <c r="J1115" s="20">
        <f>Operations!J1111*Operations!J1113*Operations!J1085</f>
        <v/>
      </c>
      <c r="K1115" s="20">
        <f>Operations!K1111*Operations!K1113*Operations!K1085</f>
        <v/>
      </c>
      <c r="L1115" s="20">
        <f>Operations!L1111*Operations!L1113*Operations!L1085</f>
        <v/>
      </c>
      <c r="M1115" s="20">
        <f>Operations!M1111*Operations!M1113*Operations!M1085</f>
        <v/>
      </c>
      <c r="N1115" s="20">
        <f>Operations!N1111*Operations!N1113*Operations!N1085</f>
        <v/>
      </c>
      <c r="O1115" s="20">
        <f>Operations!O1111*Operations!O1113*Operations!O1085</f>
        <v/>
      </c>
      <c r="P1115" s="20">
        <f>Operations!P1111*Operations!P1113*Operations!P1085</f>
        <v/>
      </c>
      <c r="Q1115" s="20">
        <f>Operations!Q1111*Operations!Q1113*Operations!Q1085</f>
        <v/>
      </c>
      <c r="R1115" s="20">
        <f>Operations!R1111*Operations!R1113*Operations!R1085</f>
        <v/>
      </c>
      <c r="S1115" s="20">
        <f>Operations!S1111*Operations!S1113*Operations!S1085</f>
        <v/>
      </c>
      <c r="T1115" s="20">
        <f>Operations!T1111*Operations!T1113*Operations!T1085</f>
        <v/>
      </c>
      <c r="U1115" s="20">
        <f>Operations!U1111*Operations!U1113*Operations!U1085</f>
        <v/>
      </c>
      <c r="V1115" s="20">
        <f>Operations!V1111*Operations!V1113*Operations!V1085</f>
        <v/>
      </c>
      <c r="W1115" s="20">
        <f>Operations!W1111*Operations!W1113*Operations!W1085</f>
        <v/>
      </c>
      <c r="X1115" s="20">
        <f>Operations!X1111*Operations!X1113*Operations!X1085</f>
        <v/>
      </c>
      <c r="Y1115" s="20">
        <f>Operations!Y1111*Operations!Y1113*Operations!Y1085</f>
        <v/>
      </c>
      <c r="Z1115" s="20">
        <f>Operations!Z1111*Operations!Z1113*Operations!Z1085</f>
        <v/>
      </c>
      <c r="AA1115" s="20">
        <f>Operations!AA1111*Operations!AA1113*Operations!AA1085</f>
        <v/>
      </c>
      <c r="AB1115" s="20">
        <f>Operations!AB1111*Operations!AB1113*Operations!AB1085</f>
        <v/>
      </c>
      <c r="AC1115" s="20">
        <f>Operations!AC1111*Operations!AC1113*Operations!AC1085</f>
        <v/>
      </c>
      <c r="AD1115" s="20">
        <f>Operations!AD1111*Operations!AD1113*Operations!AD1085</f>
        <v/>
      </c>
      <c r="AE1115" s="20">
        <f>Operations!AE1111*Operations!AE1113*Operations!AE1085</f>
        <v/>
      </c>
      <c r="AF1115" s="20">
        <f>Operations!AF1111*Operations!AF1113*Operations!AF1085</f>
        <v/>
      </c>
      <c r="AG1115" s="20">
        <f>Operations!AG1111*Operations!AG1113*Operations!AG1085</f>
        <v/>
      </c>
      <c r="AH1115" s="20">
        <f>Operations!AH1111*Operations!AH1113*Operations!AH1085</f>
        <v/>
      </c>
      <c r="AI1115" s="20">
        <f>Operations!AI1111*Operations!AI1113*Operations!AI1085</f>
        <v/>
      </c>
      <c r="AJ1115" s="20">
        <f>Operations!AJ1111*Operations!AJ1113*Operations!AJ1085</f>
        <v/>
      </c>
      <c r="AK1115" s="20">
        <f>Operations!AK1111*Operations!AK1113*Operations!AK1085</f>
        <v/>
      </c>
      <c r="AL1115" s="20">
        <f>Operations!AL1111*Operations!AL1113*Operations!AL1085</f>
        <v/>
      </c>
      <c r="AM1115" s="20">
        <f>Operations!AM1111*Operations!AM1113*Operations!AM1085</f>
        <v/>
      </c>
      <c r="AN1115" s="20">
        <f>Operations!AN1111*Operations!AN1113*Operations!AN1085</f>
        <v/>
      </c>
      <c r="AO1115" s="20">
        <f>Operations!AO1111*Operations!AO1113*Operations!AO1085</f>
        <v/>
      </c>
      <c r="AP1115" s="20">
        <f>Operations!AP1111*Operations!AP1113*Operations!AP1085</f>
        <v/>
      </c>
      <c r="AQ1115" s="20">
        <f>Operations!AQ1111*Operations!AQ1113*Operations!AQ1085</f>
        <v/>
      </c>
      <c r="AR1115" s="20">
        <f>Operations!AR1111*Operations!AR1113*Operations!AR1085</f>
        <v/>
      </c>
      <c r="AS1115" s="20">
        <f>Operations!AS1111*Operations!AS1113*Operations!AS1085</f>
        <v/>
      </c>
      <c r="AT1115" s="20">
        <f>Operations!AT1111*Operations!AT1113*Operations!AT1085</f>
        <v/>
      </c>
      <c r="AU1115" s="20">
        <f>Operations!AU1111*Operations!AU1113*Operations!AU1085</f>
        <v/>
      </c>
    </row>
    <row r="1116">
      <c r="D1116" t="inlineStr">
        <is>
          <t>R8 Mesa unlevered post-tax cash flow (before price shield)</t>
        </is>
      </c>
      <c r="E1116" t="inlineStr">
        <is>
          <t>USD m</t>
        </is>
      </c>
      <c r="J1116" s="20">
        <f>Operations!J1114-Inputs!$F$241/100*Operations!J1115</f>
        <v/>
      </c>
      <c r="K1116" s="20">
        <f>Operations!K1114-Inputs!$F$241/100*Operations!K1115</f>
        <v/>
      </c>
      <c r="L1116" s="20">
        <f>Operations!L1114-Inputs!$F$241/100*Operations!L1115</f>
        <v/>
      </c>
      <c r="M1116" s="20">
        <f>Operations!M1114-Inputs!$F$241/100*Operations!M1115</f>
        <v/>
      </c>
      <c r="N1116" s="20">
        <f>Operations!N1114-Inputs!$F$241/100*Operations!N1115</f>
        <v/>
      </c>
      <c r="O1116" s="20">
        <f>Operations!O1114-Inputs!$F$241/100*Operations!O1115</f>
        <v/>
      </c>
      <c r="P1116" s="20">
        <f>Operations!P1114-Inputs!$F$241/100*Operations!P1115</f>
        <v/>
      </c>
      <c r="Q1116" s="20">
        <f>Operations!Q1114-Inputs!$F$241/100*Operations!Q1115</f>
        <v/>
      </c>
      <c r="R1116" s="20">
        <f>Operations!R1114-Inputs!$F$241/100*Operations!R1115</f>
        <v/>
      </c>
      <c r="S1116" s="20">
        <f>Operations!S1114-Inputs!$F$241/100*Operations!S1115</f>
        <v/>
      </c>
      <c r="T1116" s="20">
        <f>Operations!T1114-Inputs!$F$241/100*Operations!T1115</f>
        <v/>
      </c>
      <c r="U1116" s="20">
        <f>Operations!U1114-Inputs!$F$241/100*Operations!U1115</f>
        <v/>
      </c>
      <c r="V1116" s="20">
        <f>Operations!V1114-Inputs!$F$241/100*Operations!V1115</f>
        <v/>
      </c>
      <c r="W1116" s="20">
        <f>Operations!W1114-Inputs!$F$241/100*Operations!W1115</f>
        <v/>
      </c>
      <c r="X1116" s="20">
        <f>Operations!X1114-Inputs!$F$241/100*Operations!X1115</f>
        <v/>
      </c>
      <c r="Y1116" s="20">
        <f>Operations!Y1114-Inputs!$F$241/100*Operations!Y1115</f>
        <v/>
      </c>
      <c r="Z1116" s="20">
        <f>Operations!Z1114-Inputs!$F$241/100*Operations!Z1115</f>
        <v/>
      </c>
      <c r="AA1116" s="20">
        <f>Operations!AA1114-Inputs!$F$241/100*Operations!AA1115</f>
        <v/>
      </c>
      <c r="AB1116" s="20">
        <f>Operations!AB1114-Inputs!$F$241/100*Operations!AB1115</f>
        <v/>
      </c>
      <c r="AC1116" s="20">
        <f>Operations!AC1114-Inputs!$F$241/100*Operations!AC1115</f>
        <v/>
      </c>
      <c r="AD1116" s="20">
        <f>Operations!AD1114-Inputs!$F$241/100*Operations!AD1115</f>
        <v/>
      </c>
      <c r="AE1116" s="20">
        <f>Operations!AE1114-Inputs!$F$241/100*Operations!AE1115</f>
        <v/>
      </c>
      <c r="AF1116" s="20">
        <f>Operations!AF1114-Inputs!$F$241/100*Operations!AF1115</f>
        <v/>
      </c>
      <c r="AG1116" s="20">
        <f>Operations!AG1114-Inputs!$F$241/100*Operations!AG1115</f>
        <v/>
      </c>
      <c r="AH1116" s="20">
        <f>Operations!AH1114-Inputs!$F$241/100*Operations!AH1115</f>
        <v/>
      </c>
      <c r="AI1116" s="20">
        <f>Operations!AI1114-Inputs!$F$241/100*Operations!AI1115</f>
        <v/>
      </c>
      <c r="AJ1116" s="20">
        <f>Operations!AJ1114-Inputs!$F$241/100*Operations!AJ1115</f>
        <v/>
      </c>
      <c r="AK1116" s="20">
        <f>Operations!AK1114-Inputs!$F$241/100*Operations!AK1115</f>
        <v/>
      </c>
      <c r="AL1116" s="20">
        <f>Operations!AL1114-Inputs!$F$241/100*Operations!AL1115</f>
        <v/>
      </c>
      <c r="AM1116" s="20">
        <f>Operations!AM1114-Inputs!$F$241/100*Operations!AM1115</f>
        <v/>
      </c>
      <c r="AN1116" s="20">
        <f>Operations!AN1114-Inputs!$F$241/100*Operations!AN1115</f>
        <v/>
      </c>
      <c r="AO1116" s="20">
        <f>Operations!AO1114-Inputs!$F$241/100*Operations!AO1115</f>
        <v/>
      </c>
      <c r="AP1116" s="20">
        <f>Operations!AP1114-Inputs!$F$241/100*Operations!AP1115</f>
        <v/>
      </c>
      <c r="AQ1116" s="20">
        <f>Operations!AQ1114-Inputs!$F$241/100*Operations!AQ1115</f>
        <v/>
      </c>
      <c r="AR1116" s="20">
        <f>Operations!AR1114-Inputs!$F$241/100*Operations!AR1115</f>
        <v/>
      </c>
      <c r="AS1116" s="20">
        <f>Operations!AS1114-Inputs!$F$241/100*Operations!AS1115</f>
        <v/>
      </c>
      <c r="AT1116" s="20">
        <f>Operations!AT1114-Inputs!$F$241/100*Operations!AT1115</f>
        <v/>
      </c>
      <c r="AU1116" s="20">
        <f>Operations!AU1114-Inputs!$F$241/100*Operations!AU1115</f>
        <v/>
      </c>
    </row>
    <row r="1117">
      <c r="D1117" t="inlineStr">
        <is>
          <t>R8 contracted share of revenue</t>
        </is>
      </c>
      <c r="E1117" t="inlineStr">
        <is>
          <t>fraction</t>
        </is>
      </c>
      <c r="J1117" s="14">
        <f>IF(Operations!J1102=0,0,Operations!J1099/Operations!J1102)</f>
        <v/>
      </c>
      <c r="K1117" s="14">
        <f>IF(Operations!K1102=0,0,Operations!K1099/Operations!K1102)</f>
        <v/>
      </c>
      <c r="L1117" s="14">
        <f>IF(Operations!L1102=0,0,Operations!L1099/Operations!L1102)</f>
        <v/>
      </c>
      <c r="M1117" s="14">
        <f>IF(Operations!M1102=0,0,Operations!M1099/Operations!M1102)</f>
        <v/>
      </c>
      <c r="N1117" s="14">
        <f>IF(Operations!N1102=0,0,Operations!N1099/Operations!N1102)</f>
        <v/>
      </c>
      <c r="O1117" s="14">
        <f>IF(Operations!O1102=0,0,Operations!O1099/Operations!O1102)</f>
        <v/>
      </c>
      <c r="P1117" s="14">
        <f>IF(Operations!P1102=0,0,Operations!P1099/Operations!P1102)</f>
        <v/>
      </c>
      <c r="Q1117" s="14">
        <f>IF(Operations!Q1102=0,0,Operations!Q1099/Operations!Q1102)</f>
        <v/>
      </c>
      <c r="R1117" s="14">
        <f>IF(Operations!R1102=0,0,Operations!R1099/Operations!R1102)</f>
        <v/>
      </c>
      <c r="S1117" s="14">
        <f>IF(Operations!S1102=0,0,Operations!S1099/Operations!S1102)</f>
        <v/>
      </c>
      <c r="T1117" s="14">
        <f>IF(Operations!T1102=0,0,Operations!T1099/Operations!T1102)</f>
        <v/>
      </c>
      <c r="U1117" s="14">
        <f>IF(Operations!U1102=0,0,Operations!U1099/Operations!U1102)</f>
        <v/>
      </c>
      <c r="V1117" s="14">
        <f>IF(Operations!V1102=0,0,Operations!V1099/Operations!V1102)</f>
        <v/>
      </c>
      <c r="W1117" s="14">
        <f>IF(Operations!W1102=0,0,Operations!W1099/Operations!W1102)</f>
        <v/>
      </c>
      <c r="X1117" s="14">
        <f>IF(Operations!X1102=0,0,Operations!X1099/Operations!X1102)</f>
        <v/>
      </c>
      <c r="Y1117" s="14">
        <f>IF(Operations!Y1102=0,0,Operations!Y1099/Operations!Y1102)</f>
        <v/>
      </c>
      <c r="Z1117" s="14">
        <f>IF(Operations!Z1102=0,0,Operations!Z1099/Operations!Z1102)</f>
        <v/>
      </c>
      <c r="AA1117" s="14">
        <f>IF(Operations!AA1102=0,0,Operations!AA1099/Operations!AA1102)</f>
        <v/>
      </c>
      <c r="AB1117" s="14">
        <f>IF(Operations!AB1102=0,0,Operations!AB1099/Operations!AB1102)</f>
        <v/>
      </c>
      <c r="AC1117" s="14">
        <f>IF(Operations!AC1102=0,0,Operations!AC1099/Operations!AC1102)</f>
        <v/>
      </c>
      <c r="AD1117" s="14">
        <f>IF(Operations!AD1102=0,0,Operations!AD1099/Operations!AD1102)</f>
        <v/>
      </c>
      <c r="AE1117" s="14">
        <f>IF(Operations!AE1102=0,0,Operations!AE1099/Operations!AE1102)</f>
        <v/>
      </c>
      <c r="AF1117" s="14">
        <f>IF(Operations!AF1102=0,0,Operations!AF1099/Operations!AF1102)</f>
        <v/>
      </c>
      <c r="AG1117" s="14">
        <f>IF(Operations!AG1102=0,0,Operations!AG1099/Operations!AG1102)</f>
        <v/>
      </c>
      <c r="AH1117" s="14">
        <f>IF(Operations!AH1102=0,0,Operations!AH1099/Operations!AH1102)</f>
        <v/>
      </c>
      <c r="AI1117" s="14">
        <f>IF(Operations!AI1102=0,0,Operations!AI1099/Operations!AI1102)</f>
        <v/>
      </c>
      <c r="AJ1117" s="14">
        <f>IF(Operations!AJ1102=0,0,Operations!AJ1099/Operations!AJ1102)</f>
        <v/>
      </c>
      <c r="AK1117" s="14">
        <f>IF(Operations!AK1102=0,0,Operations!AK1099/Operations!AK1102)</f>
        <v/>
      </c>
      <c r="AL1117" s="14">
        <f>IF(Operations!AL1102=0,0,Operations!AL1099/Operations!AL1102)</f>
        <v/>
      </c>
      <c r="AM1117" s="14">
        <f>IF(Operations!AM1102=0,0,Operations!AM1099/Operations!AM1102)</f>
        <v/>
      </c>
      <c r="AN1117" s="14">
        <f>IF(Operations!AN1102=0,0,Operations!AN1099/Operations!AN1102)</f>
        <v/>
      </c>
      <c r="AO1117" s="14">
        <f>IF(Operations!AO1102=0,0,Operations!AO1099/Operations!AO1102)</f>
        <v/>
      </c>
      <c r="AP1117" s="14">
        <f>IF(Operations!AP1102=0,0,Operations!AP1099/Operations!AP1102)</f>
        <v/>
      </c>
      <c r="AQ1117" s="14">
        <f>IF(Operations!AQ1102=0,0,Operations!AQ1099/Operations!AQ1102)</f>
        <v/>
      </c>
      <c r="AR1117" s="14">
        <f>IF(Operations!AR1102=0,0,Operations!AR1099/Operations!AR1102)</f>
        <v/>
      </c>
      <c r="AS1117" s="14">
        <f>IF(Operations!AS1102=0,0,Operations!AS1099/Operations!AS1102)</f>
        <v/>
      </c>
      <c r="AT1117" s="14">
        <f>IF(Operations!AT1102=0,0,Operations!AT1099/Operations!AT1102)</f>
        <v/>
      </c>
      <c r="AU1117" s="14">
        <f>IF(Operations!AU1102=0,0,Operations!AU1099/Operations!AU1102)</f>
        <v/>
      </c>
    </row>
    <row r="1118">
      <c r="D1118" t="inlineStr">
        <is>
          <t>R8 hedged share of revenue</t>
        </is>
      </c>
      <c r="E1118" t="inlineStr">
        <is>
          <t>fraction</t>
        </is>
      </c>
      <c r="J1118" s="14">
        <f>IF(Operations!J1102=0,0,Operations!J1100/Operations!J1102)</f>
        <v/>
      </c>
      <c r="K1118" s="14">
        <f>IF(Operations!K1102=0,0,Operations!K1100/Operations!K1102)</f>
        <v/>
      </c>
      <c r="L1118" s="14">
        <f>IF(Operations!L1102=0,0,Operations!L1100/Operations!L1102)</f>
        <v/>
      </c>
      <c r="M1118" s="14">
        <f>IF(Operations!M1102=0,0,Operations!M1100/Operations!M1102)</f>
        <v/>
      </c>
      <c r="N1118" s="14">
        <f>IF(Operations!N1102=0,0,Operations!N1100/Operations!N1102)</f>
        <v/>
      </c>
      <c r="O1118" s="14">
        <f>IF(Operations!O1102=0,0,Operations!O1100/Operations!O1102)</f>
        <v/>
      </c>
      <c r="P1118" s="14">
        <f>IF(Operations!P1102=0,0,Operations!P1100/Operations!P1102)</f>
        <v/>
      </c>
      <c r="Q1118" s="14">
        <f>IF(Operations!Q1102=0,0,Operations!Q1100/Operations!Q1102)</f>
        <v/>
      </c>
      <c r="R1118" s="14">
        <f>IF(Operations!R1102=0,0,Operations!R1100/Operations!R1102)</f>
        <v/>
      </c>
      <c r="S1118" s="14">
        <f>IF(Operations!S1102=0,0,Operations!S1100/Operations!S1102)</f>
        <v/>
      </c>
      <c r="T1118" s="14">
        <f>IF(Operations!T1102=0,0,Operations!T1100/Operations!T1102)</f>
        <v/>
      </c>
      <c r="U1118" s="14">
        <f>IF(Operations!U1102=0,0,Operations!U1100/Operations!U1102)</f>
        <v/>
      </c>
      <c r="V1118" s="14">
        <f>IF(Operations!V1102=0,0,Operations!V1100/Operations!V1102)</f>
        <v/>
      </c>
      <c r="W1118" s="14">
        <f>IF(Operations!W1102=0,0,Operations!W1100/Operations!W1102)</f>
        <v/>
      </c>
      <c r="X1118" s="14">
        <f>IF(Operations!X1102=0,0,Operations!X1100/Operations!X1102)</f>
        <v/>
      </c>
      <c r="Y1118" s="14">
        <f>IF(Operations!Y1102=0,0,Operations!Y1100/Operations!Y1102)</f>
        <v/>
      </c>
      <c r="Z1118" s="14">
        <f>IF(Operations!Z1102=0,0,Operations!Z1100/Operations!Z1102)</f>
        <v/>
      </c>
      <c r="AA1118" s="14">
        <f>IF(Operations!AA1102=0,0,Operations!AA1100/Operations!AA1102)</f>
        <v/>
      </c>
      <c r="AB1118" s="14">
        <f>IF(Operations!AB1102=0,0,Operations!AB1100/Operations!AB1102)</f>
        <v/>
      </c>
      <c r="AC1118" s="14">
        <f>IF(Operations!AC1102=0,0,Operations!AC1100/Operations!AC1102)</f>
        <v/>
      </c>
      <c r="AD1118" s="14">
        <f>IF(Operations!AD1102=0,0,Operations!AD1100/Operations!AD1102)</f>
        <v/>
      </c>
      <c r="AE1118" s="14">
        <f>IF(Operations!AE1102=0,0,Operations!AE1100/Operations!AE1102)</f>
        <v/>
      </c>
      <c r="AF1118" s="14">
        <f>IF(Operations!AF1102=0,0,Operations!AF1100/Operations!AF1102)</f>
        <v/>
      </c>
      <c r="AG1118" s="14">
        <f>IF(Operations!AG1102=0,0,Operations!AG1100/Operations!AG1102)</f>
        <v/>
      </c>
      <c r="AH1118" s="14">
        <f>IF(Operations!AH1102=0,0,Operations!AH1100/Operations!AH1102)</f>
        <v/>
      </c>
      <c r="AI1118" s="14">
        <f>IF(Operations!AI1102=0,0,Operations!AI1100/Operations!AI1102)</f>
        <v/>
      </c>
      <c r="AJ1118" s="14">
        <f>IF(Operations!AJ1102=0,0,Operations!AJ1100/Operations!AJ1102)</f>
        <v/>
      </c>
      <c r="AK1118" s="14">
        <f>IF(Operations!AK1102=0,0,Operations!AK1100/Operations!AK1102)</f>
        <v/>
      </c>
      <c r="AL1118" s="14">
        <f>IF(Operations!AL1102=0,0,Operations!AL1100/Operations!AL1102)</f>
        <v/>
      </c>
      <c r="AM1118" s="14">
        <f>IF(Operations!AM1102=0,0,Operations!AM1100/Operations!AM1102)</f>
        <v/>
      </c>
      <c r="AN1118" s="14">
        <f>IF(Operations!AN1102=0,0,Operations!AN1100/Operations!AN1102)</f>
        <v/>
      </c>
      <c r="AO1118" s="14">
        <f>IF(Operations!AO1102=0,0,Operations!AO1100/Operations!AO1102)</f>
        <v/>
      </c>
      <c r="AP1118" s="14">
        <f>IF(Operations!AP1102=0,0,Operations!AP1100/Operations!AP1102)</f>
        <v/>
      </c>
      <c r="AQ1118" s="14">
        <f>IF(Operations!AQ1102=0,0,Operations!AQ1100/Operations!AQ1102)</f>
        <v/>
      </c>
      <c r="AR1118" s="14">
        <f>IF(Operations!AR1102=0,0,Operations!AR1100/Operations!AR1102)</f>
        <v/>
      </c>
      <c r="AS1118" s="14">
        <f>IF(Operations!AS1102=0,0,Operations!AS1100/Operations!AS1102)</f>
        <v/>
      </c>
      <c r="AT1118" s="14">
        <f>IF(Operations!AT1102=0,0,Operations!AT1100/Operations!AT1102)</f>
        <v/>
      </c>
      <c r="AU1118" s="14">
        <f>IF(Operations!AU1102=0,0,Operations!AU1100/Operations!AU1102)</f>
        <v/>
      </c>
    </row>
    <row r="1119">
      <c r="D1119" t="inlineStr">
        <is>
          <t>R8 merchant share of revenue</t>
        </is>
      </c>
      <c r="E1119" t="inlineStr">
        <is>
          <t>fraction</t>
        </is>
      </c>
      <c r="J1119" s="14">
        <f>1-Operations!J1117-Operations!J1118</f>
        <v/>
      </c>
      <c r="K1119" s="14">
        <f>1-Operations!K1117-Operations!K1118</f>
        <v/>
      </c>
      <c r="L1119" s="14">
        <f>1-Operations!L1117-Operations!L1118</f>
        <v/>
      </c>
      <c r="M1119" s="14">
        <f>1-Operations!M1117-Operations!M1118</f>
        <v/>
      </c>
      <c r="N1119" s="14">
        <f>1-Operations!N1117-Operations!N1118</f>
        <v/>
      </c>
      <c r="O1119" s="14">
        <f>1-Operations!O1117-Operations!O1118</f>
        <v/>
      </c>
      <c r="P1119" s="14">
        <f>1-Operations!P1117-Operations!P1118</f>
        <v/>
      </c>
      <c r="Q1119" s="14">
        <f>1-Operations!Q1117-Operations!Q1118</f>
        <v/>
      </c>
      <c r="R1119" s="14">
        <f>1-Operations!R1117-Operations!R1118</f>
        <v/>
      </c>
      <c r="S1119" s="14">
        <f>1-Operations!S1117-Operations!S1118</f>
        <v/>
      </c>
      <c r="T1119" s="14">
        <f>1-Operations!T1117-Operations!T1118</f>
        <v/>
      </c>
      <c r="U1119" s="14">
        <f>1-Operations!U1117-Operations!U1118</f>
        <v/>
      </c>
      <c r="V1119" s="14">
        <f>1-Operations!V1117-Operations!V1118</f>
        <v/>
      </c>
      <c r="W1119" s="14">
        <f>1-Operations!W1117-Operations!W1118</f>
        <v/>
      </c>
      <c r="X1119" s="14">
        <f>1-Operations!X1117-Operations!X1118</f>
        <v/>
      </c>
      <c r="Y1119" s="14">
        <f>1-Operations!Y1117-Operations!Y1118</f>
        <v/>
      </c>
      <c r="Z1119" s="14">
        <f>1-Operations!Z1117-Operations!Z1118</f>
        <v/>
      </c>
      <c r="AA1119" s="14">
        <f>1-Operations!AA1117-Operations!AA1118</f>
        <v/>
      </c>
      <c r="AB1119" s="14">
        <f>1-Operations!AB1117-Operations!AB1118</f>
        <v/>
      </c>
      <c r="AC1119" s="14">
        <f>1-Operations!AC1117-Operations!AC1118</f>
        <v/>
      </c>
      <c r="AD1119" s="14">
        <f>1-Operations!AD1117-Operations!AD1118</f>
        <v/>
      </c>
      <c r="AE1119" s="14">
        <f>1-Operations!AE1117-Operations!AE1118</f>
        <v/>
      </c>
      <c r="AF1119" s="14">
        <f>1-Operations!AF1117-Operations!AF1118</f>
        <v/>
      </c>
      <c r="AG1119" s="14">
        <f>1-Operations!AG1117-Operations!AG1118</f>
        <v/>
      </c>
      <c r="AH1119" s="14">
        <f>1-Operations!AH1117-Operations!AH1118</f>
        <v/>
      </c>
      <c r="AI1119" s="14">
        <f>1-Operations!AI1117-Operations!AI1118</f>
        <v/>
      </c>
      <c r="AJ1119" s="14">
        <f>1-Operations!AJ1117-Operations!AJ1118</f>
        <v/>
      </c>
      <c r="AK1119" s="14">
        <f>1-Operations!AK1117-Operations!AK1118</f>
        <v/>
      </c>
      <c r="AL1119" s="14">
        <f>1-Operations!AL1117-Operations!AL1118</f>
        <v/>
      </c>
      <c r="AM1119" s="14">
        <f>1-Operations!AM1117-Operations!AM1118</f>
        <v/>
      </c>
      <c r="AN1119" s="14">
        <f>1-Operations!AN1117-Operations!AN1118</f>
        <v/>
      </c>
      <c r="AO1119" s="14">
        <f>1-Operations!AO1117-Operations!AO1118</f>
        <v/>
      </c>
      <c r="AP1119" s="14">
        <f>1-Operations!AP1117-Operations!AP1118</f>
        <v/>
      </c>
      <c r="AQ1119" s="14">
        <f>1-Operations!AQ1117-Operations!AQ1118</f>
        <v/>
      </c>
      <c r="AR1119" s="14">
        <f>1-Operations!AR1117-Operations!AR1118</f>
        <v/>
      </c>
      <c r="AS1119" s="14">
        <f>1-Operations!AS1117-Operations!AS1118</f>
        <v/>
      </c>
      <c r="AT1119" s="14">
        <f>1-Operations!AT1117-Operations!AT1118</f>
        <v/>
      </c>
      <c r="AU1119" s="14">
        <f>1-Operations!AU1117-Operations!AU1118</f>
        <v/>
      </c>
    </row>
    <row r="1120">
      <c r="D1120" t="inlineStr">
        <is>
          <t>R8 Mesa-share contracted revenue</t>
        </is>
      </c>
      <c r="E1120" t="inlineStr">
        <is>
          <t>USD m</t>
        </is>
      </c>
      <c r="J1120" s="20">
        <f>Operations!J1099*Operations!J1085*(1-Operations!J1112)</f>
        <v/>
      </c>
      <c r="K1120" s="20">
        <f>Operations!K1099*Operations!K1085*(1-Operations!K1112)</f>
        <v/>
      </c>
      <c r="L1120" s="20">
        <f>Operations!L1099*Operations!L1085*(1-Operations!L1112)</f>
        <v/>
      </c>
      <c r="M1120" s="20">
        <f>Operations!M1099*Operations!M1085*(1-Operations!M1112)</f>
        <v/>
      </c>
      <c r="N1120" s="20">
        <f>Operations!N1099*Operations!N1085*(1-Operations!N1112)</f>
        <v/>
      </c>
      <c r="O1120" s="20">
        <f>Operations!O1099*Operations!O1085*(1-Operations!O1112)</f>
        <v/>
      </c>
      <c r="P1120" s="20">
        <f>Operations!P1099*Operations!P1085*(1-Operations!P1112)</f>
        <v/>
      </c>
      <c r="Q1120" s="20">
        <f>Operations!Q1099*Operations!Q1085*(1-Operations!Q1112)</f>
        <v/>
      </c>
      <c r="R1120" s="20">
        <f>Operations!R1099*Operations!R1085*(1-Operations!R1112)</f>
        <v/>
      </c>
      <c r="S1120" s="20">
        <f>Operations!S1099*Operations!S1085*(1-Operations!S1112)</f>
        <v/>
      </c>
      <c r="T1120" s="20">
        <f>Operations!T1099*Operations!T1085*(1-Operations!T1112)</f>
        <v/>
      </c>
      <c r="U1120" s="20">
        <f>Operations!U1099*Operations!U1085*(1-Operations!U1112)</f>
        <v/>
      </c>
      <c r="V1120" s="20">
        <f>Operations!V1099*Operations!V1085*(1-Operations!V1112)</f>
        <v/>
      </c>
      <c r="W1120" s="20">
        <f>Operations!W1099*Operations!W1085*(1-Operations!W1112)</f>
        <v/>
      </c>
      <c r="X1120" s="20">
        <f>Operations!X1099*Operations!X1085*(1-Operations!X1112)</f>
        <v/>
      </c>
      <c r="Y1120" s="20">
        <f>Operations!Y1099*Operations!Y1085*(1-Operations!Y1112)</f>
        <v/>
      </c>
      <c r="Z1120" s="20">
        <f>Operations!Z1099*Operations!Z1085*(1-Operations!Z1112)</f>
        <v/>
      </c>
      <c r="AA1120" s="20">
        <f>Operations!AA1099*Operations!AA1085*(1-Operations!AA1112)</f>
        <v/>
      </c>
      <c r="AB1120" s="20">
        <f>Operations!AB1099*Operations!AB1085*(1-Operations!AB1112)</f>
        <v/>
      </c>
      <c r="AC1120" s="20">
        <f>Operations!AC1099*Operations!AC1085*(1-Operations!AC1112)</f>
        <v/>
      </c>
      <c r="AD1120" s="20">
        <f>Operations!AD1099*Operations!AD1085*(1-Operations!AD1112)</f>
        <v/>
      </c>
      <c r="AE1120" s="20">
        <f>Operations!AE1099*Operations!AE1085*(1-Operations!AE1112)</f>
        <v/>
      </c>
      <c r="AF1120" s="20">
        <f>Operations!AF1099*Operations!AF1085*(1-Operations!AF1112)</f>
        <v/>
      </c>
      <c r="AG1120" s="20">
        <f>Operations!AG1099*Operations!AG1085*(1-Operations!AG1112)</f>
        <v/>
      </c>
      <c r="AH1120" s="20">
        <f>Operations!AH1099*Operations!AH1085*(1-Operations!AH1112)</f>
        <v/>
      </c>
      <c r="AI1120" s="20">
        <f>Operations!AI1099*Operations!AI1085*(1-Operations!AI1112)</f>
        <v/>
      </c>
      <c r="AJ1120" s="20">
        <f>Operations!AJ1099*Operations!AJ1085*(1-Operations!AJ1112)</f>
        <v/>
      </c>
      <c r="AK1120" s="20">
        <f>Operations!AK1099*Operations!AK1085*(1-Operations!AK1112)</f>
        <v/>
      </c>
      <c r="AL1120" s="20">
        <f>Operations!AL1099*Operations!AL1085*(1-Operations!AL1112)</f>
        <v/>
      </c>
      <c r="AM1120" s="20">
        <f>Operations!AM1099*Operations!AM1085*(1-Operations!AM1112)</f>
        <v/>
      </c>
      <c r="AN1120" s="20">
        <f>Operations!AN1099*Operations!AN1085*(1-Operations!AN1112)</f>
        <v/>
      </c>
      <c r="AO1120" s="20">
        <f>Operations!AO1099*Operations!AO1085*(1-Operations!AO1112)</f>
        <v/>
      </c>
      <c r="AP1120" s="20">
        <f>Operations!AP1099*Operations!AP1085*(1-Operations!AP1112)</f>
        <v/>
      </c>
      <c r="AQ1120" s="20">
        <f>Operations!AQ1099*Operations!AQ1085*(1-Operations!AQ1112)</f>
        <v/>
      </c>
      <c r="AR1120" s="20">
        <f>Operations!AR1099*Operations!AR1085*(1-Operations!AR1112)</f>
        <v/>
      </c>
      <c r="AS1120" s="20">
        <f>Operations!AS1099*Operations!AS1085*(1-Operations!AS1112)</f>
        <v/>
      </c>
      <c r="AT1120" s="20">
        <f>Operations!AT1099*Operations!AT1085*(1-Operations!AT1112)</f>
        <v/>
      </c>
      <c r="AU1120" s="20">
        <f>Operations!AU1099*Operations!AU1085*(1-Operations!AU1112)</f>
        <v/>
      </c>
    </row>
    <row r="1121">
      <c r="D1121" t="inlineStr">
        <is>
          <t>R8 Mesa-share hedged revenue</t>
        </is>
      </c>
      <c r="E1121" t="inlineStr">
        <is>
          <t>USD m</t>
        </is>
      </c>
      <c r="J1121" s="20">
        <f>Operations!J1100*Operations!J1085*(1-Operations!J1112)</f>
        <v/>
      </c>
      <c r="K1121" s="20">
        <f>Operations!K1100*Operations!K1085*(1-Operations!K1112)</f>
        <v/>
      </c>
      <c r="L1121" s="20">
        <f>Operations!L1100*Operations!L1085*(1-Operations!L1112)</f>
        <v/>
      </c>
      <c r="M1121" s="20">
        <f>Operations!M1100*Operations!M1085*(1-Operations!M1112)</f>
        <v/>
      </c>
      <c r="N1121" s="20">
        <f>Operations!N1100*Operations!N1085*(1-Operations!N1112)</f>
        <v/>
      </c>
      <c r="O1121" s="20">
        <f>Operations!O1100*Operations!O1085*(1-Operations!O1112)</f>
        <v/>
      </c>
      <c r="P1121" s="20">
        <f>Operations!P1100*Operations!P1085*(1-Operations!P1112)</f>
        <v/>
      </c>
      <c r="Q1121" s="20">
        <f>Operations!Q1100*Operations!Q1085*(1-Operations!Q1112)</f>
        <v/>
      </c>
      <c r="R1121" s="20">
        <f>Operations!R1100*Operations!R1085*(1-Operations!R1112)</f>
        <v/>
      </c>
      <c r="S1121" s="20">
        <f>Operations!S1100*Operations!S1085*(1-Operations!S1112)</f>
        <v/>
      </c>
      <c r="T1121" s="20">
        <f>Operations!T1100*Operations!T1085*(1-Operations!T1112)</f>
        <v/>
      </c>
      <c r="U1121" s="20">
        <f>Operations!U1100*Operations!U1085*(1-Operations!U1112)</f>
        <v/>
      </c>
      <c r="V1121" s="20">
        <f>Operations!V1100*Operations!V1085*(1-Operations!V1112)</f>
        <v/>
      </c>
      <c r="W1121" s="20">
        <f>Operations!W1100*Operations!W1085*(1-Operations!W1112)</f>
        <v/>
      </c>
      <c r="X1121" s="20">
        <f>Operations!X1100*Operations!X1085*(1-Operations!X1112)</f>
        <v/>
      </c>
      <c r="Y1121" s="20">
        <f>Operations!Y1100*Operations!Y1085*(1-Operations!Y1112)</f>
        <v/>
      </c>
      <c r="Z1121" s="20">
        <f>Operations!Z1100*Operations!Z1085*(1-Operations!Z1112)</f>
        <v/>
      </c>
      <c r="AA1121" s="20">
        <f>Operations!AA1100*Operations!AA1085*(1-Operations!AA1112)</f>
        <v/>
      </c>
      <c r="AB1121" s="20">
        <f>Operations!AB1100*Operations!AB1085*(1-Operations!AB1112)</f>
        <v/>
      </c>
      <c r="AC1121" s="20">
        <f>Operations!AC1100*Operations!AC1085*(1-Operations!AC1112)</f>
        <v/>
      </c>
      <c r="AD1121" s="20">
        <f>Operations!AD1100*Operations!AD1085*(1-Operations!AD1112)</f>
        <v/>
      </c>
      <c r="AE1121" s="20">
        <f>Operations!AE1100*Operations!AE1085*(1-Operations!AE1112)</f>
        <v/>
      </c>
      <c r="AF1121" s="20">
        <f>Operations!AF1100*Operations!AF1085*(1-Operations!AF1112)</f>
        <v/>
      </c>
      <c r="AG1121" s="20">
        <f>Operations!AG1100*Operations!AG1085*(1-Operations!AG1112)</f>
        <v/>
      </c>
      <c r="AH1121" s="20">
        <f>Operations!AH1100*Operations!AH1085*(1-Operations!AH1112)</f>
        <v/>
      </c>
      <c r="AI1121" s="20">
        <f>Operations!AI1100*Operations!AI1085*(1-Operations!AI1112)</f>
        <v/>
      </c>
      <c r="AJ1121" s="20">
        <f>Operations!AJ1100*Operations!AJ1085*(1-Operations!AJ1112)</f>
        <v/>
      </c>
      <c r="AK1121" s="20">
        <f>Operations!AK1100*Operations!AK1085*(1-Operations!AK1112)</f>
        <v/>
      </c>
      <c r="AL1121" s="20">
        <f>Operations!AL1100*Operations!AL1085*(1-Operations!AL1112)</f>
        <v/>
      </c>
      <c r="AM1121" s="20">
        <f>Operations!AM1100*Operations!AM1085*(1-Operations!AM1112)</f>
        <v/>
      </c>
      <c r="AN1121" s="20">
        <f>Operations!AN1100*Operations!AN1085*(1-Operations!AN1112)</f>
        <v/>
      </c>
      <c r="AO1121" s="20">
        <f>Operations!AO1100*Operations!AO1085*(1-Operations!AO1112)</f>
        <v/>
      </c>
      <c r="AP1121" s="20">
        <f>Operations!AP1100*Operations!AP1085*(1-Operations!AP1112)</f>
        <v/>
      </c>
      <c r="AQ1121" s="20">
        <f>Operations!AQ1100*Operations!AQ1085*(1-Operations!AQ1112)</f>
        <v/>
      </c>
      <c r="AR1121" s="20">
        <f>Operations!AR1100*Operations!AR1085*(1-Operations!AR1112)</f>
        <v/>
      </c>
      <c r="AS1121" s="20">
        <f>Operations!AS1100*Operations!AS1085*(1-Operations!AS1112)</f>
        <v/>
      </c>
      <c r="AT1121" s="20">
        <f>Operations!AT1100*Operations!AT1085*(1-Operations!AT1112)</f>
        <v/>
      </c>
      <c r="AU1121" s="20">
        <f>Operations!AU1100*Operations!AU1085*(1-Operations!AU1112)</f>
        <v/>
      </c>
    </row>
    <row r="1122">
      <c r="D1122" t="inlineStr">
        <is>
          <t>R8 Mesa-share merchant revenue</t>
        </is>
      </c>
      <c r="E1122" t="inlineStr">
        <is>
          <t>USD m</t>
        </is>
      </c>
      <c r="J1122" s="20">
        <f>Operations!J1103*Operations!J1085*(1-Operations!J1112)</f>
        <v/>
      </c>
      <c r="K1122" s="20">
        <f>Operations!K1103*Operations!K1085*(1-Operations!K1112)</f>
        <v/>
      </c>
      <c r="L1122" s="20">
        <f>Operations!L1103*Operations!L1085*(1-Operations!L1112)</f>
        <v/>
      </c>
      <c r="M1122" s="20">
        <f>Operations!M1103*Operations!M1085*(1-Operations!M1112)</f>
        <v/>
      </c>
      <c r="N1122" s="20">
        <f>Operations!N1103*Operations!N1085*(1-Operations!N1112)</f>
        <v/>
      </c>
      <c r="O1122" s="20">
        <f>Operations!O1103*Operations!O1085*(1-Operations!O1112)</f>
        <v/>
      </c>
      <c r="P1122" s="20">
        <f>Operations!P1103*Operations!P1085*(1-Operations!P1112)</f>
        <v/>
      </c>
      <c r="Q1122" s="20">
        <f>Operations!Q1103*Operations!Q1085*(1-Operations!Q1112)</f>
        <v/>
      </c>
      <c r="R1122" s="20">
        <f>Operations!R1103*Operations!R1085*(1-Operations!R1112)</f>
        <v/>
      </c>
      <c r="S1122" s="20">
        <f>Operations!S1103*Operations!S1085*(1-Operations!S1112)</f>
        <v/>
      </c>
      <c r="T1122" s="20">
        <f>Operations!T1103*Operations!T1085*(1-Operations!T1112)</f>
        <v/>
      </c>
      <c r="U1122" s="20">
        <f>Operations!U1103*Operations!U1085*(1-Operations!U1112)</f>
        <v/>
      </c>
      <c r="V1122" s="20">
        <f>Operations!V1103*Operations!V1085*(1-Operations!V1112)</f>
        <v/>
      </c>
      <c r="W1122" s="20">
        <f>Operations!W1103*Operations!W1085*(1-Operations!W1112)</f>
        <v/>
      </c>
      <c r="X1122" s="20">
        <f>Operations!X1103*Operations!X1085*(1-Operations!X1112)</f>
        <v/>
      </c>
      <c r="Y1122" s="20">
        <f>Operations!Y1103*Operations!Y1085*(1-Operations!Y1112)</f>
        <v/>
      </c>
      <c r="Z1122" s="20">
        <f>Operations!Z1103*Operations!Z1085*(1-Operations!Z1112)</f>
        <v/>
      </c>
      <c r="AA1122" s="20">
        <f>Operations!AA1103*Operations!AA1085*(1-Operations!AA1112)</f>
        <v/>
      </c>
      <c r="AB1122" s="20">
        <f>Operations!AB1103*Operations!AB1085*(1-Operations!AB1112)</f>
        <v/>
      </c>
      <c r="AC1122" s="20">
        <f>Operations!AC1103*Operations!AC1085*(1-Operations!AC1112)</f>
        <v/>
      </c>
      <c r="AD1122" s="20">
        <f>Operations!AD1103*Operations!AD1085*(1-Operations!AD1112)</f>
        <v/>
      </c>
      <c r="AE1122" s="20">
        <f>Operations!AE1103*Operations!AE1085*(1-Operations!AE1112)</f>
        <v/>
      </c>
      <c r="AF1122" s="20">
        <f>Operations!AF1103*Operations!AF1085*(1-Operations!AF1112)</f>
        <v/>
      </c>
      <c r="AG1122" s="20">
        <f>Operations!AG1103*Operations!AG1085*(1-Operations!AG1112)</f>
        <v/>
      </c>
      <c r="AH1122" s="20">
        <f>Operations!AH1103*Operations!AH1085*(1-Operations!AH1112)</f>
        <v/>
      </c>
      <c r="AI1122" s="20">
        <f>Operations!AI1103*Operations!AI1085*(1-Operations!AI1112)</f>
        <v/>
      </c>
      <c r="AJ1122" s="20">
        <f>Operations!AJ1103*Operations!AJ1085*(1-Operations!AJ1112)</f>
        <v/>
      </c>
      <c r="AK1122" s="20">
        <f>Operations!AK1103*Operations!AK1085*(1-Operations!AK1112)</f>
        <v/>
      </c>
      <c r="AL1122" s="20">
        <f>Operations!AL1103*Operations!AL1085*(1-Operations!AL1112)</f>
        <v/>
      </c>
      <c r="AM1122" s="20">
        <f>Operations!AM1103*Operations!AM1085*(1-Operations!AM1112)</f>
        <v/>
      </c>
      <c r="AN1122" s="20">
        <f>Operations!AN1103*Operations!AN1085*(1-Operations!AN1112)</f>
        <v/>
      </c>
      <c r="AO1122" s="20">
        <f>Operations!AO1103*Operations!AO1085*(1-Operations!AO1112)</f>
        <v/>
      </c>
      <c r="AP1122" s="20">
        <f>Operations!AP1103*Operations!AP1085*(1-Operations!AP1112)</f>
        <v/>
      </c>
      <c r="AQ1122" s="20">
        <f>Operations!AQ1103*Operations!AQ1085*(1-Operations!AQ1112)</f>
        <v/>
      </c>
      <c r="AR1122" s="20">
        <f>Operations!AR1103*Operations!AR1085*(1-Operations!AR1112)</f>
        <v/>
      </c>
      <c r="AS1122" s="20">
        <f>Operations!AS1103*Operations!AS1085*(1-Operations!AS1112)</f>
        <v/>
      </c>
      <c r="AT1122" s="20">
        <f>Operations!AT1103*Operations!AT1085*(1-Operations!AT1112)</f>
        <v/>
      </c>
      <c r="AU1122" s="20">
        <f>Operations!AU1103*Operations!AU1085*(1-Operations!AU1112)</f>
        <v/>
      </c>
    </row>
    <row r="1123">
      <c r="D1123" t="inlineStr">
        <is>
          <t>R8 Mesa-share revenue</t>
        </is>
      </c>
      <c r="E1123" t="inlineStr">
        <is>
          <t>USD m</t>
        </is>
      </c>
      <c r="J1123" s="20">
        <f>Operations!J1102*Operations!J1085*(1-Operations!J1112)</f>
        <v/>
      </c>
      <c r="K1123" s="20">
        <f>Operations!K1102*Operations!K1085*(1-Operations!K1112)</f>
        <v/>
      </c>
      <c r="L1123" s="20">
        <f>Operations!L1102*Operations!L1085*(1-Operations!L1112)</f>
        <v/>
      </c>
      <c r="M1123" s="20">
        <f>Operations!M1102*Operations!M1085*(1-Operations!M1112)</f>
        <v/>
      </c>
      <c r="N1123" s="20">
        <f>Operations!N1102*Operations!N1085*(1-Operations!N1112)</f>
        <v/>
      </c>
      <c r="O1123" s="20">
        <f>Operations!O1102*Operations!O1085*(1-Operations!O1112)</f>
        <v/>
      </c>
      <c r="P1123" s="20">
        <f>Operations!P1102*Operations!P1085*(1-Operations!P1112)</f>
        <v/>
      </c>
      <c r="Q1123" s="20">
        <f>Operations!Q1102*Operations!Q1085*(1-Operations!Q1112)</f>
        <v/>
      </c>
      <c r="R1123" s="20">
        <f>Operations!R1102*Operations!R1085*(1-Operations!R1112)</f>
        <v/>
      </c>
      <c r="S1123" s="20">
        <f>Operations!S1102*Operations!S1085*(1-Operations!S1112)</f>
        <v/>
      </c>
      <c r="T1123" s="20">
        <f>Operations!T1102*Operations!T1085*(1-Operations!T1112)</f>
        <v/>
      </c>
      <c r="U1123" s="20">
        <f>Operations!U1102*Operations!U1085*(1-Operations!U1112)</f>
        <v/>
      </c>
      <c r="V1123" s="20">
        <f>Operations!V1102*Operations!V1085*(1-Operations!V1112)</f>
        <v/>
      </c>
      <c r="W1123" s="20">
        <f>Operations!W1102*Operations!W1085*(1-Operations!W1112)</f>
        <v/>
      </c>
      <c r="X1123" s="20">
        <f>Operations!X1102*Operations!X1085*(1-Operations!X1112)</f>
        <v/>
      </c>
      <c r="Y1123" s="20">
        <f>Operations!Y1102*Operations!Y1085*(1-Operations!Y1112)</f>
        <v/>
      </c>
      <c r="Z1123" s="20">
        <f>Operations!Z1102*Operations!Z1085*(1-Operations!Z1112)</f>
        <v/>
      </c>
      <c r="AA1123" s="20">
        <f>Operations!AA1102*Operations!AA1085*(1-Operations!AA1112)</f>
        <v/>
      </c>
      <c r="AB1123" s="20">
        <f>Operations!AB1102*Operations!AB1085*(1-Operations!AB1112)</f>
        <v/>
      </c>
      <c r="AC1123" s="20">
        <f>Operations!AC1102*Operations!AC1085*(1-Operations!AC1112)</f>
        <v/>
      </c>
      <c r="AD1123" s="20">
        <f>Operations!AD1102*Operations!AD1085*(1-Operations!AD1112)</f>
        <v/>
      </c>
      <c r="AE1123" s="20">
        <f>Operations!AE1102*Operations!AE1085*(1-Operations!AE1112)</f>
        <v/>
      </c>
      <c r="AF1123" s="20">
        <f>Operations!AF1102*Operations!AF1085*(1-Operations!AF1112)</f>
        <v/>
      </c>
      <c r="AG1123" s="20">
        <f>Operations!AG1102*Operations!AG1085*(1-Operations!AG1112)</f>
        <v/>
      </c>
      <c r="AH1123" s="20">
        <f>Operations!AH1102*Operations!AH1085*(1-Operations!AH1112)</f>
        <v/>
      </c>
      <c r="AI1123" s="20">
        <f>Operations!AI1102*Operations!AI1085*(1-Operations!AI1112)</f>
        <v/>
      </c>
      <c r="AJ1123" s="20">
        <f>Operations!AJ1102*Operations!AJ1085*(1-Operations!AJ1112)</f>
        <v/>
      </c>
      <c r="AK1123" s="20">
        <f>Operations!AK1102*Operations!AK1085*(1-Operations!AK1112)</f>
        <v/>
      </c>
      <c r="AL1123" s="20">
        <f>Operations!AL1102*Operations!AL1085*(1-Operations!AL1112)</f>
        <v/>
      </c>
      <c r="AM1123" s="20">
        <f>Operations!AM1102*Operations!AM1085*(1-Operations!AM1112)</f>
        <v/>
      </c>
      <c r="AN1123" s="20">
        <f>Operations!AN1102*Operations!AN1085*(1-Operations!AN1112)</f>
        <v/>
      </c>
      <c r="AO1123" s="20">
        <f>Operations!AO1102*Operations!AO1085*(1-Operations!AO1112)</f>
        <v/>
      </c>
      <c r="AP1123" s="20">
        <f>Operations!AP1102*Operations!AP1085*(1-Operations!AP1112)</f>
        <v/>
      </c>
      <c r="AQ1123" s="20">
        <f>Operations!AQ1102*Operations!AQ1085*(1-Operations!AQ1112)</f>
        <v/>
      </c>
      <c r="AR1123" s="20">
        <f>Operations!AR1102*Operations!AR1085*(1-Operations!AR1112)</f>
        <v/>
      </c>
      <c r="AS1123" s="20">
        <f>Operations!AS1102*Operations!AS1085*(1-Operations!AS1112)</f>
        <v/>
      </c>
      <c r="AT1123" s="20">
        <f>Operations!AT1102*Operations!AT1085*(1-Operations!AT1112)</f>
        <v/>
      </c>
      <c r="AU1123" s="20">
        <f>Operations!AU1102*Operations!AU1085*(1-Operations!AU1112)</f>
        <v/>
      </c>
    </row>
    <row r="1125">
      <c r="A1125" s="4" t="inlineStr">
        <is>
          <t>Block Q: portfolio</t>
        </is>
      </c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5" t="n"/>
      <c r="R1125" s="5" t="n"/>
      <c r="S1125" s="5" t="n"/>
      <c r="T1125" s="5" t="n"/>
      <c r="U1125" s="5" t="n"/>
      <c r="V1125" s="5" t="n"/>
      <c r="W1125" s="5" t="n"/>
      <c r="X1125" s="5" t="n"/>
      <c r="Y1125" s="5" t="n"/>
      <c r="Z1125" s="5" t="n"/>
      <c r="AA1125" s="5" t="n"/>
      <c r="AB1125" s="5" t="n"/>
      <c r="AC1125" s="5" t="n"/>
      <c r="AD1125" s="5" t="n"/>
      <c r="AE1125" s="5" t="n"/>
      <c r="AF1125" s="5" t="n"/>
      <c r="AG1125" s="5" t="n"/>
      <c r="AH1125" s="5" t="n"/>
      <c r="AI1125" s="5" t="n"/>
      <c r="AJ1125" s="5" t="n"/>
      <c r="AK1125" s="5" t="n"/>
      <c r="AL1125" s="5" t="n"/>
      <c r="AM1125" s="5" t="n"/>
      <c r="AN1125" s="5" t="n"/>
      <c r="AO1125" s="5" t="n"/>
      <c r="AP1125" s="5" t="n"/>
      <c r="AQ1125" s="5" t="n"/>
      <c r="AR1125" s="5" t="n"/>
      <c r="AS1125" s="5" t="n"/>
      <c r="AT1125" s="5" t="n"/>
      <c r="AU1125" s="5" t="n"/>
    </row>
    <row r="1126">
      <c r="D1126" t="inlineStr">
        <is>
          <t>Asset management cost</t>
        </is>
      </c>
      <c r="E1126" t="inlineStr">
        <is>
          <t>USD m</t>
        </is>
      </c>
      <c r="J1126" s="20">
        <f>Inputs!$F$239*Time!J$9*MAX(0,MIN(Inputs!$F$26,Time!J$6)-MAX(Inputs!$F$240,Time!J$5))/Time!J$7</f>
        <v/>
      </c>
      <c r="K1126" s="20">
        <f>Inputs!$F$239*Time!K$9*MAX(0,MIN(Inputs!$F$26,Time!K$6)-MAX(Inputs!$F$240,Time!K$5))/Time!K$7</f>
        <v/>
      </c>
      <c r="L1126" s="20">
        <f>Inputs!$F$239*Time!L$9*MAX(0,MIN(Inputs!$F$26,Time!L$6)-MAX(Inputs!$F$240,Time!L$5))/Time!L$7</f>
        <v/>
      </c>
      <c r="M1126" s="20">
        <f>Inputs!$F$239*Time!M$9*MAX(0,MIN(Inputs!$F$26,Time!M$6)-MAX(Inputs!$F$240,Time!M$5))/Time!M$7</f>
        <v/>
      </c>
      <c r="N1126" s="20">
        <f>Inputs!$F$239*Time!N$9*MAX(0,MIN(Inputs!$F$26,Time!N$6)-MAX(Inputs!$F$240,Time!N$5))/Time!N$7</f>
        <v/>
      </c>
      <c r="O1126" s="20">
        <f>Inputs!$F$239*Time!O$9*MAX(0,MIN(Inputs!$F$26,Time!O$6)-MAX(Inputs!$F$240,Time!O$5))/Time!O$7</f>
        <v/>
      </c>
      <c r="P1126" s="20">
        <f>Inputs!$F$239*Time!P$9*MAX(0,MIN(Inputs!$F$26,Time!P$6)-MAX(Inputs!$F$240,Time!P$5))/Time!P$7</f>
        <v/>
      </c>
      <c r="Q1126" s="20">
        <f>Inputs!$F$239*Time!Q$9*MAX(0,MIN(Inputs!$F$26,Time!Q$6)-MAX(Inputs!$F$240,Time!Q$5))/Time!Q$7</f>
        <v/>
      </c>
      <c r="R1126" s="20">
        <f>Inputs!$F$239*Time!R$9*MAX(0,MIN(Inputs!$F$26,Time!R$6)-MAX(Inputs!$F$240,Time!R$5))/Time!R$7</f>
        <v/>
      </c>
      <c r="S1126" s="20">
        <f>Inputs!$F$239*Time!S$9*MAX(0,MIN(Inputs!$F$26,Time!S$6)-MAX(Inputs!$F$240,Time!S$5))/Time!S$7</f>
        <v/>
      </c>
      <c r="T1126" s="20">
        <f>Inputs!$F$239*Time!T$9*MAX(0,MIN(Inputs!$F$26,Time!T$6)-MAX(Inputs!$F$240,Time!T$5))/Time!T$7</f>
        <v/>
      </c>
      <c r="U1126" s="20">
        <f>Inputs!$F$239*Time!U$9*MAX(0,MIN(Inputs!$F$26,Time!U$6)-MAX(Inputs!$F$240,Time!U$5))/Time!U$7</f>
        <v/>
      </c>
      <c r="V1126" s="20">
        <f>Inputs!$F$239*Time!V$9*MAX(0,MIN(Inputs!$F$26,Time!V$6)-MAX(Inputs!$F$240,Time!V$5))/Time!V$7</f>
        <v/>
      </c>
      <c r="W1126" s="20">
        <f>Inputs!$F$239*Time!W$9*MAX(0,MIN(Inputs!$F$26,Time!W$6)-MAX(Inputs!$F$240,Time!W$5))/Time!W$7</f>
        <v/>
      </c>
      <c r="X1126" s="20">
        <f>Inputs!$F$239*Time!X$9*MAX(0,MIN(Inputs!$F$26,Time!X$6)-MAX(Inputs!$F$240,Time!X$5))/Time!X$7</f>
        <v/>
      </c>
      <c r="Y1126" s="20">
        <f>Inputs!$F$239*Time!Y$9*MAX(0,MIN(Inputs!$F$26,Time!Y$6)-MAX(Inputs!$F$240,Time!Y$5))/Time!Y$7</f>
        <v/>
      </c>
      <c r="Z1126" s="20">
        <f>Inputs!$F$239*Time!Z$9*MAX(0,MIN(Inputs!$F$26,Time!Z$6)-MAX(Inputs!$F$240,Time!Z$5))/Time!Z$7</f>
        <v/>
      </c>
      <c r="AA1126" s="20">
        <f>Inputs!$F$239*Time!AA$9*MAX(0,MIN(Inputs!$F$26,Time!AA$6)-MAX(Inputs!$F$240,Time!AA$5))/Time!AA$7</f>
        <v/>
      </c>
      <c r="AB1126" s="20">
        <f>Inputs!$F$239*Time!AB$9*MAX(0,MIN(Inputs!$F$26,Time!AB$6)-MAX(Inputs!$F$240,Time!AB$5))/Time!AB$7</f>
        <v/>
      </c>
      <c r="AC1126" s="20">
        <f>Inputs!$F$239*Time!AC$9*MAX(0,MIN(Inputs!$F$26,Time!AC$6)-MAX(Inputs!$F$240,Time!AC$5))/Time!AC$7</f>
        <v/>
      </c>
      <c r="AD1126" s="20">
        <f>Inputs!$F$239*Time!AD$9*MAX(0,MIN(Inputs!$F$26,Time!AD$6)-MAX(Inputs!$F$240,Time!AD$5))/Time!AD$7</f>
        <v/>
      </c>
      <c r="AE1126" s="20">
        <f>Inputs!$F$239*Time!AE$9*MAX(0,MIN(Inputs!$F$26,Time!AE$6)-MAX(Inputs!$F$240,Time!AE$5))/Time!AE$7</f>
        <v/>
      </c>
      <c r="AF1126" s="20">
        <f>Inputs!$F$239*Time!AF$9*MAX(0,MIN(Inputs!$F$26,Time!AF$6)-MAX(Inputs!$F$240,Time!AF$5))/Time!AF$7</f>
        <v/>
      </c>
      <c r="AG1126" s="20">
        <f>Inputs!$F$239*Time!AG$9*MAX(0,MIN(Inputs!$F$26,Time!AG$6)-MAX(Inputs!$F$240,Time!AG$5))/Time!AG$7</f>
        <v/>
      </c>
      <c r="AH1126" s="20">
        <f>Inputs!$F$239*Time!AH$9*MAX(0,MIN(Inputs!$F$26,Time!AH$6)-MAX(Inputs!$F$240,Time!AH$5))/Time!AH$7</f>
        <v/>
      </c>
      <c r="AI1126" s="20">
        <f>Inputs!$F$239*Time!AI$9*MAX(0,MIN(Inputs!$F$26,Time!AI$6)-MAX(Inputs!$F$240,Time!AI$5))/Time!AI$7</f>
        <v/>
      </c>
      <c r="AJ1126" s="20">
        <f>Inputs!$F$239*Time!AJ$9*MAX(0,MIN(Inputs!$F$26,Time!AJ$6)-MAX(Inputs!$F$240,Time!AJ$5))/Time!AJ$7</f>
        <v/>
      </c>
      <c r="AK1126" s="20">
        <f>Inputs!$F$239*Time!AK$9*MAX(0,MIN(Inputs!$F$26,Time!AK$6)-MAX(Inputs!$F$240,Time!AK$5))/Time!AK$7</f>
        <v/>
      </c>
      <c r="AL1126" s="20">
        <f>Inputs!$F$239*Time!AL$9*MAX(0,MIN(Inputs!$F$26,Time!AL$6)-MAX(Inputs!$F$240,Time!AL$5))/Time!AL$7</f>
        <v/>
      </c>
      <c r="AM1126" s="20">
        <f>Inputs!$F$239*Time!AM$9*MAX(0,MIN(Inputs!$F$26,Time!AM$6)-MAX(Inputs!$F$240,Time!AM$5))/Time!AM$7</f>
        <v/>
      </c>
      <c r="AN1126" s="20">
        <f>Inputs!$F$239*Time!AN$9*MAX(0,MIN(Inputs!$F$26,Time!AN$6)-MAX(Inputs!$F$240,Time!AN$5))/Time!AN$7</f>
        <v/>
      </c>
      <c r="AO1126" s="20">
        <f>Inputs!$F$239*Time!AO$9*MAX(0,MIN(Inputs!$F$26,Time!AO$6)-MAX(Inputs!$F$240,Time!AO$5))/Time!AO$7</f>
        <v/>
      </c>
      <c r="AP1126" s="20">
        <f>Inputs!$F$239*Time!AP$9*MAX(0,MIN(Inputs!$F$26,Time!AP$6)-MAX(Inputs!$F$240,Time!AP$5))/Time!AP$7</f>
        <v/>
      </c>
      <c r="AQ1126" s="20">
        <f>Inputs!$F$239*Time!AQ$9*MAX(0,MIN(Inputs!$F$26,Time!AQ$6)-MAX(Inputs!$F$240,Time!AQ$5))/Time!AQ$7</f>
        <v/>
      </c>
      <c r="AR1126" s="20">
        <f>Inputs!$F$239*Time!AR$9*MAX(0,MIN(Inputs!$F$26,Time!AR$6)-MAX(Inputs!$F$240,Time!AR$5))/Time!AR$7</f>
        <v/>
      </c>
      <c r="AS1126" s="20">
        <f>Inputs!$F$239*Time!AS$9*MAX(0,MIN(Inputs!$F$26,Time!AS$6)-MAX(Inputs!$F$240,Time!AS$5))/Time!AS$7</f>
        <v/>
      </c>
      <c r="AT1126" s="20">
        <f>Inputs!$F$239*Time!AT$9*MAX(0,MIN(Inputs!$F$26,Time!AT$6)-MAX(Inputs!$F$240,Time!AT$5))/Time!AT$7</f>
        <v/>
      </c>
      <c r="AU1126" s="20">
        <f>Inputs!$F$239*Time!AU$9*MAX(0,MIN(Inputs!$F$26,Time!AU$6)-MAX(Inputs!$F$240,Time!AU$5))/Time!AU$7</f>
        <v/>
      </c>
    </row>
    <row r="1127">
      <c r="D1127" t="inlineStr">
        <is>
          <t>Mesa cash flow, a1 assets</t>
        </is>
      </c>
      <c r="E1127" t="inlineStr">
        <is>
          <t>USD m</t>
        </is>
      </c>
      <c r="J1127" s="20">
        <f>Operations!J836+Operations!J878+Operations!J921+Operations!J964+Operations!J1007</f>
        <v/>
      </c>
      <c r="K1127" s="20">
        <f>Operations!K836+Operations!K878+Operations!K921+Operations!K964+Operations!K1007</f>
        <v/>
      </c>
      <c r="L1127" s="20">
        <f>Operations!L836+Operations!L878+Operations!L921+Operations!L964+Operations!L1007</f>
        <v/>
      </c>
      <c r="M1127" s="20">
        <f>Operations!M836+Operations!M878+Operations!M921+Operations!M964+Operations!M1007</f>
        <v/>
      </c>
      <c r="N1127" s="20">
        <f>Operations!N836+Operations!N878+Operations!N921+Operations!N964+Operations!N1007</f>
        <v/>
      </c>
      <c r="O1127" s="20">
        <f>Operations!O836+Operations!O878+Operations!O921+Operations!O964+Operations!O1007</f>
        <v/>
      </c>
      <c r="P1127" s="20">
        <f>Operations!P836+Operations!P878+Operations!P921+Operations!P964+Operations!P1007</f>
        <v/>
      </c>
      <c r="Q1127" s="20">
        <f>Operations!Q836+Operations!Q878+Operations!Q921+Operations!Q964+Operations!Q1007</f>
        <v/>
      </c>
      <c r="R1127" s="20">
        <f>Operations!R836+Operations!R878+Operations!R921+Operations!R964+Operations!R1007</f>
        <v/>
      </c>
      <c r="S1127" s="20">
        <f>Operations!S836+Operations!S878+Operations!S921+Operations!S964+Operations!S1007</f>
        <v/>
      </c>
      <c r="T1127" s="20">
        <f>Operations!T836+Operations!T878+Operations!T921+Operations!T964+Operations!T1007</f>
        <v/>
      </c>
      <c r="U1127" s="20">
        <f>Operations!U836+Operations!U878+Operations!U921+Operations!U964+Operations!U1007</f>
        <v/>
      </c>
      <c r="V1127" s="20">
        <f>Operations!V836+Operations!V878+Operations!V921+Operations!V964+Operations!V1007</f>
        <v/>
      </c>
      <c r="W1127" s="20">
        <f>Operations!W836+Operations!W878+Operations!W921+Operations!W964+Operations!W1007</f>
        <v/>
      </c>
      <c r="X1127" s="20">
        <f>Operations!X836+Operations!X878+Operations!X921+Operations!X964+Operations!X1007</f>
        <v/>
      </c>
      <c r="Y1127" s="20">
        <f>Operations!Y836+Operations!Y878+Operations!Y921+Operations!Y964+Operations!Y1007</f>
        <v/>
      </c>
      <c r="Z1127" s="20">
        <f>Operations!Z836+Operations!Z878+Operations!Z921+Operations!Z964+Operations!Z1007</f>
        <v/>
      </c>
      <c r="AA1127" s="20">
        <f>Operations!AA836+Operations!AA878+Operations!AA921+Operations!AA964+Operations!AA1007</f>
        <v/>
      </c>
      <c r="AB1127" s="20">
        <f>Operations!AB836+Operations!AB878+Operations!AB921+Operations!AB964+Operations!AB1007</f>
        <v/>
      </c>
      <c r="AC1127" s="20">
        <f>Operations!AC836+Operations!AC878+Operations!AC921+Operations!AC964+Operations!AC1007</f>
        <v/>
      </c>
      <c r="AD1127" s="20">
        <f>Operations!AD836+Operations!AD878+Operations!AD921+Operations!AD964+Operations!AD1007</f>
        <v/>
      </c>
      <c r="AE1127" s="20">
        <f>Operations!AE836+Operations!AE878+Operations!AE921+Operations!AE964+Operations!AE1007</f>
        <v/>
      </c>
      <c r="AF1127" s="20">
        <f>Operations!AF836+Operations!AF878+Operations!AF921+Operations!AF964+Operations!AF1007</f>
        <v/>
      </c>
      <c r="AG1127" s="20">
        <f>Operations!AG836+Operations!AG878+Operations!AG921+Operations!AG964+Operations!AG1007</f>
        <v/>
      </c>
      <c r="AH1127" s="20">
        <f>Operations!AH836+Operations!AH878+Operations!AH921+Operations!AH964+Operations!AH1007</f>
        <v/>
      </c>
      <c r="AI1127" s="20">
        <f>Operations!AI836+Operations!AI878+Operations!AI921+Operations!AI964+Operations!AI1007</f>
        <v/>
      </c>
      <c r="AJ1127" s="20">
        <f>Operations!AJ836+Operations!AJ878+Operations!AJ921+Operations!AJ964+Operations!AJ1007</f>
        <v/>
      </c>
      <c r="AK1127" s="20">
        <f>Operations!AK836+Operations!AK878+Operations!AK921+Operations!AK964+Operations!AK1007</f>
        <v/>
      </c>
      <c r="AL1127" s="20">
        <f>Operations!AL836+Operations!AL878+Operations!AL921+Operations!AL964+Operations!AL1007</f>
        <v/>
      </c>
      <c r="AM1127" s="20">
        <f>Operations!AM836+Operations!AM878+Operations!AM921+Operations!AM964+Operations!AM1007</f>
        <v/>
      </c>
      <c r="AN1127" s="20">
        <f>Operations!AN836+Operations!AN878+Operations!AN921+Operations!AN964+Operations!AN1007</f>
        <v/>
      </c>
      <c r="AO1127" s="20">
        <f>Operations!AO836+Operations!AO878+Operations!AO921+Operations!AO964+Operations!AO1007</f>
        <v/>
      </c>
      <c r="AP1127" s="20">
        <f>Operations!AP836+Operations!AP878+Operations!AP921+Operations!AP964+Operations!AP1007</f>
        <v/>
      </c>
      <c r="AQ1127" s="20">
        <f>Operations!AQ836+Operations!AQ878+Operations!AQ921+Operations!AQ964+Operations!AQ1007</f>
        <v/>
      </c>
      <c r="AR1127" s="20">
        <f>Operations!AR836+Operations!AR878+Operations!AR921+Operations!AR964+Operations!AR1007</f>
        <v/>
      </c>
      <c r="AS1127" s="20">
        <f>Operations!AS836+Operations!AS878+Operations!AS921+Operations!AS964+Operations!AS1007</f>
        <v/>
      </c>
      <c r="AT1127" s="20">
        <f>Operations!AT836+Operations!AT878+Operations!AT921+Operations!AT964+Operations!AT1007</f>
        <v/>
      </c>
      <c r="AU1127" s="20">
        <f>Operations!AU836+Operations!AU878+Operations!AU921+Operations!AU964+Operations!AU1007</f>
        <v/>
      </c>
    </row>
    <row r="1128">
      <c r="D1128" t="inlineStr">
        <is>
          <t>Mesa-share contracted revenue, a1</t>
        </is>
      </c>
      <c r="E1128" t="inlineStr">
        <is>
          <t>USD m</t>
        </is>
      </c>
      <c r="J1128" s="20">
        <f>Operations!J842+Operations!J884+Operations!J927+Operations!J970+Operations!J1013</f>
        <v/>
      </c>
      <c r="K1128" s="20">
        <f>Operations!K842+Operations!K884+Operations!K927+Operations!K970+Operations!K1013</f>
        <v/>
      </c>
      <c r="L1128" s="20">
        <f>Operations!L842+Operations!L884+Operations!L927+Operations!L970+Operations!L1013</f>
        <v/>
      </c>
      <c r="M1128" s="20">
        <f>Operations!M842+Operations!M884+Operations!M927+Operations!M970+Operations!M1013</f>
        <v/>
      </c>
      <c r="N1128" s="20">
        <f>Operations!N842+Operations!N884+Operations!N927+Operations!N970+Operations!N1013</f>
        <v/>
      </c>
      <c r="O1128" s="20">
        <f>Operations!O842+Operations!O884+Operations!O927+Operations!O970+Operations!O1013</f>
        <v/>
      </c>
      <c r="P1128" s="20">
        <f>Operations!P842+Operations!P884+Operations!P927+Operations!P970+Operations!P1013</f>
        <v/>
      </c>
      <c r="Q1128" s="20">
        <f>Operations!Q842+Operations!Q884+Operations!Q927+Operations!Q970+Operations!Q1013</f>
        <v/>
      </c>
      <c r="R1128" s="20">
        <f>Operations!R842+Operations!R884+Operations!R927+Operations!R970+Operations!R1013</f>
        <v/>
      </c>
      <c r="S1128" s="20">
        <f>Operations!S842+Operations!S884+Operations!S927+Operations!S970+Operations!S1013</f>
        <v/>
      </c>
      <c r="T1128" s="20">
        <f>Operations!T842+Operations!T884+Operations!T927+Operations!T970+Operations!T1013</f>
        <v/>
      </c>
      <c r="U1128" s="20">
        <f>Operations!U842+Operations!U884+Operations!U927+Operations!U970+Operations!U1013</f>
        <v/>
      </c>
      <c r="V1128" s="20">
        <f>Operations!V842+Operations!V884+Operations!V927+Operations!V970+Operations!V1013</f>
        <v/>
      </c>
      <c r="W1128" s="20">
        <f>Operations!W842+Operations!W884+Operations!W927+Operations!W970+Operations!W1013</f>
        <v/>
      </c>
      <c r="X1128" s="20">
        <f>Operations!X842+Operations!X884+Operations!X927+Operations!X970+Operations!X1013</f>
        <v/>
      </c>
      <c r="Y1128" s="20">
        <f>Operations!Y842+Operations!Y884+Operations!Y927+Operations!Y970+Operations!Y1013</f>
        <v/>
      </c>
      <c r="Z1128" s="20">
        <f>Operations!Z842+Operations!Z884+Operations!Z927+Operations!Z970+Operations!Z1013</f>
        <v/>
      </c>
      <c r="AA1128" s="20">
        <f>Operations!AA842+Operations!AA884+Operations!AA927+Operations!AA970+Operations!AA1013</f>
        <v/>
      </c>
      <c r="AB1128" s="20">
        <f>Operations!AB842+Operations!AB884+Operations!AB927+Operations!AB970+Operations!AB1013</f>
        <v/>
      </c>
      <c r="AC1128" s="20">
        <f>Operations!AC842+Operations!AC884+Operations!AC927+Operations!AC970+Operations!AC1013</f>
        <v/>
      </c>
      <c r="AD1128" s="20">
        <f>Operations!AD842+Operations!AD884+Operations!AD927+Operations!AD970+Operations!AD1013</f>
        <v/>
      </c>
      <c r="AE1128" s="20">
        <f>Operations!AE842+Operations!AE884+Operations!AE927+Operations!AE970+Operations!AE1013</f>
        <v/>
      </c>
      <c r="AF1128" s="20">
        <f>Operations!AF842+Operations!AF884+Operations!AF927+Operations!AF970+Operations!AF1013</f>
        <v/>
      </c>
      <c r="AG1128" s="20">
        <f>Operations!AG842+Operations!AG884+Operations!AG927+Operations!AG970+Operations!AG1013</f>
        <v/>
      </c>
      <c r="AH1128" s="20">
        <f>Operations!AH842+Operations!AH884+Operations!AH927+Operations!AH970+Operations!AH1013</f>
        <v/>
      </c>
      <c r="AI1128" s="20">
        <f>Operations!AI842+Operations!AI884+Operations!AI927+Operations!AI970+Operations!AI1013</f>
        <v/>
      </c>
      <c r="AJ1128" s="20">
        <f>Operations!AJ842+Operations!AJ884+Operations!AJ927+Operations!AJ970+Operations!AJ1013</f>
        <v/>
      </c>
      <c r="AK1128" s="20">
        <f>Operations!AK842+Operations!AK884+Operations!AK927+Operations!AK970+Operations!AK1013</f>
        <v/>
      </c>
      <c r="AL1128" s="20">
        <f>Operations!AL842+Operations!AL884+Operations!AL927+Operations!AL970+Operations!AL1013</f>
        <v/>
      </c>
      <c r="AM1128" s="20">
        <f>Operations!AM842+Operations!AM884+Operations!AM927+Operations!AM970+Operations!AM1013</f>
        <v/>
      </c>
      <c r="AN1128" s="20">
        <f>Operations!AN842+Operations!AN884+Operations!AN927+Operations!AN970+Operations!AN1013</f>
        <v/>
      </c>
      <c r="AO1128" s="20">
        <f>Operations!AO842+Operations!AO884+Operations!AO927+Operations!AO970+Operations!AO1013</f>
        <v/>
      </c>
      <c r="AP1128" s="20">
        <f>Operations!AP842+Operations!AP884+Operations!AP927+Operations!AP970+Operations!AP1013</f>
        <v/>
      </c>
      <c r="AQ1128" s="20">
        <f>Operations!AQ842+Operations!AQ884+Operations!AQ927+Operations!AQ970+Operations!AQ1013</f>
        <v/>
      </c>
      <c r="AR1128" s="20">
        <f>Operations!AR842+Operations!AR884+Operations!AR927+Operations!AR970+Operations!AR1013</f>
        <v/>
      </c>
      <c r="AS1128" s="20">
        <f>Operations!AS842+Operations!AS884+Operations!AS927+Operations!AS970+Operations!AS1013</f>
        <v/>
      </c>
      <c r="AT1128" s="20">
        <f>Operations!AT842+Operations!AT884+Operations!AT927+Operations!AT970+Operations!AT1013</f>
        <v/>
      </c>
      <c r="AU1128" s="20">
        <f>Operations!AU842+Operations!AU884+Operations!AU927+Operations!AU970+Operations!AU1013</f>
        <v/>
      </c>
    </row>
    <row r="1129">
      <c r="D1129" t="inlineStr">
        <is>
          <t>Mesa-share hedged revenue, a1</t>
        </is>
      </c>
      <c r="E1129" t="inlineStr">
        <is>
          <t>USD m</t>
        </is>
      </c>
      <c r="J1129" s="20">
        <f>Operations!J843+Operations!J885+Operations!J928+Operations!J971+Operations!J1014</f>
        <v/>
      </c>
      <c r="K1129" s="20">
        <f>Operations!K843+Operations!K885+Operations!K928+Operations!K971+Operations!K1014</f>
        <v/>
      </c>
      <c r="L1129" s="20">
        <f>Operations!L843+Operations!L885+Operations!L928+Operations!L971+Operations!L1014</f>
        <v/>
      </c>
      <c r="M1129" s="20">
        <f>Operations!M843+Operations!M885+Operations!M928+Operations!M971+Operations!M1014</f>
        <v/>
      </c>
      <c r="N1129" s="20">
        <f>Operations!N843+Operations!N885+Operations!N928+Operations!N971+Operations!N1014</f>
        <v/>
      </c>
      <c r="O1129" s="20">
        <f>Operations!O843+Operations!O885+Operations!O928+Operations!O971+Operations!O1014</f>
        <v/>
      </c>
      <c r="P1129" s="20">
        <f>Operations!P843+Operations!P885+Operations!P928+Operations!P971+Operations!P1014</f>
        <v/>
      </c>
      <c r="Q1129" s="20">
        <f>Operations!Q843+Operations!Q885+Operations!Q928+Operations!Q971+Operations!Q1014</f>
        <v/>
      </c>
      <c r="R1129" s="20">
        <f>Operations!R843+Operations!R885+Operations!R928+Operations!R971+Operations!R1014</f>
        <v/>
      </c>
      <c r="S1129" s="20">
        <f>Operations!S843+Operations!S885+Operations!S928+Operations!S971+Operations!S1014</f>
        <v/>
      </c>
      <c r="T1129" s="20">
        <f>Operations!T843+Operations!T885+Operations!T928+Operations!T971+Operations!T1014</f>
        <v/>
      </c>
      <c r="U1129" s="20">
        <f>Operations!U843+Operations!U885+Operations!U928+Operations!U971+Operations!U1014</f>
        <v/>
      </c>
      <c r="V1129" s="20">
        <f>Operations!V843+Operations!V885+Operations!V928+Operations!V971+Operations!V1014</f>
        <v/>
      </c>
      <c r="W1129" s="20">
        <f>Operations!W843+Operations!W885+Operations!W928+Operations!W971+Operations!W1014</f>
        <v/>
      </c>
      <c r="X1129" s="20">
        <f>Operations!X843+Operations!X885+Operations!X928+Operations!X971+Operations!X1014</f>
        <v/>
      </c>
      <c r="Y1129" s="20">
        <f>Operations!Y843+Operations!Y885+Operations!Y928+Operations!Y971+Operations!Y1014</f>
        <v/>
      </c>
      <c r="Z1129" s="20">
        <f>Operations!Z843+Operations!Z885+Operations!Z928+Operations!Z971+Operations!Z1014</f>
        <v/>
      </c>
      <c r="AA1129" s="20">
        <f>Operations!AA843+Operations!AA885+Operations!AA928+Operations!AA971+Operations!AA1014</f>
        <v/>
      </c>
      <c r="AB1129" s="20">
        <f>Operations!AB843+Operations!AB885+Operations!AB928+Operations!AB971+Operations!AB1014</f>
        <v/>
      </c>
      <c r="AC1129" s="20">
        <f>Operations!AC843+Operations!AC885+Operations!AC928+Operations!AC971+Operations!AC1014</f>
        <v/>
      </c>
      <c r="AD1129" s="20">
        <f>Operations!AD843+Operations!AD885+Operations!AD928+Operations!AD971+Operations!AD1014</f>
        <v/>
      </c>
      <c r="AE1129" s="20">
        <f>Operations!AE843+Operations!AE885+Operations!AE928+Operations!AE971+Operations!AE1014</f>
        <v/>
      </c>
      <c r="AF1129" s="20">
        <f>Operations!AF843+Operations!AF885+Operations!AF928+Operations!AF971+Operations!AF1014</f>
        <v/>
      </c>
      <c r="AG1129" s="20">
        <f>Operations!AG843+Operations!AG885+Operations!AG928+Operations!AG971+Operations!AG1014</f>
        <v/>
      </c>
      <c r="AH1129" s="20">
        <f>Operations!AH843+Operations!AH885+Operations!AH928+Operations!AH971+Operations!AH1014</f>
        <v/>
      </c>
      <c r="AI1129" s="20">
        <f>Operations!AI843+Operations!AI885+Operations!AI928+Operations!AI971+Operations!AI1014</f>
        <v/>
      </c>
      <c r="AJ1129" s="20">
        <f>Operations!AJ843+Operations!AJ885+Operations!AJ928+Operations!AJ971+Operations!AJ1014</f>
        <v/>
      </c>
      <c r="AK1129" s="20">
        <f>Operations!AK843+Operations!AK885+Operations!AK928+Operations!AK971+Operations!AK1014</f>
        <v/>
      </c>
      <c r="AL1129" s="20">
        <f>Operations!AL843+Operations!AL885+Operations!AL928+Operations!AL971+Operations!AL1014</f>
        <v/>
      </c>
      <c r="AM1129" s="20">
        <f>Operations!AM843+Operations!AM885+Operations!AM928+Operations!AM971+Operations!AM1014</f>
        <v/>
      </c>
      <c r="AN1129" s="20">
        <f>Operations!AN843+Operations!AN885+Operations!AN928+Operations!AN971+Operations!AN1014</f>
        <v/>
      </c>
      <c r="AO1129" s="20">
        <f>Operations!AO843+Operations!AO885+Operations!AO928+Operations!AO971+Operations!AO1014</f>
        <v/>
      </c>
      <c r="AP1129" s="20">
        <f>Operations!AP843+Operations!AP885+Operations!AP928+Operations!AP971+Operations!AP1014</f>
        <v/>
      </c>
      <c r="AQ1129" s="20">
        <f>Operations!AQ843+Operations!AQ885+Operations!AQ928+Operations!AQ971+Operations!AQ1014</f>
        <v/>
      </c>
      <c r="AR1129" s="20">
        <f>Operations!AR843+Operations!AR885+Operations!AR928+Operations!AR971+Operations!AR1014</f>
        <v/>
      </c>
      <c r="AS1129" s="20">
        <f>Operations!AS843+Operations!AS885+Operations!AS928+Operations!AS971+Operations!AS1014</f>
        <v/>
      </c>
      <c r="AT1129" s="20">
        <f>Operations!AT843+Operations!AT885+Operations!AT928+Operations!AT971+Operations!AT1014</f>
        <v/>
      </c>
      <c r="AU1129" s="20">
        <f>Operations!AU843+Operations!AU885+Operations!AU928+Operations!AU971+Operations!AU1014</f>
        <v/>
      </c>
    </row>
    <row r="1130">
      <c r="D1130" t="inlineStr">
        <is>
          <t>Mesa-share merchant revenue, a1</t>
        </is>
      </c>
      <c r="E1130" t="inlineStr">
        <is>
          <t>USD m</t>
        </is>
      </c>
      <c r="J1130" s="20">
        <f>Operations!J844+Operations!J886+Operations!J929+Operations!J972+Operations!J1015</f>
        <v/>
      </c>
      <c r="K1130" s="20">
        <f>Operations!K844+Operations!K886+Operations!K929+Operations!K972+Operations!K1015</f>
        <v/>
      </c>
      <c r="L1130" s="20">
        <f>Operations!L844+Operations!L886+Operations!L929+Operations!L972+Operations!L1015</f>
        <v/>
      </c>
      <c r="M1130" s="20">
        <f>Operations!M844+Operations!M886+Operations!M929+Operations!M972+Operations!M1015</f>
        <v/>
      </c>
      <c r="N1130" s="20">
        <f>Operations!N844+Operations!N886+Operations!N929+Operations!N972+Operations!N1015</f>
        <v/>
      </c>
      <c r="O1130" s="20">
        <f>Operations!O844+Operations!O886+Operations!O929+Operations!O972+Operations!O1015</f>
        <v/>
      </c>
      <c r="P1130" s="20">
        <f>Operations!P844+Operations!P886+Operations!P929+Operations!P972+Operations!P1015</f>
        <v/>
      </c>
      <c r="Q1130" s="20">
        <f>Operations!Q844+Operations!Q886+Operations!Q929+Operations!Q972+Operations!Q1015</f>
        <v/>
      </c>
      <c r="R1130" s="20">
        <f>Operations!R844+Operations!R886+Operations!R929+Operations!R972+Operations!R1015</f>
        <v/>
      </c>
      <c r="S1130" s="20">
        <f>Operations!S844+Operations!S886+Operations!S929+Operations!S972+Operations!S1015</f>
        <v/>
      </c>
      <c r="T1130" s="20">
        <f>Operations!T844+Operations!T886+Operations!T929+Operations!T972+Operations!T1015</f>
        <v/>
      </c>
      <c r="U1130" s="20">
        <f>Operations!U844+Operations!U886+Operations!U929+Operations!U972+Operations!U1015</f>
        <v/>
      </c>
      <c r="V1130" s="20">
        <f>Operations!V844+Operations!V886+Operations!V929+Operations!V972+Operations!V1015</f>
        <v/>
      </c>
      <c r="W1130" s="20">
        <f>Operations!W844+Operations!W886+Operations!W929+Operations!W972+Operations!W1015</f>
        <v/>
      </c>
      <c r="X1130" s="20">
        <f>Operations!X844+Operations!X886+Operations!X929+Operations!X972+Operations!X1015</f>
        <v/>
      </c>
      <c r="Y1130" s="20">
        <f>Operations!Y844+Operations!Y886+Operations!Y929+Operations!Y972+Operations!Y1015</f>
        <v/>
      </c>
      <c r="Z1130" s="20">
        <f>Operations!Z844+Operations!Z886+Operations!Z929+Operations!Z972+Operations!Z1015</f>
        <v/>
      </c>
      <c r="AA1130" s="20">
        <f>Operations!AA844+Operations!AA886+Operations!AA929+Operations!AA972+Operations!AA1015</f>
        <v/>
      </c>
      <c r="AB1130" s="20">
        <f>Operations!AB844+Operations!AB886+Operations!AB929+Operations!AB972+Operations!AB1015</f>
        <v/>
      </c>
      <c r="AC1130" s="20">
        <f>Operations!AC844+Operations!AC886+Operations!AC929+Operations!AC972+Operations!AC1015</f>
        <v/>
      </c>
      <c r="AD1130" s="20">
        <f>Operations!AD844+Operations!AD886+Operations!AD929+Operations!AD972+Operations!AD1015</f>
        <v/>
      </c>
      <c r="AE1130" s="20">
        <f>Operations!AE844+Operations!AE886+Operations!AE929+Operations!AE972+Operations!AE1015</f>
        <v/>
      </c>
      <c r="AF1130" s="20">
        <f>Operations!AF844+Operations!AF886+Operations!AF929+Operations!AF972+Operations!AF1015</f>
        <v/>
      </c>
      <c r="AG1130" s="20">
        <f>Operations!AG844+Operations!AG886+Operations!AG929+Operations!AG972+Operations!AG1015</f>
        <v/>
      </c>
      <c r="AH1130" s="20">
        <f>Operations!AH844+Operations!AH886+Operations!AH929+Operations!AH972+Operations!AH1015</f>
        <v/>
      </c>
      <c r="AI1130" s="20">
        <f>Operations!AI844+Operations!AI886+Operations!AI929+Operations!AI972+Operations!AI1015</f>
        <v/>
      </c>
      <c r="AJ1130" s="20">
        <f>Operations!AJ844+Operations!AJ886+Operations!AJ929+Operations!AJ972+Operations!AJ1015</f>
        <v/>
      </c>
      <c r="AK1130" s="20">
        <f>Operations!AK844+Operations!AK886+Operations!AK929+Operations!AK972+Operations!AK1015</f>
        <v/>
      </c>
      <c r="AL1130" s="20">
        <f>Operations!AL844+Operations!AL886+Operations!AL929+Operations!AL972+Operations!AL1015</f>
        <v/>
      </c>
      <c r="AM1130" s="20">
        <f>Operations!AM844+Operations!AM886+Operations!AM929+Operations!AM972+Operations!AM1015</f>
        <v/>
      </c>
      <c r="AN1130" s="20">
        <f>Operations!AN844+Operations!AN886+Operations!AN929+Operations!AN972+Operations!AN1015</f>
        <v/>
      </c>
      <c r="AO1130" s="20">
        <f>Operations!AO844+Operations!AO886+Operations!AO929+Operations!AO972+Operations!AO1015</f>
        <v/>
      </c>
      <c r="AP1130" s="20">
        <f>Operations!AP844+Operations!AP886+Operations!AP929+Operations!AP972+Operations!AP1015</f>
        <v/>
      </c>
      <c r="AQ1130" s="20">
        <f>Operations!AQ844+Operations!AQ886+Operations!AQ929+Operations!AQ972+Operations!AQ1015</f>
        <v/>
      </c>
      <c r="AR1130" s="20">
        <f>Operations!AR844+Operations!AR886+Operations!AR929+Operations!AR972+Operations!AR1015</f>
        <v/>
      </c>
      <c r="AS1130" s="20">
        <f>Operations!AS844+Operations!AS886+Operations!AS929+Operations!AS972+Operations!AS1015</f>
        <v/>
      </c>
      <c r="AT1130" s="20">
        <f>Operations!AT844+Operations!AT886+Operations!AT929+Operations!AT972+Operations!AT1015</f>
        <v/>
      </c>
      <c r="AU1130" s="20">
        <f>Operations!AU844+Operations!AU886+Operations!AU929+Operations!AU972+Operations!AU1015</f>
        <v/>
      </c>
    </row>
    <row r="1131">
      <c r="D1131" t="inlineStr">
        <is>
          <t>Mesa-share revenue, a1</t>
        </is>
      </c>
      <c r="E1131" t="inlineStr">
        <is>
          <t>USD m</t>
        </is>
      </c>
      <c r="J1131" s="20">
        <f>Operations!J1128+Operations!J1129+Operations!J1130</f>
        <v/>
      </c>
      <c r="K1131" s="20">
        <f>Operations!K1128+Operations!K1129+Operations!K1130</f>
        <v/>
      </c>
      <c r="L1131" s="20">
        <f>Operations!L1128+Operations!L1129+Operations!L1130</f>
        <v/>
      </c>
      <c r="M1131" s="20">
        <f>Operations!M1128+Operations!M1129+Operations!M1130</f>
        <v/>
      </c>
      <c r="N1131" s="20">
        <f>Operations!N1128+Operations!N1129+Operations!N1130</f>
        <v/>
      </c>
      <c r="O1131" s="20">
        <f>Operations!O1128+Operations!O1129+Operations!O1130</f>
        <v/>
      </c>
      <c r="P1131" s="20">
        <f>Operations!P1128+Operations!P1129+Operations!P1130</f>
        <v/>
      </c>
      <c r="Q1131" s="20">
        <f>Operations!Q1128+Operations!Q1129+Operations!Q1130</f>
        <v/>
      </c>
      <c r="R1131" s="20">
        <f>Operations!R1128+Operations!R1129+Operations!R1130</f>
        <v/>
      </c>
      <c r="S1131" s="20">
        <f>Operations!S1128+Operations!S1129+Operations!S1130</f>
        <v/>
      </c>
      <c r="T1131" s="20">
        <f>Operations!T1128+Operations!T1129+Operations!T1130</f>
        <v/>
      </c>
      <c r="U1131" s="20">
        <f>Operations!U1128+Operations!U1129+Operations!U1130</f>
        <v/>
      </c>
      <c r="V1131" s="20">
        <f>Operations!V1128+Operations!V1129+Operations!V1130</f>
        <v/>
      </c>
      <c r="W1131" s="20">
        <f>Operations!W1128+Operations!W1129+Operations!W1130</f>
        <v/>
      </c>
      <c r="X1131" s="20">
        <f>Operations!X1128+Operations!X1129+Operations!X1130</f>
        <v/>
      </c>
      <c r="Y1131" s="20">
        <f>Operations!Y1128+Operations!Y1129+Operations!Y1130</f>
        <v/>
      </c>
      <c r="Z1131" s="20">
        <f>Operations!Z1128+Operations!Z1129+Operations!Z1130</f>
        <v/>
      </c>
      <c r="AA1131" s="20">
        <f>Operations!AA1128+Operations!AA1129+Operations!AA1130</f>
        <v/>
      </c>
      <c r="AB1131" s="20">
        <f>Operations!AB1128+Operations!AB1129+Operations!AB1130</f>
        <v/>
      </c>
      <c r="AC1131" s="20">
        <f>Operations!AC1128+Operations!AC1129+Operations!AC1130</f>
        <v/>
      </c>
      <c r="AD1131" s="20">
        <f>Operations!AD1128+Operations!AD1129+Operations!AD1130</f>
        <v/>
      </c>
      <c r="AE1131" s="20">
        <f>Operations!AE1128+Operations!AE1129+Operations!AE1130</f>
        <v/>
      </c>
      <c r="AF1131" s="20">
        <f>Operations!AF1128+Operations!AF1129+Operations!AF1130</f>
        <v/>
      </c>
      <c r="AG1131" s="20">
        <f>Operations!AG1128+Operations!AG1129+Operations!AG1130</f>
        <v/>
      </c>
      <c r="AH1131" s="20">
        <f>Operations!AH1128+Operations!AH1129+Operations!AH1130</f>
        <v/>
      </c>
      <c r="AI1131" s="20">
        <f>Operations!AI1128+Operations!AI1129+Operations!AI1130</f>
        <v/>
      </c>
      <c r="AJ1131" s="20">
        <f>Operations!AJ1128+Operations!AJ1129+Operations!AJ1130</f>
        <v/>
      </c>
      <c r="AK1131" s="20">
        <f>Operations!AK1128+Operations!AK1129+Operations!AK1130</f>
        <v/>
      </c>
      <c r="AL1131" s="20">
        <f>Operations!AL1128+Operations!AL1129+Operations!AL1130</f>
        <v/>
      </c>
      <c r="AM1131" s="20">
        <f>Operations!AM1128+Operations!AM1129+Operations!AM1130</f>
        <v/>
      </c>
      <c r="AN1131" s="20">
        <f>Operations!AN1128+Operations!AN1129+Operations!AN1130</f>
        <v/>
      </c>
      <c r="AO1131" s="20">
        <f>Operations!AO1128+Operations!AO1129+Operations!AO1130</f>
        <v/>
      </c>
      <c r="AP1131" s="20">
        <f>Operations!AP1128+Operations!AP1129+Operations!AP1130</f>
        <v/>
      </c>
      <c r="AQ1131" s="20">
        <f>Operations!AQ1128+Operations!AQ1129+Operations!AQ1130</f>
        <v/>
      </c>
      <c r="AR1131" s="20">
        <f>Operations!AR1128+Operations!AR1129+Operations!AR1130</f>
        <v/>
      </c>
      <c r="AS1131" s="20">
        <f>Operations!AS1128+Operations!AS1129+Operations!AS1130</f>
        <v/>
      </c>
      <c r="AT1131" s="20">
        <f>Operations!AT1128+Operations!AT1129+Operations!AT1130</f>
        <v/>
      </c>
      <c r="AU1131" s="20">
        <f>Operations!AU1128+Operations!AU1129+Operations!AU1130</f>
        <v/>
      </c>
    </row>
    <row r="1132">
      <c r="D1132" t="inlineStr">
        <is>
          <t>Mesa cash flow, all assets</t>
        </is>
      </c>
      <c r="E1132" t="inlineStr">
        <is>
          <t>USD m</t>
        </is>
      </c>
      <c r="J1132" s="20">
        <f>Operations!J836+Operations!J878+Operations!J921+Operations!J964+Operations!J1007+Operations!J1039+Operations!J1072+Operations!J1114</f>
        <v/>
      </c>
      <c r="K1132" s="20">
        <f>Operations!K836+Operations!K878+Operations!K921+Operations!K964+Operations!K1007+Operations!K1039+Operations!K1072+Operations!K1114</f>
        <v/>
      </c>
      <c r="L1132" s="20">
        <f>Operations!L836+Operations!L878+Operations!L921+Operations!L964+Operations!L1007+Operations!L1039+Operations!L1072+Operations!L1114</f>
        <v/>
      </c>
      <c r="M1132" s="20">
        <f>Operations!M836+Operations!M878+Operations!M921+Operations!M964+Operations!M1007+Operations!M1039+Operations!M1072+Operations!M1114</f>
        <v/>
      </c>
      <c r="N1132" s="20">
        <f>Operations!N836+Operations!N878+Operations!N921+Operations!N964+Operations!N1007+Operations!N1039+Operations!N1072+Operations!N1114</f>
        <v/>
      </c>
      <c r="O1132" s="20">
        <f>Operations!O836+Operations!O878+Operations!O921+Operations!O964+Operations!O1007+Operations!O1039+Operations!O1072+Operations!O1114</f>
        <v/>
      </c>
      <c r="P1132" s="20">
        <f>Operations!P836+Operations!P878+Operations!P921+Operations!P964+Operations!P1007+Operations!P1039+Operations!P1072+Operations!P1114</f>
        <v/>
      </c>
      <c r="Q1132" s="20">
        <f>Operations!Q836+Operations!Q878+Operations!Q921+Operations!Q964+Operations!Q1007+Operations!Q1039+Operations!Q1072+Operations!Q1114</f>
        <v/>
      </c>
      <c r="R1132" s="20">
        <f>Operations!R836+Operations!R878+Operations!R921+Operations!R964+Operations!R1007+Operations!R1039+Operations!R1072+Operations!R1114</f>
        <v/>
      </c>
      <c r="S1132" s="20">
        <f>Operations!S836+Operations!S878+Operations!S921+Operations!S964+Operations!S1007+Operations!S1039+Operations!S1072+Operations!S1114</f>
        <v/>
      </c>
      <c r="T1132" s="20">
        <f>Operations!T836+Operations!T878+Operations!T921+Operations!T964+Operations!T1007+Operations!T1039+Operations!T1072+Operations!T1114</f>
        <v/>
      </c>
      <c r="U1132" s="20">
        <f>Operations!U836+Operations!U878+Operations!U921+Operations!U964+Operations!U1007+Operations!U1039+Operations!U1072+Operations!U1114</f>
        <v/>
      </c>
      <c r="V1132" s="20">
        <f>Operations!V836+Operations!V878+Operations!V921+Operations!V964+Operations!V1007+Operations!V1039+Operations!V1072+Operations!V1114</f>
        <v/>
      </c>
      <c r="W1132" s="20">
        <f>Operations!W836+Operations!W878+Operations!W921+Operations!W964+Operations!W1007+Operations!W1039+Operations!W1072+Operations!W1114</f>
        <v/>
      </c>
      <c r="X1132" s="20">
        <f>Operations!X836+Operations!X878+Operations!X921+Operations!X964+Operations!X1007+Operations!X1039+Operations!X1072+Operations!X1114</f>
        <v/>
      </c>
      <c r="Y1132" s="20">
        <f>Operations!Y836+Operations!Y878+Operations!Y921+Operations!Y964+Operations!Y1007+Operations!Y1039+Operations!Y1072+Operations!Y1114</f>
        <v/>
      </c>
      <c r="Z1132" s="20">
        <f>Operations!Z836+Operations!Z878+Operations!Z921+Operations!Z964+Operations!Z1007+Operations!Z1039+Operations!Z1072+Operations!Z1114</f>
        <v/>
      </c>
      <c r="AA1132" s="20">
        <f>Operations!AA836+Operations!AA878+Operations!AA921+Operations!AA964+Operations!AA1007+Operations!AA1039+Operations!AA1072+Operations!AA1114</f>
        <v/>
      </c>
      <c r="AB1132" s="20">
        <f>Operations!AB836+Operations!AB878+Operations!AB921+Operations!AB964+Operations!AB1007+Operations!AB1039+Operations!AB1072+Operations!AB1114</f>
        <v/>
      </c>
      <c r="AC1132" s="20">
        <f>Operations!AC836+Operations!AC878+Operations!AC921+Operations!AC964+Operations!AC1007+Operations!AC1039+Operations!AC1072+Operations!AC1114</f>
        <v/>
      </c>
      <c r="AD1132" s="20">
        <f>Operations!AD836+Operations!AD878+Operations!AD921+Operations!AD964+Operations!AD1007+Operations!AD1039+Operations!AD1072+Operations!AD1114</f>
        <v/>
      </c>
      <c r="AE1132" s="20">
        <f>Operations!AE836+Operations!AE878+Operations!AE921+Operations!AE964+Operations!AE1007+Operations!AE1039+Operations!AE1072+Operations!AE1114</f>
        <v/>
      </c>
      <c r="AF1132" s="20">
        <f>Operations!AF836+Operations!AF878+Operations!AF921+Operations!AF964+Operations!AF1007+Operations!AF1039+Operations!AF1072+Operations!AF1114</f>
        <v/>
      </c>
      <c r="AG1132" s="20">
        <f>Operations!AG836+Operations!AG878+Operations!AG921+Operations!AG964+Operations!AG1007+Operations!AG1039+Operations!AG1072+Operations!AG1114</f>
        <v/>
      </c>
      <c r="AH1132" s="20">
        <f>Operations!AH836+Operations!AH878+Operations!AH921+Operations!AH964+Operations!AH1007+Operations!AH1039+Operations!AH1072+Operations!AH1114</f>
        <v/>
      </c>
      <c r="AI1132" s="20">
        <f>Operations!AI836+Operations!AI878+Operations!AI921+Operations!AI964+Operations!AI1007+Operations!AI1039+Operations!AI1072+Operations!AI1114</f>
        <v/>
      </c>
      <c r="AJ1132" s="20">
        <f>Operations!AJ836+Operations!AJ878+Operations!AJ921+Operations!AJ964+Operations!AJ1007+Operations!AJ1039+Operations!AJ1072+Operations!AJ1114</f>
        <v/>
      </c>
      <c r="AK1132" s="20">
        <f>Operations!AK836+Operations!AK878+Operations!AK921+Operations!AK964+Operations!AK1007+Operations!AK1039+Operations!AK1072+Operations!AK1114</f>
        <v/>
      </c>
      <c r="AL1132" s="20">
        <f>Operations!AL836+Operations!AL878+Operations!AL921+Operations!AL964+Operations!AL1007+Operations!AL1039+Operations!AL1072+Operations!AL1114</f>
        <v/>
      </c>
      <c r="AM1132" s="20">
        <f>Operations!AM836+Operations!AM878+Operations!AM921+Operations!AM964+Operations!AM1007+Operations!AM1039+Operations!AM1072+Operations!AM1114</f>
        <v/>
      </c>
      <c r="AN1132" s="20">
        <f>Operations!AN836+Operations!AN878+Operations!AN921+Operations!AN964+Operations!AN1007+Operations!AN1039+Operations!AN1072+Operations!AN1114</f>
        <v/>
      </c>
      <c r="AO1132" s="20">
        <f>Operations!AO836+Operations!AO878+Operations!AO921+Operations!AO964+Operations!AO1007+Operations!AO1039+Operations!AO1072+Operations!AO1114</f>
        <v/>
      </c>
      <c r="AP1132" s="20">
        <f>Operations!AP836+Operations!AP878+Operations!AP921+Operations!AP964+Operations!AP1007+Operations!AP1039+Operations!AP1072+Operations!AP1114</f>
        <v/>
      </c>
      <c r="AQ1132" s="20">
        <f>Operations!AQ836+Operations!AQ878+Operations!AQ921+Operations!AQ964+Operations!AQ1007+Operations!AQ1039+Operations!AQ1072+Operations!AQ1114</f>
        <v/>
      </c>
      <c r="AR1132" s="20">
        <f>Operations!AR836+Operations!AR878+Operations!AR921+Operations!AR964+Operations!AR1007+Operations!AR1039+Operations!AR1072+Operations!AR1114</f>
        <v/>
      </c>
      <c r="AS1132" s="20">
        <f>Operations!AS836+Operations!AS878+Operations!AS921+Operations!AS964+Operations!AS1007+Operations!AS1039+Operations!AS1072+Operations!AS1114</f>
        <v/>
      </c>
      <c r="AT1132" s="20">
        <f>Operations!AT836+Operations!AT878+Operations!AT921+Operations!AT964+Operations!AT1007+Operations!AT1039+Operations!AT1072+Operations!AT1114</f>
        <v/>
      </c>
      <c r="AU1132" s="20">
        <f>Operations!AU836+Operations!AU878+Operations!AU921+Operations!AU964+Operations!AU1007+Operations!AU1039+Operations!AU1072+Operations!AU1114</f>
        <v/>
      </c>
    </row>
    <row r="1133">
      <c r="D1133" t="inlineStr">
        <is>
          <t>Mesa-share contracted revenue, all</t>
        </is>
      </c>
      <c r="E1133" t="inlineStr">
        <is>
          <t>USD m</t>
        </is>
      </c>
      <c r="J1133" s="20">
        <f>Operations!J842+Operations!J884+Operations!J927+Operations!J970+Operations!J1013+Operations!J1045+Operations!J1078+Operations!J1120</f>
        <v/>
      </c>
      <c r="K1133" s="20">
        <f>Operations!K842+Operations!K884+Operations!K927+Operations!K970+Operations!K1013+Operations!K1045+Operations!K1078+Operations!K1120</f>
        <v/>
      </c>
      <c r="L1133" s="20">
        <f>Operations!L842+Operations!L884+Operations!L927+Operations!L970+Operations!L1013+Operations!L1045+Operations!L1078+Operations!L1120</f>
        <v/>
      </c>
      <c r="M1133" s="20">
        <f>Operations!M842+Operations!M884+Operations!M927+Operations!M970+Operations!M1013+Operations!M1045+Operations!M1078+Operations!M1120</f>
        <v/>
      </c>
      <c r="N1133" s="20">
        <f>Operations!N842+Operations!N884+Operations!N927+Operations!N970+Operations!N1013+Operations!N1045+Operations!N1078+Operations!N1120</f>
        <v/>
      </c>
      <c r="O1133" s="20">
        <f>Operations!O842+Operations!O884+Operations!O927+Operations!O970+Operations!O1013+Operations!O1045+Operations!O1078+Operations!O1120</f>
        <v/>
      </c>
      <c r="P1133" s="20">
        <f>Operations!P842+Operations!P884+Operations!P927+Operations!P970+Operations!P1013+Operations!P1045+Operations!P1078+Operations!P1120</f>
        <v/>
      </c>
      <c r="Q1133" s="20">
        <f>Operations!Q842+Operations!Q884+Operations!Q927+Operations!Q970+Operations!Q1013+Operations!Q1045+Operations!Q1078+Operations!Q1120</f>
        <v/>
      </c>
      <c r="R1133" s="20">
        <f>Operations!R842+Operations!R884+Operations!R927+Operations!R970+Operations!R1013+Operations!R1045+Operations!R1078+Operations!R1120</f>
        <v/>
      </c>
      <c r="S1133" s="20">
        <f>Operations!S842+Operations!S884+Operations!S927+Operations!S970+Operations!S1013+Operations!S1045+Operations!S1078+Operations!S1120</f>
        <v/>
      </c>
      <c r="T1133" s="20">
        <f>Operations!T842+Operations!T884+Operations!T927+Operations!T970+Operations!T1013+Operations!T1045+Operations!T1078+Operations!T1120</f>
        <v/>
      </c>
      <c r="U1133" s="20">
        <f>Operations!U842+Operations!U884+Operations!U927+Operations!U970+Operations!U1013+Operations!U1045+Operations!U1078+Operations!U1120</f>
        <v/>
      </c>
      <c r="V1133" s="20">
        <f>Operations!V842+Operations!V884+Operations!V927+Operations!V970+Operations!V1013+Operations!V1045+Operations!V1078+Operations!V1120</f>
        <v/>
      </c>
      <c r="W1133" s="20">
        <f>Operations!W842+Operations!W884+Operations!W927+Operations!W970+Operations!W1013+Operations!W1045+Operations!W1078+Operations!W1120</f>
        <v/>
      </c>
      <c r="X1133" s="20">
        <f>Operations!X842+Operations!X884+Operations!X927+Operations!X970+Operations!X1013+Operations!X1045+Operations!X1078+Operations!X1120</f>
        <v/>
      </c>
      <c r="Y1133" s="20">
        <f>Operations!Y842+Operations!Y884+Operations!Y927+Operations!Y970+Operations!Y1013+Operations!Y1045+Operations!Y1078+Operations!Y1120</f>
        <v/>
      </c>
      <c r="Z1133" s="20">
        <f>Operations!Z842+Operations!Z884+Operations!Z927+Operations!Z970+Operations!Z1013+Operations!Z1045+Operations!Z1078+Operations!Z1120</f>
        <v/>
      </c>
      <c r="AA1133" s="20">
        <f>Operations!AA842+Operations!AA884+Operations!AA927+Operations!AA970+Operations!AA1013+Operations!AA1045+Operations!AA1078+Operations!AA1120</f>
        <v/>
      </c>
      <c r="AB1133" s="20">
        <f>Operations!AB842+Operations!AB884+Operations!AB927+Operations!AB970+Operations!AB1013+Operations!AB1045+Operations!AB1078+Operations!AB1120</f>
        <v/>
      </c>
      <c r="AC1133" s="20">
        <f>Operations!AC842+Operations!AC884+Operations!AC927+Operations!AC970+Operations!AC1013+Operations!AC1045+Operations!AC1078+Operations!AC1120</f>
        <v/>
      </c>
      <c r="AD1133" s="20">
        <f>Operations!AD842+Operations!AD884+Operations!AD927+Operations!AD970+Operations!AD1013+Operations!AD1045+Operations!AD1078+Operations!AD1120</f>
        <v/>
      </c>
      <c r="AE1133" s="20">
        <f>Operations!AE842+Operations!AE884+Operations!AE927+Operations!AE970+Operations!AE1013+Operations!AE1045+Operations!AE1078+Operations!AE1120</f>
        <v/>
      </c>
      <c r="AF1133" s="20">
        <f>Operations!AF842+Operations!AF884+Operations!AF927+Operations!AF970+Operations!AF1013+Operations!AF1045+Operations!AF1078+Operations!AF1120</f>
        <v/>
      </c>
      <c r="AG1133" s="20">
        <f>Operations!AG842+Operations!AG884+Operations!AG927+Operations!AG970+Operations!AG1013+Operations!AG1045+Operations!AG1078+Operations!AG1120</f>
        <v/>
      </c>
      <c r="AH1133" s="20">
        <f>Operations!AH842+Operations!AH884+Operations!AH927+Operations!AH970+Operations!AH1013+Operations!AH1045+Operations!AH1078+Operations!AH1120</f>
        <v/>
      </c>
      <c r="AI1133" s="20">
        <f>Operations!AI842+Operations!AI884+Operations!AI927+Operations!AI970+Operations!AI1013+Operations!AI1045+Operations!AI1078+Operations!AI1120</f>
        <v/>
      </c>
      <c r="AJ1133" s="20">
        <f>Operations!AJ842+Operations!AJ884+Operations!AJ927+Operations!AJ970+Operations!AJ1013+Operations!AJ1045+Operations!AJ1078+Operations!AJ1120</f>
        <v/>
      </c>
      <c r="AK1133" s="20">
        <f>Operations!AK842+Operations!AK884+Operations!AK927+Operations!AK970+Operations!AK1013+Operations!AK1045+Operations!AK1078+Operations!AK1120</f>
        <v/>
      </c>
      <c r="AL1133" s="20">
        <f>Operations!AL842+Operations!AL884+Operations!AL927+Operations!AL970+Operations!AL1013+Operations!AL1045+Operations!AL1078+Operations!AL1120</f>
        <v/>
      </c>
      <c r="AM1133" s="20">
        <f>Operations!AM842+Operations!AM884+Operations!AM927+Operations!AM970+Operations!AM1013+Operations!AM1045+Operations!AM1078+Operations!AM1120</f>
        <v/>
      </c>
      <c r="AN1133" s="20">
        <f>Operations!AN842+Operations!AN884+Operations!AN927+Operations!AN970+Operations!AN1013+Operations!AN1045+Operations!AN1078+Operations!AN1120</f>
        <v/>
      </c>
      <c r="AO1133" s="20">
        <f>Operations!AO842+Operations!AO884+Operations!AO927+Operations!AO970+Operations!AO1013+Operations!AO1045+Operations!AO1078+Operations!AO1120</f>
        <v/>
      </c>
      <c r="AP1133" s="20">
        <f>Operations!AP842+Operations!AP884+Operations!AP927+Operations!AP970+Operations!AP1013+Operations!AP1045+Operations!AP1078+Operations!AP1120</f>
        <v/>
      </c>
      <c r="AQ1133" s="20">
        <f>Operations!AQ842+Operations!AQ884+Operations!AQ927+Operations!AQ970+Operations!AQ1013+Operations!AQ1045+Operations!AQ1078+Operations!AQ1120</f>
        <v/>
      </c>
      <c r="AR1133" s="20">
        <f>Operations!AR842+Operations!AR884+Operations!AR927+Operations!AR970+Operations!AR1013+Operations!AR1045+Operations!AR1078+Operations!AR1120</f>
        <v/>
      </c>
      <c r="AS1133" s="20">
        <f>Operations!AS842+Operations!AS884+Operations!AS927+Operations!AS970+Operations!AS1013+Operations!AS1045+Operations!AS1078+Operations!AS1120</f>
        <v/>
      </c>
      <c r="AT1133" s="20">
        <f>Operations!AT842+Operations!AT884+Operations!AT927+Operations!AT970+Operations!AT1013+Operations!AT1045+Operations!AT1078+Operations!AT1120</f>
        <v/>
      </c>
      <c r="AU1133" s="20">
        <f>Operations!AU842+Operations!AU884+Operations!AU927+Operations!AU970+Operations!AU1013+Operations!AU1045+Operations!AU1078+Operations!AU1120</f>
        <v/>
      </c>
    </row>
    <row r="1134">
      <c r="D1134" t="inlineStr">
        <is>
          <t>Mesa-share hedged revenue, all</t>
        </is>
      </c>
      <c r="E1134" t="inlineStr">
        <is>
          <t>USD m</t>
        </is>
      </c>
      <c r="J1134" s="20">
        <f>Operations!J843+Operations!J885+Operations!J928+Operations!J971+Operations!J1014+Operations!J1046+Operations!J1079+Operations!J1121</f>
        <v/>
      </c>
      <c r="K1134" s="20">
        <f>Operations!K843+Operations!K885+Operations!K928+Operations!K971+Operations!K1014+Operations!K1046+Operations!K1079+Operations!K1121</f>
        <v/>
      </c>
      <c r="L1134" s="20">
        <f>Operations!L843+Operations!L885+Operations!L928+Operations!L971+Operations!L1014+Operations!L1046+Operations!L1079+Operations!L1121</f>
        <v/>
      </c>
      <c r="M1134" s="20">
        <f>Operations!M843+Operations!M885+Operations!M928+Operations!M971+Operations!M1014+Operations!M1046+Operations!M1079+Operations!M1121</f>
        <v/>
      </c>
      <c r="N1134" s="20">
        <f>Operations!N843+Operations!N885+Operations!N928+Operations!N971+Operations!N1014+Operations!N1046+Operations!N1079+Operations!N1121</f>
        <v/>
      </c>
      <c r="O1134" s="20">
        <f>Operations!O843+Operations!O885+Operations!O928+Operations!O971+Operations!O1014+Operations!O1046+Operations!O1079+Operations!O1121</f>
        <v/>
      </c>
      <c r="P1134" s="20">
        <f>Operations!P843+Operations!P885+Operations!P928+Operations!P971+Operations!P1014+Operations!P1046+Operations!P1079+Operations!P1121</f>
        <v/>
      </c>
      <c r="Q1134" s="20">
        <f>Operations!Q843+Operations!Q885+Operations!Q928+Operations!Q971+Operations!Q1014+Operations!Q1046+Operations!Q1079+Operations!Q1121</f>
        <v/>
      </c>
      <c r="R1134" s="20">
        <f>Operations!R843+Operations!R885+Operations!R928+Operations!R971+Operations!R1014+Operations!R1046+Operations!R1079+Operations!R1121</f>
        <v/>
      </c>
      <c r="S1134" s="20">
        <f>Operations!S843+Operations!S885+Operations!S928+Operations!S971+Operations!S1014+Operations!S1046+Operations!S1079+Operations!S1121</f>
        <v/>
      </c>
      <c r="T1134" s="20">
        <f>Operations!T843+Operations!T885+Operations!T928+Operations!T971+Operations!T1014+Operations!T1046+Operations!T1079+Operations!T1121</f>
        <v/>
      </c>
      <c r="U1134" s="20">
        <f>Operations!U843+Operations!U885+Operations!U928+Operations!U971+Operations!U1014+Operations!U1046+Operations!U1079+Operations!U1121</f>
        <v/>
      </c>
      <c r="V1134" s="20">
        <f>Operations!V843+Operations!V885+Operations!V928+Operations!V971+Operations!V1014+Operations!V1046+Operations!V1079+Operations!V1121</f>
        <v/>
      </c>
      <c r="W1134" s="20">
        <f>Operations!W843+Operations!W885+Operations!W928+Operations!W971+Operations!W1014+Operations!W1046+Operations!W1079+Operations!W1121</f>
        <v/>
      </c>
      <c r="X1134" s="20">
        <f>Operations!X843+Operations!X885+Operations!X928+Operations!X971+Operations!X1014+Operations!X1046+Operations!X1079+Operations!X1121</f>
        <v/>
      </c>
      <c r="Y1134" s="20">
        <f>Operations!Y843+Operations!Y885+Operations!Y928+Operations!Y971+Operations!Y1014+Operations!Y1046+Operations!Y1079+Operations!Y1121</f>
        <v/>
      </c>
      <c r="Z1134" s="20">
        <f>Operations!Z843+Operations!Z885+Operations!Z928+Operations!Z971+Operations!Z1014+Operations!Z1046+Operations!Z1079+Operations!Z1121</f>
        <v/>
      </c>
      <c r="AA1134" s="20">
        <f>Operations!AA843+Operations!AA885+Operations!AA928+Operations!AA971+Operations!AA1014+Operations!AA1046+Operations!AA1079+Operations!AA1121</f>
        <v/>
      </c>
      <c r="AB1134" s="20">
        <f>Operations!AB843+Operations!AB885+Operations!AB928+Operations!AB971+Operations!AB1014+Operations!AB1046+Operations!AB1079+Operations!AB1121</f>
        <v/>
      </c>
      <c r="AC1134" s="20">
        <f>Operations!AC843+Operations!AC885+Operations!AC928+Operations!AC971+Operations!AC1014+Operations!AC1046+Operations!AC1079+Operations!AC1121</f>
        <v/>
      </c>
      <c r="AD1134" s="20">
        <f>Operations!AD843+Operations!AD885+Operations!AD928+Operations!AD971+Operations!AD1014+Operations!AD1046+Operations!AD1079+Operations!AD1121</f>
        <v/>
      </c>
      <c r="AE1134" s="20">
        <f>Operations!AE843+Operations!AE885+Operations!AE928+Operations!AE971+Operations!AE1014+Operations!AE1046+Operations!AE1079+Operations!AE1121</f>
        <v/>
      </c>
      <c r="AF1134" s="20">
        <f>Operations!AF843+Operations!AF885+Operations!AF928+Operations!AF971+Operations!AF1014+Operations!AF1046+Operations!AF1079+Operations!AF1121</f>
        <v/>
      </c>
      <c r="AG1134" s="20">
        <f>Operations!AG843+Operations!AG885+Operations!AG928+Operations!AG971+Operations!AG1014+Operations!AG1046+Operations!AG1079+Operations!AG1121</f>
        <v/>
      </c>
      <c r="AH1134" s="20">
        <f>Operations!AH843+Operations!AH885+Operations!AH928+Operations!AH971+Operations!AH1014+Operations!AH1046+Operations!AH1079+Operations!AH1121</f>
        <v/>
      </c>
      <c r="AI1134" s="20">
        <f>Operations!AI843+Operations!AI885+Operations!AI928+Operations!AI971+Operations!AI1014+Operations!AI1046+Operations!AI1079+Operations!AI1121</f>
        <v/>
      </c>
      <c r="AJ1134" s="20">
        <f>Operations!AJ843+Operations!AJ885+Operations!AJ928+Operations!AJ971+Operations!AJ1014+Operations!AJ1046+Operations!AJ1079+Operations!AJ1121</f>
        <v/>
      </c>
      <c r="AK1134" s="20">
        <f>Operations!AK843+Operations!AK885+Operations!AK928+Operations!AK971+Operations!AK1014+Operations!AK1046+Operations!AK1079+Operations!AK1121</f>
        <v/>
      </c>
      <c r="AL1134" s="20">
        <f>Operations!AL843+Operations!AL885+Operations!AL928+Operations!AL971+Operations!AL1014+Operations!AL1046+Operations!AL1079+Operations!AL1121</f>
        <v/>
      </c>
      <c r="AM1134" s="20">
        <f>Operations!AM843+Operations!AM885+Operations!AM928+Operations!AM971+Operations!AM1014+Operations!AM1046+Operations!AM1079+Operations!AM1121</f>
        <v/>
      </c>
      <c r="AN1134" s="20">
        <f>Operations!AN843+Operations!AN885+Operations!AN928+Operations!AN971+Operations!AN1014+Operations!AN1046+Operations!AN1079+Operations!AN1121</f>
        <v/>
      </c>
      <c r="AO1134" s="20">
        <f>Operations!AO843+Operations!AO885+Operations!AO928+Operations!AO971+Operations!AO1014+Operations!AO1046+Operations!AO1079+Operations!AO1121</f>
        <v/>
      </c>
      <c r="AP1134" s="20">
        <f>Operations!AP843+Operations!AP885+Operations!AP928+Operations!AP971+Operations!AP1014+Operations!AP1046+Operations!AP1079+Operations!AP1121</f>
        <v/>
      </c>
      <c r="AQ1134" s="20">
        <f>Operations!AQ843+Operations!AQ885+Operations!AQ928+Operations!AQ971+Operations!AQ1014+Operations!AQ1046+Operations!AQ1079+Operations!AQ1121</f>
        <v/>
      </c>
      <c r="AR1134" s="20">
        <f>Operations!AR843+Operations!AR885+Operations!AR928+Operations!AR971+Operations!AR1014+Operations!AR1046+Operations!AR1079+Operations!AR1121</f>
        <v/>
      </c>
      <c r="AS1134" s="20">
        <f>Operations!AS843+Operations!AS885+Operations!AS928+Operations!AS971+Operations!AS1014+Operations!AS1046+Operations!AS1079+Operations!AS1121</f>
        <v/>
      </c>
      <c r="AT1134" s="20">
        <f>Operations!AT843+Operations!AT885+Operations!AT928+Operations!AT971+Operations!AT1014+Operations!AT1046+Operations!AT1079+Operations!AT1121</f>
        <v/>
      </c>
      <c r="AU1134" s="20">
        <f>Operations!AU843+Operations!AU885+Operations!AU928+Operations!AU971+Operations!AU1014+Operations!AU1046+Operations!AU1079+Operations!AU1121</f>
        <v/>
      </c>
    </row>
    <row r="1135">
      <c r="D1135" t="inlineStr">
        <is>
          <t>Mesa-share merchant revenue, all</t>
        </is>
      </c>
      <c r="E1135" t="inlineStr">
        <is>
          <t>USD m</t>
        </is>
      </c>
      <c r="J1135" s="20">
        <f>Operations!J844+Operations!J886+Operations!J929+Operations!J972+Operations!J1015+Operations!J1047+Operations!J1080+Operations!J1122</f>
        <v/>
      </c>
      <c r="K1135" s="20">
        <f>Operations!K844+Operations!K886+Operations!K929+Operations!K972+Operations!K1015+Operations!K1047+Operations!K1080+Operations!K1122</f>
        <v/>
      </c>
      <c r="L1135" s="20">
        <f>Operations!L844+Operations!L886+Operations!L929+Operations!L972+Operations!L1015+Operations!L1047+Operations!L1080+Operations!L1122</f>
        <v/>
      </c>
      <c r="M1135" s="20">
        <f>Operations!M844+Operations!M886+Operations!M929+Operations!M972+Operations!M1015+Operations!M1047+Operations!M1080+Operations!M1122</f>
        <v/>
      </c>
      <c r="N1135" s="20">
        <f>Operations!N844+Operations!N886+Operations!N929+Operations!N972+Operations!N1015+Operations!N1047+Operations!N1080+Operations!N1122</f>
        <v/>
      </c>
      <c r="O1135" s="20">
        <f>Operations!O844+Operations!O886+Operations!O929+Operations!O972+Operations!O1015+Operations!O1047+Operations!O1080+Operations!O1122</f>
        <v/>
      </c>
      <c r="P1135" s="20">
        <f>Operations!P844+Operations!P886+Operations!P929+Operations!P972+Operations!P1015+Operations!P1047+Operations!P1080+Operations!P1122</f>
        <v/>
      </c>
      <c r="Q1135" s="20">
        <f>Operations!Q844+Operations!Q886+Operations!Q929+Operations!Q972+Operations!Q1015+Operations!Q1047+Operations!Q1080+Operations!Q1122</f>
        <v/>
      </c>
      <c r="R1135" s="20">
        <f>Operations!R844+Operations!R886+Operations!R929+Operations!R972+Operations!R1015+Operations!R1047+Operations!R1080+Operations!R1122</f>
        <v/>
      </c>
      <c r="S1135" s="20">
        <f>Operations!S844+Operations!S886+Operations!S929+Operations!S972+Operations!S1015+Operations!S1047+Operations!S1080+Operations!S1122</f>
        <v/>
      </c>
      <c r="T1135" s="20">
        <f>Operations!T844+Operations!T886+Operations!T929+Operations!T972+Operations!T1015+Operations!T1047+Operations!T1080+Operations!T1122</f>
        <v/>
      </c>
      <c r="U1135" s="20">
        <f>Operations!U844+Operations!U886+Operations!U929+Operations!U972+Operations!U1015+Operations!U1047+Operations!U1080+Operations!U1122</f>
        <v/>
      </c>
      <c r="V1135" s="20">
        <f>Operations!V844+Operations!V886+Operations!V929+Operations!V972+Operations!V1015+Operations!V1047+Operations!V1080+Operations!V1122</f>
        <v/>
      </c>
      <c r="W1135" s="20">
        <f>Operations!W844+Operations!W886+Operations!W929+Operations!W972+Operations!W1015+Operations!W1047+Operations!W1080+Operations!W1122</f>
        <v/>
      </c>
      <c r="X1135" s="20">
        <f>Operations!X844+Operations!X886+Operations!X929+Operations!X972+Operations!X1015+Operations!X1047+Operations!X1080+Operations!X1122</f>
        <v/>
      </c>
      <c r="Y1135" s="20">
        <f>Operations!Y844+Operations!Y886+Operations!Y929+Operations!Y972+Operations!Y1015+Operations!Y1047+Operations!Y1080+Operations!Y1122</f>
        <v/>
      </c>
      <c r="Z1135" s="20">
        <f>Operations!Z844+Operations!Z886+Operations!Z929+Operations!Z972+Operations!Z1015+Operations!Z1047+Operations!Z1080+Operations!Z1122</f>
        <v/>
      </c>
      <c r="AA1135" s="20">
        <f>Operations!AA844+Operations!AA886+Operations!AA929+Operations!AA972+Operations!AA1015+Operations!AA1047+Operations!AA1080+Operations!AA1122</f>
        <v/>
      </c>
      <c r="AB1135" s="20">
        <f>Operations!AB844+Operations!AB886+Operations!AB929+Operations!AB972+Operations!AB1015+Operations!AB1047+Operations!AB1080+Operations!AB1122</f>
        <v/>
      </c>
      <c r="AC1135" s="20">
        <f>Operations!AC844+Operations!AC886+Operations!AC929+Operations!AC972+Operations!AC1015+Operations!AC1047+Operations!AC1080+Operations!AC1122</f>
        <v/>
      </c>
      <c r="AD1135" s="20">
        <f>Operations!AD844+Operations!AD886+Operations!AD929+Operations!AD972+Operations!AD1015+Operations!AD1047+Operations!AD1080+Operations!AD1122</f>
        <v/>
      </c>
      <c r="AE1135" s="20">
        <f>Operations!AE844+Operations!AE886+Operations!AE929+Operations!AE972+Operations!AE1015+Operations!AE1047+Operations!AE1080+Operations!AE1122</f>
        <v/>
      </c>
      <c r="AF1135" s="20">
        <f>Operations!AF844+Operations!AF886+Operations!AF929+Operations!AF972+Operations!AF1015+Operations!AF1047+Operations!AF1080+Operations!AF1122</f>
        <v/>
      </c>
      <c r="AG1135" s="20">
        <f>Operations!AG844+Operations!AG886+Operations!AG929+Operations!AG972+Operations!AG1015+Operations!AG1047+Operations!AG1080+Operations!AG1122</f>
        <v/>
      </c>
      <c r="AH1135" s="20">
        <f>Operations!AH844+Operations!AH886+Operations!AH929+Operations!AH972+Operations!AH1015+Operations!AH1047+Operations!AH1080+Operations!AH1122</f>
        <v/>
      </c>
      <c r="AI1135" s="20">
        <f>Operations!AI844+Operations!AI886+Operations!AI929+Operations!AI972+Operations!AI1015+Operations!AI1047+Operations!AI1080+Operations!AI1122</f>
        <v/>
      </c>
      <c r="AJ1135" s="20">
        <f>Operations!AJ844+Operations!AJ886+Operations!AJ929+Operations!AJ972+Operations!AJ1015+Operations!AJ1047+Operations!AJ1080+Operations!AJ1122</f>
        <v/>
      </c>
      <c r="AK1135" s="20">
        <f>Operations!AK844+Operations!AK886+Operations!AK929+Operations!AK972+Operations!AK1015+Operations!AK1047+Operations!AK1080+Operations!AK1122</f>
        <v/>
      </c>
      <c r="AL1135" s="20">
        <f>Operations!AL844+Operations!AL886+Operations!AL929+Operations!AL972+Operations!AL1015+Operations!AL1047+Operations!AL1080+Operations!AL1122</f>
        <v/>
      </c>
      <c r="AM1135" s="20">
        <f>Operations!AM844+Operations!AM886+Operations!AM929+Operations!AM972+Operations!AM1015+Operations!AM1047+Operations!AM1080+Operations!AM1122</f>
        <v/>
      </c>
      <c r="AN1135" s="20">
        <f>Operations!AN844+Operations!AN886+Operations!AN929+Operations!AN972+Operations!AN1015+Operations!AN1047+Operations!AN1080+Operations!AN1122</f>
        <v/>
      </c>
      <c r="AO1135" s="20">
        <f>Operations!AO844+Operations!AO886+Operations!AO929+Operations!AO972+Operations!AO1015+Operations!AO1047+Operations!AO1080+Operations!AO1122</f>
        <v/>
      </c>
      <c r="AP1135" s="20">
        <f>Operations!AP844+Operations!AP886+Operations!AP929+Operations!AP972+Operations!AP1015+Operations!AP1047+Operations!AP1080+Operations!AP1122</f>
        <v/>
      </c>
      <c r="AQ1135" s="20">
        <f>Operations!AQ844+Operations!AQ886+Operations!AQ929+Operations!AQ972+Operations!AQ1015+Operations!AQ1047+Operations!AQ1080+Operations!AQ1122</f>
        <v/>
      </c>
      <c r="AR1135" s="20">
        <f>Operations!AR844+Operations!AR886+Operations!AR929+Operations!AR972+Operations!AR1015+Operations!AR1047+Operations!AR1080+Operations!AR1122</f>
        <v/>
      </c>
      <c r="AS1135" s="20">
        <f>Operations!AS844+Operations!AS886+Operations!AS929+Operations!AS972+Operations!AS1015+Operations!AS1047+Operations!AS1080+Operations!AS1122</f>
        <v/>
      </c>
      <c r="AT1135" s="20">
        <f>Operations!AT844+Operations!AT886+Operations!AT929+Operations!AT972+Operations!AT1015+Operations!AT1047+Operations!AT1080+Operations!AT1122</f>
        <v/>
      </c>
      <c r="AU1135" s="20">
        <f>Operations!AU844+Operations!AU886+Operations!AU929+Operations!AU972+Operations!AU1015+Operations!AU1047+Operations!AU1080+Operations!AU1122</f>
        <v/>
      </c>
    </row>
    <row r="1136">
      <c r="D1136" t="inlineStr">
        <is>
          <t>Mesa-share revenue, all</t>
        </is>
      </c>
      <c r="E1136" t="inlineStr">
        <is>
          <t>USD m</t>
        </is>
      </c>
      <c r="J1136" s="20">
        <f>Operations!J1133+Operations!J1134+Operations!J1135</f>
        <v/>
      </c>
      <c r="K1136" s="20">
        <f>Operations!K1133+Operations!K1134+Operations!K1135</f>
        <v/>
      </c>
      <c r="L1136" s="20">
        <f>Operations!L1133+Operations!L1134+Operations!L1135</f>
        <v/>
      </c>
      <c r="M1136" s="20">
        <f>Operations!M1133+Operations!M1134+Operations!M1135</f>
        <v/>
      </c>
      <c r="N1136" s="20">
        <f>Operations!N1133+Operations!N1134+Operations!N1135</f>
        <v/>
      </c>
      <c r="O1136" s="20">
        <f>Operations!O1133+Operations!O1134+Operations!O1135</f>
        <v/>
      </c>
      <c r="P1136" s="20">
        <f>Operations!P1133+Operations!P1134+Operations!P1135</f>
        <v/>
      </c>
      <c r="Q1136" s="20">
        <f>Operations!Q1133+Operations!Q1134+Operations!Q1135</f>
        <v/>
      </c>
      <c r="R1136" s="20">
        <f>Operations!R1133+Operations!R1134+Operations!R1135</f>
        <v/>
      </c>
      <c r="S1136" s="20">
        <f>Operations!S1133+Operations!S1134+Operations!S1135</f>
        <v/>
      </c>
      <c r="T1136" s="20">
        <f>Operations!T1133+Operations!T1134+Operations!T1135</f>
        <v/>
      </c>
      <c r="U1136" s="20">
        <f>Operations!U1133+Operations!U1134+Operations!U1135</f>
        <v/>
      </c>
      <c r="V1136" s="20">
        <f>Operations!V1133+Operations!V1134+Operations!V1135</f>
        <v/>
      </c>
      <c r="W1136" s="20">
        <f>Operations!W1133+Operations!W1134+Operations!W1135</f>
        <v/>
      </c>
      <c r="X1136" s="20">
        <f>Operations!X1133+Operations!X1134+Operations!X1135</f>
        <v/>
      </c>
      <c r="Y1136" s="20">
        <f>Operations!Y1133+Operations!Y1134+Operations!Y1135</f>
        <v/>
      </c>
      <c r="Z1136" s="20">
        <f>Operations!Z1133+Operations!Z1134+Operations!Z1135</f>
        <v/>
      </c>
      <c r="AA1136" s="20">
        <f>Operations!AA1133+Operations!AA1134+Operations!AA1135</f>
        <v/>
      </c>
      <c r="AB1136" s="20">
        <f>Operations!AB1133+Operations!AB1134+Operations!AB1135</f>
        <v/>
      </c>
      <c r="AC1136" s="20">
        <f>Operations!AC1133+Operations!AC1134+Operations!AC1135</f>
        <v/>
      </c>
      <c r="AD1136" s="20">
        <f>Operations!AD1133+Operations!AD1134+Operations!AD1135</f>
        <v/>
      </c>
      <c r="AE1136" s="20">
        <f>Operations!AE1133+Operations!AE1134+Operations!AE1135</f>
        <v/>
      </c>
      <c r="AF1136" s="20">
        <f>Operations!AF1133+Operations!AF1134+Operations!AF1135</f>
        <v/>
      </c>
      <c r="AG1136" s="20">
        <f>Operations!AG1133+Operations!AG1134+Operations!AG1135</f>
        <v/>
      </c>
      <c r="AH1136" s="20">
        <f>Operations!AH1133+Operations!AH1134+Operations!AH1135</f>
        <v/>
      </c>
      <c r="AI1136" s="20">
        <f>Operations!AI1133+Operations!AI1134+Operations!AI1135</f>
        <v/>
      </c>
      <c r="AJ1136" s="20">
        <f>Operations!AJ1133+Operations!AJ1134+Operations!AJ1135</f>
        <v/>
      </c>
      <c r="AK1136" s="20">
        <f>Operations!AK1133+Operations!AK1134+Operations!AK1135</f>
        <v/>
      </c>
      <c r="AL1136" s="20">
        <f>Operations!AL1133+Operations!AL1134+Operations!AL1135</f>
        <v/>
      </c>
      <c r="AM1136" s="20">
        <f>Operations!AM1133+Operations!AM1134+Operations!AM1135</f>
        <v/>
      </c>
      <c r="AN1136" s="20">
        <f>Operations!AN1133+Operations!AN1134+Operations!AN1135</f>
        <v/>
      </c>
      <c r="AO1136" s="20">
        <f>Operations!AO1133+Operations!AO1134+Operations!AO1135</f>
        <v/>
      </c>
      <c r="AP1136" s="20">
        <f>Operations!AP1133+Operations!AP1134+Operations!AP1135</f>
        <v/>
      </c>
      <c r="AQ1136" s="20">
        <f>Operations!AQ1133+Operations!AQ1134+Operations!AQ1135</f>
        <v/>
      </c>
      <c r="AR1136" s="20">
        <f>Operations!AR1133+Operations!AR1134+Operations!AR1135</f>
        <v/>
      </c>
      <c r="AS1136" s="20">
        <f>Operations!AS1133+Operations!AS1134+Operations!AS1135</f>
        <v/>
      </c>
      <c r="AT1136" s="20">
        <f>Operations!AT1133+Operations!AT1134+Operations!AT1135</f>
        <v/>
      </c>
      <c r="AU1136" s="20">
        <f>Operations!AU1133+Operations!AU1134+Operations!AU1135</f>
        <v/>
      </c>
    </row>
    <row r="1137">
      <c r="D1137" t="inlineStr">
        <is>
          <t>Mesa cash flow, a3 assets</t>
        </is>
      </c>
      <c r="E1137" t="inlineStr">
        <is>
          <t>USD m</t>
        </is>
      </c>
      <c r="J1137" s="20">
        <f>Operations!J1072+Operations!J1114</f>
        <v/>
      </c>
      <c r="K1137" s="20">
        <f>Operations!K1072+Operations!K1114</f>
        <v/>
      </c>
      <c r="L1137" s="20">
        <f>Operations!L1072+Operations!L1114</f>
        <v/>
      </c>
      <c r="M1137" s="20">
        <f>Operations!M1072+Operations!M1114</f>
        <v/>
      </c>
      <c r="N1137" s="20">
        <f>Operations!N1072+Operations!N1114</f>
        <v/>
      </c>
      <c r="O1137" s="20">
        <f>Operations!O1072+Operations!O1114</f>
        <v/>
      </c>
      <c r="P1137" s="20">
        <f>Operations!P1072+Operations!P1114</f>
        <v/>
      </c>
      <c r="Q1137" s="20">
        <f>Operations!Q1072+Operations!Q1114</f>
        <v/>
      </c>
      <c r="R1137" s="20">
        <f>Operations!R1072+Operations!R1114</f>
        <v/>
      </c>
      <c r="S1137" s="20">
        <f>Operations!S1072+Operations!S1114</f>
        <v/>
      </c>
      <c r="T1137" s="20">
        <f>Operations!T1072+Operations!T1114</f>
        <v/>
      </c>
      <c r="U1137" s="20">
        <f>Operations!U1072+Operations!U1114</f>
        <v/>
      </c>
      <c r="V1137" s="20">
        <f>Operations!V1072+Operations!V1114</f>
        <v/>
      </c>
      <c r="W1137" s="20">
        <f>Operations!W1072+Operations!W1114</f>
        <v/>
      </c>
      <c r="X1137" s="20">
        <f>Operations!X1072+Operations!X1114</f>
        <v/>
      </c>
      <c r="Y1137" s="20">
        <f>Operations!Y1072+Operations!Y1114</f>
        <v/>
      </c>
      <c r="Z1137" s="20">
        <f>Operations!Z1072+Operations!Z1114</f>
        <v/>
      </c>
      <c r="AA1137" s="20">
        <f>Operations!AA1072+Operations!AA1114</f>
        <v/>
      </c>
      <c r="AB1137" s="20">
        <f>Operations!AB1072+Operations!AB1114</f>
        <v/>
      </c>
      <c r="AC1137" s="20">
        <f>Operations!AC1072+Operations!AC1114</f>
        <v/>
      </c>
      <c r="AD1137" s="20">
        <f>Operations!AD1072+Operations!AD1114</f>
        <v/>
      </c>
      <c r="AE1137" s="20">
        <f>Operations!AE1072+Operations!AE1114</f>
        <v/>
      </c>
      <c r="AF1137" s="20">
        <f>Operations!AF1072+Operations!AF1114</f>
        <v/>
      </c>
      <c r="AG1137" s="20">
        <f>Operations!AG1072+Operations!AG1114</f>
        <v/>
      </c>
      <c r="AH1137" s="20">
        <f>Operations!AH1072+Operations!AH1114</f>
        <v/>
      </c>
      <c r="AI1137" s="20">
        <f>Operations!AI1072+Operations!AI1114</f>
        <v/>
      </c>
      <c r="AJ1137" s="20">
        <f>Operations!AJ1072+Operations!AJ1114</f>
        <v/>
      </c>
      <c r="AK1137" s="20">
        <f>Operations!AK1072+Operations!AK1114</f>
        <v/>
      </c>
      <c r="AL1137" s="20">
        <f>Operations!AL1072+Operations!AL1114</f>
        <v/>
      </c>
      <c r="AM1137" s="20">
        <f>Operations!AM1072+Operations!AM1114</f>
        <v/>
      </c>
      <c r="AN1137" s="20">
        <f>Operations!AN1072+Operations!AN1114</f>
        <v/>
      </c>
      <c r="AO1137" s="20">
        <f>Operations!AO1072+Operations!AO1114</f>
        <v/>
      </c>
      <c r="AP1137" s="20">
        <f>Operations!AP1072+Operations!AP1114</f>
        <v/>
      </c>
      <c r="AQ1137" s="20">
        <f>Operations!AQ1072+Operations!AQ1114</f>
        <v/>
      </c>
      <c r="AR1137" s="20">
        <f>Operations!AR1072+Operations!AR1114</f>
        <v/>
      </c>
      <c r="AS1137" s="20">
        <f>Operations!AS1072+Operations!AS1114</f>
        <v/>
      </c>
      <c r="AT1137" s="20">
        <f>Operations!AT1072+Operations!AT1114</f>
        <v/>
      </c>
      <c r="AU1137" s="20">
        <f>Operations!AU1072+Operations!AU1114</f>
        <v/>
      </c>
    </row>
    <row r="1138">
      <c r="D1138" t="inlineStr">
        <is>
          <t>Mesa-share contracted revenue, a3</t>
        </is>
      </c>
      <c r="E1138" t="inlineStr">
        <is>
          <t>USD m</t>
        </is>
      </c>
      <c r="J1138" s="20">
        <f>Operations!J1078+Operations!J1120</f>
        <v/>
      </c>
      <c r="K1138" s="20">
        <f>Operations!K1078+Operations!K1120</f>
        <v/>
      </c>
      <c r="L1138" s="20">
        <f>Operations!L1078+Operations!L1120</f>
        <v/>
      </c>
      <c r="M1138" s="20">
        <f>Operations!M1078+Operations!M1120</f>
        <v/>
      </c>
      <c r="N1138" s="20">
        <f>Operations!N1078+Operations!N1120</f>
        <v/>
      </c>
      <c r="O1138" s="20">
        <f>Operations!O1078+Operations!O1120</f>
        <v/>
      </c>
      <c r="P1138" s="20">
        <f>Operations!P1078+Operations!P1120</f>
        <v/>
      </c>
      <c r="Q1138" s="20">
        <f>Operations!Q1078+Operations!Q1120</f>
        <v/>
      </c>
      <c r="R1138" s="20">
        <f>Operations!R1078+Operations!R1120</f>
        <v/>
      </c>
      <c r="S1138" s="20">
        <f>Operations!S1078+Operations!S1120</f>
        <v/>
      </c>
      <c r="T1138" s="20">
        <f>Operations!T1078+Operations!T1120</f>
        <v/>
      </c>
      <c r="U1138" s="20">
        <f>Operations!U1078+Operations!U1120</f>
        <v/>
      </c>
      <c r="V1138" s="20">
        <f>Operations!V1078+Operations!V1120</f>
        <v/>
      </c>
      <c r="W1138" s="20">
        <f>Operations!W1078+Operations!W1120</f>
        <v/>
      </c>
      <c r="X1138" s="20">
        <f>Operations!X1078+Operations!X1120</f>
        <v/>
      </c>
      <c r="Y1138" s="20">
        <f>Operations!Y1078+Operations!Y1120</f>
        <v/>
      </c>
      <c r="Z1138" s="20">
        <f>Operations!Z1078+Operations!Z1120</f>
        <v/>
      </c>
      <c r="AA1138" s="20">
        <f>Operations!AA1078+Operations!AA1120</f>
        <v/>
      </c>
      <c r="AB1138" s="20">
        <f>Operations!AB1078+Operations!AB1120</f>
        <v/>
      </c>
      <c r="AC1138" s="20">
        <f>Operations!AC1078+Operations!AC1120</f>
        <v/>
      </c>
      <c r="AD1138" s="20">
        <f>Operations!AD1078+Operations!AD1120</f>
        <v/>
      </c>
      <c r="AE1138" s="20">
        <f>Operations!AE1078+Operations!AE1120</f>
        <v/>
      </c>
      <c r="AF1138" s="20">
        <f>Operations!AF1078+Operations!AF1120</f>
        <v/>
      </c>
      <c r="AG1138" s="20">
        <f>Operations!AG1078+Operations!AG1120</f>
        <v/>
      </c>
      <c r="AH1138" s="20">
        <f>Operations!AH1078+Operations!AH1120</f>
        <v/>
      </c>
      <c r="AI1138" s="20">
        <f>Operations!AI1078+Operations!AI1120</f>
        <v/>
      </c>
      <c r="AJ1138" s="20">
        <f>Operations!AJ1078+Operations!AJ1120</f>
        <v/>
      </c>
      <c r="AK1138" s="20">
        <f>Operations!AK1078+Operations!AK1120</f>
        <v/>
      </c>
      <c r="AL1138" s="20">
        <f>Operations!AL1078+Operations!AL1120</f>
        <v/>
      </c>
      <c r="AM1138" s="20">
        <f>Operations!AM1078+Operations!AM1120</f>
        <v/>
      </c>
      <c r="AN1138" s="20">
        <f>Operations!AN1078+Operations!AN1120</f>
        <v/>
      </c>
      <c r="AO1138" s="20">
        <f>Operations!AO1078+Operations!AO1120</f>
        <v/>
      </c>
      <c r="AP1138" s="20">
        <f>Operations!AP1078+Operations!AP1120</f>
        <v/>
      </c>
      <c r="AQ1138" s="20">
        <f>Operations!AQ1078+Operations!AQ1120</f>
        <v/>
      </c>
      <c r="AR1138" s="20">
        <f>Operations!AR1078+Operations!AR1120</f>
        <v/>
      </c>
      <c r="AS1138" s="20">
        <f>Operations!AS1078+Operations!AS1120</f>
        <v/>
      </c>
      <c r="AT1138" s="20">
        <f>Operations!AT1078+Operations!AT1120</f>
        <v/>
      </c>
      <c r="AU1138" s="20">
        <f>Operations!AU1078+Operations!AU1120</f>
        <v/>
      </c>
    </row>
    <row r="1139">
      <c r="D1139" t="inlineStr">
        <is>
          <t>Mesa-share hedged revenue, a3</t>
        </is>
      </c>
      <c r="E1139" t="inlineStr">
        <is>
          <t>USD m</t>
        </is>
      </c>
      <c r="J1139" s="20">
        <f>Operations!J1079+Operations!J1121</f>
        <v/>
      </c>
      <c r="K1139" s="20">
        <f>Operations!K1079+Operations!K1121</f>
        <v/>
      </c>
      <c r="L1139" s="20">
        <f>Operations!L1079+Operations!L1121</f>
        <v/>
      </c>
      <c r="M1139" s="20">
        <f>Operations!M1079+Operations!M1121</f>
        <v/>
      </c>
      <c r="N1139" s="20">
        <f>Operations!N1079+Operations!N1121</f>
        <v/>
      </c>
      <c r="O1139" s="20">
        <f>Operations!O1079+Operations!O1121</f>
        <v/>
      </c>
      <c r="P1139" s="20">
        <f>Operations!P1079+Operations!P1121</f>
        <v/>
      </c>
      <c r="Q1139" s="20">
        <f>Operations!Q1079+Operations!Q1121</f>
        <v/>
      </c>
      <c r="R1139" s="20">
        <f>Operations!R1079+Operations!R1121</f>
        <v/>
      </c>
      <c r="S1139" s="20">
        <f>Operations!S1079+Operations!S1121</f>
        <v/>
      </c>
      <c r="T1139" s="20">
        <f>Operations!T1079+Operations!T1121</f>
        <v/>
      </c>
      <c r="U1139" s="20">
        <f>Operations!U1079+Operations!U1121</f>
        <v/>
      </c>
      <c r="V1139" s="20">
        <f>Operations!V1079+Operations!V1121</f>
        <v/>
      </c>
      <c r="W1139" s="20">
        <f>Operations!W1079+Operations!W1121</f>
        <v/>
      </c>
      <c r="X1139" s="20">
        <f>Operations!X1079+Operations!X1121</f>
        <v/>
      </c>
      <c r="Y1139" s="20">
        <f>Operations!Y1079+Operations!Y1121</f>
        <v/>
      </c>
      <c r="Z1139" s="20">
        <f>Operations!Z1079+Operations!Z1121</f>
        <v/>
      </c>
      <c r="AA1139" s="20">
        <f>Operations!AA1079+Operations!AA1121</f>
        <v/>
      </c>
      <c r="AB1139" s="20">
        <f>Operations!AB1079+Operations!AB1121</f>
        <v/>
      </c>
      <c r="AC1139" s="20">
        <f>Operations!AC1079+Operations!AC1121</f>
        <v/>
      </c>
      <c r="AD1139" s="20">
        <f>Operations!AD1079+Operations!AD1121</f>
        <v/>
      </c>
      <c r="AE1139" s="20">
        <f>Operations!AE1079+Operations!AE1121</f>
        <v/>
      </c>
      <c r="AF1139" s="20">
        <f>Operations!AF1079+Operations!AF1121</f>
        <v/>
      </c>
      <c r="AG1139" s="20">
        <f>Operations!AG1079+Operations!AG1121</f>
        <v/>
      </c>
      <c r="AH1139" s="20">
        <f>Operations!AH1079+Operations!AH1121</f>
        <v/>
      </c>
      <c r="AI1139" s="20">
        <f>Operations!AI1079+Operations!AI1121</f>
        <v/>
      </c>
      <c r="AJ1139" s="20">
        <f>Operations!AJ1079+Operations!AJ1121</f>
        <v/>
      </c>
      <c r="AK1139" s="20">
        <f>Operations!AK1079+Operations!AK1121</f>
        <v/>
      </c>
      <c r="AL1139" s="20">
        <f>Operations!AL1079+Operations!AL1121</f>
        <v/>
      </c>
      <c r="AM1139" s="20">
        <f>Operations!AM1079+Operations!AM1121</f>
        <v/>
      </c>
      <c r="AN1139" s="20">
        <f>Operations!AN1079+Operations!AN1121</f>
        <v/>
      </c>
      <c r="AO1139" s="20">
        <f>Operations!AO1079+Operations!AO1121</f>
        <v/>
      </c>
      <c r="AP1139" s="20">
        <f>Operations!AP1079+Operations!AP1121</f>
        <v/>
      </c>
      <c r="AQ1139" s="20">
        <f>Operations!AQ1079+Operations!AQ1121</f>
        <v/>
      </c>
      <c r="AR1139" s="20">
        <f>Operations!AR1079+Operations!AR1121</f>
        <v/>
      </c>
      <c r="AS1139" s="20">
        <f>Operations!AS1079+Operations!AS1121</f>
        <v/>
      </c>
      <c r="AT1139" s="20">
        <f>Operations!AT1079+Operations!AT1121</f>
        <v/>
      </c>
      <c r="AU1139" s="20">
        <f>Operations!AU1079+Operations!AU1121</f>
        <v/>
      </c>
    </row>
    <row r="1140">
      <c r="D1140" t="inlineStr">
        <is>
          <t>Mesa-share merchant revenue, a3</t>
        </is>
      </c>
      <c r="E1140" t="inlineStr">
        <is>
          <t>USD m</t>
        </is>
      </c>
      <c r="J1140" s="20">
        <f>Operations!J1080+Operations!J1122</f>
        <v/>
      </c>
      <c r="K1140" s="20">
        <f>Operations!K1080+Operations!K1122</f>
        <v/>
      </c>
      <c r="L1140" s="20">
        <f>Operations!L1080+Operations!L1122</f>
        <v/>
      </c>
      <c r="M1140" s="20">
        <f>Operations!M1080+Operations!M1122</f>
        <v/>
      </c>
      <c r="N1140" s="20">
        <f>Operations!N1080+Operations!N1122</f>
        <v/>
      </c>
      <c r="O1140" s="20">
        <f>Operations!O1080+Operations!O1122</f>
        <v/>
      </c>
      <c r="P1140" s="20">
        <f>Operations!P1080+Operations!P1122</f>
        <v/>
      </c>
      <c r="Q1140" s="20">
        <f>Operations!Q1080+Operations!Q1122</f>
        <v/>
      </c>
      <c r="R1140" s="20">
        <f>Operations!R1080+Operations!R1122</f>
        <v/>
      </c>
      <c r="S1140" s="20">
        <f>Operations!S1080+Operations!S1122</f>
        <v/>
      </c>
      <c r="T1140" s="20">
        <f>Operations!T1080+Operations!T1122</f>
        <v/>
      </c>
      <c r="U1140" s="20">
        <f>Operations!U1080+Operations!U1122</f>
        <v/>
      </c>
      <c r="V1140" s="20">
        <f>Operations!V1080+Operations!V1122</f>
        <v/>
      </c>
      <c r="W1140" s="20">
        <f>Operations!W1080+Operations!W1122</f>
        <v/>
      </c>
      <c r="X1140" s="20">
        <f>Operations!X1080+Operations!X1122</f>
        <v/>
      </c>
      <c r="Y1140" s="20">
        <f>Operations!Y1080+Operations!Y1122</f>
        <v/>
      </c>
      <c r="Z1140" s="20">
        <f>Operations!Z1080+Operations!Z1122</f>
        <v/>
      </c>
      <c r="AA1140" s="20">
        <f>Operations!AA1080+Operations!AA1122</f>
        <v/>
      </c>
      <c r="AB1140" s="20">
        <f>Operations!AB1080+Operations!AB1122</f>
        <v/>
      </c>
      <c r="AC1140" s="20">
        <f>Operations!AC1080+Operations!AC1122</f>
        <v/>
      </c>
      <c r="AD1140" s="20">
        <f>Operations!AD1080+Operations!AD1122</f>
        <v/>
      </c>
      <c r="AE1140" s="20">
        <f>Operations!AE1080+Operations!AE1122</f>
        <v/>
      </c>
      <c r="AF1140" s="20">
        <f>Operations!AF1080+Operations!AF1122</f>
        <v/>
      </c>
      <c r="AG1140" s="20">
        <f>Operations!AG1080+Operations!AG1122</f>
        <v/>
      </c>
      <c r="AH1140" s="20">
        <f>Operations!AH1080+Operations!AH1122</f>
        <v/>
      </c>
      <c r="AI1140" s="20">
        <f>Operations!AI1080+Operations!AI1122</f>
        <v/>
      </c>
      <c r="AJ1140" s="20">
        <f>Operations!AJ1080+Operations!AJ1122</f>
        <v/>
      </c>
      <c r="AK1140" s="20">
        <f>Operations!AK1080+Operations!AK1122</f>
        <v/>
      </c>
      <c r="AL1140" s="20">
        <f>Operations!AL1080+Operations!AL1122</f>
        <v/>
      </c>
      <c r="AM1140" s="20">
        <f>Operations!AM1080+Operations!AM1122</f>
        <v/>
      </c>
      <c r="AN1140" s="20">
        <f>Operations!AN1080+Operations!AN1122</f>
        <v/>
      </c>
      <c r="AO1140" s="20">
        <f>Operations!AO1080+Operations!AO1122</f>
        <v/>
      </c>
      <c r="AP1140" s="20">
        <f>Operations!AP1080+Operations!AP1122</f>
        <v/>
      </c>
      <c r="AQ1140" s="20">
        <f>Operations!AQ1080+Operations!AQ1122</f>
        <v/>
      </c>
      <c r="AR1140" s="20">
        <f>Operations!AR1080+Operations!AR1122</f>
        <v/>
      </c>
      <c r="AS1140" s="20">
        <f>Operations!AS1080+Operations!AS1122</f>
        <v/>
      </c>
      <c r="AT1140" s="20">
        <f>Operations!AT1080+Operations!AT1122</f>
        <v/>
      </c>
      <c r="AU1140" s="20">
        <f>Operations!AU1080+Operations!AU1122</f>
        <v/>
      </c>
    </row>
    <row r="1141">
      <c r="D1141" t="inlineStr">
        <is>
          <t>Mesa-share revenue, a3</t>
        </is>
      </c>
      <c r="E1141" t="inlineStr">
        <is>
          <t>USD m</t>
        </is>
      </c>
      <c r="J1141" s="20">
        <f>Operations!J1138+Operations!J1139+Operations!J1140</f>
        <v/>
      </c>
      <c r="K1141" s="20">
        <f>Operations!K1138+Operations!K1139+Operations!K1140</f>
        <v/>
      </c>
      <c r="L1141" s="20">
        <f>Operations!L1138+Operations!L1139+Operations!L1140</f>
        <v/>
      </c>
      <c r="M1141" s="20">
        <f>Operations!M1138+Operations!M1139+Operations!M1140</f>
        <v/>
      </c>
      <c r="N1141" s="20">
        <f>Operations!N1138+Operations!N1139+Operations!N1140</f>
        <v/>
      </c>
      <c r="O1141" s="20">
        <f>Operations!O1138+Operations!O1139+Operations!O1140</f>
        <v/>
      </c>
      <c r="P1141" s="20">
        <f>Operations!P1138+Operations!P1139+Operations!P1140</f>
        <v/>
      </c>
      <c r="Q1141" s="20">
        <f>Operations!Q1138+Operations!Q1139+Operations!Q1140</f>
        <v/>
      </c>
      <c r="R1141" s="20">
        <f>Operations!R1138+Operations!R1139+Operations!R1140</f>
        <v/>
      </c>
      <c r="S1141" s="20">
        <f>Operations!S1138+Operations!S1139+Operations!S1140</f>
        <v/>
      </c>
      <c r="T1141" s="20">
        <f>Operations!T1138+Operations!T1139+Operations!T1140</f>
        <v/>
      </c>
      <c r="U1141" s="20">
        <f>Operations!U1138+Operations!U1139+Operations!U1140</f>
        <v/>
      </c>
      <c r="V1141" s="20">
        <f>Operations!V1138+Operations!V1139+Operations!V1140</f>
        <v/>
      </c>
      <c r="W1141" s="20">
        <f>Operations!W1138+Operations!W1139+Operations!W1140</f>
        <v/>
      </c>
      <c r="X1141" s="20">
        <f>Operations!X1138+Operations!X1139+Operations!X1140</f>
        <v/>
      </c>
      <c r="Y1141" s="20">
        <f>Operations!Y1138+Operations!Y1139+Operations!Y1140</f>
        <v/>
      </c>
      <c r="Z1141" s="20">
        <f>Operations!Z1138+Operations!Z1139+Operations!Z1140</f>
        <v/>
      </c>
      <c r="AA1141" s="20">
        <f>Operations!AA1138+Operations!AA1139+Operations!AA1140</f>
        <v/>
      </c>
      <c r="AB1141" s="20">
        <f>Operations!AB1138+Operations!AB1139+Operations!AB1140</f>
        <v/>
      </c>
      <c r="AC1141" s="20">
        <f>Operations!AC1138+Operations!AC1139+Operations!AC1140</f>
        <v/>
      </c>
      <c r="AD1141" s="20">
        <f>Operations!AD1138+Operations!AD1139+Operations!AD1140</f>
        <v/>
      </c>
      <c r="AE1141" s="20">
        <f>Operations!AE1138+Operations!AE1139+Operations!AE1140</f>
        <v/>
      </c>
      <c r="AF1141" s="20">
        <f>Operations!AF1138+Operations!AF1139+Operations!AF1140</f>
        <v/>
      </c>
      <c r="AG1141" s="20">
        <f>Operations!AG1138+Operations!AG1139+Operations!AG1140</f>
        <v/>
      </c>
      <c r="AH1141" s="20">
        <f>Operations!AH1138+Operations!AH1139+Operations!AH1140</f>
        <v/>
      </c>
      <c r="AI1141" s="20">
        <f>Operations!AI1138+Operations!AI1139+Operations!AI1140</f>
        <v/>
      </c>
      <c r="AJ1141" s="20">
        <f>Operations!AJ1138+Operations!AJ1139+Operations!AJ1140</f>
        <v/>
      </c>
      <c r="AK1141" s="20">
        <f>Operations!AK1138+Operations!AK1139+Operations!AK1140</f>
        <v/>
      </c>
      <c r="AL1141" s="20">
        <f>Operations!AL1138+Operations!AL1139+Operations!AL1140</f>
        <v/>
      </c>
      <c r="AM1141" s="20">
        <f>Operations!AM1138+Operations!AM1139+Operations!AM1140</f>
        <v/>
      </c>
      <c r="AN1141" s="20">
        <f>Operations!AN1138+Operations!AN1139+Operations!AN1140</f>
        <v/>
      </c>
      <c r="AO1141" s="20">
        <f>Operations!AO1138+Operations!AO1139+Operations!AO1140</f>
        <v/>
      </c>
      <c r="AP1141" s="20">
        <f>Operations!AP1138+Operations!AP1139+Operations!AP1140</f>
        <v/>
      </c>
      <c r="AQ1141" s="20">
        <f>Operations!AQ1138+Operations!AQ1139+Operations!AQ1140</f>
        <v/>
      </c>
      <c r="AR1141" s="20">
        <f>Operations!AR1138+Operations!AR1139+Operations!AR1140</f>
        <v/>
      </c>
      <c r="AS1141" s="20">
        <f>Operations!AS1138+Operations!AS1139+Operations!AS1140</f>
        <v/>
      </c>
      <c r="AT1141" s="20">
        <f>Operations!AT1138+Operations!AT1139+Operations!AT1140</f>
        <v/>
      </c>
      <c r="AU1141" s="20">
        <f>Operations!AU1138+Operations!AU1139+Operations!AU1140</f>
        <v/>
      </c>
    </row>
    <row r="1142">
      <c r="D1142" t="inlineStr">
        <is>
          <t>CFADS, A1 group (opco term loan borrower group)</t>
        </is>
      </c>
      <c r="E1142" t="inlineStr">
        <is>
          <t>USD m</t>
        </is>
      </c>
      <c r="G1142" s="20">
        <f>SUM(J1142:AU1142)</f>
        <v/>
      </c>
      <c r="J1142" s="20">
        <f>Operations!J1127-Operations!J1126</f>
        <v/>
      </c>
      <c r="K1142" s="20">
        <f>Operations!K1127-Operations!K1126</f>
        <v/>
      </c>
      <c r="L1142" s="20">
        <f>Operations!L1127-Operations!L1126</f>
        <v/>
      </c>
      <c r="M1142" s="20">
        <f>Operations!M1127-Operations!M1126</f>
        <v/>
      </c>
      <c r="N1142" s="20">
        <f>Operations!N1127-Operations!N1126</f>
        <v/>
      </c>
      <c r="O1142" s="20">
        <f>Operations!O1127-Operations!O1126</f>
        <v/>
      </c>
      <c r="P1142" s="20">
        <f>Operations!P1127-Operations!P1126</f>
        <v/>
      </c>
      <c r="Q1142" s="20">
        <f>Operations!Q1127-Operations!Q1126</f>
        <v/>
      </c>
      <c r="R1142" s="20">
        <f>Operations!R1127-Operations!R1126</f>
        <v/>
      </c>
      <c r="S1142" s="20">
        <f>Operations!S1127-Operations!S1126</f>
        <v/>
      </c>
      <c r="T1142" s="20">
        <f>Operations!T1127-Operations!T1126</f>
        <v/>
      </c>
      <c r="U1142" s="20">
        <f>Operations!U1127-Operations!U1126</f>
        <v/>
      </c>
      <c r="V1142" s="20">
        <f>Operations!V1127-Operations!V1126</f>
        <v/>
      </c>
      <c r="W1142" s="20">
        <f>Operations!W1127-Operations!W1126</f>
        <v/>
      </c>
      <c r="X1142" s="20">
        <f>Operations!X1127-Operations!X1126</f>
        <v/>
      </c>
      <c r="Y1142" s="20">
        <f>Operations!Y1127-Operations!Y1126</f>
        <v/>
      </c>
      <c r="Z1142" s="20">
        <f>Operations!Z1127-Operations!Z1126</f>
        <v/>
      </c>
      <c r="AA1142" s="20">
        <f>Operations!AA1127-Operations!AA1126</f>
        <v/>
      </c>
      <c r="AB1142" s="20">
        <f>Operations!AB1127-Operations!AB1126</f>
        <v/>
      </c>
      <c r="AC1142" s="20">
        <f>Operations!AC1127-Operations!AC1126</f>
        <v/>
      </c>
      <c r="AD1142" s="20">
        <f>Operations!AD1127-Operations!AD1126</f>
        <v/>
      </c>
      <c r="AE1142" s="20">
        <f>Operations!AE1127-Operations!AE1126</f>
        <v/>
      </c>
      <c r="AF1142" s="20">
        <f>Operations!AF1127-Operations!AF1126</f>
        <v/>
      </c>
      <c r="AG1142" s="20">
        <f>Operations!AG1127-Operations!AG1126</f>
        <v/>
      </c>
      <c r="AH1142" s="20">
        <f>Operations!AH1127-Operations!AH1126</f>
        <v/>
      </c>
      <c r="AI1142" s="20">
        <f>Operations!AI1127-Operations!AI1126</f>
        <v/>
      </c>
      <c r="AJ1142" s="20">
        <f>Operations!AJ1127-Operations!AJ1126</f>
        <v/>
      </c>
      <c r="AK1142" s="20">
        <f>Operations!AK1127-Operations!AK1126</f>
        <v/>
      </c>
      <c r="AL1142" s="20">
        <f>Operations!AL1127-Operations!AL1126</f>
        <v/>
      </c>
      <c r="AM1142" s="20">
        <f>Operations!AM1127-Operations!AM1126</f>
        <v/>
      </c>
      <c r="AN1142" s="20">
        <f>Operations!AN1127-Operations!AN1126</f>
        <v/>
      </c>
      <c r="AO1142" s="20">
        <f>Operations!AO1127-Operations!AO1126</f>
        <v/>
      </c>
      <c r="AP1142" s="20">
        <f>Operations!AP1127-Operations!AP1126</f>
        <v/>
      </c>
      <c r="AQ1142" s="20">
        <f>Operations!AQ1127-Operations!AQ1126</f>
        <v/>
      </c>
      <c r="AR1142" s="20">
        <f>Operations!AR1127-Operations!AR1126</f>
        <v/>
      </c>
      <c r="AS1142" s="20">
        <f>Operations!AS1127-Operations!AS1126</f>
        <v/>
      </c>
      <c r="AT1142" s="20">
        <f>Operations!AT1127-Operations!AT1126</f>
        <v/>
      </c>
      <c r="AU1142" s="20">
        <f>Operations!AU1127-Operations!AU1126</f>
        <v/>
      </c>
    </row>
    <row r="1143">
      <c r="D1143" t="inlineStr">
        <is>
          <t>CFADS, portfolio (all assets)</t>
        </is>
      </c>
      <c r="E1143" t="inlineStr">
        <is>
          <t>USD m</t>
        </is>
      </c>
      <c r="G1143" s="20">
        <f>SUM(J1143:AU1143)</f>
        <v/>
      </c>
      <c r="J1143" s="20">
        <f>Operations!J1132-Operations!J1126</f>
        <v/>
      </c>
      <c r="K1143" s="20">
        <f>Operations!K1132-Operations!K1126</f>
        <v/>
      </c>
      <c r="L1143" s="20">
        <f>Operations!L1132-Operations!L1126</f>
        <v/>
      </c>
      <c r="M1143" s="20">
        <f>Operations!M1132-Operations!M1126</f>
        <v/>
      </c>
      <c r="N1143" s="20">
        <f>Operations!N1132-Operations!N1126</f>
        <v/>
      </c>
      <c r="O1143" s="20">
        <f>Operations!O1132-Operations!O1126</f>
        <v/>
      </c>
      <c r="P1143" s="20">
        <f>Operations!P1132-Operations!P1126</f>
        <v/>
      </c>
      <c r="Q1143" s="20">
        <f>Operations!Q1132-Operations!Q1126</f>
        <v/>
      </c>
      <c r="R1143" s="20">
        <f>Operations!R1132-Operations!R1126</f>
        <v/>
      </c>
      <c r="S1143" s="20">
        <f>Operations!S1132-Operations!S1126</f>
        <v/>
      </c>
      <c r="T1143" s="20">
        <f>Operations!T1132-Operations!T1126</f>
        <v/>
      </c>
      <c r="U1143" s="20">
        <f>Operations!U1132-Operations!U1126</f>
        <v/>
      </c>
      <c r="V1143" s="20">
        <f>Operations!V1132-Operations!V1126</f>
        <v/>
      </c>
      <c r="W1143" s="20">
        <f>Operations!W1132-Operations!W1126</f>
        <v/>
      </c>
      <c r="X1143" s="20">
        <f>Operations!X1132-Operations!X1126</f>
        <v/>
      </c>
      <c r="Y1143" s="20">
        <f>Operations!Y1132-Operations!Y1126</f>
        <v/>
      </c>
      <c r="Z1143" s="20">
        <f>Operations!Z1132-Operations!Z1126</f>
        <v/>
      </c>
      <c r="AA1143" s="20">
        <f>Operations!AA1132-Operations!AA1126</f>
        <v/>
      </c>
      <c r="AB1143" s="20">
        <f>Operations!AB1132-Operations!AB1126</f>
        <v/>
      </c>
      <c r="AC1143" s="20">
        <f>Operations!AC1132-Operations!AC1126</f>
        <v/>
      </c>
      <c r="AD1143" s="20">
        <f>Operations!AD1132-Operations!AD1126</f>
        <v/>
      </c>
      <c r="AE1143" s="20">
        <f>Operations!AE1132-Operations!AE1126</f>
        <v/>
      </c>
      <c r="AF1143" s="20">
        <f>Operations!AF1132-Operations!AF1126</f>
        <v/>
      </c>
      <c r="AG1143" s="20">
        <f>Operations!AG1132-Operations!AG1126</f>
        <v/>
      </c>
      <c r="AH1143" s="20">
        <f>Operations!AH1132-Operations!AH1126</f>
        <v/>
      </c>
      <c r="AI1143" s="20">
        <f>Operations!AI1132-Operations!AI1126</f>
        <v/>
      </c>
      <c r="AJ1143" s="20">
        <f>Operations!AJ1132-Operations!AJ1126</f>
        <v/>
      </c>
      <c r="AK1143" s="20">
        <f>Operations!AK1132-Operations!AK1126</f>
        <v/>
      </c>
      <c r="AL1143" s="20">
        <f>Operations!AL1132-Operations!AL1126</f>
        <v/>
      </c>
      <c r="AM1143" s="20">
        <f>Operations!AM1132-Operations!AM1126</f>
        <v/>
      </c>
      <c r="AN1143" s="20">
        <f>Operations!AN1132-Operations!AN1126</f>
        <v/>
      </c>
      <c r="AO1143" s="20">
        <f>Operations!AO1132-Operations!AO1126</f>
        <v/>
      </c>
      <c r="AP1143" s="20">
        <f>Operations!AP1132-Operations!AP1126</f>
        <v/>
      </c>
      <c r="AQ1143" s="20">
        <f>Operations!AQ1132-Operations!AQ1126</f>
        <v/>
      </c>
      <c r="AR1143" s="20">
        <f>Operations!AR1132-Operations!AR1126</f>
        <v/>
      </c>
      <c r="AS1143" s="20">
        <f>Operations!AS1132-Operations!AS1126</f>
        <v/>
      </c>
      <c r="AT1143" s="20">
        <f>Operations!AT1132-Operations!AT1126</f>
        <v/>
      </c>
      <c r="AU1143" s="20">
        <f>Operations!AU1132-Operations!AU1126</f>
        <v/>
      </c>
    </row>
    <row r="1144">
      <c r="D1144" t="inlineStr">
        <is>
          <t>CFADS, R7 and R8</t>
        </is>
      </c>
      <c r="E1144" t="inlineStr">
        <is>
          <t>USD m</t>
        </is>
      </c>
      <c r="J1144" s="20">
        <f>Operations!J1137</f>
        <v/>
      </c>
      <c r="K1144" s="20">
        <f>Operations!K1137</f>
        <v/>
      </c>
      <c r="L1144" s="20">
        <f>Operations!L1137</f>
        <v/>
      </c>
      <c r="M1144" s="20">
        <f>Operations!M1137</f>
        <v/>
      </c>
      <c r="N1144" s="20">
        <f>Operations!N1137</f>
        <v/>
      </c>
      <c r="O1144" s="20">
        <f>Operations!O1137</f>
        <v/>
      </c>
      <c r="P1144" s="20">
        <f>Operations!P1137</f>
        <v/>
      </c>
      <c r="Q1144" s="20">
        <f>Operations!Q1137</f>
        <v/>
      </c>
      <c r="R1144" s="20">
        <f>Operations!R1137</f>
        <v/>
      </c>
      <c r="S1144" s="20">
        <f>Operations!S1137</f>
        <v/>
      </c>
      <c r="T1144" s="20">
        <f>Operations!T1137</f>
        <v/>
      </c>
      <c r="U1144" s="20">
        <f>Operations!U1137</f>
        <v/>
      </c>
      <c r="V1144" s="20">
        <f>Operations!V1137</f>
        <v/>
      </c>
      <c r="W1144" s="20">
        <f>Operations!W1137</f>
        <v/>
      </c>
      <c r="X1144" s="20">
        <f>Operations!X1137</f>
        <v/>
      </c>
      <c r="Y1144" s="20">
        <f>Operations!Y1137</f>
        <v/>
      </c>
      <c r="Z1144" s="20">
        <f>Operations!Z1137</f>
        <v/>
      </c>
      <c r="AA1144" s="20">
        <f>Operations!AA1137</f>
        <v/>
      </c>
      <c r="AB1144" s="20">
        <f>Operations!AB1137</f>
        <v/>
      </c>
      <c r="AC1144" s="20">
        <f>Operations!AC1137</f>
        <v/>
      </c>
      <c r="AD1144" s="20">
        <f>Operations!AD1137</f>
        <v/>
      </c>
      <c r="AE1144" s="20">
        <f>Operations!AE1137</f>
        <v/>
      </c>
      <c r="AF1144" s="20">
        <f>Operations!AF1137</f>
        <v/>
      </c>
      <c r="AG1144" s="20">
        <f>Operations!AG1137</f>
        <v/>
      </c>
      <c r="AH1144" s="20">
        <f>Operations!AH1137</f>
        <v/>
      </c>
      <c r="AI1144" s="20">
        <f>Operations!AI1137</f>
        <v/>
      </c>
      <c r="AJ1144" s="20">
        <f>Operations!AJ1137</f>
        <v/>
      </c>
      <c r="AK1144" s="20">
        <f>Operations!AK1137</f>
        <v/>
      </c>
      <c r="AL1144" s="20">
        <f>Operations!AL1137</f>
        <v/>
      </c>
      <c r="AM1144" s="20">
        <f>Operations!AM1137</f>
        <v/>
      </c>
      <c r="AN1144" s="20">
        <f>Operations!AN1137</f>
        <v/>
      </c>
      <c r="AO1144" s="20">
        <f>Operations!AO1137</f>
        <v/>
      </c>
      <c r="AP1144" s="20">
        <f>Operations!AP1137</f>
        <v/>
      </c>
      <c r="AQ1144" s="20">
        <f>Operations!AQ1137</f>
        <v/>
      </c>
      <c r="AR1144" s="20">
        <f>Operations!AR1137</f>
        <v/>
      </c>
      <c r="AS1144" s="20">
        <f>Operations!AS1137</f>
        <v/>
      </c>
      <c r="AT1144" s="20">
        <f>Operations!AT1137</f>
        <v/>
      </c>
      <c r="AU1144" s="20">
        <f>Operations!AU1137</f>
        <v/>
      </c>
    </row>
    <row r="1145">
      <c r="D1145" t="inlineStr">
        <is>
          <t>Contracted share of Mesa revenue, a1</t>
        </is>
      </c>
      <c r="E1145" t="inlineStr">
        <is>
          <t>fraction</t>
        </is>
      </c>
      <c r="J1145" s="14">
        <f>IF(Operations!J1131=0,0,Operations!J1128/Operations!J1131)</f>
        <v/>
      </c>
      <c r="K1145" s="14">
        <f>IF(Operations!K1131=0,0,Operations!K1128/Operations!K1131)</f>
        <v/>
      </c>
      <c r="L1145" s="14">
        <f>IF(Operations!L1131=0,0,Operations!L1128/Operations!L1131)</f>
        <v/>
      </c>
      <c r="M1145" s="14">
        <f>IF(Operations!M1131=0,0,Operations!M1128/Operations!M1131)</f>
        <v/>
      </c>
      <c r="N1145" s="14">
        <f>IF(Operations!N1131=0,0,Operations!N1128/Operations!N1131)</f>
        <v/>
      </c>
      <c r="O1145" s="14">
        <f>IF(Operations!O1131=0,0,Operations!O1128/Operations!O1131)</f>
        <v/>
      </c>
      <c r="P1145" s="14">
        <f>IF(Operations!P1131=0,0,Operations!P1128/Operations!P1131)</f>
        <v/>
      </c>
      <c r="Q1145" s="14">
        <f>IF(Operations!Q1131=0,0,Operations!Q1128/Operations!Q1131)</f>
        <v/>
      </c>
      <c r="R1145" s="14">
        <f>IF(Operations!R1131=0,0,Operations!R1128/Operations!R1131)</f>
        <v/>
      </c>
      <c r="S1145" s="14">
        <f>IF(Operations!S1131=0,0,Operations!S1128/Operations!S1131)</f>
        <v/>
      </c>
      <c r="T1145" s="14">
        <f>IF(Operations!T1131=0,0,Operations!T1128/Operations!T1131)</f>
        <v/>
      </c>
      <c r="U1145" s="14">
        <f>IF(Operations!U1131=0,0,Operations!U1128/Operations!U1131)</f>
        <v/>
      </c>
      <c r="V1145" s="14">
        <f>IF(Operations!V1131=0,0,Operations!V1128/Operations!V1131)</f>
        <v/>
      </c>
      <c r="W1145" s="14">
        <f>IF(Operations!W1131=0,0,Operations!W1128/Operations!W1131)</f>
        <v/>
      </c>
      <c r="X1145" s="14">
        <f>IF(Operations!X1131=0,0,Operations!X1128/Operations!X1131)</f>
        <v/>
      </c>
      <c r="Y1145" s="14">
        <f>IF(Operations!Y1131=0,0,Operations!Y1128/Operations!Y1131)</f>
        <v/>
      </c>
      <c r="Z1145" s="14">
        <f>IF(Operations!Z1131=0,0,Operations!Z1128/Operations!Z1131)</f>
        <v/>
      </c>
      <c r="AA1145" s="14">
        <f>IF(Operations!AA1131=0,0,Operations!AA1128/Operations!AA1131)</f>
        <v/>
      </c>
      <c r="AB1145" s="14">
        <f>IF(Operations!AB1131=0,0,Operations!AB1128/Operations!AB1131)</f>
        <v/>
      </c>
      <c r="AC1145" s="14">
        <f>IF(Operations!AC1131=0,0,Operations!AC1128/Operations!AC1131)</f>
        <v/>
      </c>
      <c r="AD1145" s="14">
        <f>IF(Operations!AD1131=0,0,Operations!AD1128/Operations!AD1131)</f>
        <v/>
      </c>
      <c r="AE1145" s="14">
        <f>IF(Operations!AE1131=0,0,Operations!AE1128/Operations!AE1131)</f>
        <v/>
      </c>
      <c r="AF1145" s="14">
        <f>IF(Operations!AF1131=0,0,Operations!AF1128/Operations!AF1131)</f>
        <v/>
      </c>
      <c r="AG1145" s="14">
        <f>IF(Operations!AG1131=0,0,Operations!AG1128/Operations!AG1131)</f>
        <v/>
      </c>
      <c r="AH1145" s="14">
        <f>IF(Operations!AH1131=0,0,Operations!AH1128/Operations!AH1131)</f>
        <v/>
      </c>
      <c r="AI1145" s="14">
        <f>IF(Operations!AI1131=0,0,Operations!AI1128/Operations!AI1131)</f>
        <v/>
      </c>
      <c r="AJ1145" s="14">
        <f>IF(Operations!AJ1131=0,0,Operations!AJ1128/Operations!AJ1131)</f>
        <v/>
      </c>
      <c r="AK1145" s="14">
        <f>IF(Operations!AK1131=0,0,Operations!AK1128/Operations!AK1131)</f>
        <v/>
      </c>
      <c r="AL1145" s="14">
        <f>IF(Operations!AL1131=0,0,Operations!AL1128/Operations!AL1131)</f>
        <v/>
      </c>
      <c r="AM1145" s="14">
        <f>IF(Operations!AM1131=0,0,Operations!AM1128/Operations!AM1131)</f>
        <v/>
      </c>
      <c r="AN1145" s="14">
        <f>IF(Operations!AN1131=0,0,Operations!AN1128/Operations!AN1131)</f>
        <v/>
      </c>
      <c r="AO1145" s="14">
        <f>IF(Operations!AO1131=0,0,Operations!AO1128/Operations!AO1131)</f>
        <v/>
      </c>
      <c r="AP1145" s="14">
        <f>IF(Operations!AP1131=0,0,Operations!AP1128/Operations!AP1131)</f>
        <v/>
      </c>
      <c r="AQ1145" s="14">
        <f>IF(Operations!AQ1131=0,0,Operations!AQ1128/Operations!AQ1131)</f>
        <v/>
      </c>
      <c r="AR1145" s="14">
        <f>IF(Operations!AR1131=0,0,Operations!AR1128/Operations!AR1131)</f>
        <v/>
      </c>
      <c r="AS1145" s="14">
        <f>IF(Operations!AS1131=0,0,Operations!AS1128/Operations!AS1131)</f>
        <v/>
      </c>
      <c r="AT1145" s="14">
        <f>IF(Operations!AT1131=0,0,Operations!AT1128/Operations!AT1131)</f>
        <v/>
      </c>
      <c r="AU1145" s="14">
        <f>IF(Operations!AU1131=0,0,Operations!AU1128/Operations!AU1131)</f>
        <v/>
      </c>
    </row>
    <row r="1146">
      <c r="D1146" t="inlineStr">
        <is>
          <t>Hedged share of Mesa revenue, a1</t>
        </is>
      </c>
      <c r="E1146" t="inlineStr">
        <is>
          <t>fraction</t>
        </is>
      </c>
      <c r="J1146" s="14">
        <f>IF(Operations!J1131=0,0,Operations!J1129/Operations!J1131)</f>
        <v/>
      </c>
      <c r="K1146" s="14">
        <f>IF(Operations!K1131=0,0,Operations!K1129/Operations!K1131)</f>
        <v/>
      </c>
      <c r="L1146" s="14">
        <f>IF(Operations!L1131=0,0,Operations!L1129/Operations!L1131)</f>
        <v/>
      </c>
      <c r="M1146" s="14">
        <f>IF(Operations!M1131=0,0,Operations!M1129/Operations!M1131)</f>
        <v/>
      </c>
      <c r="N1146" s="14">
        <f>IF(Operations!N1131=0,0,Operations!N1129/Operations!N1131)</f>
        <v/>
      </c>
      <c r="O1146" s="14">
        <f>IF(Operations!O1131=0,0,Operations!O1129/Operations!O1131)</f>
        <v/>
      </c>
      <c r="P1146" s="14">
        <f>IF(Operations!P1131=0,0,Operations!P1129/Operations!P1131)</f>
        <v/>
      </c>
      <c r="Q1146" s="14">
        <f>IF(Operations!Q1131=0,0,Operations!Q1129/Operations!Q1131)</f>
        <v/>
      </c>
      <c r="R1146" s="14">
        <f>IF(Operations!R1131=0,0,Operations!R1129/Operations!R1131)</f>
        <v/>
      </c>
      <c r="S1146" s="14">
        <f>IF(Operations!S1131=0,0,Operations!S1129/Operations!S1131)</f>
        <v/>
      </c>
      <c r="T1146" s="14">
        <f>IF(Operations!T1131=0,0,Operations!T1129/Operations!T1131)</f>
        <v/>
      </c>
      <c r="U1146" s="14">
        <f>IF(Operations!U1131=0,0,Operations!U1129/Operations!U1131)</f>
        <v/>
      </c>
      <c r="V1146" s="14">
        <f>IF(Operations!V1131=0,0,Operations!V1129/Operations!V1131)</f>
        <v/>
      </c>
      <c r="W1146" s="14">
        <f>IF(Operations!W1131=0,0,Operations!W1129/Operations!W1131)</f>
        <v/>
      </c>
      <c r="X1146" s="14">
        <f>IF(Operations!X1131=0,0,Operations!X1129/Operations!X1131)</f>
        <v/>
      </c>
      <c r="Y1146" s="14">
        <f>IF(Operations!Y1131=0,0,Operations!Y1129/Operations!Y1131)</f>
        <v/>
      </c>
      <c r="Z1146" s="14">
        <f>IF(Operations!Z1131=0,0,Operations!Z1129/Operations!Z1131)</f>
        <v/>
      </c>
      <c r="AA1146" s="14">
        <f>IF(Operations!AA1131=0,0,Operations!AA1129/Operations!AA1131)</f>
        <v/>
      </c>
      <c r="AB1146" s="14">
        <f>IF(Operations!AB1131=0,0,Operations!AB1129/Operations!AB1131)</f>
        <v/>
      </c>
      <c r="AC1146" s="14">
        <f>IF(Operations!AC1131=0,0,Operations!AC1129/Operations!AC1131)</f>
        <v/>
      </c>
      <c r="AD1146" s="14">
        <f>IF(Operations!AD1131=0,0,Operations!AD1129/Operations!AD1131)</f>
        <v/>
      </c>
      <c r="AE1146" s="14">
        <f>IF(Operations!AE1131=0,0,Operations!AE1129/Operations!AE1131)</f>
        <v/>
      </c>
      <c r="AF1146" s="14">
        <f>IF(Operations!AF1131=0,0,Operations!AF1129/Operations!AF1131)</f>
        <v/>
      </c>
      <c r="AG1146" s="14">
        <f>IF(Operations!AG1131=0,0,Operations!AG1129/Operations!AG1131)</f>
        <v/>
      </c>
      <c r="AH1146" s="14">
        <f>IF(Operations!AH1131=0,0,Operations!AH1129/Operations!AH1131)</f>
        <v/>
      </c>
      <c r="AI1146" s="14">
        <f>IF(Operations!AI1131=0,0,Operations!AI1129/Operations!AI1131)</f>
        <v/>
      </c>
      <c r="AJ1146" s="14">
        <f>IF(Operations!AJ1131=0,0,Operations!AJ1129/Operations!AJ1131)</f>
        <v/>
      </c>
      <c r="AK1146" s="14">
        <f>IF(Operations!AK1131=0,0,Operations!AK1129/Operations!AK1131)</f>
        <v/>
      </c>
      <c r="AL1146" s="14">
        <f>IF(Operations!AL1131=0,0,Operations!AL1129/Operations!AL1131)</f>
        <v/>
      </c>
      <c r="AM1146" s="14">
        <f>IF(Operations!AM1131=0,0,Operations!AM1129/Operations!AM1131)</f>
        <v/>
      </c>
      <c r="AN1146" s="14">
        <f>IF(Operations!AN1131=0,0,Operations!AN1129/Operations!AN1131)</f>
        <v/>
      </c>
      <c r="AO1146" s="14">
        <f>IF(Operations!AO1131=0,0,Operations!AO1129/Operations!AO1131)</f>
        <v/>
      </c>
      <c r="AP1146" s="14">
        <f>IF(Operations!AP1131=0,0,Operations!AP1129/Operations!AP1131)</f>
        <v/>
      </c>
      <c r="AQ1146" s="14">
        <f>IF(Operations!AQ1131=0,0,Operations!AQ1129/Operations!AQ1131)</f>
        <v/>
      </c>
      <c r="AR1146" s="14">
        <f>IF(Operations!AR1131=0,0,Operations!AR1129/Operations!AR1131)</f>
        <v/>
      </c>
      <c r="AS1146" s="14">
        <f>IF(Operations!AS1131=0,0,Operations!AS1129/Operations!AS1131)</f>
        <v/>
      </c>
      <c r="AT1146" s="14">
        <f>IF(Operations!AT1131=0,0,Operations!AT1129/Operations!AT1131)</f>
        <v/>
      </c>
      <c r="AU1146" s="14">
        <f>IF(Operations!AU1131=0,0,Operations!AU1129/Operations!AU1131)</f>
        <v/>
      </c>
    </row>
    <row r="1147">
      <c r="D1147" t="inlineStr">
        <is>
          <t>Merchant share of Mesa revenue, a1</t>
        </is>
      </c>
      <c r="E1147" t="inlineStr">
        <is>
          <t>fraction</t>
        </is>
      </c>
      <c r="J1147" s="14">
        <f>1-Operations!J1145-Operations!J1146</f>
        <v/>
      </c>
      <c r="K1147" s="14">
        <f>1-Operations!K1145-Operations!K1146</f>
        <v/>
      </c>
      <c r="L1147" s="14">
        <f>1-Operations!L1145-Operations!L1146</f>
        <v/>
      </c>
      <c r="M1147" s="14">
        <f>1-Operations!M1145-Operations!M1146</f>
        <v/>
      </c>
      <c r="N1147" s="14">
        <f>1-Operations!N1145-Operations!N1146</f>
        <v/>
      </c>
      <c r="O1147" s="14">
        <f>1-Operations!O1145-Operations!O1146</f>
        <v/>
      </c>
      <c r="P1147" s="14">
        <f>1-Operations!P1145-Operations!P1146</f>
        <v/>
      </c>
      <c r="Q1147" s="14">
        <f>1-Operations!Q1145-Operations!Q1146</f>
        <v/>
      </c>
      <c r="R1147" s="14">
        <f>1-Operations!R1145-Operations!R1146</f>
        <v/>
      </c>
      <c r="S1147" s="14">
        <f>1-Operations!S1145-Operations!S1146</f>
        <v/>
      </c>
      <c r="T1147" s="14">
        <f>1-Operations!T1145-Operations!T1146</f>
        <v/>
      </c>
      <c r="U1147" s="14">
        <f>1-Operations!U1145-Operations!U1146</f>
        <v/>
      </c>
      <c r="V1147" s="14">
        <f>1-Operations!V1145-Operations!V1146</f>
        <v/>
      </c>
      <c r="W1147" s="14">
        <f>1-Operations!W1145-Operations!W1146</f>
        <v/>
      </c>
      <c r="X1147" s="14">
        <f>1-Operations!X1145-Operations!X1146</f>
        <v/>
      </c>
      <c r="Y1147" s="14">
        <f>1-Operations!Y1145-Operations!Y1146</f>
        <v/>
      </c>
      <c r="Z1147" s="14">
        <f>1-Operations!Z1145-Operations!Z1146</f>
        <v/>
      </c>
      <c r="AA1147" s="14">
        <f>1-Operations!AA1145-Operations!AA1146</f>
        <v/>
      </c>
      <c r="AB1147" s="14">
        <f>1-Operations!AB1145-Operations!AB1146</f>
        <v/>
      </c>
      <c r="AC1147" s="14">
        <f>1-Operations!AC1145-Operations!AC1146</f>
        <v/>
      </c>
      <c r="AD1147" s="14">
        <f>1-Operations!AD1145-Operations!AD1146</f>
        <v/>
      </c>
      <c r="AE1147" s="14">
        <f>1-Operations!AE1145-Operations!AE1146</f>
        <v/>
      </c>
      <c r="AF1147" s="14">
        <f>1-Operations!AF1145-Operations!AF1146</f>
        <v/>
      </c>
      <c r="AG1147" s="14">
        <f>1-Operations!AG1145-Operations!AG1146</f>
        <v/>
      </c>
      <c r="AH1147" s="14">
        <f>1-Operations!AH1145-Operations!AH1146</f>
        <v/>
      </c>
      <c r="AI1147" s="14">
        <f>1-Operations!AI1145-Operations!AI1146</f>
        <v/>
      </c>
      <c r="AJ1147" s="14">
        <f>1-Operations!AJ1145-Operations!AJ1146</f>
        <v/>
      </c>
      <c r="AK1147" s="14">
        <f>1-Operations!AK1145-Operations!AK1146</f>
        <v/>
      </c>
      <c r="AL1147" s="14">
        <f>1-Operations!AL1145-Operations!AL1146</f>
        <v/>
      </c>
      <c r="AM1147" s="14">
        <f>1-Operations!AM1145-Operations!AM1146</f>
        <v/>
      </c>
      <c r="AN1147" s="14">
        <f>1-Operations!AN1145-Operations!AN1146</f>
        <v/>
      </c>
      <c r="AO1147" s="14">
        <f>1-Operations!AO1145-Operations!AO1146</f>
        <v/>
      </c>
      <c r="AP1147" s="14">
        <f>1-Operations!AP1145-Operations!AP1146</f>
        <v/>
      </c>
      <c r="AQ1147" s="14">
        <f>1-Operations!AQ1145-Operations!AQ1146</f>
        <v/>
      </c>
      <c r="AR1147" s="14">
        <f>1-Operations!AR1145-Operations!AR1146</f>
        <v/>
      </c>
      <c r="AS1147" s="14">
        <f>1-Operations!AS1145-Operations!AS1146</f>
        <v/>
      </c>
      <c r="AT1147" s="14">
        <f>1-Operations!AT1145-Operations!AT1146</f>
        <v/>
      </c>
      <c r="AU1147" s="14">
        <f>1-Operations!AU1145-Operations!AU1146</f>
        <v/>
      </c>
    </row>
    <row r="1148">
      <c r="D1148" t="inlineStr">
        <is>
          <t>CFADS allocated to contracted, a1</t>
        </is>
      </c>
      <c r="E1148" t="inlineStr">
        <is>
          <t>USD m</t>
        </is>
      </c>
      <c r="J1148" s="20">
        <f>Operations!J1142*Operations!J1145</f>
        <v/>
      </c>
      <c r="K1148" s="20">
        <f>Operations!K1142*Operations!K1145</f>
        <v/>
      </c>
      <c r="L1148" s="20">
        <f>Operations!L1142*Operations!L1145</f>
        <v/>
      </c>
      <c r="M1148" s="20">
        <f>Operations!M1142*Operations!M1145</f>
        <v/>
      </c>
      <c r="N1148" s="20">
        <f>Operations!N1142*Operations!N1145</f>
        <v/>
      </c>
      <c r="O1148" s="20">
        <f>Operations!O1142*Operations!O1145</f>
        <v/>
      </c>
      <c r="P1148" s="20">
        <f>Operations!P1142*Operations!P1145</f>
        <v/>
      </c>
      <c r="Q1148" s="20">
        <f>Operations!Q1142*Operations!Q1145</f>
        <v/>
      </c>
      <c r="R1148" s="20">
        <f>Operations!R1142*Operations!R1145</f>
        <v/>
      </c>
      <c r="S1148" s="20">
        <f>Operations!S1142*Operations!S1145</f>
        <v/>
      </c>
      <c r="T1148" s="20">
        <f>Operations!T1142*Operations!T1145</f>
        <v/>
      </c>
      <c r="U1148" s="20">
        <f>Operations!U1142*Operations!U1145</f>
        <v/>
      </c>
      <c r="V1148" s="20">
        <f>Operations!V1142*Operations!V1145</f>
        <v/>
      </c>
      <c r="W1148" s="20">
        <f>Operations!W1142*Operations!W1145</f>
        <v/>
      </c>
      <c r="X1148" s="20">
        <f>Operations!X1142*Operations!X1145</f>
        <v/>
      </c>
      <c r="Y1148" s="20">
        <f>Operations!Y1142*Operations!Y1145</f>
        <v/>
      </c>
      <c r="Z1148" s="20">
        <f>Operations!Z1142*Operations!Z1145</f>
        <v/>
      </c>
      <c r="AA1148" s="20">
        <f>Operations!AA1142*Operations!AA1145</f>
        <v/>
      </c>
      <c r="AB1148" s="20">
        <f>Operations!AB1142*Operations!AB1145</f>
        <v/>
      </c>
      <c r="AC1148" s="20">
        <f>Operations!AC1142*Operations!AC1145</f>
        <v/>
      </c>
      <c r="AD1148" s="20">
        <f>Operations!AD1142*Operations!AD1145</f>
        <v/>
      </c>
      <c r="AE1148" s="20">
        <f>Operations!AE1142*Operations!AE1145</f>
        <v/>
      </c>
      <c r="AF1148" s="20">
        <f>Operations!AF1142*Operations!AF1145</f>
        <v/>
      </c>
      <c r="AG1148" s="20">
        <f>Operations!AG1142*Operations!AG1145</f>
        <v/>
      </c>
      <c r="AH1148" s="20">
        <f>Operations!AH1142*Operations!AH1145</f>
        <v/>
      </c>
      <c r="AI1148" s="20">
        <f>Operations!AI1142*Operations!AI1145</f>
        <v/>
      </c>
      <c r="AJ1148" s="20">
        <f>Operations!AJ1142*Operations!AJ1145</f>
        <v/>
      </c>
      <c r="AK1148" s="20">
        <f>Operations!AK1142*Operations!AK1145</f>
        <v/>
      </c>
      <c r="AL1148" s="20">
        <f>Operations!AL1142*Operations!AL1145</f>
        <v/>
      </c>
      <c r="AM1148" s="20">
        <f>Operations!AM1142*Operations!AM1145</f>
        <v/>
      </c>
      <c r="AN1148" s="20">
        <f>Operations!AN1142*Operations!AN1145</f>
        <v/>
      </c>
      <c r="AO1148" s="20">
        <f>Operations!AO1142*Operations!AO1145</f>
        <v/>
      </c>
      <c r="AP1148" s="20">
        <f>Operations!AP1142*Operations!AP1145</f>
        <v/>
      </c>
      <c r="AQ1148" s="20">
        <f>Operations!AQ1142*Operations!AQ1145</f>
        <v/>
      </c>
      <c r="AR1148" s="20">
        <f>Operations!AR1142*Operations!AR1145</f>
        <v/>
      </c>
      <c r="AS1148" s="20">
        <f>Operations!AS1142*Operations!AS1145</f>
        <v/>
      </c>
      <c r="AT1148" s="20">
        <f>Operations!AT1142*Operations!AT1145</f>
        <v/>
      </c>
      <c r="AU1148" s="20">
        <f>Operations!AU1142*Operations!AU1145</f>
        <v/>
      </c>
    </row>
    <row r="1149">
      <c r="D1149" t="inlineStr">
        <is>
          <t>CFADS allocated to hedged, a1</t>
        </is>
      </c>
      <c r="E1149" t="inlineStr">
        <is>
          <t>USD m</t>
        </is>
      </c>
      <c r="J1149" s="20">
        <f>Operations!J1142*Operations!J1146</f>
        <v/>
      </c>
      <c r="K1149" s="20">
        <f>Operations!K1142*Operations!K1146</f>
        <v/>
      </c>
      <c r="L1149" s="20">
        <f>Operations!L1142*Operations!L1146</f>
        <v/>
      </c>
      <c r="M1149" s="20">
        <f>Operations!M1142*Operations!M1146</f>
        <v/>
      </c>
      <c r="N1149" s="20">
        <f>Operations!N1142*Operations!N1146</f>
        <v/>
      </c>
      <c r="O1149" s="20">
        <f>Operations!O1142*Operations!O1146</f>
        <v/>
      </c>
      <c r="P1149" s="20">
        <f>Operations!P1142*Operations!P1146</f>
        <v/>
      </c>
      <c r="Q1149" s="20">
        <f>Operations!Q1142*Operations!Q1146</f>
        <v/>
      </c>
      <c r="R1149" s="20">
        <f>Operations!R1142*Operations!R1146</f>
        <v/>
      </c>
      <c r="S1149" s="20">
        <f>Operations!S1142*Operations!S1146</f>
        <v/>
      </c>
      <c r="T1149" s="20">
        <f>Operations!T1142*Operations!T1146</f>
        <v/>
      </c>
      <c r="U1149" s="20">
        <f>Operations!U1142*Operations!U1146</f>
        <v/>
      </c>
      <c r="V1149" s="20">
        <f>Operations!V1142*Operations!V1146</f>
        <v/>
      </c>
      <c r="W1149" s="20">
        <f>Operations!W1142*Operations!W1146</f>
        <v/>
      </c>
      <c r="X1149" s="20">
        <f>Operations!X1142*Operations!X1146</f>
        <v/>
      </c>
      <c r="Y1149" s="20">
        <f>Operations!Y1142*Operations!Y1146</f>
        <v/>
      </c>
      <c r="Z1149" s="20">
        <f>Operations!Z1142*Operations!Z1146</f>
        <v/>
      </c>
      <c r="AA1149" s="20">
        <f>Operations!AA1142*Operations!AA1146</f>
        <v/>
      </c>
      <c r="AB1149" s="20">
        <f>Operations!AB1142*Operations!AB1146</f>
        <v/>
      </c>
      <c r="AC1149" s="20">
        <f>Operations!AC1142*Operations!AC1146</f>
        <v/>
      </c>
      <c r="AD1149" s="20">
        <f>Operations!AD1142*Operations!AD1146</f>
        <v/>
      </c>
      <c r="AE1149" s="20">
        <f>Operations!AE1142*Operations!AE1146</f>
        <v/>
      </c>
      <c r="AF1149" s="20">
        <f>Operations!AF1142*Operations!AF1146</f>
        <v/>
      </c>
      <c r="AG1149" s="20">
        <f>Operations!AG1142*Operations!AG1146</f>
        <v/>
      </c>
      <c r="AH1149" s="20">
        <f>Operations!AH1142*Operations!AH1146</f>
        <v/>
      </c>
      <c r="AI1149" s="20">
        <f>Operations!AI1142*Operations!AI1146</f>
        <v/>
      </c>
      <c r="AJ1149" s="20">
        <f>Operations!AJ1142*Operations!AJ1146</f>
        <v/>
      </c>
      <c r="AK1149" s="20">
        <f>Operations!AK1142*Operations!AK1146</f>
        <v/>
      </c>
      <c r="AL1149" s="20">
        <f>Operations!AL1142*Operations!AL1146</f>
        <v/>
      </c>
      <c r="AM1149" s="20">
        <f>Operations!AM1142*Operations!AM1146</f>
        <v/>
      </c>
      <c r="AN1149" s="20">
        <f>Operations!AN1142*Operations!AN1146</f>
        <v/>
      </c>
      <c r="AO1149" s="20">
        <f>Operations!AO1142*Operations!AO1146</f>
        <v/>
      </c>
      <c r="AP1149" s="20">
        <f>Operations!AP1142*Operations!AP1146</f>
        <v/>
      </c>
      <c r="AQ1149" s="20">
        <f>Operations!AQ1142*Operations!AQ1146</f>
        <v/>
      </c>
      <c r="AR1149" s="20">
        <f>Operations!AR1142*Operations!AR1146</f>
        <v/>
      </c>
      <c r="AS1149" s="20">
        <f>Operations!AS1142*Operations!AS1146</f>
        <v/>
      </c>
      <c r="AT1149" s="20">
        <f>Operations!AT1142*Operations!AT1146</f>
        <v/>
      </c>
      <c r="AU1149" s="20">
        <f>Operations!AU1142*Operations!AU1146</f>
        <v/>
      </c>
    </row>
    <row r="1150">
      <c r="D1150" t="inlineStr">
        <is>
          <t>CFADS allocated to merchant, a1</t>
        </is>
      </c>
      <c r="E1150" t="inlineStr">
        <is>
          <t>USD m</t>
        </is>
      </c>
      <c r="J1150" s="20">
        <f>Operations!J1142*Operations!J1147</f>
        <v/>
      </c>
      <c r="K1150" s="20">
        <f>Operations!K1142*Operations!K1147</f>
        <v/>
      </c>
      <c r="L1150" s="20">
        <f>Operations!L1142*Operations!L1147</f>
        <v/>
      </c>
      <c r="M1150" s="20">
        <f>Operations!M1142*Operations!M1147</f>
        <v/>
      </c>
      <c r="N1150" s="20">
        <f>Operations!N1142*Operations!N1147</f>
        <v/>
      </c>
      <c r="O1150" s="20">
        <f>Operations!O1142*Operations!O1147</f>
        <v/>
      </c>
      <c r="P1150" s="20">
        <f>Operations!P1142*Operations!P1147</f>
        <v/>
      </c>
      <c r="Q1150" s="20">
        <f>Operations!Q1142*Operations!Q1147</f>
        <v/>
      </c>
      <c r="R1150" s="20">
        <f>Operations!R1142*Operations!R1147</f>
        <v/>
      </c>
      <c r="S1150" s="20">
        <f>Operations!S1142*Operations!S1147</f>
        <v/>
      </c>
      <c r="T1150" s="20">
        <f>Operations!T1142*Operations!T1147</f>
        <v/>
      </c>
      <c r="U1150" s="20">
        <f>Operations!U1142*Operations!U1147</f>
        <v/>
      </c>
      <c r="V1150" s="20">
        <f>Operations!V1142*Operations!V1147</f>
        <v/>
      </c>
      <c r="W1150" s="20">
        <f>Operations!W1142*Operations!W1147</f>
        <v/>
      </c>
      <c r="X1150" s="20">
        <f>Operations!X1142*Operations!X1147</f>
        <v/>
      </c>
      <c r="Y1150" s="20">
        <f>Operations!Y1142*Operations!Y1147</f>
        <v/>
      </c>
      <c r="Z1150" s="20">
        <f>Operations!Z1142*Operations!Z1147</f>
        <v/>
      </c>
      <c r="AA1150" s="20">
        <f>Operations!AA1142*Operations!AA1147</f>
        <v/>
      </c>
      <c r="AB1150" s="20">
        <f>Operations!AB1142*Operations!AB1147</f>
        <v/>
      </c>
      <c r="AC1150" s="20">
        <f>Operations!AC1142*Operations!AC1147</f>
        <v/>
      </c>
      <c r="AD1150" s="20">
        <f>Operations!AD1142*Operations!AD1147</f>
        <v/>
      </c>
      <c r="AE1150" s="20">
        <f>Operations!AE1142*Operations!AE1147</f>
        <v/>
      </c>
      <c r="AF1150" s="20">
        <f>Operations!AF1142*Operations!AF1147</f>
        <v/>
      </c>
      <c r="AG1150" s="20">
        <f>Operations!AG1142*Operations!AG1147</f>
        <v/>
      </c>
      <c r="AH1150" s="20">
        <f>Operations!AH1142*Operations!AH1147</f>
        <v/>
      </c>
      <c r="AI1150" s="20">
        <f>Operations!AI1142*Operations!AI1147</f>
        <v/>
      </c>
      <c r="AJ1150" s="20">
        <f>Operations!AJ1142*Operations!AJ1147</f>
        <v/>
      </c>
      <c r="AK1150" s="20">
        <f>Operations!AK1142*Operations!AK1147</f>
        <v/>
      </c>
      <c r="AL1150" s="20">
        <f>Operations!AL1142*Operations!AL1147</f>
        <v/>
      </c>
      <c r="AM1150" s="20">
        <f>Operations!AM1142*Operations!AM1147</f>
        <v/>
      </c>
      <c r="AN1150" s="20">
        <f>Operations!AN1142*Operations!AN1147</f>
        <v/>
      </c>
      <c r="AO1150" s="20">
        <f>Operations!AO1142*Operations!AO1147</f>
        <v/>
      </c>
      <c r="AP1150" s="20">
        <f>Operations!AP1142*Operations!AP1147</f>
        <v/>
      </c>
      <c r="AQ1150" s="20">
        <f>Operations!AQ1142*Operations!AQ1147</f>
        <v/>
      </c>
      <c r="AR1150" s="20">
        <f>Operations!AR1142*Operations!AR1147</f>
        <v/>
      </c>
      <c r="AS1150" s="20">
        <f>Operations!AS1142*Operations!AS1147</f>
        <v/>
      </c>
      <c r="AT1150" s="20">
        <f>Operations!AT1142*Operations!AT1147</f>
        <v/>
      </c>
      <c r="AU1150" s="20">
        <f>Operations!AU1142*Operations!AU1147</f>
        <v/>
      </c>
    </row>
    <row r="1151">
      <c r="D1151" t="inlineStr">
        <is>
          <t>Contracted share of Mesa revenue, all</t>
        </is>
      </c>
      <c r="E1151" t="inlineStr">
        <is>
          <t>fraction</t>
        </is>
      </c>
      <c r="J1151" s="14">
        <f>IF(Operations!J1136=0,0,Operations!J1133/Operations!J1136)</f>
        <v/>
      </c>
      <c r="K1151" s="14">
        <f>IF(Operations!K1136=0,0,Operations!K1133/Operations!K1136)</f>
        <v/>
      </c>
      <c r="L1151" s="14">
        <f>IF(Operations!L1136=0,0,Operations!L1133/Operations!L1136)</f>
        <v/>
      </c>
      <c r="M1151" s="14">
        <f>IF(Operations!M1136=0,0,Operations!M1133/Operations!M1136)</f>
        <v/>
      </c>
      <c r="N1151" s="14">
        <f>IF(Operations!N1136=0,0,Operations!N1133/Operations!N1136)</f>
        <v/>
      </c>
      <c r="O1151" s="14">
        <f>IF(Operations!O1136=0,0,Operations!O1133/Operations!O1136)</f>
        <v/>
      </c>
      <c r="P1151" s="14">
        <f>IF(Operations!P1136=0,0,Operations!P1133/Operations!P1136)</f>
        <v/>
      </c>
      <c r="Q1151" s="14">
        <f>IF(Operations!Q1136=0,0,Operations!Q1133/Operations!Q1136)</f>
        <v/>
      </c>
      <c r="R1151" s="14">
        <f>IF(Operations!R1136=0,0,Operations!R1133/Operations!R1136)</f>
        <v/>
      </c>
      <c r="S1151" s="14">
        <f>IF(Operations!S1136=0,0,Operations!S1133/Operations!S1136)</f>
        <v/>
      </c>
      <c r="T1151" s="14">
        <f>IF(Operations!T1136=0,0,Operations!T1133/Operations!T1136)</f>
        <v/>
      </c>
      <c r="U1151" s="14">
        <f>IF(Operations!U1136=0,0,Operations!U1133/Operations!U1136)</f>
        <v/>
      </c>
      <c r="V1151" s="14">
        <f>IF(Operations!V1136=0,0,Operations!V1133/Operations!V1136)</f>
        <v/>
      </c>
      <c r="W1151" s="14">
        <f>IF(Operations!W1136=0,0,Operations!W1133/Operations!W1136)</f>
        <v/>
      </c>
      <c r="X1151" s="14">
        <f>IF(Operations!X1136=0,0,Operations!X1133/Operations!X1136)</f>
        <v/>
      </c>
      <c r="Y1151" s="14">
        <f>IF(Operations!Y1136=0,0,Operations!Y1133/Operations!Y1136)</f>
        <v/>
      </c>
      <c r="Z1151" s="14">
        <f>IF(Operations!Z1136=0,0,Operations!Z1133/Operations!Z1136)</f>
        <v/>
      </c>
      <c r="AA1151" s="14">
        <f>IF(Operations!AA1136=0,0,Operations!AA1133/Operations!AA1136)</f>
        <v/>
      </c>
      <c r="AB1151" s="14">
        <f>IF(Operations!AB1136=0,0,Operations!AB1133/Operations!AB1136)</f>
        <v/>
      </c>
      <c r="AC1151" s="14">
        <f>IF(Operations!AC1136=0,0,Operations!AC1133/Operations!AC1136)</f>
        <v/>
      </c>
      <c r="AD1151" s="14">
        <f>IF(Operations!AD1136=0,0,Operations!AD1133/Operations!AD1136)</f>
        <v/>
      </c>
      <c r="AE1151" s="14">
        <f>IF(Operations!AE1136=0,0,Operations!AE1133/Operations!AE1136)</f>
        <v/>
      </c>
      <c r="AF1151" s="14">
        <f>IF(Operations!AF1136=0,0,Operations!AF1133/Operations!AF1136)</f>
        <v/>
      </c>
      <c r="AG1151" s="14">
        <f>IF(Operations!AG1136=0,0,Operations!AG1133/Operations!AG1136)</f>
        <v/>
      </c>
      <c r="AH1151" s="14">
        <f>IF(Operations!AH1136=0,0,Operations!AH1133/Operations!AH1136)</f>
        <v/>
      </c>
      <c r="AI1151" s="14">
        <f>IF(Operations!AI1136=0,0,Operations!AI1133/Operations!AI1136)</f>
        <v/>
      </c>
      <c r="AJ1151" s="14">
        <f>IF(Operations!AJ1136=0,0,Operations!AJ1133/Operations!AJ1136)</f>
        <v/>
      </c>
      <c r="AK1151" s="14">
        <f>IF(Operations!AK1136=0,0,Operations!AK1133/Operations!AK1136)</f>
        <v/>
      </c>
      <c r="AL1151" s="14">
        <f>IF(Operations!AL1136=0,0,Operations!AL1133/Operations!AL1136)</f>
        <v/>
      </c>
      <c r="AM1151" s="14">
        <f>IF(Operations!AM1136=0,0,Operations!AM1133/Operations!AM1136)</f>
        <v/>
      </c>
      <c r="AN1151" s="14">
        <f>IF(Operations!AN1136=0,0,Operations!AN1133/Operations!AN1136)</f>
        <v/>
      </c>
      <c r="AO1151" s="14">
        <f>IF(Operations!AO1136=0,0,Operations!AO1133/Operations!AO1136)</f>
        <v/>
      </c>
      <c r="AP1151" s="14">
        <f>IF(Operations!AP1136=0,0,Operations!AP1133/Operations!AP1136)</f>
        <v/>
      </c>
      <c r="AQ1151" s="14">
        <f>IF(Operations!AQ1136=0,0,Operations!AQ1133/Operations!AQ1136)</f>
        <v/>
      </c>
      <c r="AR1151" s="14">
        <f>IF(Operations!AR1136=0,0,Operations!AR1133/Operations!AR1136)</f>
        <v/>
      </c>
      <c r="AS1151" s="14">
        <f>IF(Operations!AS1136=0,0,Operations!AS1133/Operations!AS1136)</f>
        <v/>
      </c>
      <c r="AT1151" s="14">
        <f>IF(Operations!AT1136=0,0,Operations!AT1133/Operations!AT1136)</f>
        <v/>
      </c>
      <c r="AU1151" s="14">
        <f>IF(Operations!AU1136=0,0,Operations!AU1133/Operations!AU1136)</f>
        <v/>
      </c>
    </row>
    <row r="1152">
      <c r="D1152" t="inlineStr">
        <is>
          <t>Hedged share of Mesa revenue, all</t>
        </is>
      </c>
      <c r="E1152" t="inlineStr">
        <is>
          <t>fraction</t>
        </is>
      </c>
      <c r="J1152" s="14">
        <f>IF(Operations!J1136=0,0,Operations!J1134/Operations!J1136)</f>
        <v/>
      </c>
      <c r="K1152" s="14">
        <f>IF(Operations!K1136=0,0,Operations!K1134/Operations!K1136)</f>
        <v/>
      </c>
      <c r="L1152" s="14">
        <f>IF(Operations!L1136=0,0,Operations!L1134/Operations!L1136)</f>
        <v/>
      </c>
      <c r="M1152" s="14">
        <f>IF(Operations!M1136=0,0,Operations!M1134/Operations!M1136)</f>
        <v/>
      </c>
      <c r="N1152" s="14">
        <f>IF(Operations!N1136=0,0,Operations!N1134/Operations!N1136)</f>
        <v/>
      </c>
      <c r="O1152" s="14">
        <f>IF(Operations!O1136=0,0,Operations!O1134/Operations!O1136)</f>
        <v/>
      </c>
      <c r="P1152" s="14">
        <f>IF(Operations!P1136=0,0,Operations!P1134/Operations!P1136)</f>
        <v/>
      </c>
      <c r="Q1152" s="14">
        <f>IF(Operations!Q1136=0,0,Operations!Q1134/Operations!Q1136)</f>
        <v/>
      </c>
      <c r="R1152" s="14">
        <f>IF(Operations!R1136=0,0,Operations!R1134/Operations!R1136)</f>
        <v/>
      </c>
      <c r="S1152" s="14">
        <f>IF(Operations!S1136=0,0,Operations!S1134/Operations!S1136)</f>
        <v/>
      </c>
      <c r="T1152" s="14">
        <f>IF(Operations!T1136=0,0,Operations!T1134/Operations!T1136)</f>
        <v/>
      </c>
      <c r="U1152" s="14">
        <f>IF(Operations!U1136=0,0,Operations!U1134/Operations!U1136)</f>
        <v/>
      </c>
      <c r="V1152" s="14">
        <f>IF(Operations!V1136=0,0,Operations!V1134/Operations!V1136)</f>
        <v/>
      </c>
      <c r="W1152" s="14">
        <f>IF(Operations!W1136=0,0,Operations!W1134/Operations!W1136)</f>
        <v/>
      </c>
      <c r="X1152" s="14">
        <f>IF(Operations!X1136=0,0,Operations!X1134/Operations!X1136)</f>
        <v/>
      </c>
      <c r="Y1152" s="14">
        <f>IF(Operations!Y1136=0,0,Operations!Y1134/Operations!Y1136)</f>
        <v/>
      </c>
      <c r="Z1152" s="14">
        <f>IF(Operations!Z1136=0,0,Operations!Z1134/Operations!Z1136)</f>
        <v/>
      </c>
      <c r="AA1152" s="14">
        <f>IF(Operations!AA1136=0,0,Operations!AA1134/Operations!AA1136)</f>
        <v/>
      </c>
      <c r="AB1152" s="14">
        <f>IF(Operations!AB1136=0,0,Operations!AB1134/Operations!AB1136)</f>
        <v/>
      </c>
      <c r="AC1152" s="14">
        <f>IF(Operations!AC1136=0,0,Operations!AC1134/Operations!AC1136)</f>
        <v/>
      </c>
      <c r="AD1152" s="14">
        <f>IF(Operations!AD1136=0,0,Operations!AD1134/Operations!AD1136)</f>
        <v/>
      </c>
      <c r="AE1152" s="14">
        <f>IF(Operations!AE1136=0,0,Operations!AE1134/Operations!AE1136)</f>
        <v/>
      </c>
      <c r="AF1152" s="14">
        <f>IF(Operations!AF1136=0,0,Operations!AF1134/Operations!AF1136)</f>
        <v/>
      </c>
      <c r="AG1152" s="14">
        <f>IF(Operations!AG1136=0,0,Operations!AG1134/Operations!AG1136)</f>
        <v/>
      </c>
      <c r="AH1152" s="14">
        <f>IF(Operations!AH1136=0,0,Operations!AH1134/Operations!AH1136)</f>
        <v/>
      </c>
      <c r="AI1152" s="14">
        <f>IF(Operations!AI1136=0,0,Operations!AI1134/Operations!AI1136)</f>
        <v/>
      </c>
      <c r="AJ1152" s="14">
        <f>IF(Operations!AJ1136=0,0,Operations!AJ1134/Operations!AJ1136)</f>
        <v/>
      </c>
      <c r="AK1152" s="14">
        <f>IF(Operations!AK1136=0,0,Operations!AK1134/Operations!AK1136)</f>
        <v/>
      </c>
      <c r="AL1152" s="14">
        <f>IF(Operations!AL1136=0,0,Operations!AL1134/Operations!AL1136)</f>
        <v/>
      </c>
      <c r="AM1152" s="14">
        <f>IF(Operations!AM1136=0,0,Operations!AM1134/Operations!AM1136)</f>
        <v/>
      </c>
      <c r="AN1152" s="14">
        <f>IF(Operations!AN1136=0,0,Operations!AN1134/Operations!AN1136)</f>
        <v/>
      </c>
      <c r="AO1152" s="14">
        <f>IF(Operations!AO1136=0,0,Operations!AO1134/Operations!AO1136)</f>
        <v/>
      </c>
      <c r="AP1152" s="14">
        <f>IF(Operations!AP1136=0,0,Operations!AP1134/Operations!AP1136)</f>
        <v/>
      </c>
      <c r="AQ1152" s="14">
        <f>IF(Operations!AQ1136=0,0,Operations!AQ1134/Operations!AQ1136)</f>
        <v/>
      </c>
      <c r="AR1152" s="14">
        <f>IF(Operations!AR1136=0,0,Operations!AR1134/Operations!AR1136)</f>
        <v/>
      </c>
      <c r="AS1152" s="14">
        <f>IF(Operations!AS1136=0,0,Operations!AS1134/Operations!AS1136)</f>
        <v/>
      </c>
      <c r="AT1152" s="14">
        <f>IF(Operations!AT1136=0,0,Operations!AT1134/Operations!AT1136)</f>
        <v/>
      </c>
      <c r="AU1152" s="14">
        <f>IF(Operations!AU1136=0,0,Operations!AU1134/Operations!AU1136)</f>
        <v/>
      </c>
    </row>
    <row r="1153">
      <c r="D1153" t="inlineStr">
        <is>
          <t>Merchant share of Mesa revenue, all</t>
        </is>
      </c>
      <c r="E1153" t="inlineStr">
        <is>
          <t>fraction</t>
        </is>
      </c>
      <c r="J1153" s="14">
        <f>1-Operations!J1151-Operations!J1152</f>
        <v/>
      </c>
      <c r="K1153" s="14">
        <f>1-Operations!K1151-Operations!K1152</f>
        <v/>
      </c>
      <c r="L1153" s="14">
        <f>1-Operations!L1151-Operations!L1152</f>
        <v/>
      </c>
      <c r="M1153" s="14">
        <f>1-Operations!M1151-Operations!M1152</f>
        <v/>
      </c>
      <c r="N1153" s="14">
        <f>1-Operations!N1151-Operations!N1152</f>
        <v/>
      </c>
      <c r="O1153" s="14">
        <f>1-Operations!O1151-Operations!O1152</f>
        <v/>
      </c>
      <c r="P1153" s="14">
        <f>1-Operations!P1151-Operations!P1152</f>
        <v/>
      </c>
      <c r="Q1153" s="14">
        <f>1-Operations!Q1151-Operations!Q1152</f>
        <v/>
      </c>
      <c r="R1153" s="14">
        <f>1-Operations!R1151-Operations!R1152</f>
        <v/>
      </c>
      <c r="S1153" s="14">
        <f>1-Operations!S1151-Operations!S1152</f>
        <v/>
      </c>
      <c r="T1153" s="14">
        <f>1-Operations!T1151-Operations!T1152</f>
        <v/>
      </c>
      <c r="U1153" s="14">
        <f>1-Operations!U1151-Operations!U1152</f>
        <v/>
      </c>
      <c r="V1153" s="14">
        <f>1-Operations!V1151-Operations!V1152</f>
        <v/>
      </c>
      <c r="W1153" s="14">
        <f>1-Operations!W1151-Operations!W1152</f>
        <v/>
      </c>
      <c r="X1153" s="14">
        <f>1-Operations!X1151-Operations!X1152</f>
        <v/>
      </c>
      <c r="Y1153" s="14">
        <f>1-Operations!Y1151-Operations!Y1152</f>
        <v/>
      </c>
      <c r="Z1153" s="14">
        <f>1-Operations!Z1151-Operations!Z1152</f>
        <v/>
      </c>
      <c r="AA1153" s="14">
        <f>1-Operations!AA1151-Operations!AA1152</f>
        <v/>
      </c>
      <c r="AB1153" s="14">
        <f>1-Operations!AB1151-Operations!AB1152</f>
        <v/>
      </c>
      <c r="AC1153" s="14">
        <f>1-Operations!AC1151-Operations!AC1152</f>
        <v/>
      </c>
      <c r="AD1153" s="14">
        <f>1-Operations!AD1151-Operations!AD1152</f>
        <v/>
      </c>
      <c r="AE1153" s="14">
        <f>1-Operations!AE1151-Operations!AE1152</f>
        <v/>
      </c>
      <c r="AF1153" s="14">
        <f>1-Operations!AF1151-Operations!AF1152</f>
        <v/>
      </c>
      <c r="AG1153" s="14">
        <f>1-Operations!AG1151-Operations!AG1152</f>
        <v/>
      </c>
      <c r="AH1153" s="14">
        <f>1-Operations!AH1151-Operations!AH1152</f>
        <v/>
      </c>
      <c r="AI1153" s="14">
        <f>1-Operations!AI1151-Operations!AI1152</f>
        <v/>
      </c>
      <c r="AJ1153" s="14">
        <f>1-Operations!AJ1151-Operations!AJ1152</f>
        <v/>
      </c>
      <c r="AK1153" s="14">
        <f>1-Operations!AK1151-Operations!AK1152</f>
        <v/>
      </c>
      <c r="AL1153" s="14">
        <f>1-Operations!AL1151-Operations!AL1152</f>
        <v/>
      </c>
      <c r="AM1153" s="14">
        <f>1-Operations!AM1151-Operations!AM1152</f>
        <v/>
      </c>
      <c r="AN1153" s="14">
        <f>1-Operations!AN1151-Operations!AN1152</f>
        <v/>
      </c>
      <c r="AO1153" s="14">
        <f>1-Operations!AO1151-Operations!AO1152</f>
        <v/>
      </c>
      <c r="AP1153" s="14">
        <f>1-Operations!AP1151-Operations!AP1152</f>
        <v/>
      </c>
      <c r="AQ1153" s="14">
        <f>1-Operations!AQ1151-Operations!AQ1152</f>
        <v/>
      </c>
      <c r="AR1153" s="14">
        <f>1-Operations!AR1151-Operations!AR1152</f>
        <v/>
      </c>
      <c r="AS1153" s="14">
        <f>1-Operations!AS1151-Operations!AS1152</f>
        <v/>
      </c>
      <c r="AT1153" s="14">
        <f>1-Operations!AT1151-Operations!AT1152</f>
        <v/>
      </c>
      <c r="AU1153" s="14">
        <f>1-Operations!AU1151-Operations!AU1152</f>
        <v/>
      </c>
    </row>
    <row r="1154">
      <c r="D1154" t="inlineStr">
        <is>
          <t>CFADS allocated to contracted, all</t>
        </is>
      </c>
      <c r="E1154" t="inlineStr">
        <is>
          <t>USD m</t>
        </is>
      </c>
      <c r="J1154" s="20">
        <f>Operations!J1143*Operations!J1151</f>
        <v/>
      </c>
      <c r="K1154" s="20">
        <f>Operations!K1143*Operations!K1151</f>
        <v/>
      </c>
      <c r="L1154" s="20">
        <f>Operations!L1143*Operations!L1151</f>
        <v/>
      </c>
      <c r="M1154" s="20">
        <f>Operations!M1143*Operations!M1151</f>
        <v/>
      </c>
      <c r="N1154" s="20">
        <f>Operations!N1143*Operations!N1151</f>
        <v/>
      </c>
      <c r="O1154" s="20">
        <f>Operations!O1143*Operations!O1151</f>
        <v/>
      </c>
      <c r="P1154" s="20">
        <f>Operations!P1143*Operations!P1151</f>
        <v/>
      </c>
      <c r="Q1154" s="20">
        <f>Operations!Q1143*Operations!Q1151</f>
        <v/>
      </c>
      <c r="R1154" s="20">
        <f>Operations!R1143*Operations!R1151</f>
        <v/>
      </c>
      <c r="S1154" s="20">
        <f>Operations!S1143*Operations!S1151</f>
        <v/>
      </c>
      <c r="T1154" s="20">
        <f>Operations!T1143*Operations!T1151</f>
        <v/>
      </c>
      <c r="U1154" s="20">
        <f>Operations!U1143*Operations!U1151</f>
        <v/>
      </c>
      <c r="V1154" s="20">
        <f>Operations!V1143*Operations!V1151</f>
        <v/>
      </c>
      <c r="W1154" s="20">
        <f>Operations!W1143*Operations!W1151</f>
        <v/>
      </c>
      <c r="X1154" s="20">
        <f>Operations!X1143*Operations!X1151</f>
        <v/>
      </c>
      <c r="Y1154" s="20">
        <f>Operations!Y1143*Operations!Y1151</f>
        <v/>
      </c>
      <c r="Z1154" s="20">
        <f>Operations!Z1143*Operations!Z1151</f>
        <v/>
      </c>
      <c r="AA1154" s="20">
        <f>Operations!AA1143*Operations!AA1151</f>
        <v/>
      </c>
      <c r="AB1154" s="20">
        <f>Operations!AB1143*Operations!AB1151</f>
        <v/>
      </c>
      <c r="AC1154" s="20">
        <f>Operations!AC1143*Operations!AC1151</f>
        <v/>
      </c>
      <c r="AD1154" s="20">
        <f>Operations!AD1143*Operations!AD1151</f>
        <v/>
      </c>
      <c r="AE1154" s="20">
        <f>Operations!AE1143*Operations!AE1151</f>
        <v/>
      </c>
      <c r="AF1154" s="20">
        <f>Operations!AF1143*Operations!AF1151</f>
        <v/>
      </c>
      <c r="AG1154" s="20">
        <f>Operations!AG1143*Operations!AG1151</f>
        <v/>
      </c>
      <c r="AH1154" s="20">
        <f>Operations!AH1143*Operations!AH1151</f>
        <v/>
      </c>
      <c r="AI1154" s="20">
        <f>Operations!AI1143*Operations!AI1151</f>
        <v/>
      </c>
      <c r="AJ1154" s="20">
        <f>Operations!AJ1143*Operations!AJ1151</f>
        <v/>
      </c>
      <c r="AK1154" s="20">
        <f>Operations!AK1143*Operations!AK1151</f>
        <v/>
      </c>
      <c r="AL1154" s="20">
        <f>Operations!AL1143*Operations!AL1151</f>
        <v/>
      </c>
      <c r="AM1154" s="20">
        <f>Operations!AM1143*Operations!AM1151</f>
        <v/>
      </c>
      <c r="AN1154" s="20">
        <f>Operations!AN1143*Operations!AN1151</f>
        <v/>
      </c>
      <c r="AO1154" s="20">
        <f>Operations!AO1143*Operations!AO1151</f>
        <v/>
      </c>
      <c r="AP1154" s="20">
        <f>Operations!AP1143*Operations!AP1151</f>
        <v/>
      </c>
      <c r="AQ1154" s="20">
        <f>Operations!AQ1143*Operations!AQ1151</f>
        <v/>
      </c>
      <c r="AR1154" s="20">
        <f>Operations!AR1143*Operations!AR1151</f>
        <v/>
      </c>
      <c r="AS1154" s="20">
        <f>Operations!AS1143*Operations!AS1151</f>
        <v/>
      </c>
      <c r="AT1154" s="20">
        <f>Operations!AT1143*Operations!AT1151</f>
        <v/>
      </c>
      <c r="AU1154" s="20">
        <f>Operations!AU1143*Operations!AU1151</f>
        <v/>
      </c>
    </row>
    <row r="1155">
      <c r="D1155" t="inlineStr">
        <is>
          <t>CFADS allocated to hedged, all</t>
        </is>
      </c>
      <c r="E1155" t="inlineStr">
        <is>
          <t>USD m</t>
        </is>
      </c>
      <c r="J1155" s="20">
        <f>Operations!J1143*Operations!J1152</f>
        <v/>
      </c>
      <c r="K1155" s="20">
        <f>Operations!K1143*Operations!K1152</f>
        <v/>
      </c>
      <c r="L1155" s="20">
        <f>Operations!L1143*Operations!L1152</f>
        <v/>
      </c>
      <c r="M1155" s="20">
        <f>Operations!M1143*Operations!M1152</f>
        <v/>
      </c>
      <c r="N1155" s="20">
        <f>Operations!N1143*Operations!N1152</f>
        <v/>
      </c>
      <c r="O1155" s="20">
        <f>Operations!O1143*Operations!O1152</f>
        <v/>
      </c>
      <c r="P1155" s="20">
        <f>Operations!P1143*Operations!P1152</f>
        <v/>
      </c>
      <c r="Q1155" s="20">
        <f>Operations!Q1143*Operations!Q1152</f>
        <v/>
      </c>
      <c r="R1155" s="20">
        <f>Operations!R1143*Operations!R1152</f>
        <v/>
      </c>
      <c r="S1155" s="20">
        <f>Operations!S1143*Operations!S1152</f>
        <v/>
      </c>
      <c r="T1155" s="20">
        <f>Operations!T1143*Operations!T1152</f>
        <v/>
      </c>
      <c r="U1155" s="20">
        <f>Operations!U1143*Operations!U1152</f>
        <v/>
      </c>
      <c r="V1155" s="20">
        <f>Operations!V1143*Operations!V1152</f>
        <v/>
      </c>
      <c r="W1155" s="20">
        <f>Operations!W1143*Operations!W1152</f>
        <v/>
      </c>
      <c r="X1155" s="20">
        <f>Operations!X1143*Operations!X1152</f>
        <v/>
      </c>
      <c r="Y1155" s="20">
        <f>Operations!Y1143*Operations!Y1152</f>
        <v/>
      </c>
      <c r="Z1155" s="20">
        <f>Operations!Z1143*Operations!Z1152</f>
        <v/>
      </c>
      <c r="AA1155" s="20">
        <f>Operations!AA1143*Operations!AA1152</f>
        <v/>
      </c>
      <c r="AB1155" s="20">
        <f>Operations!AB1143*Operations!AB1152</f>
        <v/>
      </c>
      <c r="AC1155" s="20">
        <f>Operations!AC1143*Operations!AC1152</f>
        <v/>
      </c>
      <c r="AD1155" s="20">
        <f>Operations!AD1143*Operations!AD1152</f>
        <v/>
      </c>
      <c r="AE1155" s="20">
        <f>Operations!AE1143*Operations!AE1152</f>
        <v/>
      </c>
      <c r="AF1155" s="20">
        <f>Operations!AF1143*Operations!AF1152</f>
        <v/>
      </c>
      <c r="AG1155" s="20">
        <f>Operations!AG1143*Operations!AG1152</f>
        <v/>
      </c>
      <c r="AH1155" s="20">
        <f>Operations!AH1143*Operations!AH1152</f>
        <v/>
      </c>
      <c r="AI1155" s="20">
        <f>Operations!AI1143*Operations!AI1152</f>
        <v/>
      </c>
      <c r="AJ1155" s="20">
        <f>Operations!AJ1143*Operations!AJ1152</f>
        <v/>
      </c>
      <c r="AK1155" s="20">
        <f>Operations!AK1143*Operations!AK1152</f>
        <v/>
      </c>
      <c r="AL1155" s="20">
        <f>Operations!AL1143*Operations!AL1152</f>
        <v/>
      </c>
      <c r="AM1155" s="20">
        <f>Operations!AM1143*Operations!AM1152</f>
        <v/>
      </c>
      <c r="AN1155" s="20">
        <f>Operations!AN1143*Operations!AN1152</f>
        <v/>
      </c>
      <c r="AO1155" s="20">
        <f>Operations!AO1143*Operations!AO1152</f>
        <v/>
      </c>
      <c r="AP1155" s="20">
        <f>Operations!AP1143*Operations!AP1152</f>
        <v/>
      </c>
      <c r="AQ1155" s="20">
        <f>Operations!AQ1143*Operations!AQ1152</f>
        <v/>
      </c>
      <c r="AR1155" s="20">
        <f>Operations!AR1143*Operations!AR1152</f>
        <v/>
      </c>
      <c r="AS1155" s="20">
        <f>Operations!AS1143*Operations!AS1152</f>
        <v/>
      </c>
      <c r="AT1155" s="20">
        <f>Operations!AT1143*Operations!AT1152</f>
        <v/>
      </c>
      <c r="AU1155" s="20">
        <f>Operations!AU1143*Operations!AU1152</f>
        <v/>
      </c>
    </row>
    <row r="1156">
      <c r="D1156" t="inlineStr">
        <is>
          <t>CFADS allocated to merchant, all</t>
        </is>
      </c>
      <c r="E1156" t="inlineStr">
        <is>
          <t>USD m</t>
        </is>
      </c>
      <c r="J1156" s="20">
        <f>Operations!J1143*Operations!J1153</f>
        <v/>
      </c>
      <c r="K1156" s="20">
        <f>Operations!K1143*Operations!K1153</f>
        <v/>
      </c>
      <c r="L1156" s="20">
        <f>Operations!L1143*Operations!L1153</f>
        <v/>
      </c>
      <c r="M1156" s="20">
        <f>Operations!M1143*Operations!M1153</f>
        <v/>
      </c>
      <c r="N1156" s="20">
        <f>Operations!N1143*Operations!N1153</f>
        <v/>
      </c>
      <c r="O1156" s="20">
        <f>Operations!O1143*Operations!O1153</f>
        <v/>
      </c>
      <c r="P1156" s="20">
        <f>Operations!P1143*Operations!P1153</f>
        <v/>
      </c>
      <c r="Q1156" s="20">
        <f>Operations!Q1143*Operations!Q1153</f>
        <v/>
      </c>
      <c r="R1156" s="20">
        <f>Operations!R1143*Operations!R1153</f>
        <v/>
      </c>
      <c r="S1156" s="20">
        <f>Operations!S1143*Operations!S1153</f>
        <v/>
      </c>
      <c r="T1156" s="20">
        <f>Operations!T1143*Operations!T1153</f>
        <v/>
      </c>
      <c r="U1156" s="20">
        <f>Operations!U1143*Operations!U1153</f>
        <v/>
      </c>
      <c r="V1156" s="20">
        <f>Operations!V1143*Operations!V1153</f>
        <v/>
      </c>
      <c r="W1156" s="20">
        <f>Operations!W1143*Operations!W1153</f>
        <v/>
      </c>
      <c r="X1156" s="20">
        <f>Operations!X1143*Operations!X1153</f>
        <v/>
      </c>
      <c r="Y1156" s="20">
        <f>Operations!Y1143*Operations!Y1153</f>
        <v/>
      </c>
      <c r="Z1156" s="20">
        <f>Operations!Z1143*Operations!Z1153</f>
        <v/>
      </c>
      <c r="AA1156" s="20">
        <f>Operations!AA1143*Operations!AA1153</f>
        <v/>
      </c>
      <c r="AB1156" s="20">
        <f>Operations!AB1143*Operations!AB1153</f>
        <v/>
      </c>
      <c r="AC1156" s="20">
        <f>Operations!AC1143*Operations!AC1153</f>
        <v/>
      </c>
      <c r="AD1156" s="20">
        <f>Operations!AD1143*Operations!AD1153</f>
        <v/>
      </c>
      <c r="AE1156" s="20">
        <f>Operations!AE1143*Operations!AE1153</f>
        <v/>
      </c>
      <c r="AF1156" s="20">
        <f>Operations!AF1143*Operations!AF1153</f>
        <v/>
      </c>
      <c r="AG1156" s="20">
        <f>Operations!AG1143*Operations!AG1153</f>
        <v/>
      </c>
      <c r="AH1156" s="20">
        <f>Operations!AH1143*Operations!AH1153</f>
        <v/>
      </c>
      <c r="AI1156" s="20">
        <f>Operations!AI1143*Operations!AI1153</f>
        <v/>
      </c>
      <c r="AJ1156" s="20">
        <f>Operations!AJ1143*Operations!AJ1153</f>
        <v/>
      </c>
      <c r="AK1156" s="20">
        <f>Operations!AK1143*Operations!AK1153</f>
        <v/>
      </c>
      <c r="AL1156" s="20">
        <f>Operations!AL1143*Operations!AL1153</f>
        <v/>
      </c>
      <c r="AM1156" s="20">
        <f>Operations!AM1143*Operations!AM1153</f>
        <v/>
      </c>
      <c r="AN1156" s="20">
        <f>Operations!AN1143*Operations!AN1153</f>
        <v/>
      </c>
      <c r="AO1156" s="20">
        <f>Operations!AO1143*Operations!AO1153</f>
        <v/>
      </c>
      <c r="AP1156" s="20">
        <f>Operations!AP1143*Operations!AP1153</f>
        <v/>
      </c>
      <c r="AQ1156" s="20">
        <f>Operations!AQ1143*Operations!AQ1153</f>
        <v/>
      </c>
      <c r="AR1156" s="20">
        <f>Operations!AR1143*Operations!AR1153</f>
        <v/>
      </c>
      <c r="AS1156" s="20">
        <f>Operations!AS1143*Operations!AS1153</f>
        <v/>
      </c>
      <c r="AT1156" s="20">
        <f>Operations!AT1143*Operations!AT1153</f>
        <v/>
      </c>
      <c r="AU1156" s="20">
        <f>Operations!AU1143*Operations!AU1153</f>
        <v/>
      </c>
    </row>
    <row r="1158">
      <c r="A1158" s="4" t="inlineStr">
        <is>
          <t>Uri-type stress on R1's fixed-volume swap (R-F03)</t>
        </is>
      </c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  <c r="AA1158" s="5" t="n"/>
      <c r="AB1158" s="5" t="n"/>
      <c r="AC1158" s="5" t="n"/>
      <c r="AD1158" s="5" t="n"/>
      <c r="AE1158" s="5" t="n"/>
      <c r="AF1158" s="5" t="n"/>
      <c r="AG1158" s="5" t="n"/>
      <c r="AH1158" s="5" t="n"/>
      <c r="AI1158" s="5" t="n"/>
      <c r="AJ1158" s="5" t="n"/>
      <c r="AK1158" s="5" t="n"/>
      <c r="AL1158" s="5" t="n"/>
      <c r="AM1158" s="5" t="n"/>
      <c r="AN1158" s="5" t="n"/>
      <c r="AO1158" s="5" t="n"/>
      <c r="AP1158" s="5" t="n"/>
      <c r="AQ1158" s="5" t="n"/>
      <c r="AR1158" s="5" t="n"/>
      <c r="AS1158" s="5" t="n"/>
      <c r="AT1158" s="5" t="n"/>
      <c r="AU1158" s="5" t="n"/>
    </row>
    <row r="1159">
      <c r="D1159" t="inlineStr">
        <is>
          <t>R1 generation during event</t>
        </is>
      </c>
      <c r="E1159" t="inlineStr">
        <is>
          <t>MWh</t>
        </is>
      </c>
      <c r="F1159" s="20">
        <f>Inputs!$F$88*Inputs!$F$345/100*Inputs!$F$343</f>
        <v/>
      </c>
    </row>
    <row r="1160">
      <c r="D1160" t="inlineStr">
        <is>
          <t>Swap volume during event</t>
        </is>
      </c>
      <c r="E1160" t="inlineStr">
        <is>
          <t>MWh</t>
        </is>
      </c>
      <c r="F1160" s="20">
        <f>Inputs!$F$190*Inputs!$F$343</f>
        <v/>
      </c>
    </row>
    <row r="1161">
      <c r="D1161" t="inlineStr">
        <is>
          <t>Volume shortfall</t>
        </is>
      </c>
      <c r="E1161" t="inlineStr">
        <is>
          <t>MWh</t>
        </is>
      </c>
      <c r="F1161" s="20">
        <f>Operations!$F$1160-Operations!$F$1159</f>
        <v/>
      </c>
    </row>
    <row r="1162">
      <c r="D1162" t="inlineStr">
        <is>
          <t>Swap settlement paid</t>
        </is>
      </c>
      <c r="E1162" t="inlineStr">
        <is>
          <t>USD m</t>
        </is>
      </c>
      <c r="F1162" s="20">
        <f>Operations!$F$1160*(Inputs!$F$344-Inputs!$F$191)/1000000</f>
        <v/>
      </c>
    </row>
    <row r="1163">
      <c r="D1163" t="inlineStr">
        <is>
          <t>Physical revenue</t>
        </is>
      </c>
      <c r="E1163" t="inlineStr">
        <is>
          <t>USD m</t>
        </is>
      </c>
      <c r="F1163" s="20">
        <f>Operations!$F$1159*Inputs!$F$344/1000000</f>
        <v/>
      </c>
    </row>
    <row r="1164">
      <c r="D1164" t="inlineStr">
        <is>
          <t>Net cash over the event</t>
        </is>
      </c>
      <c r="E1164" t="inlineStr">
        <is>
          <t>USD m</t>
        </is>
      </c>
      <c r="F1164" s="20">
        <f>Operations!$F$1163-Operations!$F$1162</f>
        <v/>
      </c>
    </row>
    <row r="1165">
      <c r="D1165" t="inlineStr">
        <is>
          <t>Net cash versus normal hedged revenue for the same hours</t>
        </is>
      </c>
      <c r="E1165" t="inlineStr">
        <is>
          <t>USD m</t>
        </is>
      </c>
      <c r="F1165" s="20">
        <f>Operations!$F$1164-Operations!$F$1160*Inputs!$F$191/1000000</f>
        <v/>
      </c>
    </row>
    <row r="1167">
      <c r="A1167" s="4" t="inlineStr">
        <is>
          <t>Portfolio yield with inter-asset correlations (R-F01)</t>
        </is>
      </c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  <c r="Q1167" s="5" t="n"/>
      <c r="R1167" s="5" t="n"/>
      <c r="S1167" s="5" t="n"/>
      <c r="T1167" s="5" t="n"/>
      <c r="U1167" s="5" t="n"/>
      <c r="V1167" s="5" t="n"/>
      <c r="W1167" s="5" t="n"/>
      <c r="X1167" s="5" t="n"/>
      <c r="Y1167" s="5" t="n"/>
      <c r="Z1167" s="5" t="n"/>
      <c r="AA1167" s="5" t="n"/>
      <c r="AB1167" s="5" t="n"/>
      <c r="AC1167" s="5" t="n"/>
      <c r="AD1167" s="5" t="n"/>
      <c r="AE1167" s="5" t="n"/>
      <c r="AF1167" s="5" t="n"/>
      <c r="AG1167" s="5" t="n"/>
      <c r="AH1167" s="5" t="n"/>
      <c r="AI1167" s="5" t="n"/>
      <c r="AJ1167" s="5" t="n"/>
      <c r="AK1167" s="5" t="n"/>
      <c r="AL1167" s="5" t="n"/>
      <c r="AM1167" s="5" t="n"/>
      <c r="AN1167" s="5" t="n"/>
      <c r="AO1167" s="5" t="n"/>
      <c r="AP1167" s="5" t="n"/>
      <c r="AQ1167" s="5" t="n"/>
      <c r="AR1167" s="5" t="n"/>
      <c r="AS1167" s="5" t="n"/>
      <c r="AT1167" s="5" t="n"/>
      <c r="AU1167" s="5" t="n"/>
    </row>
    <row r="1168">
      <c r="D1168" t="inlineStr">
        <is>
          <t>P50, A1</t>
        </is>
      </c>
      <c r="E1168" t="inlineStr">
        <is>
          <t>GWh</t>
        </is>
      </c>
      <c r="F1168" s="20">
        <f>Inputs!$F$94+Inputs!$F$105+Inputs!$F$116+Inputs!$F$127+Inputs!$F$138</f>
        <v/>
      </c>
    </row>
    <row r="1169">
      <c r="D1169" t="inlineStr">
        <is>
          <t>Variance, lt component, A1</t>
        </is>
      </c>
      <c r="E1169" t="inlineStr">
        <is>
          <t>GWh^2</t>
        </is>
      </c>
      <c r="F1169" s="20">
        <f>Inputs!$F$94*Operations!$F$11*Inputs!$F$94*Operations!$F$11*1+Inputs!$F$94*Operations!$F$11*Inputs!$F$105*Operations!$F$17*Inputs!$F$183+Inputs!$F$94*Operations!$F$11*Inputs!$F$116*Operations!$F$23*Inputs!$F$183+Inputs!$F$94*Operations!$F$11*Inputs!$F$127*Operations!$F$29*Inputs!$F$184+Inputs!$F$94*Operations!$F$11*Inputs!$F$138*Operations!$F$35*Inputs!$F$184+Inputs!$F$105*Operations!$F$17*Inputs!$F$94*Operations!$F$11*Inputs!$F$183+Inputs!$F$105*Operations!$F$17*Inputs!$F$105*Operations!$F$17*1+Inputs!$F$105*Operations!$F$17*Inputs!$F$116*Operations!$F$23*Inputs!$F$183+Inputs!$F$105*Operations!$F$17*Inputs!$F$127*Operations!$F$29*Inputs!$F$184+Inputs!$F$105*Operations!$F$17*Inputs!$F$138*Operations!$F$35*Inputs!$F$184+Inputs!$F$116*Operations!$F$23*Inputs!$F$94*Operations!$F$11*Inputs!$F$183+Inputs!$F$116*Operations!$F$23*Inputs!$F$105*Operations!$F$17*Inputs!$F$183+Inputs!$F$116*Operations!$F$23*Inputs!$F$116*Operations!$F$23*1+Inputs!$F$116*Operations!$F$23*Inputs!$F$127*Operations!$F$29*Inputs!$F$184+Inputs!$F$116*Operations!$F$23*Inputs!$F$138*Operations!$F$35*Inputs!$F$184+Inputs!$F$127*Operations!$F$29*Inputs!$F$94*Operations!$F$11*Inputs!$F$184+Inputs!$F$127*Operations!$F$29*Inputs!$F$105*Operations!$F$17*Inputs!$F$184+Inputs!$F$127*Operations!$F$29*Inputs!$F$116*Operations!$F$23*Inputs!$F$184+Inputs!$F$127*Operations!$F$29*Inputs!$F$127*Operations!$F$29*1+Inputs!$F$127*Operations!$F$29*Inputs!$F$138*Operations!$F$35*Inputs!$F$183+Inputs!$F$138*Operations!$F$35*Inputs!$F$94*Operations!$F$11*Inputs!$F$184+Inputs!$F$138*Operations!$F$35*Inputs!$F$105*Operations!$F$17*Inputs!$F$184+Inputs!$F$138*Operations!$F$35*Inputs!$F$116*Operations!$F$23*Inputs!$F$184+Inputs!$F$138*Operations!$F$35*Inputs!$F$127*Operations!$F$29*Inputs!$F$183+Inputs!$F$138*Operations!$F$35*Inputs!$F$138*Operations!$F$35*1</f>
        <v/>
      </c>
    </row>
    <row r="1170">
      <c r="D1170" t="inlineStr">
        <is>
          <t>Variance, iav component, A1</t>
        </is>
      </c>
      <c r="E1170" t="inlineStr">
        <is>
          <t>GWh^2</t>
        </is>
      </c>
      <c r="F1170" s="20">
        <f>Inputs!$F$94*Operations!$F$10*Inputs!$F$94*Operations!$F$10*1+Inputs!$F$94*Operations!$F$10*Inputs!$F$105*Operations!$F$16*Inputs!$F$179+Inputs!$F$94*Operations!$F$10*Inputs!$F$116*Operations!$F$22*Inputs!$F$178+Inputs!$F$94*Operations!$F$10*Inputs!$F$127*Operations!$F$28*Inputs!$F$182+Inputs!$F$94*Operations!$F$10*Inputs!$F$138*Operations!$F$34*Inputs!$F$182+Inputs!$F$105*Operations!$F$16*Inputs!$F$94*Operations!$F$10*Inputs!$F$179+Inputs!$F$105*Operations!$F$16*Inputs!$F$105*Operations!$F$16*1+Inputs!$F$105*Operations!$F$16*Inputs!$F$116*Operations!$F$22*Inputs!$F$179+Inputs!$F$105*Operations!$F$16*Inputs!$F$127*Operations!$F$28*Inputs!$F$182+Inputs!$F$105*Operations!$F$16*Inputs!$F$138*Operations!$F$34*Inputs!$F$182+Inputs!$F$116*Operations!$F$22*Inputs!$F$94*Operations!$F$10*Inputs!$F$178+Inputs!$F$116*Operations!$F$22*Inputs!$F$105*Operations!$F$16*Inputs!$F$179+Inputs!$F$116*Operations!$F$22*Inputs!$F$116*Operations!$F$22*1+Inputs!$F$116*Operations!$F$22*Inputs!$F$127*Operations!$F$28*Inputs!$F$182+Inputs!$F$116*Operations!$F$22*Inputs!$F$138*Operations!$F$34*Inputs!$F$182+Inputs!$F$127*Operations!$F$28*Inputs!$F$94*Operations!$F$10*Inputs!$F$182+Inputs!$F$127*Operations!$F$28*Inputs!$F$105*Operations!$F$16*Inputs!$F$182+Inputs!$F$127*Operations!$F$28*Inputs!$F$116*Operations!$F$22*Inputs!$F$182+Inputs!$F$127*Operations!$F$28*Inputs!$F$127*Operations!$F$28*1+Inputs!$F$127*Operations!$F$28*Inputs!$F$138*Operations!$F$34*Inputs!$F$180+Inputs!$F$138*Operations!$F$34*Inputs!$F$94*Operations!$F$10*Inputs!$F$182+Inputs!$F$138*Operations!$F$34*Inputs!$F$105*Operations!$F$16*Inputs!$F$182+Inputs!$F$138*Operations!$F$34*Inputs!$F$116*Operations!$F$22*Inputs!$F$182+Inputs!$F$138*Operations!$F$34*Inputs!$F$127*Operations!$F$28*Inputs!$F$180+Inputs!$F$138*Operations!$F$34*Inputs!$F$138*Operations!$F$34*1</f>
        <v/>
      </c>
    </row>
    <row r="1171">
      <c r="D1171" t="inlineStr">
        <is>
          <t>Portfolio sigma 1yr, A1</t>
        </is>
      </c>
      <c r="E1171" t="inlineStr">
        <is>
          <t>GWh</t>
        </is>
      </c>
      <c r="F1171" s="20">
        <f>SQRT(Operations!$F$1169+Operations!$F$1170/1)</f>
        <v/>
      </c>
    </row>
    <row r="1172">
      <c r="D1172" t="inlineStr">
        <is>
          <t>Portfolio P90 1yr, A1</t>
        </is>
      </c>
      <c r="E1172" t="inlineStr">
        <is>
          <t>GWh</t>
        </is>
      </c>
      <c r="F1172" s="20">
        <f>Operations!$F$1168-Inputs!$F$30*Operations!$F$1171</f>
        <v/>
      </c>
    </row>
    <row r="1173">
      <c r="D1173" t="inlineStr">
        <is>
          <t>Portfolio P99 1yr, A1</t>
        </is>
      </c>
      <c r="E1173" t="inlineStr">
        <is>
          <t>GWh</t>
        </is>
      </c>
      <c r="F1173" s="20">
        <f>Operations!$F$1168-Inputs!$F$31*Operations!$F$1171</f>
        <v/>
      </c>
    </row>
    <row r="1174">
      <c r="D1174" t="inlineStr">
        <is>
          <t>P90 1yr if fully correlated, A1</t>
        </is>
      </c>
      <c r="E1174" t="inlineStr">
        <is>
          <t>GWh</t>
        </is>
      </c>
      <c r="F1174" s="20">
        <f>Operations!$F$1168-Inputs!$F$30*(Inputs!$F$94*Operations!$F$8+Inputs!$F$105*Operations!$F$14+Inputs!$F$116*Operations!$F$20+Inputs!$F$127*Operations!$F$26+Inputs!$F$138*Operations!$F$32)</f>
        <v/>
      </c>
    </row>
    <row r="1175">
      <c r="D1175" t="inlineStr">
        <is>
          <t>P90 1yr if independent, A1</t>
        </is>
      </c>
      <c r="E1175" t="inlineStr">
        <is>
          <t>GWh</t>
        </is>
      </c>
      <c r="F1175" s="20">
        <f>Operations!$F$1168-Inputs!$F$30*SQRT((Inputs!$F$94*Operations!$F$8)^2+(Inputs!$F$105*Operations!$F$14)^2+(Inputs!$F$116*Operations!$F$20)^2+(Inputs!$F$127*Operations!$F$26)^2+(Inputs!$F$138*Operations!$F$32)^2)</f>
        <v/>
      </c>
    </row>
    <row r="1176">
      <c r="D1176" t="inlineStr">
        <is>
          <t>Portfolio sigma 10yr, A1</t>
        </is>
      </c>
      <c r="E1176" t="inlineStr">
        <is>
          <t>GWh</t>
        </is>
      </c>
      <c r="F1176" s="20">
        <f>SQRT(Operations!$F$1169+Operations!$F$1170/Inputs!$F$32)</f>
        <v/>
      </c>
    </row>
    <row r="1177">
      <c r="D1177" t="inlineStr">
        <is>
          <t>Portfolio P90 10yr, A1</t>
        </is>
      </c>
      <c r="E1177" t="inlineStr">
        <is>
          <t>GWh</t>
        </is>
      </c>
      <c r="F1177" s="20">
        <f>Operations!$F$1168-Inputs!$F$30*Operations!$F$1176</f>
        <v/>
      </c>
    </row>
    <row r="1178">
      <c r="D1178" t="inlineStr">
        <is>
          <t>Portfolio P99 10yr, A1</t>
        </is>
      </c>
      <c r="E1178" t="inlineStr">
        <is>
          <t>GWh</t>
        </is>
      </c>
      <c r="F1178" s="20">
        <f>Operations!$F$1168-Inputs!$F$31*Operations!$F$1176</f>
        <v/>
      </c>
    </row>
    <row r="1179">
      <c r="D1179" t="inlineStr">
        <is>
          <t>P90 10yr if fully correlated, A1</t>
        </is>
      </c>
      <c r="E1179" t="inlineStr">
        <is>
          <t>GWh</t>
        </is>
      </c>
      <c r="F1179" s="20">
        <f>Operations!$F$1168-Inputs!$F$30*(Inputs!$F$94*Operations!$F$9+Inputs!$F$105*Operations!$F$15+Inputs!$F$116*Operations!$F$21+Inputs!$F$127*Operations!$F$27+Inputs!$F$138*Operations!$F$33)</f>
        <v/>
      </c>
    </row>
    <row r="1180">
      <c r="D1180" t="inlineStr">
        <is>
          <t>P90 10yr if independent, A1</t>
        </is>
      </c>
      <c r="E1180" t="inlineStr">
        <is>
          <t>GWh</t>
        </is>
      </c>
      <c r="F1180" s="20">
        <f>Operations!$F$1168-Inputs!$F$30*SQRT((Inputs!$F$94*Operations!$F$9)^2+(Inputs!$F$105*Operations!$F$15)^2+(Inputs!$F$116*Operations!$F$21)^2+(Inputs!$F$127*Operations!$F$27)^2+(Inputs!$F$138*Operations!$F$33)^2)</f>
        <v/>
      </c>
    </row>
    <row r="1181">
      <c r="D1181" t="inlineStr">
        <is>
          <t>P50, all_generation</t>
        </is>
      </c>
      <c r="E1181" t="inlineStr">
        <is>
          <t>GWh</t>
        </is>
      </c>
      <c r="F1181" s="20">
        <f>Inputs!$F$94+Inputs!$F$105+Inputs!$F$116+Inputs!$F$127+Inputs!$F$138+Inputs!$F$173</f>
        <v/>
      </c>
    </row>
    <row r="1182">
      <c r="D1182" t="inlineStr">
        <is>
          <t>Variance, lt component, all_generation</t>
        </is>
      </c>
      <c r="E1182" t="inlineStr">
        <is>
          <t>GWh^2</t>
        </is>
      </c>
      <c r="F1182" s="20">
        <f>Inputs!$F$94*Operations!$F$11*Inputs!$F$94*Operations!$F$11*1+Inputs!$F$94*Operations!$F$11*Inputs!$F$105*Operations!$F$17*Inputs!$F$183+Inputs!$F$94*Operations!$F$11*Inputs!$F$116*Operations!$F$23*Inputs!$F$183+Inputs!$F$94*Operations!$F$11*Inputs!$F$127*Operations!$F$29*Inputs!$F$184+Inputs!$F$94*Operations!$F$11*Inputs!$F$138*Operations!$F$35*Inputs!$F$184+Inputs!$F$94*Operations!$F$11*Inputs!$F$173*Operations!$F$41*Inputs!$F$184+Inputs!$F$105*Operations!$F$17*Inputs!$F$94*Operations!$F$11*Inputs!$F$183+Inputs!$F$105*Operations!$F$17*Inputs!$F$105*Operations!$F$17*1+Inputs!$F$105*Operations!$F$17*Inputs!$F$116*Operations!$F$23*Inputs!$F$183+Inputs!$F$105*Operations!$F$17*Inputs!$F$127*Operations!$F$29*Inputs!$F$184+Inputs!$F$105*Operations!$F$17*Inputs!$F$138*Operations!$F$35*Inputs!$F$184+Inputs!$F$105*Operations!$F$17*Inputs!$F$173*Operations!$F$41*Inputs!$F$184+Inputs!$F$116*Operations!$F$23*Inputs!$F$94*Operations!$F$11*Inputs!$F$183+Inputs!$F$116*Operations!$F$23*Inputs!$F$105*Operations!$F$17*Inputs!$F$183+Inputs!$F$116*Operations!$F$23*Inputs!$F$116*Operations!$F$23*1+Inputs!$F$116*Operations!$F$23*Inputs!$F$127*Operations!$F$29*Inputs!$F$184+Inputs!$F$116*Operations!$F$23*Inputs!$F$138*Operations!$F$35*Inputs!$F$184+Inputs!$F$116*Operations!$F$23*Inputs!$F$173*Operations!$F$41*Inputs!$F$184+Inputs!$F$127*Operations!$F$29*Inputs!$F$94*Operations!$F$11*Inputs!$F$184+Inputs!$F$127*Operations!$F$29*Inputs!$F$105*Operations!$F$17*Inputs!$F$184+Inputs!$F$127*Operations!$F$29*Inputs!$F$116*Operations!$F$23*Inputs!$F$184+Inputs!$F$127*Operations!$F$29*Inputs!$F$127*Operations!$F$29*1+Inputs!$F$127*Operations!$F$29*Inputs!$F$138*Operations!$F$35*Inputs!$F$183+Inputs!$F$127*Operations!$F$29*Inputs!$F$173*Operations!$F$41*Inputs!$F$183+Inputs!$F$138*Operations!$F$35*Inputs!$F$94*Operations!$F$11*Inputs!$F$184+Inputs!$F$138*Operations!$F$35*Inputs!$F$105*Operations!$F$17*Inputs!$F$184+Inputs!$F$138*Operations!$F$35*Inputs!$F$116*Operations!$F$23*Inputs!$F$184+Inputs!$F$138*Operations!$F$35*Inputs!$F$127*Operations!$F$29*Inputs!$F$183+Inputs!$F$138*Operations!$F$35*Inputs!$F$138*Operations!$F$35*1+Inputs!$F$138*Operations!$F$35*Inputs!$F$173*Operations!$F$41*Inputs!$F$183+Inputs!$F$173*Operations!$F$41*Inputs!$F$94*Operations!$F$11*Inputs!$F$184+Inputs!$F$173*Operations!$F$41*Inputs!$F$105*Operations!$F$17*Inputs!$F$184+Inputs!$F$173*Operations!$F$41*Inputs!$F$116*Operations!$F$23*Inputs!$F$184+Inputs!$F$173*Operations!$F$41*Inputs!$F$127*Operations!$F$29*Inputs!$F$183+Inputs!$F$173*Operations!$F$41*Inputs!$F$138*Operations!$F$35*Inputs!$F$183+Inputs!$F$173*Operations!$F$41*Inputs!$F$173*Operations!$F$41*1</f>
        <v/>
      </c>
    </row>
    <row r="1183">
      <c r="D1183" t="inlineStr">
        <is>
          <t>Variance, iav component, all_generation</t>
        </is>
      </c>
      <c r="E1183" t="inlineStr">
        <is>
          <t>GWh^2</t>
        </is>
      </c>
      <c r="F1183" s="20">
        <f>Inputs!$F$94*Operations!$F$10*Inputs!$F$94*Operations!$F$10*1+Inputs!$F$94*Operations!$F$10*Inputs!$F$105*Operations!$F$16*Inputs!$F$179+Inputs!$F$94*Operations!$F$10*Inputs!$F$116*Operations!$F$22*Inputs!$F$178+Inputs!$F$94*Operations!$F$10*Inputs!$F$127*Operations!$F$28*Inputs!$F$182+Inputs!$F$94*Operations!$F$10*Inputs!$F$138*Operations!$F$34*Inputs!$F$182+Inputs!$F$94*Operations!$F$10*Inputs!$F$173*Operations!$F$40*Inputs!$F$182+Inputs!$F$105*Operations!$F$16*Inputs!$F$94*Operations!$F$10*Inputs!$F$179+Inputs!$F$105*Operations!$F$16*Inputs!$F$105*Operations!$F$16*1+Inputs!$F$105*Operations!$F$16*Inputs!$F$116*Operations!$F$22*Inputs!$F$179+Inputs!$F$105*Operations!$F$16*Inputs!$F$127*Operations!$F$28*Inputs!$F$182+Inputs!$F$105*Operations!$F$16*Inputs!$F$138*Operations!$F$34*Inputs!$F$182+Inputs!$F$105*Operations!$F$16*Inputs!$F$173*Operations!$F$40*Inputs!$F$182+Inputs!$F$116*Operations!$F$22*Inputs!$F$94*Operations!$F$10*Inputs!$F$178+Inputs!$F$116*Operations!$F$22*Inputs!$F$105*Operations!$F$16*Inputs!$F$179+Inputs!$F$116*Operations!$F$22*Inputs!$F$116*Operations!$F$22*1+Inputs!$F$116*Operations!$F$22*Inputs!$F$127*Operations!$F$28*Inputs!$F$182+Inputs!$F$116*Operations!$F$22*Inputs!$F$138*Operations!$F$34*Inputs!$F$182+Inputs!$F$116*Operations!$F$22*Inputs!$F$173*Operations!$F$40*Inputs!$F$182+Inputs!$F$127*Operations!$F$28*Inputs!$F$94*Operations!$F$10*Inputs!$F$182+Inputs!$F$127*Operations!$F$28*Inputs!$F$105*Operations!$F$16*Inputs!$F$182+Inputs!$F$127*Operations!$F$28*Inputs!$F$116*Operations!$F$22*Inputs!$F$182+Inputs!$F$127*Operations!$F$28*Inputs!$F$127*Operations!$F$28*1+Inputs!$F$127*Operations!$F$28*Inputs!$F$138*Operations!$F$34*Inputs!$F$180+Inputs!$F$127*Operations!$F$28*Inputs!$F$173*Operations!$F$40*Inputs!$F$181+Inputs!$F$138*Operations!$F$34*Inputs!$F$94*Operations!$F$10*Inputs!$F$182+Inputs!$F$138*Operations!$F$34*Inputs!$F$105*Operations!$F$16*Inputs!$F$182+Inputs!$F$138*Operations!$F$34*Inputs!$F$116*Operations!$F$22*Inputs!$F$182+Inputs!$F$138*Operations!$F$34*Inputs!$F$127*Operations!$F$28*Inputs!$F$180+Inputs!$F$138*Operations!$F$34*Inputs!$F$138*Operations!$F$34*1+Inputs!$F$138*Operations!$F$34*Inputs!$F$173*Operations!$F$40*Inputs!$F$181+Inputs!$F$173*Operations!$F$40*Inputs!$F$94*Operations!$F$10*Inputs!$F$182+Inputs!$F$173*Operations!$F$40*Inputs!$F$105*Operations!$F$16*Inputs!$F$182+Inputs!$F$173*Operations!$F$40*Inputs!$F$116*Operations!$F$22*Inputs!$F$182+Inputs!$F$173*Operations!$F$40*Inputs!$F$127*Operations!$F$28*Inputs!$F$181+Inputs!$F$173*Operations!$F$40*Inputs!$F$138*Operations!$F$34*Inputs!$F$181+Inputs!$F$173*Operations!$F$40*Inputs!$F$173*Operations!$F$40*1</f>
        <v/>
      </c>
    </row>
    <row r="1184">
      <c r="D1184" t="inlineStr">
        <is>
          <t>Portfolio sigma 1yr, all_generation</t>
        </is>
      </c>
      <c r="E1184" t="inlineStr">
        <is>
          <t>GWh</t>
        </is>
      </c>
      <c r="F1184" s="20">
        <f>SQRT(Operations!$F$1182+Operations!$F$1183/1)</f>
        <v/>
      </c>
    </row>
    <row r="1185">
      <c r="D1185" t="inlineStr">
        <is>
          <t>Portfolio P90 1yr, all_generation</t>
        </is>
      </c>
      <c r="E1185" t="inlineStr">
        <is>
          <t>GWh</t>
        </is>
      </c>
      <c r="F1185" s="20">
        <f>Operations!$F$1181-Inputs!$F$30*Operations!$F$1184</f>
        <v/>
      </c>
    </row>
    <row r="1186">
      <c r="D1186" t="inlineStr">
        <is>
          <t>Portfolio P99 1yr, all_generation</t>
        </is>
      </c>
      <c r="E1186" t="inlineStr">
        <is>
          <t>GWh</t>
        </is>
      </c>
      <c r="F1186" s="20">
        <f>Operations!$F$1181-Inputs!$F$31*Operations!$F$1184</f>
        <v/>
      </c>
    </row>
    <row r="1187">
      <c r="D1187" t="inlineStr">
        <is>
          <t>P90 1yr if fully correlated, all_generation</t>
        </is>
      </c>
      <c r="E1187" t="inlineStr">
        <is>
          <t>GWh</t>
        </is>
      </c>
      <c r="F1187" s="20">
        <f>Operations!$F$1181-Inputs!$F$30*(Inputs!$F$94*Operations!$F$8+Inputs!$F$105*Operations!$F$14+Inputs!$F$116*Operations!$F$20+Inputs!$F$127*Operations!$F$26+Inputs!$F$138*Operations!$F$32+Inputs!$F$173*Operations!$F$38)</f>
        <v/>
      </c>
    </row>
    <row r="1188">
      <c r="D1188" t="inlineStr">
        <is>
          <t>P90 1yr if independent, all_generation</t>
        </is>
      </c>
      <c r="E1188" t="inlineStr">
        <is>
          <t>GWh</t>
        </is>
      </c>
      <c r="F1188" s="20">
        <f>Operations!$F$1181-Inputs!$F$30*SQRT((Inputs!$F$94*Operations!$F$8)^2+(Inputs!$F$105*Operations!$F$14)^2+(Inputs!$F$116*Operations!$F$20)^2+(Inputs!$F$127*Operations!$F$26)^2+(Inputs!$F$138*Operations!$F$32)^2+(Inputs!$F$173*Operations!$F$38)^2)</f>
        <v/>
      </c>
    </row>
    <row r="1189">
      <c r="D1189" t="inlineStr">
        <is>
          <t>Portfolio sigma 10yr, all_generation</t>
        </is>
      </c>
      <c r="E1189" t="inlineStr">
        <is>
          <t>GWh</t>
        </is>
      </c>
      <c r="F1189" s="20">
        <f>SQRT(Operations!$F$1182+Operations!$F$1183/Inputs!$F$32)</f>
        <v/>
      </c>
    </row>
    <row r="1190">
      <c r="D1190" t="inlineStr">
        <is>
          <t>Portfolio P90 10yr, all_generation</t>
        </is>
      </c>
      <c r="E1190" t="inlineStr">
        <is>
          <t>GWh</t>
        </is>
      </c>
      <c r="F1190" s="20">
        <f>Operations!$F$1181-Inputs!$F$30*Operations!$F$1189</f>
        <v/>
      </c>
    </row>
    <row r="1191">
      <c r="D1191" t="inlineStr">
        <is>
          <t>Portfolio P99 10yr, all_generation</t>
        </is>
      </c>
      <c r="E1191" t="inlineStr">
        <is>
          <t>GWh</t>
        </is>
      </c>
      <c r="F1191" s="20">
        <f>Operations!$F$1181-Inputs!$F$31*Operations!$F$1189</f>
        <v/>
      </c>
    </row>
    <row r="1192">
      <c r="D1192" t="inlineStr">
        <is>
          <t>P90 10yr if fully correlated, all_generation</t>
        </is>
      </c>
      <c r="E1192" t="inlineStr">
        <is>
          <t>GWh</t>
        </is>
      </c>
      <c r="F1192" s="20">
        <f>Operations!$F$1181-Inputs!$F$30*(Inputs!$F$94*Operations!$F$9+Inputs!$F$105*Operations!$F$15+Inputs!$F$116*Operations!$F$21+Inputs!$F$127*Operations!$F$27+Inputs!$F$138*Operations!$F$33+Inputs!$F$173*Operations!$F$39)</f>
        <v/>
      </c>
    </row>
    <row r="1193">
      <c r="D1193" t="inlineStr">
        <is>
          <t>P90 10yr if independent, all_generation</t>
        </is>
      </c>
      <c r="E1193" t="inlineStr">
        <is>
          <t>GWh</t>
        </is>
      </c>
      <c r="F1193" s="20">
        <f>Operations!$F$1181-Inputs!$F$30*SQRT((Inputs!$F$94*Operations!$F$9)^2+(Inputs!$F$105*Operations!$F$15)^2+(Inputs!$F$116*Operations!$F$21)^2+(Inputs!$F$127*Operations!$F$27)^2+(Inputs!$F$138*Operations!$F$33)^2+(Inputs!$F$173*Operations!$F$39)^2)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Tax: depreciation of purchase prices, taxable income, NOL and cash tax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D4" t="inlineStr">
        <is>
          <t>Year</t>
        </is>
      </c>
      <c r="J4" s="2">
        <f>Time!J$4</f>
        <v/>
      </c>
      <c r="K4" s="2">
        <f>Time!K$4</f>
        <v/>
      </c>
      <c r="L4" s="2">
        <f>Time!L$4</f>
        <v/>
      </c>
      <c r="M4" s="2">
        <f>Time!M$4</f>
        <v/>
      </c>
      <c r="N4" s="2">
        <f>Time!N$4</f>
        <v/>
      </c>
      <c r="O4" s="2">
        <f>Time!O$4</f>
        <v/>
      </c>
      <c r="P4" s="2">
        <f>Time!P$4</f>
        <v/>
      </c>
      <c r="Q4" s="2">
        <f>Time!Q$4</f>
        <v/>
      </c>
      <c r="R4" s="2">
        <f>Time!R$4</f>
        <v/>
      </c>
      <c r="S4" s="2">
        <f>Time!S$4</f>
        <v/>
      </c>
      <c r="T4" s="2">
        <f>Time!T$4</f>
        <v/>
      </c>
      <c r="U4" s="2">
        <f>Time!U$4</f>
        <v/>
      </c>
      <c r="V4" s="2">
        <f>Time!V$4</f>
        <v/>
      </c>
      <c r="W4" s="2">
        <f>Time!W$4</f>
        <v/>
      </c>
      <c r="X4" s="2">
        <f>Time!X$4</f>
        <v/>
      </c>
      <c r="Y4" s="2">
        <f>Time!Y$4</f>
        <v/>
      </c>
      <c r="Z4" s="2">
        <f>Time!Z$4</f>
        <v/>
      </c>
      <c r="AA4" s="2">
        <f>Time!AA$4</f>
        <v/>
      </c>
      <c r="AB4" s="2">
        <f>Time!AB$4</f>
        <v/>
      </c>
      <c r="AC4" s="2">
        <f>Time!AC$4</f>
        <v/>
      </c>
      <c r="AD4" s="2">
        <f>Time!AD$4</f>
        <v/>
      </c>
      <c r="AE4" s="2">
        <f>Time!AE$4</f>
        <v/>
      </c>
      <c r="AF4" s="2">
        <f>Time!AF$4</f>
        <v/>
      </c>
      <c r="AG4" s="2">
        <f>Time!AG$4</f>
        <v/>
      </c>
      <c r="AH4" s="2">
        <f>Time!AH$4</f>
        <v/>
      </c>
      <c r="AI4" s="2">
        <f>Time!AI$4</f>
        <v/>
      </c>
      <c r="AJ4" s="2">
        <f>Time!AJ$4</f>
        <v/>
      </c>
      <c r="AK4" s="2">
        <f>Time!AK$4</f>
        <v/>
      </c>
      <c r="AL4" s="2">
        <f>Time!AL$4</f>
        <v/>
      </c>
      <c r="AM4" s="2">
        <f>Time!AM$4</f>
        <v/>
      </c>
      <c r="AN4" s="2">
        <f>Time!AN$4</f>
        <v/>
      </c>
      <c r="AO4" s="2">
        <f>Time!AO$4</f>
        <v/>
      </c>
      <c r="AP4" s="2">
        <f>Time!AP$4</f>
        <v/>
      </c>
      <c r="AQ4" s="2">
        <f>Time!AQ$4</f>
        <v/>
      </c>
      <c r="AR4" s="2">
        <f>Time!AR$4</f>
        <v/>
      </c>
      <c r="AS4" s="2">
        <f>Time!AS$4</f>
        <v/>
      </c>
      <c r="AT4" s="2">
        <f>Time!AT$4</f>
        <v/>
      </c>
      <c r="AU4" s="2">
        <f>Time!AU$4</f>
        <v/>
      </c>
    </row>
    <row r="5">
      <c r="D5" t="inlineStr">
        <is>
          <t>Period end</t>
        </is>
      </c>
      <c r="J5" s="3">
        <f>Time!J$6</f>
        <v/>
      </c>
      <c r="K5" s="3">
        <f>Time!K$6</f>
        <v/>
      </c>
      <c r="L5" s="3">
        <f>Time!L$6</f>
        <v/>
      </c>
      <c r="M5" s="3">
        <f>Time!M$6</f>
        <v/>
      </c>
      <c r="N5" s="3">
        <f>Time!N$6</f>
        <v/>
      </c>
      <c r="O5" s="3">
        <f>Time!O$6</f>
        <v/>
      </c>
      <c r="P5" s="3">
        <f>Time!P$6</f>
        <v/>
      </c>
      <c r="Q5" s="3">
        <f>Time!Q$6</f>
        <v/>
      </c>
      <c r="R5" s="3">
        <f>Time!R$6</f>
        <v/>
      </c>
      <c r="S5" s="3">
        <f>Time!S$6</f>
        <v/>
      </c>
      <c r="T5" s="3">
        <f>Time!T$6</f>
        <v/>
      </c>
      <c r="U5" s="3">
        <f>Time!U$6</f>
        <v/>
      </c>
      <c r="V5" s="3">
        <f>Time!V$6</f>
        <v/>
      </c>
      <c r="W5" s="3">
        <f>Time!W$6</f>
        <v/>
      </c>
      <c r="X5" s="3">
        <f>Time!X$6</f>
        <v/>
      </c>
      <c r="Y5" s="3">
        <f>Time!Y$6</f>
        <v/>
      </c>
      <c r="Z5" s="3">
        <f>Time!Z$6</f>
        <v/>
      </c>
      <c r="AA5" s="3">
        <f>Time!AA$6</f>
        <v/>
      </c>
      <c r="AB5" s="3">
        <f>Time!AB$6</f>
        <v/>
      </c>
      <c r="AC5" s="3">
        <f>Time!AC$6</f>
        <v/>
      </c>
      <c r="AD5" s="3">
        <f>Time!AD$6</f>
        <v/>
      </c>
      <c r="AE5" s="3">
        <f>Time!AE$6</f>
        <v/>
      </c>
      <c r="AF5" s="3">
        <f>Time!AF$6</f>
        <v/>
      </c>
      <c r="AG5" s="3">
        <f>Time!AG$6</f>
        <v/>
      </c>
      <c r="AH5" s="3">
        <f>Time!AH$6</f>
        <v/>
      </c>
      <c r="AI5" s="3">
        <f>Time!AI$6</f>
        <v/>
      </c>
      <c r="AJ5" s="3">
        <f>Time!AJ$6</f>
        <v/>
      </c>
      <c r="AK5" s="3">
        <f>Time!AK$6</f>
        <v/>
      </c>
      <c r="AL5" s="3">
        <f>Time!AL$6</f>
        <v/>
      </c>
      <c r="AM5" s="3">
        <f>Time!AM$6</f>
        <v/>
      </c>
      <c r="AN5" s="3">
        <f>Time!AN$6</f>
        <v/>
      </c>
      <c r="AO5" s="3">
        <f>Time!AO$6</f>
        <v/>
      </c>
      <c r="AP5" s="3">
        <f>Time!AP$6</f>
        <v/>
      </c>
      <c r="AQ5" s="3">
        <f>Time!AQ$6</f>
        <v/>
      </c>
      <c r="AR5" s="3">
        <f>Time!AR$6</f>
        <v/>
      </c>
      <c r="AS5" s="3">
        <f>Time!AS$6</f>
        <v/>
      </c>
      <c r="AT5" s="3">
        <f>Time!AT$6</f>
        <v/>
      </c>
      <c r="AU5" s="3">
        <f>Time!AU$6</f>
        <v/>
      </c>
    </row>
    <row r="7">
      <c r="A7" s="4" t="inlineStr">
        <is>
          <t>ITC on R7 and R8 (claimed by the fund and transferred)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D8" t="inlineStr">
        <is>
          <t>R7 ITC</t>
        </is>
      </c>
      <c r="E8" t="inlineStr">
        <is>
          <t>USD m</t>
        </is>
      </c>
      <c r="F8" s="20">
        <f>Inputs!$F$248/100*Inputs!$F$249/100*Inputs!$F$263</f>
        <v/>
      </c>
    </row>
    <row r="9">
      <c r="D9" t="inlineStr">
        <is>
          <t>R8 ITC</t>
        </is>
      </c>
      <c r="E9" t="inlineStr">
        <is>
          <t>USD m</t>
        </is>
      </c>
      <c r="F9" s="20">
        <f>Inputs!$F$250/100*Inputs!$F$251/100*Inputs!$F$264</f>
        <v/>
      </c>
    </row>
    <row r="11">
      <c r="A11" s="4" t="inlineStr">
        <is>
          <t>Tax depreciation (bonus in acquisition year, MACRS half-year on the remainder)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</row>
    <row r="12">
      <c r="D12" t="inlineStr">
        <is>
          <t>Depreciable basis, A1</t>
        </is>
      </c>
      <c r="E12" t="inlineStr">
        <is>
          <t>USD m</t>
        </is>
      </c>
      <c r="F12" s="20">
        <f>Inputs!$F$257</f>
        <v/>
      </c>
    </row>
    <row r="13">
      <c r="D13" t="inlineStr">
        <is>
          <t>Recovery year index, A1</t>
        </is>
      </c>
      <c r="E13" t="inlineStr">
        <is>
          <t>years</t>
        </is>
      </c>
      <c r="J13" s="12">
        <f>Time!J$4-YEAR(Inputs!$F$256)</f>
        <v/>
      </c>
      <c r="K13" s="12">
        <f>Time!K$4-YEAR(Inputs!$F$256)</f>
        <v/>
      </c>
      <c r="L13" s="12">
        <f>Time!L$4-YEAR(Inputs!$F$256)</f>
        <v/>
      </c>
      <c r="M13" s="12">
        <f>Time!M$4-YEAR(Inputs!$F$256)</f>
        <v/>
      </c>
      <c r="N13" s="12">
        <f>Time!N$4-YEAR(Inputs!$F$256)</f>
        <v/>
      </c>
      <c r="O13" s="12">
        <f>Time!O$4-YEAR(Inputs!$F$256)</f>
        <v/>
      </c>
      <c r="P13" s="12">
        <f>Time!P$4-YEAR(Inputs!$F$256)</f>
        <v/>
      </c>
      <c r="Q13" s="12">
        <f>Time!Q$4-YEAR(Inputs!$F$256)</f>
        <v/>
      </c>
      <c r="R13" s="12">
        <f>Time!R$4-YEAR(Inputs!$F$256)</f>
        <v/>
      </c>
      <c r="S13" s="12">
        <f>Time!S$4-YEAR(Inputs!$F$256)</f>
        <v/>
      </c>
      <c r="T13" s="12">
        <f>Time!T$4-YEAR(Inputs!$F$256)</f>
        <v/>
      </c>
      <c r="U13" s="12">
        <f>Time!U$4-YEAR(Inputs!$F$256)</f>
        <v/>
      </c>
      <c r="V13" s="12">
        <f>Time!V$4-YEAR(Inputs!$F$256)</f>
        <v/>
      </c>
      <c r="W13" s="12">
        <f>Time!W$4-YEAR(Inputs!$F$256)</f>
        <v/>
      </c>
      <c r="X13" s="12">
        <f>Time!X$4-YEAR(Inputs!$F$256)</f>
        <v/>
      </c>
      <c r="Y13" s="12">
        <f>Time!Y$4-YEAR(Inputs!$F$256)</f>
        <v/>
      </c>
      <c r="Z13" s="12">
        <f>Time!Z$4-YEAR(Inputs!$F$256)</f>
        <v/>
      </c>
      <c r="AA13" s="12">
        <f>Time!AA$4-YEAR(Inputs!$F$256)</f>
        <v/>
      </c>
      <c r="AB13" s="12">
        <f>Time!AB$4-YEAR(Inputs!$F$256)</f>
        <v/>
      </c>
      <c r="AC13" s="12">
        <f>Time!AC$4-YEAR(Inputs!$F$256)</f>
        <v/>
      </c>
      <c r="AD13" s="12">
        <f>Time!AD$4-YEAR(Inputs!$F$256)</f>
        <v/>
      </c>
      <c r="AE13" s="12">
        <f>Time!AE$4-YEAR(Inputs!$F$256)</f>
        <v/>
      </c>
      <c r="AF13" s="12">
        <f>Time!AF$4-YEAR(Inputs!$F$256)</f>
        <v/>
      </c>
      <c r="AG13" s="12">
        <f>Time!AG$4-YEAR(Inputs!$F$256)</f>
        <v/>
      </c>
      <c r="AH13" s="12">
        <f>Time!AH$4-YEAR(Inputs!$F$256)</f>
        <v/>
      </c>
      <c r="AI13" s="12">
        <f>Time!AI$4-YEAR(Inputs!$F$256)</f>
        <v/>
      </c>
      <c r="AJ13" s="12">
        <f>Time!AJ$4-YEAR(Inputs!$F$256)</f>
        <v/>
      </c>
      <c r="AK13" s="12">
        <f>Time!AK$4-YEAR(Inputs!$F$256)</f>
        <v/>
      </c>
      <c r="AL13" s="12">
        <f>Time!AL$4-YEAR(Inputs!$F$256)</f>
        <v/>
      </c>
      <c r="AM13" s="12">
        <f>Time!AM$4-YEAR(Inputs!$F$256)</f>
        <v/>
      </c>
      <c r="AN13" s="12">
        <f>Time!AN$4-YEAR(Inputs!$F$256)</f>
        <v/>
      </c>
      <c r="AO13" s="12">
        <f>Time!AO$4-YEAR(Inputs!$F$256)</f>
        <v/>
      </c>
      <c r="AP13" s="12">
        <f>Time!AP$4-YEAR(Inputs!$F$256)</f>
        <v/>
      </c>
      <c r="AQ13" s="12">
        <f>Time!AQ$4-YEAR(Inputs!$F$256)</f>
        <v/>
      </c>
      <c r="AR13" s="12">
        <f>Time!AR$4-YEAR(Inputs!$F$256)</f>
        <v/>
      </c>
      <c r="AS13" s="12">
        <f>Time!AS$4-YEAR(Inputs!$F$256)</f>
        <v/>
      </c>
      <c r="AT13" s="12">
        <f>Time!AT$4-YEAR(Inputs!$F$256)</f>
        <v/>
      </c>
      <c r="AU13" s="12">
        <f>Time!AU$4-YEAR(Inputs!$F$256)</f>
        <v/>
      </c>
    </row>
    <row r="14">
      <c r="D14" t="inlineStr">
        <is>
          <t>Tax depreciation, A1</t>
        </is>
      </c>
      <c r="E14" t="inlineStr">
        <is>
          <t>USD m</t>
        </is>
      </c>
      <c r="G14" s="20">
        <f>SUM(J14:AU14)</f>
        <v/>
      </c>
      <c r="J14" s="20">
        <f>Tax!$F$12*(Inputs!$F$243/100+Inputs!$F$244/100)*(IF(Tax!J13=0,Inputs!$F$245/100,0)+(1-Inputs!$F$245/100)*IF(AND(Tax!J13&gt;=0,Tax!J13&lt;Inputs!$F$84),INDEX(Inputs!$J$82:$AU$82,Tax!J13+1),0))+Tax!$F$12*Inputs!$F$244/100*(IF(Tax!J13=0,0,0))+Tax!$F$12*Inputs!$F$244/100*(1-Inputs!$F$245/100)*(IF(AND(Tax!J13&gt;=0,Tax!J13&lt;Inputs!$F$85),INDEX(Inputs!$J$83:$AU$83,Tax!J13+1),0)-IF(AND(Tax!J13&gt;=0,Tax!J13&lt;Inputs!$F$84),INDEX(Inputs!$J$82:$AU$82,Tax!J13+1),0))</f>
        <v/>
      </c>
      <c r="K14" s="20">
        <f>Tax!$F$12*(Inputs!$F$243/100+Inputs!$F$244/100)*(IF(Tax!K13=0,Inputs!$F$245/100,0)+(1-Inputs!$F$245/100)*IF(AND(Tax!K13&gt;=0,Tax!K13&lt;Inputs!$F$84),INDEX(Inputs!$J$82:$AU$82,Tax!K13+1),0))+Tax!$F$12*Inputs!$F$244/100*(IF(Tax!K13=0,0,0))+Tax!$F$12*Inputs!$F$244/100*(1-Inputs!$F$245/100)*(IF(AND(Tax!K13&gt;=0,Tax!K13&lt;Inputs!$F$85),INDEX(Inputs!$J$83:$AU$83,Tax!K13+1),0)-IF(AND(Tax!K13&gt;=0,Tax!K13&lt;Inputs!$F$84),INDEX(Inputs!$J$82:$AU$82,Tax!K13+1),0))</f>
        <v/>
      </c>
      <c r="L14" s="20">
        <f>Tax!$F$12*(Inputs!$F$243/100+Inputs!$F$244/100)*(IF(Tax!L13=0,Inputs!$F$245/100,0)+(1-Inputs!$F$245/100)*IF(AND(Tax!L13&gt;=0,Tax!L13&lt;Inputs!$F$84),INDEX(Inputs!$J$82:$AU$82,Tax!L13+1),0))+Tax!$F$12*Inputs!$F$244/100*(IF(Tax!L13=0,0,0))+Tax!$F$12*Inputs!$F$244/100*(1-Inputs!$F$245/100)*(IF(AND(Tax!L13&gt;=0,Tax!L13&lt;Inputs!$F$85),INDEX(Inputs!$J$83:$AU$83,Tax!L13+1),0)-IF(AND(Tax!L13&gt;=0,Tax!L13&lt;Inputs!$F$84),INDEX(Inputs!$J$82:$AU$82,Tax!L13+1),0))</f>
        <v/>
      </c>
      <c r="M14" s="20">
        <f>Tax!$F$12*(Inputs!$F$243/100+Inputs!$F$244/100)*(IF(Tax!M13=0,Inputs!$F$245/100,0)+(1-Inputs!$F$245/100)*IF(AND(Tax!M13&gt;=0,Tax!M13&lt;Inputs!$F$84),INDEX(Inputs!$J$82:$AU$82,Tax!M13+1),0))+Tax!$F$12*Inputs!$F$244/100*(IF(Tax!M13=0,0,0))+Tax!$F$12*Inputs!$F$244/100*(1-Inputs!$F$245/100)*(IF(AND(Tax!M13&gt;=0,Tax!M13&lt;Inputs!$F$85),INDEX(Inputs!$J$83:$AU$83,Tax!M13+1),0)-IF(AND(Tax!M13&gt;=0,Tax!M13&lt;Inputs!$F$84),INDEX(Inputs!$J$82:$AU$82,Tax!M13+1),0))</f>
        <v/>
      </c>
      <c r="N14" s="20">
        <f>Tax!$F$12*(Inputs!$F$243/100+Inputs!$F$244/100)*(IF(Tax!N13=0,Inputs!$F$245/100,0)+(1-Inputs!$F$245/100)*IF(AND(Tax!N13&gt;=0,Tax!N13&lt;Inputs!$F$84),INDEX(Inputs!$J$82:$AU$82,Tax!N13+1),0))+Tax!$F$12*Inputs!$F$244/100*(IF(Tax!N13=0,0,0))+Tax!$F$12*Inputs!$F$244/100*(1-Inputs!$F$245/100)*(IF(AND(Tax!N13&gt;=0,Tax!N13&lt;Inputs!$F$85),INDEX(Inputs!$J$83:$AU$83,Tax!N13+1),0)-IF(AND(Tax!N13&gt;=0,Tax!N13&lt;Inputs!$F$84),INDEX(Inputs!$J$82:$AU$82,Tax!N13+1),0))</f>
        <v/>
      </c>
      <c r="O14" s="20">
        <f>Tax!$F$12*(Inputs!$F$243/100+Inputs!$F$244/100)*(IF(Tax!O13=0,Inputs!$F$245/100,0)+(1-Inputs!$F$245/100)*IF(AND(Tax!O13&gt;=0,Tax!O13&lt;Inputs!$F$84),INDEX(Inputs!$J$82:$AU$82,Tax!O13+1),0))+Tax!$F$12*Inputs!$F$244/100*(IF(Tax!O13=0,0,0))+Tax!$F$12*Inputs!$F$244/100*(1-Inputs!$F$245/100)*(IF(AND(Tax!O13&gt;=0,Tax!O13&lt;Inputs!$F$85),INDEX(Inputs!$J$83:$AU$83,Tax!O13+1),0)-IF(AND(Tax!O13&gt;=0,Tax!O13&lt;Inputs!$F$84),INDEX(Inputs!$J$82:$AU$82,Tax!O13+1),0))</f>
        <v/>
      </c>
      <c r="P14" s="20">
        <f>Tax!$F$12*(Inputs!$F$243/100+Inputs!$F$244/100)*(IF(Tax!P13=0,Inputs!$F$245/100,0)+(1-Inputs!$F$245/100)*IF(AND(Tax!P13&gt;=0,Tax!P13&lt;Inputs!$F$84),INDEX(Inputs!$J$82:$AU$82,Tax!P13+1),0))+Tax!$F$12*Inputs!$F$244/100*(IF(Tax!P13=0,0,0))+Tax!$F$12*Inputs!$F$244/100*(1-Inputs!$F$245/100)*(IF(AND(Tax!P13&gt;=0,Tax!P13&lt;Inputs!$F$85),INDEX(Inputs!$J$83:$AU$83,Tax!P13+1),0)-IF(AND(Tax!P13&gt;=0,Tax!P13&lt;Inputs!$F$84),INDEX(Inputs!$J$82:$AU$82,Tax!P13+1),0))</f>
        <v/>
      </c>
      <c r="Q14" s="20">
        <f>Tax!$F$12*(Inputs!$F$243/100+Inputs!$F$244/100)*(IF(Tax!Q13=0,Inputs!$F$245/100,0)+(1-Inputs!$F$245/100)*IF(AND(Tax!Q13&gt;=0,Tax!Q13&lt;Inputs!$F$84),INDEX(Inputs!$J$82:$AU$82,Tax!Q13+1),0))+Tax!$F$12*Inputs!$F$244/100*(IF(Tax!Q13=0,0,0))+Tax!$F$12*Inputs!$F$244/100*(1-Inputs!$F$245/100)*(IF(AND(Tax!Q13&gt;=0,Tax!Q13&lt;Inputs!$F$85),INDEX(Inputs!$J$83:$AU$83,Tax!Q13+1),0)-IF(AND(Tax!Q13&gt;=0,Tax!Q13&lt;Inputs!$F$84),INDEX(Inputs!$J$82:$AU$82,Tax!Q13+1),0))</f>
        <v/>
      </c>
      <c r="R14" s="20">
        <f>Tax!$F$12*(Inputs!$F$243/100+Inputs!$F$244/100)*(IF(Tax!R13=0,Inputs!$F$245/100,0)+(1-Inputs!$F$245/100)*IF(AND(Tax!R13&gt;=0,Tax!R13&lt;Inputs!$F$84),INDEX(Inputs!$J$82:$AU$82,Tax!R13+1),0))+Tax!$F$12*Inputs!$F$244/100*(IF(Tax!R13=0,0,0))+Tax!$F$12*Inputs!$F$244/100*(1-Inputs!$F$245/100)*(IF(AND(Tax!R13&gt;=0,Tax!R13&lt;Inputs!$F$85),INDEX(Inputs!$J$83:$AU$83,Tax!R13+1),0)-IF(AND(Tax!R13&gt;=0,Tax!R13&lt;Inputs!$F$84),INDEX(Inputs!$J$82:$AU$82,Tax!R13+1),0))</f>
        <v/>
      </c>
      <c r="S14" s="20">
        <f>Tax!$F$12*(Inputs!$F$243/100+Inputs!$F$244/100)*(IF(Tax!S13=0,Inputs!$F$245/100,0)+(1-Inputs!$F$245/100)*IF(AND(Tax!S13&gt;=0,Tax!S13&lt;Inputs!$F$84),INDEX(Inputs!$J$82:$AU$82,Tax!S13+1),0))+Tax!$F$12*Inputs!$F$244/100*(IF(Tax!S13=0,0,0))+Tax!$F$12*Inputs!$F$244/100*(1-Inputs!$F$245/100)*(IF(AND(Tax!S13&gt;=0,Tax!S13&lt;Inputs!$F$85),INDEX(Inputs!$J$83:$AU$83,Tax!S13+1),0)-IF(AND(Tax!S13&gt;=0,Tax!S13&lt;Inputs!$F$84),INDEX(Inputs!$J$82:$AU$82,Tax!S13+1),0))</f>
        <v/>
      </c>
      <c r="T14" s="20">
        <f>Tax!$F$12*(Inputs!$F$243/100+Inputs!$F$244/100)*(IF(Tax!T13=0,Inputs!$F$245/100,0)+(1-Inputs!$F$245/100)*IF(AND(Tax!T13&gt;=0,Tax!T13&lt;Inputs!$F$84),INDEX(Inputs!$J$82:$AU$82,Tax!T13+1),0))+Tax!$F$12*Inputs!$F$244/100*(IF(Tax!T13=0,0,0))+Tax!$F$12*Inputs!$F$244/100*(1-Inputs!$F$245/100)*(IF(AND(Tax!T13&gt;=0,Tax!T13&lt;Inputs!$F$85),INDEX(Inputs!$J$83:$AU$83,Tax!T13+1),0)-IF(AND(Tax!T13&gt;=0,Tax!T13&lt;Inputs!$F$84),INDEX(Inputs!$J$82:$AU$82,Tax!T13+1),0))</f>
        <v/>
      </c>
      <c r="U14" s="20">
        <f>Tax!$F$12*(Inputs!$F$243/100+Inputs!$F$244/100)*(IF(Tax!U13=0,Inputs!$F$245/100,0)+(1-Inputs!$F$245/100)*IF(AND(Tax!U13&gt;=0,Tax!U13&lt;Inputs!$F$84),INDEX(Inputs!$J$82:$AU$82,Tax!U13+1),0))+Tax!$F$12*Inputs!$F$244/100*(IF(Tax!U13=0,0,0))+Tax!$F$12*Inputs!$F$244/100*(1-Inputs!$F$245/100)*(IF(AND(Tax!U13&gt;=0,Tax!U13&lt;Inputs!$F$85),INDEX(Inputs!$J$83:$AU$83,Tax!U13+1),0)-IF(AND(Tax!U13&gt;=0,Tax!U13&lt;Inputs!$F$84),INDEX(Inputs!$J$82:$AU$82,Tax!U13+1),0))</f>
        <v/>
      </c>
      <c r="V14" s="20">
        <f>Tax!$F$12*(Inputs!$F$243/100+Inputs!$F$244/100)*(IF(Tax!V13=0,Inputs!$F$245/100,0)+(1-Inputs!$F$245/100)*IF(AND(Tax!V13&gt;=0,Tax!V13&lt;Inputs!$F$84),INDEX(Inputs!$J$82:$AU$82,Tax!V13+1),0))+Tax!$F$12*Inputs!$F$244/100*(IF(Tax!V13=0,0,0))+Tax!$F$12*Inputs!$F$244/100*(1-Inputs!$F$245/100)*(IF(AND(Tax!V13&gt;=0,Tax!V13&lt;Inputs!$F$85),INDEX(Inputs!$J$83:$AU$83,Tax!V13+1),0)-IF(AND(Tax!V13&gt;=0,Tax!V13&lt;Inputs!$F$84),INDEX(Inputs!$J$82:$AU$82,Tax!V13+1),0))</f>
        <v/>
      </c>
      <c r="W14" s="20">
        <f>Tax!$F$12*(Inputs!$F$243/100+Inputs!$F$244/100)*(IF(Tax!W13=0,Inputs!$F$245/100,0)+(1-Inputs!$F$245/100)*IF(AND(Tax!W13&gt;=0,Tax!W13&lt;Inputs!$F$84),INDEX(Inputs!$J$82:$AU$82,Tax!W13+1),0))+Tax!$F$12*Inputs!$F$244/100*(IF(Tax!W13=0,0,0))+Tax!$F$12*Inputs!$F$244/100*(1-Inputs!$F$245/100)*(IF(AND(Tax!W13&gt;=0,Tax!W13&lt;Inputs!$F$85),INDEX(Inputs!$J$83:$AU$83,Tax!W13+1),0)-IF(AND(Tax!W13&gt;=0,Tax!W13&lt;Inputs!$F$84),INDEX(Inputs!$J$82:$AU$82,Tax!W13+1),0))</f>
        <v/>
      </c>
      <c r="X14" s="20">
        <f>Tax!$F$12*(Inputs!$F$243/100+Inputs!$F$244/100)*(IF(Tax!X13=0,Inputs!$F$245/100,0)+(1-Inputs!$F$245/100)*IF(AND(Tax!X13&gt;=0,Tax!X13&lt;Inputs!$F$84),INDEX(Inputs!$J$82:$AU$82,Tax!X13+1),0))+Tax!$F$12*Inputs!$F$244/100*(IF(Tax!X13=0,0,0))+Tax!$F$12*Inputs!$F$244/100*(1-Inputs!$F$245/100)*(IF(AND(Tax!X13&gt;=0,Tax!X13&lt;Inputs!$F$85),INDEX(Inputs!$J$83:$AU$83,Tax!X13+1),0)-IF(AND(Tax!X13&gt;=0,Tax!X13&lt;Inputs!$F$84),INDEX(Inputs!$J$82:$AU$82,Tax!X13+1),0))</f>
        <v/>
      </c>
      <c r="Y14" s="20">
        <f>Tax!$F$12*(Inputs!$F$243/100+Inputs!$F$244/100)*(IF(Tax!Y13=0,Inputs!$F$245/100,0)+(1-Inputs!$F$245/100)*IF(AND(Tax!Y13&gt;=0,Tax!Y13&lt;Inputs!$F$84),INDEX(Inputs!$J$82:$AU$82,Tax!Y13+1),0))+Tax!$F$12*Inputs!$F$244/100*(IF(Tax!Y13=0,0,0))+Tax!$F$12*Inputs!$F$244/100*(1-Inputs!$F$245/100)*(IF(AND(Tax!Y13&gt;=0,Tax!Y13&lt;Inputs!$F$85),INDEX(Inputs!$J$83:$AU$83,Tax!Y13+1),0)-IF(AND(Tax!Y13&gt;=0,Tax!Y13&lt;Inputs!$F$84),INDEX(Inputs!$J$82:$AU$82,Tax!Y13+1),0))</f>
        <v/>
      </c>
      <c r="Z14" s="20">
        <f>Tax!$F$12*(Inputs!$F$243/100+Inputs!$F$244/100)*(IF(Tax!Z13=0,Inputs!$F$245/100,0)+(1-Inputs!$F$245/100)*IF(AND(Tax!Z13&gt;=0,Tax!Z13&lt;Inputs!$F$84),INDEX(Inputs!$J$82:$AU$82,Tax!Z13+1),0))+Tax!$F$12*Inputs!$F$244/100*(IF(Tax!Z13=0,0,0))+Tax!$F$12*Inputs!$F$244/100*(1-Inputs!$F$245/100)*(IF(AND(Tax!Z13&gt;=0,Tax!Z13&lt;Inputs!$F$85),INDEX(Inputs!$J$83:$AU$83,Tax!Z13+1),0)-IF(AND(Tax!Z13&gt;=0,Tax!Z13&lt;Inputs!$F$84),INDEX(Inputs!$J$82:$AU$82,Tax!Z13+1),0))</f>
        <v/>
      </c>
      <c r="AA14" s="20">
        <f>Tax!$F$12*(Inputs!$F$243/100+Inputs!$F$244/100)*(IF(Tax!AA13=0,Inputs!$F$245/100,0)+(1-Inputs!$F$245/100)*IF(AND(Tax!AA13&gt;=0,Tax!AA13&lt;Inputs!$F$84),INDEX(Inputs!$J$82:$AU$82,Tax!AA13+1),0))+Tax!$F$12*Inputs!$F$244/100*(IF(Tax!AA13=0,0,0))+Tax!$F$12*Inputs!$F$244/100*(1-Inputs!$F$245/100)*(IF(AND(Tax!AA13&gt;=0,Tax!AA13&lt;Inputs!$F$85),INDEX(Inputs!$J$83:$AU$83,Tax!AA13+1),0)-IF(AND(Tax!AA13&gt;=0,Tax!AA13&lt;Inputs!$F$84),INDEX(Inputs!$J$82:$AU$82,Tax!AA13+1),0))</f>
        <v/>
      </c>
      <c r="AB14" s="20">
        <f>Tax!$F$12*(Inputs!$F$243/100+Inputs!$F$244/100)*(IF(Tax!AB13=0,Inputs!$F$245/100,0)+(1-Inputs!$F$245/100)*IF(AND(Tax!AB13&gt;=0,Tax!AB13&lt;Inputs!$F$84),INDEX(Inputs!$J$82:$AU$82,Tax!AB13+1),0))+Tax!$F$12*Inputs!$F$244/100*(IF(Tax!AB13=0,0,0))+Tax!$F$12*Inputs!$F$244/100*(1-Inputs!$F$245/100)*(IF(AND(Tax!AB13&gt;=0,Tax!AB13&lt;Inputs!$F$85),INDEX(Inputs!$J$83:$AU$83,Tax!AB13+1),0)-IF(AND(Tax!AB13&gt;=0,Tax!AB13&lt;Inputs!$F$84),INDEX(Inputs!$J$82:$AU$82,Tax!AB13+1),0))</f>
        <v/>
      </c>
      <c r="AC14" s="20">
        <f>Tax!$F$12*(Inputs!$F$243/100+Inputs!$F$244/100)*(IF(Tax!AC13=0,Inputs!$F$245/100,0)+(1-Inputs!$F$245/100)*IF(AND(Tax!AC13&gt;=0,Tax!AC13&lt;Inputs!$F$84),INDEX(Inputs!$J$82:$AU$82,Tax!AC13+1),0))+Tax!$F$12*Inputs!$F$244/100*(IF(Tax!AC13=0,0,0))+Tax!$F$12*Inputs!$F$244/100*(1-Inputs!$F$245/100)*(IF(AND(Tax!AC13&gt;=0,Tax!AC13&lt;Inputs!$F$85),INDEX(Inputs!$J$83:$AU$83,Tax!AC13+1),0)-IF(AND(Tax!AC13&gt;=0,Tax!AC13&lt;Inputs!$F$84),INDEX(Inputs!$J$82:$AU$82,Tax!AC13+1),0))</f>
        <v/>
      </c>
      <c r="AD14" s="20">
        <f>Tax!$F$12*(Inputs!$F$243/100+Inputs!$F$244/100)*(IF(Tax!AD13=0,Inputs!$F$245/100,0)+(1-Inputs!$F$245/100)*IF(AND(Tax!AD13&gt;=0,Tax!AD13&lt;Inputs!$F$84),INDEX(Inputs!$J$82:$AU$82,Tax!AD13+1),0))+Tax!$F$12*Inputs!$F$244/100*(IF(Tax!AD13=0,0,0))+Tax!$F$12*Inputs!$F$244/100*(1-Inputs!$F$245/100)*(IF(AND(Tax!AD13&gt;=0,Tax!AD13&lt;Inputs!$F$85),INDEX(Inputs!$J$83:$AU$83,Tax!AD13+1),0)-IF(AND(Tax!AD13&gt;=0,Tax!AD13&lt;Inputs!$F$84),INDEX(Inputs!$J$82:$AU$82,Tax!AD13+1),0))</f>
        <v/>
      </c>
      <c r="AE14" s="20">
        <f>Tax!$F$12*(Inputs!$F$243/100+Inputs!$F$244/100)*(IF(Tax!AE13=0,Inputs!$F$245/100,0)+(1-Inputs!$F$245/100)*IF(AND(Tax!AE13&gt;=0,Tax!AE13&lt;Inputs!$F$84),INDEX(Inputs!$J$82:$AU$82,Tax!AE13+1),0))+Tax!$F$12*Inputs!$F$244/100*(IF(Tax!AE13=0,0,0))+Tax!$F$12*Inputs!$F$244/100*(1-Inputs!$F$245/100)*(IF(AND(Tax!AE13&gt;=0,Tax!AE13&lt;Inputs!$F$85),INDEX(Inputs!$J$83:$AU$83,Tax!AE13+1),0)-IF(AND(Tax!AE13&gt;=0,Tax!AE13&lt;Inputs!$F$84),INDEX(Inputs!$J$82:$AU$82,Tax!AE13+1),0))</f>
        <v/>
      </c>
      <c r="AF14" s="20">
        <f>Tax!$F$12*(Inputs!$F$243/100+Inputs!$F$244/100)*(IF(Tax!AF13=0,Inputs!$F$245/100,0)+(1-Inputs!$F$245/100)*IF(AND(Tax!AF13&gt;=0,Tax!AF13&lt;Inputs!$F$84),INDEX(Inputs!$J$82:$AU$82,Tax!AF13+1),0))+Tax!$F$12*Inputs!$F$244/100*(IF(Tax!AF13=0,0,0))+Tax!$F$12*Inputs!$F$244/100*(1-Inputs!$F$245/100)*(IF(AND(Tax!AF13&gt;=0,Tax!AF13&lt;Inputs!$F$85),INDEX(Inputs!$J$83:$AU$83,Tax!AF13+1),0)-IF(AND(Tax!AF13&gt;=0,Tax!AF13&lt;Inputs!$F$84),INDEX(Inputs!$J$82:$AU$82,Tax!AF13+1),0))</f>
        <v/>
      </c>
      <c r="AG14" s="20">
        <f>Tax!$F$12*(Inputs!$F$243/100+Inputs!$F$244/100)*(IF(Tax!AG13=0,Inputs!$F$245/100,0)+(1-Inputs!$F$245/100)*IF(AND(Tax!AG13&gt;=0,Tax!AG13&lt;Inputs!$F$84),INDEX(Inputs!$J$82:$AU$82,Tax!AG13+1),0))+Tax!$F$12*Inputs!$F$244/100*(IF(Tax!AG13=0,0,0))+Tax!$F$12*Inputs!$F$244/100*(1-Inputs!$F$245/100)*(IF(AND(Tax!AG13&gt;=0,Tax!AG13&lt;Inputs!$F$85),INDEX(Inputs!$J$83:$AU$83,Tax!AG13+1),0)-IF(AND(Tax!AG13&gt;=0,Tax!AG13&lt;Inputs!$F$84),INDEX(Inputs!$J$82:$AU$82,Tax!AG13+1),0))</f>
        <v/>
      </c>
      <c r="AH14" s="20">
        <f>Tax!$F$12*(Inputs!$F$243/100+Inputs!$F$244/100)*(IF(Tax!AH13=0,Inputs!$F$245/100,0)+(1-Inputs!$F$245/100)*IF(AND(Tax!AH13&gt;=0,Tax!AH13&lt;Inputs!$F$84),INDEX(Inputs!$J$82:$AU$82,Tax!AH13+1),0))+Tax!$F$12*Inputs!$F$244/100*(IF(Tax!AH13=0,0,0))+Tax!$F$12*Inputs!$F$244/100*(1-Inputs!$F$245/100)*(IF(AND(Tax!AH13&gt;=0,Tax!AH13&lt;Inputs!$F$85),INDEX(Inputs!$J$83:$AU$83,Tax!AH13+1),0)-IF(AND(Tax!AH13&gt;=0,Tax!AH13&lt;Inputs!$F$84),INDEX(Inputs!$J$82:$AU$82,Tax!AH13+1),0))</f>
        <v/>
      </c>
      <c r="AI14" s="20">
        <f>Tax!$F$12*(Inputs!$F$243/100+Inputs!$F$244/100)*(IF(Tax!AI13=0,Inputs!$F$245/100,0)+(1-Inputs!$F$245/100)*IF(AND(Tax!AI13&gt;=0,Tax!AI13&lt;Inputs!$F$84),INDEX(Inputs!$J$82:$AU$82,Tax!AI13+1),0))+Tax!$F$12*Inputs!$F$244/100*(IF(Tax!AI13=0,0,0))+Tax!$F$12*Inputs!$F$244/100*(1-Inputs!$F$245/100)*(IF(AND(Tax!AI13&gt;=0,Tax!AI13&lt;Inputs!$F$85),INDEX(Inputs!$J$83:$AU$83,Tax!AI13+1),0)-IF(AND(Tax!AI13&gt;=0,Tax!AI13&lt;Inputs!$F$84),INDEX(Inputs!$J$82:$AU$82,Tax!AI13+1),0))</f>
        <v/>
      </c>
      <c r="AJ14" s="20">
        <f>Tax!$F$12*(Inputs!$F$243/100+Inputs!$F$244/100)*(IF(Tax!AJ13=0,Inputs!$F$245/100,0)+(1-Inputs!$F$245/100)*IF(AND(Tax!AJ13&gt;=0,Tax!AJ13&lt;Inputs!$F$84),INDEX(Inputs!$J$82:$AU$82,Tax!AJ13+1),0))+Tax!$F$12*Inputs!$F$244/100*(IF(Tax!AJ13=0,0,0))+Tax!$F$12*Inputs!$F$244/100*(1-Inputs!$F$245/100)*(IF(AND(Tax!AJ13&gt;=0,Tax!AJ13&lt;Inputs!$F$85),INDEX(Inputs!$J$83:$AU$83,Tax!AJ13+1),0)-IF(AND(Tax!AJ13&gt;=0,Tax!AJ13&lt;Inputs!$F$84),INDEX(Inputs!$J$82:$AU$82,Tax!AJ13+1),0))</f>
        <v/>
      </c>
      <c r="AK14" s="20">
        <f>Tax!$F$12*(Inputs!$F$243/100+Inputs!$F$244/100)*(IF(Tax!AK13=0,Inputs!$F$245/100,0)+(1-Inputs!$F$245/100)*IF(AND(Tax!AK13&gt;=0,Tax!AK13&lt;Inputs!$F$84),INDEX(Inputs!$J$82:$AU$82,Tax!AK13+1),0))+Tax!$F$12*Inputs!$F$244/100*(IF(Tax!AK13=0,0,0))+Tax!$F$12*Inputs!$F$244/100*(1-Inputs!$F$245/100)*(IF(AND(Tax!AK13&gt;=0,Tax!AK13&lt;Inputs!$F$85),INDEX(Inputs!$J$83:$AU$83,Tax!AK13+1),0)-IF(AND(Tax!AK13&gt;=0,Tax!AK13&lt;Inputs!$F$84),INDEX(Inputs!$J$82:$AU$82,Tax!AK13+1),0))</f>
        <v/>
      </c>
      <c r="AL14" s="20">
        <f>Tax!$F$12*(Inputs!$F$243/100+Inputs!$F$244/100)*(IF(Tax!AL13=0,Inputs!$F$245/100,0)+(1-Inputs!$F$245/100)*IF(AND(Tax!AL13&gt;=0,Tax!AL13&lt;Inputs!$F$84),INDEX(Inputs!$J$82:$AU$82,Tax!AL13+1),0))+Tax!$F$12*Inputs!$F$244/100*(IF(Tax!AL13=0,0,0))+Tax!$F$12*Inputs!$F$244/100*(1-Inputs!$F$245/100)*(IF(AND(Tax!AL13&gt;=0,Tax!AL13&lt;Inputs!$F$85),INDEX(Inputs!$J$83:$AU$83,Tax!AL13+1),0)-IF(AND(Tax!AL13&gt;=0,Tax!AL13&lt;Inputs!$F$84),INDEX(Inputs!$J$82:$AU$82,Tax!AL13+1),0))</f>
        <v/>
      </c>
      <c r="AM14" s="20">
        <f>Tax!$F$12*(Inputs!$F$243/100+Inputs!$F$244/100)*(IF(Tax!AM13=0,Inputs!$F$245/100,0)+(1-Inputs!$F$245/100)*IF(AND(Tax!AM13&gt;=0,Tax!AM13&lt;Inputs!$F$84),INDEX(Inputs!$J$82:$AU$82,Tax!AM13+1),0))+Tax!$F$12*Inputs!$F$244/100*(IF(Tax!AM13=0,0,0))+Tax!$F$12*Inputs!$F$244/100*(1-Inputs!$F$245/100)*(IF(AND(Tax!AM13&gt;=0,Tax!AM13&lt;Inputs!$F$85),INDEX(Inputs!$J$83:$AU$83,Tax!AM13+1),0)-IF(AND(Tax!AM13&gt;=0,Tax!AM13&lt;Inputs!$F$84),INDEX(Inputs!$J$82:$AU$82,Tax!AM13+1),0))</f>
        <v/>
      </c>
      <c r="AN14" s="20">
        <f>Tax!$F$12*(Inputs!$F$243/100+Inputs!$F$244/100)*(IF(Tax!AN13=0,Inputs!$F$245/100,0)+(1-Inputs!$F$245/100)*IF(AND(Tax!AN13&gt;=0,Tax!AN13&lt;Inputs!$F$84),INDEX(Inputs!$J$82:$AU$82,Tax!AN13+1),0))+Tax!$F$12*Inputs!$F$244/100*(IF(Tax!AN13=0,0,0))+Tax!$F$12*Inputs!$F$244/100*(1-Inputs!$F$245/100)*(IF(AND(Tax!AN13&gt;=0,Tax!AN13&lt;Inputs!$F$85),INDEX(Inputs!$J$83:$AU$83,Tax!AN13+1),0)-IF(AND(Tax!AN13&gt;=0,Tax!AN13&lt;Inputs!$F$84),INDEX(Inputs!$J$82:$AU$82,Tax!AN13+1),0))</f>
        <v/>
      </c>
      <c r="AO14" s="20">
        <f>Tax!$F$12*(Inputs!$F$243/100+Inputs!$F$244/100)*(IF(Tax!AO13=0,Inputs!$F$245/100,0)+(1-Inputs!$F$245/100)*IF(AND(Tax!AO13&gt;=0,Tax!AO13&lt;Inputs!$F$84),INDEX(Inputs!$J$82:$AU$82,Tax!AO13+1),0))+Tax!$F$12*Inputs!$F$244/100*(IF(Tax!AO13=0,0,0))+Tax!$F$12*Inputs!$F$244/100*(1-Inputs!$F$245/100)*(IF(AND(Tax!AO13&gt;=0,Tax!AO13&lt;Inputs!$F$85),INDEX(Inputs!$J$83:$AU$83,Tax!AO13+1),0)-IF(AND(Tax!AO13&gt;=0,Tax!AO13&lt;Inputs!$F$84),INDEX(Inputs!$J$82:$AU$82,Tax!AO13+1),0))</f>
        <v/>
      </c>
      <c r="AP14" s="20">
        <f>Tax!$F$12*(Inputs!$F$243/100+Inputs!$F$244/100)*(IF(Tax!AP13=0,Inputs!$F$245/100,0)+(1-Inputs!$F$245/100)*IF(AND(Tax!AP13&gt;=0,Tax!AP13&lt;Inputs!$F$84),INDEX(Inputs!$J$82:$AU$82,Tax!AP13+1),0))+Tax!$F$12*Inputs!$F$244/100*(IF(Tax!AP13=0,0,0))+Tax!$F$12*Inputs!$F$244/100*(1-Inputs!$F$245/100)*(IF(AND(Tax!AP13&gt;=0,Tax!AP13&lt;Inputs!$F$85),INDEX(Inputs!$J$83:$AU$83,Tax!AP13+1),0)-IF(AND(Tax!AP13&gt;=0,Tax!AP13&lt;Inputs!$F$84),INDEX(Inputs!$J$82:$AU$82,Tax!AP13+1),0))</f>
        <v/>
      </c>
      <c r="AQ14" s="20">
        <f>Tax!$F$12*(Inputs!$F$243/100+Inputs!$F$244/100)*(IF(Tax!AQ13=0,Inputs!$F$245/100,0)+(1-Inputs!$F$245/100)*IF(AND(Tax!AQ13&gt;=0,Tax!AQ13&lt;Inputs!$F$84),INDEX(Inputs!$J$82:$AU$82,Tax!AQ13+1),0))+Tax!$F$12*Inputs!$F$244/100*(IF(Tax!AQ13=0,0,0))+Tax!$F$12*Inputs!$F$244/100*(1-Inputs!$F$245/100)*(IF(AND(Tax!AQ13&gt;=0,Tax!AQ13&lt;Inputs!$F$85),INDEX(Inputs!$J$83:$AU$83,Tax!AQ13+1),0)-IF(AND(Tax!AQ13&gt;=0,Tax!AQ13&lt;Inputs!$F$84),INDEX(Inputs!$J$82:$AU$82,Tax!AQ13+1),0))</f>
        <v/>
      </c>
      <c r="AR14" s="20">
        <f>Tax!$F$12*(Inputs!$F$243/100+Inputs!$F$244/100)*(IF(Tax!AR13=0,Inputs!$F$245/100,0)+(1-Inputs!$F$245/100)*IF(AND(Tax!AR13&gt;=0,Tax!AR13&lt;Inputs!$F$84),INDEX(Inputs!$J$82:$AU$82,Tax!AR13+1),0))+Tax!$F$12*Inputs!$F$244/100*(IF(Tax!AR13=0,0,0))+Tax!$F$12*Inputs!$F$244/100*(1-Inputs!$F$245/100)*(IF(AND(Tax!AR13&gt;=0,Tax!AR13&lt;Inputs!$F$85),INDEX(Inputs!$J$83:$AU$83,Tax!AR13+1),0)-IF(AND(Tax!AR13&gt;=0,Tax!AR13&lt;Inputs!$F$84),INDEX(Inputs!$J$82:$AU$82,Tax!AR13+1),0))</f>
        <v/>
      </c>
      <c r="AS14" s="20">
        <f>Tax!$F$12*(Inputs!$F$243/100+Inputs!$F$244/100)*(IF(Tax!AS13=0,Inputs!$F$245/100,0)+(1-Inputs!$F$245/100)*IF(AND(Tax!AS13&gt;=0,Tax!AS13&lt;Inputs!$F$84),INDEX(Inputs!$J$82:$AU$82,Tax!AS13+1),0))+Tax!$F$12*Inputs!$F$244/100*(IF(Tax!AS13=0,0,0))+Tax!$F$12*Inputs!$F$244/100*(1-Inputs!$F$245/100)*(IF(AND(Tax!AS13&gt;=0,Tax!AS13&lt;Inputs!$F$85),INDEX(Inputs!$J$83:$AU$83,Tax!AS13+1),0)-IF(AND(Tax!AS13&gt;=0,Tax!AS13&lt;Inputs!$F$84),INDEX(Inputs!$J$82:$AU$82,Tax!AS13+1),0))</f>
        <v/>
      </c>
      <c r="AT14" s="20">
        <f>Tax!$F$12*(Inputs!$F$243/100+Inputs!$F$244/100)*(IF(Tax!AT13=0,Inputs!$F$245/100,0)+(1-Inputs!$F$245/100)*IF(AND(Tax!AT13&gt;=0,Tax!AT13&lt;Inputs!$F$84),INDEX(Inputs!$J$82:$AU$82,Tax!AT13+1),0))+Tax!$F$12*Inputs!$F$244/100*(IF(Tax!AT13=0,0,0))+Tax!$F$12*Inputs!$F$244/100*(1-Inputs!$F$245/100)*(IF(AND(Tax!AT13&gt;=0,Tax!AT13&lt;Inputs!$F$85),INDEX(Inputs!$J$83:$AU$83,Tax!AT13+1),0)-IF(AND(Tax!AT13&gt;=0,Tax!AT13&lt;Inputs!$F$84),INDEX(Inputs!$J$82:$AU$82,Tax!AT13+1),0))</f>
        <v/>
      </c>
      <c r="AU14" s="20">
        <f>Tax!$F$12*(Inputs!$F$243/100+Inputs!$F$244/100)*(IF(Tax!AU13=0,Inputs!$F$245/100,0)+(1-Inputs!$F$245/100)*IF(AND(Tax!AU13&gt;=0,Tax!AU13&lt;Inputs!$F$84),INDEX(Inputs!$J$82:$AU$82,Tax!AU13+1),0))+Tax!$F$12*Inputs!$F$244/100*(IF(Tax!AU13=0,0,0))+Tax!$F$12*Inputs!$F$244/100*(1-Inputs!$F$245/100)*(IF(AND(Tax!AU13&gt;=0,Tax!AU13&lt;Inputs!$F$85),INDEX(Inputs!$J$83:$AU$83,Tax!AU13+1),0)-IF(AND(Tax!AU13&gt;=0,Tax!AU13&lt;Inputs!$F$84),INDEX(Inputs!$J$82:$AU$82,Tax!AU13+1),0))</f>
        <v/>
      </c>
    </row>
    <row r="15">
      <c r="D15" t="inlineStr">
        <is>
          <t>Depreciable basis, A2</t>
        </is>
      </c>
      <c r="E15" t="inlineStr">
        <is>
          <t>USD m</t>
        </is>
      </c>
      <c r="F15" s="20">
        <f>Inputs!$F$260</f>
        <v/>
      </c>
    </row>
    <row r="16">
      <c r="D16" t="inlineStr">
        <is>
          <t>Recovery year index, A2</t>
        </is>
      </c>
      <c r="E16" t="inlineStr">
        <is>
          <t>years</t>
        </is>
      </c>
      <c r="J16" s="12">
        <f>Time!J$4-YEAR(Inputs!$F$259)</f>
        <v/>
      </c>
      <c r="K16" s="12">
        <f>Time!K$4-YEAR(Inputs!$F$259)</f>
        <v/>
      </c>
      <c r="L16" s="12">
        <f>Time!L$4-YEAR(Inputs!$F$259)</f>
        <v/>
      </c>
      <c r="M16" s="12">
        <f>Time!M$4-YEAR(Inputs!$F$259)</f>
        <v/>
      </c>
      <c r="N16" s="12">
        <f>Time!N$4-YEAR(Inputs!$F$259)</f>
        <v/>
      </c>
      <c r="O16" s="12">
        <f>Time!O$4-YEAR(Inputs!$F$259)</f>
        <v/>
      </c>
      <c r="P16" s="12">
        <f>Time!P$4-YEAR(Inputs!$F$259)</f>
        <v/>
      </c>
      <c r="Q16" s="12">
        <f>Time!Q$4-YEAR(Inputs!$F$259)</f>
        <v/>
      </c>
      <c r="R16" s="12">
        <f>Time!R$4-YEAR(Inputs!$F$259)</f>
        <v/>
      </c>
      <c r="S16" s="12">
        <f>Time!S$4-YEAR(Inputs!$F$259)</f>
        <v/>
      </c>
      <c r="T16" s="12">
        <f>Time!T$4-YEAR(Inputs!$F$259)</f>
        <v/>
      </c>
      <c r="U16" s="12">
        <f>Time!U$4-YEAR(Inputs!$F$259)</f>
        <v/>
      </c>
      <c r="V16" s="12">
        <f>Time!V$4-YEAR(Inputs!$F$259)</f>
        <v/>
      </c>
      <c r="W16" s="12">
        <f>Time!W$4-YEAR(Inputs!$F$259)</f>
        <v/>
      </c>
      <c r="X16" s="12">
        <f>Time!X$4-YEAR(Inputs!$F$259)</f>
        <v/>
      </c>
      <c r="Y16" s="12">
        <f>Time!Y$4-YEAR(Inputs!$F$259)</f>
        <v/>
      </c>
      <c r="Z16" s="12">
        <f>Time!Z$4-YEAR(Inputs!$F$259)</f>
        <v/>
      </c>
      <c r="AA16" s="12">
        <f>Time!AA$4-YEAR(Inputs!$F$259)</f>
        <v/>
      </c>
      <c r="AB16" s="12">
        <f>Time!AB$4-YEAR(Inputs!$F$259)</f>
        <v/>
      </c>
      <c r="AC16" s="12">
        <f>Time!AC$4-YEAR(Inputs!$F$259)</f>
        <v/>
      </c>
      <c r="AD16" s="12">
        <f>Time!AD$4-YEAR(Inputs!$F$259)</f>
        <v/>
      </c>
      <c r="AE16" s="12">
        <f>Time!AE$4-YEAR(Inputs!$F$259)</f>
        <v/>
      </c>
      <c r="AF16" s="12">
        <f>Time!AF$4-YEAR(Inputs!$F$259)</f>
        <v/>
      </c>
      <c r="AG16" s="12">
        <f>Time!AG$4-YEAR(Inputs!$F$259)</f>
        <v/>
      </c>
      <c r="AH16" s="12">
        <f>Time!AH$4-YEAR(Inputs!$F$259)</f>
        <v/>
      </c>
      <c r="AI16" s="12">
        <f>Time!AI$4-YEAR(Inputs!$F$259)</f>
        <v/>
      </c>
      <c r="AJ16" s="12">
        <f>Time!AJ$4-YEAR(Inputs!$F$259)</f>
        <v/>
      </c>
      <c r="AK16" s="12">
        <f>Time!AK$4-YEAR(Inputs!$F$259)</f>
        <v/>
      </c>
      <c r="AL16" s="12">
        <f>Time!AL$4-YEAR(Inputs!$F$259)</f>
        <v/>
      </c>
      <c r="AM16" s="12">
        <f>Time!AM$4-YEAR(Inputs!$F$259)</f>
        <v/>
      </c>
      <c r="AN16" s="12">
        <f>Time!AN$4-YEAR(Inputs!$F$259)</f>
        <v/>
      </c>
      <c r="AO16" s="12">
        <f>Time!AO$4-YEAR(Inputs!$F$259)</f>
        <v/>
      </c>
      <c r="AP16" s="12">
        <f>Time!AP$4-YEAR(Inputs!$F$259)</f>
        <v/>
      </c>
      <c r="AQ16" s="12">
        <f>Time!AQ$4-YEAR(Inputs!$F$259)</f>
        <v/>
      </c>
      <c r="AR16" s="12">
        <f>Time!AR$4-YEAR(Inputs!$F$259)</f>
        <v/>
      </c>
      <c r="AS16" s="12">
        <f>Time!AS$4-YEAR(Inputs!$F$259)</f>
        <v/>
      </c>
      <c r="AT16" s="12">
        <f>Time!AT$4-YEAR(Inputs!$F$259)</f>
        <v/>
      </c>
      <c r="AU16" s="12">
        <f>Time!AU$4-YEAR(Inputs!$F$259)</f>
        <v/>
      </c>
    </row>
    <row r="17">
      <c r="D17" t="inlineStr">
        <is>
          <t>Tax depreciation, A2</t>
        </is>
      </c>
      <c r="E17" t="inlineStr">
        <is>
          <t>USD m</t>
        </is>
      </c>
      <c r="G17" s="20">
        <f>SUM(J17:AU17)</f>
        <v/>
      </c>
      <c r="J17" s="20">
        <f>Tax!$F$15*(Inputs!$F$243/100+Inputs!$F$244/100)*(IF(Tax!J16=0,Inputs!$F$246/100,0)+(1-Inputs!$F$246/100)*IF(AND(Tax!J16&gt;=0,Tax!J16&lt;Inputs!$F$84),INDEX(Inputs!$J$82:$AU$82,Tax!J16+1),0))+Tax!$F$15*Inputs!$F$244/100*(IF(Tax!J16=0,0,0))+Tax!$F$15*Inputs!$F$244/100*(1-Inputs!$F$246/100)*(IF(AND(Tax!J16&gt;=0,Tax!J16&lt;Inputs!$F$85),INDEX(Inputs!$J$83:$AU$83,Tax!J16+1),0)-IF(AND(Tax!J16&gt;=0,Tax!J16&lt;Inputs!$F$84),INDEX(Inputs!$J$82:$AU$82,Tax!J16+1),0))</f>
        <v/>
      </c>
      <c r="K17" s="20">
        <f>Tax!$F$15*(Inputs!$F$243/100+Inputs!$F$244/100)*(IF(Tax!K16=0,Inputs!$F$246/100,0)+(1-Inputs!$F$246/100)*IF(AND(Tax!K16&gt;=0,Tax!K16&lt;Inputs!$F$84),INDEX(Inputs!$J$82:$AU$82,Tax!K16+1),0))+Tax!$F$15*Inputs!$F$244/100*(IF(Tax!K16=0,0,0))+Tax!$F$15*Inputs!$F$244/100*(1-Inputs!$F$246/100)*(IF(AND(Tax!K16&gt;=0,Tax!K16&lt;Inputs!$F$85),INDEX(Inputs!$J$83:$AU$83,Tax!K16+1),0)-IF(AND(Tax!K16&gt;=0,Tax!K16&lt;Inputs!$F$84),INDEX(Inputs!$J$82:$AU$82,Tax!K16+1),0))</f>
        <v/>
      </c>
      <c r="L17" s="20">
        <f>Tax!$F$15*(Inputs!$F$243/100+Inputs!$F$244/100)*(IF(Tax!L16=0,Inputs!$F$246/100,0)+(1-Inputs!$F$246/100)*IF(AND(Tax!L16&gt;=0,Tax!L16&lt;Inputs!$F$84),INDEX(Inputs!$J$82:$AU$82,Tax!L16+1),0))+Tax!$F$15*Inputs!$F$244/100*(IF(Tax!L16=0,0,0))+Tax!$F$15*Inputs!$F$244/100*(1-Inputs!$F$246/100)*(IF(AND(Tax!L16&gt;=0,Tax!L16&lt;Inputs!$F$85),INDEX(Inputs!$J$83:$AU$83,Tax!L16+1),0)-IF(AND(Tax!L16&gt;=0,Tax!L16&lt;Inputs!$F$84),INDEX(Inputs!$J$82:$AU$82,Tax!L16+1),0))</f>
        <v/>
      </c>
      <c r="M17" s="20">
        <f>Tax!$F$15*(Inputs!$F$243/100+Inputs!$F$244/100)*(IF(Tax!M16=0,Inputs!$F$246/100,0)+(1-Inputs!$F$246/100)*IF(AND(Tax!M16&gt;=0,Tax!M16&lt;Inputs!$F$84),INDEX(Inputs!$J$82:$AU$82,Tax!M16+1),0))+Tax!$F$15*Inputs!$F$244/100*(IF(Tax!M16=0,0,0))+Tax!$F$15*Inputs!$F$244/100*(1-Inputs!$F$246/100)*(IF(AND(Tax!M16&gt;=0,Tax!M16&lt;Inputs!$F$85),INDEX(Inputs!$J$83:$AU$83,Tax!M16+1),0)-IF(AND(Tax!M16&gt;=0,Tax!M16&lt;Inputs!$F$84),INDEX(Inputs!$J$82:$AU$82,Tax!M16+1),0))</f>
        <v/>
      </c>
      <c r="N17" s="20">
        <f>Tax!$F$15*(Inputs!$F$243/100+Inputs!$F$244/100)*(IF(Tax!N16=0,Inputs!$F$246/100,0)+(1-Inputs!$F$246/100)*IF(AND(Tax!N16&gt;=0,Tax!N16&lt;Inputs!$F$84),INDEX(Inputs!$J$82:$AU$82,Tax!N16+1),0))+Tax!$F$15*Inputs!$F$244/100*(IF(Tax!N16=0,0,0))+Tax!$F$15*Inputs!$F$244/100*(1-Inputs!$F$246/100)*(IF(AND(Tax!N16&gt;=0,Tax!N16&lt;Inputs!$F$85),INDEX(Inputs!$J$83:$AU$83,Tax!N16+1),0)-IF(AND(Tax!N16&gt;=0,Tax!N16&lt;Inputs!$F$84),INDEX(Inputs!$J$82:$AU$82,Tax!N16+1),0))</f>
        <v/>
      </c>
      <c r="O17" s="20">
        <f>Tax!$F$15*(Inputs!$F$243/100+Inputs!$F$244/100)*(IF(Tax!O16=0,Inputs!$F$246/100,0)+(1-Inputs!$F$246/100)*IF(AND(Tax!O16&gt;=0,Tax!O16&lt;Inputs!$F$84),INDEX(Inputs!$J$82:$AU$82,Tax!O16+1),0))+Tax!$F$15*Inputs!$F$244/100*(IF(Tax!O16=0,0,0))+Tax!$F$15*Inputs!$F$244/100*(1-Inputs!$F$246/100)*(IF(AND(Tax!O16&gt;=0,Tax!O16&lt;Inputs!$F$85),INDEX(Inputs!$J$83:$AU$83,Tax!O16+1),0)-IF(AND(Tax!O16&gt;=0,Tax!O16&lt;Inputs!$F$84),INDEX(Inputs!$J$82:$AU$82,Tax!O16+1),0))</f>
        <v/>
      </c>
      <c r="P17" s="20">
        <f>Tax!$F$15*(Inputs!$F$243/100+Inputs!$F$244/100)*(IF(Tax!P16=0,Inputs!$F$246/100,0)+(1-Inputs!$F$246/100)*IF(AND(Tax!P16&gt;=0,Tax!P16&lt;Inputs!$F$84),INDEX(Inputs!$J$82:$AU$82,Tax!P16+1),0))+Tax!$F$15*Inputs!$F$244/100*(IF(Tax!P16=0,0,0))+Tax!$F$15*Inputs!$F$244/100*(1-Inputs!$F$246/100)*(IF(AND(Tax!P16&gt;=0,Tax!P16&lt;Inputs!$F$85),INDEX(Inputs!$J$83:$AU$83,Tax!P16+1),0)-IF(AND(Tax!P16&gt;=0,Tax!P16&lt;Inputs!$F$84),INDEX(Inputs!$J$82:$AU$82,Tax!P16+1),0))</f>
        <v/>
      </c>
      <c r="Q17" s="20">
        <f>Tax!$F$15*(Inputs!$F$243/100+Inputs!$F$244/100)*(IF(Tax!Q16=0,Inputs!$F$246/100,0)+(1-Inputs!$F$246/100)*IF(AND(Tax!Q16&gt;=0,Tax!Q16&lt;Inputs!$F$84),INDEX(Inputs!$J$82:$AU$82,Tax!Q16+1),0))+Tax!$F$15*Inputs!$F$244/100*(IF(Tax!Q16=0,0,0))+Tax!$F$15*Inputs!$F$244/100*(1-Inputs!$F$246/100)*(IF(AND(Tax!Q16&gt;=0,Tax!Q16&lt;Inputs!$F$85),INDEX(Inputs!$J$83:$AU$83,Tax!Q16+1),0)-IF(AND(Tax!Q16&gt;=0,Tax!Q16&lt;Inputs!$F$84),INDEX(Inputs!$J$82:$AU$82,Tax!Q16+1),0))</f>
        <v/>
      </c>
      <c r="R17" s="20">
        <f>Tax!$F$15*(Inputs!$F$243/100+Inputs!$F$244/100)*(IF(Tax!R16=0,Inputs!$F$246/100,0)+(1-Inputs!$F$246/100)*IF(AND(Tax!R16&gt;=0,Tax!R16&lt;Inputs!$F$84),INDEX(Inputs!$J$82:$AU$82,Tax!R16+1),0))+Tax!$F$15*Inputs!$F$244/100*(IF(Tax!R16=0,0,0))+Tax!$F$15*Inputs!$F$244/100*(1-Inputs!$F$246/100)*(IF(AND(Tax!R16&gt;=0,Tax!R16&lt;Inputs!$F$85),INDEX(Inputs!$J$83:$AU$83,Tax!R16+1),0)-IF(AND(Tax!R16&gt;=0,Tax!R16&lt;Inputs!$F$84),INDEX(Inputs!$J$82:$AU$82,Tax!R16+1),0))</f>
        <v/>
      </c>
      <c r="S17" s="20">
        <f>Tax!$F$15*(Inputs!$F$243/100+Inputs!$F$244/100)*(IF(Tax!S16=0,Inputs!$F$246/100,0)+(1-Inputs!$F$246/100)*IF(AND(Tax!S16&gt;=0,Tax!S16&lt;Inputs!$F$84),INDEX(Inputs!$J$82:$AU$82,Tax!S16+1),0))+Tax!$F$15*Inputs!$F$244/100*(IF(Tax!S16=0,0,0))+Tax!$F$15*Inputs!$F$244/100*(1-Inputs!$F$246/100)*(IF(AND(Tax!S16&gt;=0,Tax!S16&lt;Inputs!$F$85),INDEX(Inputs!$J$83:$AU$83,Tax!S16+1),0)-IF(AND(Tax!S16&gt;=0,Tax!S16&lt;Inputs!$F$84),INDEX(Inputs!$J$82:$AU$82,Tax!S16+1),0))</f>
        <v/>
      </c>
      <c r="T17" s="20">
        <f>Tax!$F$15*(Inputs!$F$243/100+Inputs!$F$244/100)*(IF(Tax!T16=0,Inputs!$F$246/100,0)+(1-Inputs!$F$246/100)*IF(AND(Tax!T16&gt;=0,Tax!T16&lt;Inputs!$F$84),INDEX(Inputs!$J$82:$AU$82,Tax!T16+1),0))+Tax!$F$15*Inputs!$F$244/100*(IF(Tax!T16=0,0,0))+Tax!$F$15*Inputs!$F$244/100*(1-Inputs!$F$246/100)*(IF(AND(Tax!T16&gt;=0,Tax!T16&lt;Inputs!$F$85),INDEX(Inputs!$J$83:$AU$83,Tax!T16+1),0)-IF(AND(Tax!T16&gt;=0,Tax!T16&lt;Inputs!$F$84),INDEX(Inputs!$J$82:$AU$82,Tax!T16+1),0))</f>
        <v/>
      </c>
      <c r="U17" s="20">
        <f>Tax!$F$15*(Inputs!$F$243/100+Inputs!$F$244/100)*(IF(Tax!U16=0,Inputs!$F$246/100,0)+(1-Inputs!$F$246/100)*IF(AND(Tax!U16&gt;=0,Tax!U16&lt;Inputs!$F$84),INDEX(Inputs!$J$82:$AU$82,Tax!U16+1),0))+Tax!$F$15*Inputs!$F$244/100*(IF(Tax!U16=0,0,0))+Tax!$F$15*Inputs!$F$244/100*(1-Inputs!$F$246/100)*(IF(AND(Tax!U16&gt;=0,Tax!U16&lt;Inputs!$F$85),INDEX(Inputs!$J$83:$AU$83,Tax!U16+1),0)-IF(AND(Tax!U16&gt;=0,Tax!U16&lt;Inputs!$F$84),INDEX(Inputs!$J$82:$AU$82,Tax!U16+1),0))</f>
        <v/>
      </c>
      <c r="V17" s="20">
        <f>Tax!$F$15*(Inputs!$F$243/100+Inputs!$F$244/100)*(IF(Tax!V16=0,Inputs!$F$246/100,0)+(1-Inputs!$F$246/100)*IF(AND(Tax!V16&gt;=0,Tax!V16&lt;Inputs!$F$84),INDEX(Inputs!$J$82:$AU$82,Tax!V16+1),0))+Tax!$F$15*Inputs!$F$244/100*(IF(Tax!V16=0,0,0))+Tax!$F$15*Inputs!$F$244/100*(1-Inputs!$F$246/100)*(IF(AND(Tax!V16&gt;=0,Tax!V16&lt;Inputs!$F$85),INDEX(Inputs!$J$83:$AU$83,Tax!V16+1),0)-IF(AND(Tax!V16&gt;=0,Tax!V16&lt;Inputs!$F$84),INDEX(Inputs!$J$82:$AU$82,Tax!V16+1),0))</f>
        <v/>
      </c>
      <c r="W17" s="20">
        <f>Tax!$F$15*(Inputs!$F$243/100+Inputs!$F$244/100)*(IF(Tax!W16=0,Inputs!$F$246/100,0)+(1-Inputs!$F$246/100)*IF(AND(Tax!W16&gt;=0,Tax!W16&lt;Inputs!$F$84),INDEX(Inputs!$J$82:$AU$82,Tax!W16+1),0))+Tax!$F$15*Inputs!$F$244/100*(IF(Tax!W16=0,0,0))+Tax!$F$15*Inputs!$F$244/100*(1-Inputs!$F$246/100)*(IF(AND(Tax!W16&gt;=0,Tax!W16&lt;Inputs!$F$85),INDEX(Inputs!$J$83:$AU$83,Tax!W16+1),0)-IF(AND(Tax!W16&gt;=0,Tax!W16&lt;Inputs!$F$84),INDEX(Inputs!$J$82:$AU$82,Tax!W16+1),0))</f>
        <v/>
      </c>
      <c r="X17" s="20">
        <f>Tax!$F$15*(Inputs!$F$243/100+Inputs!$F$244/100)*(IF(Tax!X16=0,Inputs!$F$246/100,0)+(1-Inputs!$F$246/100)*IF(AND(Tax!X16&gt;=0,Tax!X16&lt;Inputs!$F$84),INDEX(Inputs!$J$82:$AU$82,Tax!X16+1),0))+Tax!$F$15*Inputs!$F$244/100*(IF(Tax!X16=0,0,0))+Tax!$F$15*Inputs!$F$244/100*(1-Inputs!$F$246/100)*(IF(AND(Tax!X16&gt;=0,Tax!X16&lt;Inputs!$F$85),INDEX(Inputs!$J$83:$AU$83,Tax!X16+1),0)-IF(AND(Tax!X16&gt;=0,Tax!X16&lt;Inputs!$F$84),INDEX(Inputs!$J$82:$AU$82,Tax!X16+1),0))</f>
        <v/>
      </c>
      <c r="Y17" s="20">
        <f>Tax!$F$15*(Inputs!$F$243/100+Inputs!$F$244/100)*(IF(Tax!Y16=0,Inputs!$F$246/100,0)+(1-Inputs!$F$246/100)*IF(AND(Tax!Y16&gt;=0,Tax!Y16&lt;Inputs!$F$84),INDEX(Inputs!$J$82:$AU$82,Tax!Y16+1),0))+Tax!$F$15*Inputs!$F$244/100*(IF(Tax!Y16=0,0,0))+Tax!$F$15*Inputs!$F$244/100*(1-Inputs!$F$246/100)*(IF(AND(Tax!Y16&gt;=0,Tax!Y16&lt;Inputs!$F$85),INDEX(Inputs!$J$83:$AU$83,Tax!Y16+1),0)-IF(AND(Tax!Y16&gt;=0,Tax!Y16&lt;Inputs!$F$84),INDEX(Inputs!$J$82:$AU$82,Tax!Y16+1),0))</f>
        <v/>
      </c>
      <c r="Z17" s="20">
        <f>Tax!$F$15*(Inputs!$F$243/100+Inputs!$F$244/100)*(IF(Tax!Z16=0,Inputs!$F$246/100,0)+(1-Inputs!$F$246/100)*IF(AND(Tax!Z16&gt;=0,Tax!Z16&lt;Inputs!$F$84),INDEX(Inputs!$J$82:$AU$82,Tax!Z16+1),0))+Tax!$F$15*Inputs!$F$244/100*(IF(Tax!Z16=0,0,0))+Tax!$F$15*Inputs!$F$244/100*(1-Inputs!$F$246/100)*(IF(AND(Tax!Z16&gt;=0,Tax!Z16&lt;Inputs!$F$85),INDEX(Inputs!$J$83:$AU$83,Tax!Z16+1),0)-IF(AND(Tax!Z16&gt;=0,Tax!Z16&lt;Inputs!$F$84),INDEX(Inputs!$J$82:$AU$82,Tax!Z16+1),0))</f>
        <v/>
      </c>
      <c r="AA17" s="20">
        <f>Tax!$F$15*(Inputs!$F$243/100+Inputs!$F$244/100)*(IF(Tax!AA16=0,Inputs!$F$246/100,0)+(1-Inputs!$F$246/100)*IF(AND(Tax!AA16&gt;=0,Tax!AA16&lt;Inputs!$F$84),INDEX(Inputs!$J$82:$AU$82,Tax!AA16+1),0))+Tax!$F$15*Inputs!$F$244/100*(IF(Tax!AA16=0,0,0))+Tax!$F$15*Inputs!$F$244/100*(1-Inputs!$F$246/100)*(IF(AND(Tax!AA16&gt;=0,Tax!AA16&lt;Inputs!$F$85),INDEX(Inputs!$J$83:$AU$83,Tax!AA16+1),0)-IF(AND(Tax!AA16&gt;=0,Tax!AA16&lt;Inputs!$F$84),INDEX(Inputs!$J$82:$AU$82,Tax!AA16+1),0))</f>
        <v/>
      </c>
      <c r="AB17" s="20">
        <f>Tax!$F$15*(Inputs!$F$243/100+Inputs!$F$244/100)*(IF(Tax!AB16=0,Inputs!$F$246/100,0)+(1-Inputs!$F$246/100)*IF(AND(Tax!AB16&gt;=0,Tax!AB16&lt;Inputs!$F$84),INDEX(Inputs!$J$82:$AU$82,Tax!AB16+1),0))+Tax!$F$15*Inputs!$F$244/100*(IF(Tax!AB16=0,0,0))+Tax!$F$15*Inputs!$F$244/100*(1-Inputs!$F$246/100)*(IF(AND(Tax!AB16&gt;=0,Tax!AB16&lt;Inputs!$F$85),INDEX(Inputs!$J$83:$AU$83,Tax!AB16+1),0)-IF(AND(Tax!AB16&gt;=0,Tax!AB16&lt;Inputs!$F$84),INDEX(Inputs!$J$82:$AU$82,Tax!AB16+1),0))</f>
        <v/>
      </c>
      <c r="AC17" s="20">
        <f>Tax!$F$15*(Inputs!$F$243/100+Inputs!$F$244/100)*(IF(Tax!AC16=0,Inputs!$F$246/100,0)+(1-Inputs!$F$246/100)*IF(AND(Tax!AC16&gt;=0,Tax!AC16&lt;Inputs!$F$84),INDEX(Inputs!$J$82:$AU$82,Tax!AC16+1),0))+Tax!$F$15*Inputs!$F$244/100*(IF(Tax!AC16=0,0,0))+Tax!$F$15*Inputs!$F$244/100*(1-Inputs!$F$246/100)*(IF(AND(Tax!AC16&gt;=0,Tax!AC16&lt;Inputs!$F$85),INDEX(Inputs!$J$83:$AU$83,Tax!AC16+1),0)-IF(AND(Tax!AC16&gt;=0,Tax!AC16&lt;Inputs!$F$84),INDEX(Inputs!$J$82:$AU$82,Tax!AC16+1),0))</f>
        <v/>
      </c>
      <c r="AD17" s="20">
        <f>Tax!$F$15*(Inputs!$F$243/100+Inputs!$F$244/100)*(IF(Tax!AD16=0,Inputs!$F$246/100,0)+(1-Inputs!$F$246/100)*IF(AND(Tax!AD16&gt;=0,Tax!AD16&lt;Inputs!$F$84),INDEX(Inputs!$J$82:$AU$82,Tax!AD16+1),0))+Tax!$F$15*Inputs!$F$244/100*(IF(Tax!AD16=0,0,0))+Tax!$F$15*Inputs!$F$244/100*(1-Inputs!$F$246/100)*(IF(AND(Tax!AD16&gt;=0,Tax!AD16&lt;Inputs!$F$85),INDEX(Inputs!$J$83:$AU$83,Tax!AD16+1),0)-IF(AND(Tax!AD16&gt;=0,Tax!AD16&lt;Inputs!$F$84),INDEX(Inputs!$J$82:$AU$82,Tax!AD16+1),0))</f>
        <v/>
      </c>
      <c r="AE17" s="20">
        <f>Tax!$F$15*(Inputs!$F$243/100+Inputs!$F$244/100)*(IF(Tax!AE16=0,Inputs!$F$246/100,0)+(1-Inputs!$F$246/100)*IF(AND(Tax!AE16&gt;=0,Tax!AE16&lt;Inputs!$F$84),INDEX(Inputs!$J$82:$AU$82,Tax!AE16+1),0))+Tax!$F$15*Inputs!$F$244/100*(IF(Tax!AE16=0,0,0))+Tax!$F$15*Inputs!$F$244/100*(1-Inputs!$F$246/100)*(IF(AND(Tax!AE16&gt;=0,Tax!AE16&lt;Inputs!$F$85),INDEX(Inputs!$J$83:$AU$83,Tax!AE16+1),0)-IF(AND(Tax!AE16&gt;=0,Tax!AE16&lt;Inputs!$F$84),INDEX(Inputs!$J$82:$AU$82,Tax!AE16+1),0))</f>
        <v/>
      </c>
      <c r="AF17" s="20">
        <f>Tax!$F$15*(Inputs!$F$243/100+Inputs!$F$244/100)*(IF(Tax!AF16=0,Inputs!$F$246/100,0)+(1-Inputs!$F$246/100)*IF(AND(Tax!AF16&gt;=0,Tax!AF16&lt;Inputs!$F$84),INDEX(Inputs!$J$82:$AU$82,Tax!AF16+1),0))+Tax!$F$15*Inputs!$F$244/100*(IF(Tax!AF16=0,0,0))+Tax!$F$15*Inputs!$F$244/100*(1-Inputs!$F$246/100)*(IF(AND(Tax!AF16&gt;=0,Tax!AF16&lt;Inputs!$F$85),INDEX(Inputs!$J$83:$AU$83,Tax!AF16+1),0)-IF(AND(Tax!AF16&gt;=0,Tax!AF16&lt;Inputs!$F$84),INDEX(Inputs!$J$82:$AU$82,Tax!AF16+1),0))</f>
        <v/>
      </c>
      <c r="AG17" s="20">
        <f>Tax!$F$15*(Inputs!$F$243/100+Inputs!$F$244/100)*(IF(Tax!AG16=0,Inputs!$F$246/100,0)+(1-Inputs!$F$246/100)*IF(AND(Tax!AG16&gt;=0,Tax!AG16&lt;Inputs!$F$84),INDEX(Inputs!$J$82:$AU$82,Tax!AG16+1),0))+Tax!$F$15*Inputs!$F$244/100*(IF(Tax!AG16=0,0,0))+Tax!$F$15*Inputs!$F$244/100*(1-Inputs!$F$246/100)*(IF(AND(Tax!AG16&gt;=0,Tax!AG16&lt;Inputs!$F$85),INDEX(Inputs!$J$83:$AU$83,Tax!AG16+1),0)-IF(AND(Tax!AG16&gt;=0,Tax!AG16&lt;Inputs!$F$84),INDEX(Inputs!$J$82:$AU$82,Tax!AG16+1),0))</f>
        <v/>
      </c>
      <c r="AH17" s="20">
        <f>Tax!$F$15*(Inputs!$F$243/100+Inputs!$F$244/100)*(IF(Tax!AH16=0,Inputs!$F$246/100,0)+(1-Inputs!$F$246/100)*IF(AND(Tax!AH16&gt;=0,Tax!AH16&lt;Inputs!$F$84),INDEX(Inputs!$J$82:$AU$82,Tax!AH16+1),0))+Tax!$F$15*Inputs!$F$244/100*(IF(Tax!AH16=0,0,0))+Tax!$F$15*Inputs!$F$244/100*(1-Inputs!$F$246/100)*(IF(AND(Tax!AH16&gt;=0,Tax!AH16&lt;Inputs!$F$85),INDEX(Inputs!$J$83:$AU$83,Tax!AH16+1),0)-IF(AND(Tax!AH16&gt;=0,Tax!AH16&lt;Inputs!$F$84),INDEX(Inputs!$J$82:$AU$82,Tax!AH16+1),0))</f>
        <v/>
      </c>
      <c r="AI17" s="20">
        <f>Tax!$F$15*(Inputs!$F$243/100+Inputs!$F$244/100)*(IF(Tax!AI16=0,Inputs!$F$246/100,0)+(1-Inputs!$F$246/100)*IF(AND(Tax!AI16&gt;=0,Tax!AI16&lt;Inputs!$F$84),INDEX(Inputs!$J$82:$AU$82,Tax!AI16+1),0))+Tax!$F$15*Inputs!$F$244/100*(IF(Tax!AI16=0,0,0))+Tax!$F$15*Inputs!$F$244/100*(1-Inputs!$F$246/100)*(IF(AND(Tax!AI16&gt;=0,Tax!AI16&lt;Inputs!$F$85),INDEX(Inputs!$J$83:$AU$83,Tax!AI16+1),0)-IF(AND(Tax!AI16&gt;=0,Tax!AI16&lt;Inputs!$F$84),INDEX(Inputs!$J$82:$AU$82,Tax!AI16+1),0))</f>
        <v/>
      </c>
      <c r="AJ17" s="20">
        <f>Tax!$F$15*(Inputs!$F$243/100+Inputs!$F$244/100)*(IF(Tax!AJ16=0,Inputs!$F$246/100,0)+(1-Inputs!$F$246/100)*IF(AND(Tax!AJ16&gt;=0,Tax!AJ16&lt;Inputs!$F$84),INDEX(Inputs!$J$82:$AU$82,Tax!AJ16+1),0))+Tax!$F$15*Inputs!$F$244/100*(IF(Tax!AJ16=0,0,0))+Tax!$F$15*Inputs!$F$244/100*(1-Inputs!$F$246/100)*(IF(AND(Tax!AJ16&gt;=0,Tax!AJ16&lt;Inputs!$F$85),INDEX(Inputs!$J$83:$AU$83,Tax!AJ16+1),0)-IF(AND(Tax!AJ16&gt;=0,Tax!AJ16&lt;Inputs!$F$84),INDEX(Inputs!$J$82:$AU$82,Tax!AJ16+1),0))</f>
        <v/>
      </c>
      <c r="AK17" s="20">
        <f>Tax!$F$15*(Inputs!$F$243/100+Inputs!$F$244/100)*(IF(Tax!AK16=0,Inputs!$F$246/100,0)+(1-Inputs!$F$246/100)*IF(AND(Tax!AK16&gt;=0,Tax!AK16&lt;Inputs!$F$84),INDEX(Inputs!$J$82:$AU$82,Tax!AK16+1),0))+Tax!$F$15*Inputs!$F$244/100*(IF(Tax!AK16=0,0,0))+Tax!$F$15*Inputs!$F$244/100*(1-Inputs!$F$246/100)*(IF(AND(Tax!AK16&gt;=0,Tax!AK16&lt;Inputs!$F$85),INDEX(Inputs!$J$83:$AU$83,Tax!AK16+1),0)-IF(AND(Tax!AK16&gt;=0,Tax!AK16&lt;Inputs!$F$84),INDEX(Inputs!$J$82:$AU$82,Tax!AK16+1),0))</f>
        <v/>
      </c>
      <c r="AL17" s="20">
        <f>Tax!$F$15*(Inputs!$F$243/100+Inputs!$F$244/100)*(IF(Tax!AL16=0,Inputs!$F$246/100,0)+(1-Inputs!$F$246/100)*IF(AND(Tax!AL16&gt;=0,Tax!AL16&lt;Inputs!$F$84),INDEX(Inputs!$J$82:$AU$82,Tax!AL16+1),0))+Tax!$F$15*Inputs!$F$244/100*(IF(Tax!AL16=0,0,0))+Tax!$F$15*Inputs!$F$244/100*(1-Inputs!$F$246/100)*(IF(AND(Tax!AL16&gt;=0,Tax!AL16&lt;Inputs!$F$85),INDEX(Inputs!$J$83:$AU$83,Tax!AL16+1),0)-IF(AND(Tax!AL16&gt;=0,Tax!AL16&lt;Inputs!$F$84),INDEX(Inputs!$J$82:$AU$82,Tax!AL16+1),0))</f>
        <v/>
      </c>
      <c r="AM17" s="20">
        <f>Tax!$F$15*(Inputs!$F$243/100+Inputs!$F$244/100)*(IF(Tax!AM16=0,Inputs!$F$246/100,0)+(1-Inputs!$F$246/100)*IF(AND(Tax!AM16&gt;=0,Tax!AM16&lt;Inputs!$F$84),INDEX(Inputs!$J$82:$AU$82,Tax!AM16+1),0))+Tax!$F$15*Inputs!$F$244/100*(IF(Tax!AM16=0,0,0))+Tax!$F$15*Inputs!$F$244/100*(1-Inputs!$F$246/100)*(IF(AND(Tax!AM16&gt;=0,Tax!AM16&lt;Inputs!$F$85),INDEX(Inputs!$J$83:$AU$83,Tax!AM16+1),0)-IF(AND(Tax!AM16&gt;=0,Tax!AM16&lt;Inputs!$F$84),INDEX(Inputs!$J$82:$AU$82,Tax!AM16+1),0))</f>
        <v/>
      </c>
      <c r="AN17" s="20">
        <f>Tax!$F$15*(Inputs!$F$243/100+Inputs!$F$244/100)*(IF(Tax!AN16=0,Inputs!$F$246/100,0)+(1-Inputs!$F$246/100)*IF(AND(Tax!AN16&gt;=0,Tax!AN16&lt;Inputs!$F$84),INDEX(Inputs!$J$82:$AU$82,Tax!AN16+1),0))+Tax!$F$15*Inputs!$F$244/100*(IF(Tax!AN16=0,0,0))+Tax!$F$15*Inputs!$F$244/100*(1-Inputs!$F$246/100)*(IF(AND(Tax!AN16&gt;=0,Tax!AN16&lt;Inputs!$F$85),INDEX(Inputs!$J$83:$AU$83,Tax!AN16+1),0)-IF(AND(Tax!AN16&gt;=0,Tax!AN16&lt;Inputs!$F$84),INDEX(Inputs!$J$82:$AU$82,Tax!AN16+1),0))</f>
        <v/>
      </c>
      <c r="AO17" s="20">
        <f>Tax!$F$15*(Inputs!$F$243/100+Inputs!$F$244/100)*(IF(Tax!AO16=0,Inputs!$F$246/100,0)+(1-Inputs!$F$246/100)*IF(AND(Tax!AO16&gt;=0,Tax!AO16&lt;Inputs!$F$84),INDEX(Inputs!$J$82:$AU$82,Tax!AO16+1),0))+Tax!$F$15*Inputs!$F$244/100*(IF(Tax!AO16=0,0,0))+Tax!$F$15*Inputs!$F$244/100*(1-Inputs!$F$246/100)*(IF(AND(Tax!AO16&gt;=0,Tax!AO16&lt;Inputs!$F$85),INDEX(Inputs!$J$83:$AU$83,Tax!AO16+1),0)-IF(AND(Tax!AO16&gt;=0,Tax!AO16&lt;Inputs!$F$84),INDEX(Inputs!$J$82:$AU$82,Tax!AO16+1),0))</f>
        <v/>
      </c>
      <c r="AP17" s="20">
        <f>Tax!$F$15*(Inputs!$F$243/100+Inputs!$F$244/100)*(IF(Tax!AP16=0,Inputs!$F$246/100,0)+(1-Inputs!$F$246/100)*IF(AND(Tax!AP16&gt;=0,Tax!AP16&lt;Inputs!$F$84),INDEX(Inputs!$J$82:$AU$82,Tax!AP16+1),0))+Tax!$F$15*Inputs!$F$244/100*(IF(Tax!AP16=0,0,0))+Tax!$F$15*Inputs!$F$244/100*(1-Inputs!$F$246/100)*(IF(AND(Tax!AP16&gt;=0,Tax!AP16&lt;Inputs!$F$85),INDEX(Inputs!$J$83:$AU$83,Tax!AP16+1),0)-IF(AND(Tax!AP16&gt;=0,Tax!AP16&lt;Inputs!$F$84),INDEX(Inputs!$J$82:$AU$82,Tax!AP16+1),0))</f>
        <v/>
      </c>
      <c r="AQ17" s="20">
        <f>Tax!$F$15*(Inputs!$F$243/100+Inputs!$F$244/100)*(IF(Tax!AQ16=0,Inputs!$F$246/100,0)+(1-Inputs!$F$246/100)*IF(AND(Tax!AQ16&gt;=0,Tax!AQ16&lt;Inputs!$F$84),INDEX(Inputs!$J$82:$AU$82,Tax!AQ16+1),0))+Tax!$F$15*Inputs!$F$244/100*(IF(Tax!AQ16=0,0,0))+Tax!$F$15*Inputs!$F$244/100*(1-Inputs!$F$246/100)*(IF(AND(Tax!AQ16&gt;=0,Tax!AQ16&lt;Inputs!$F$85),INDEX(Inputs!$J$83:$AU$83,Tax!AQ16+1),0)-IF(AND(Tax!AQ16&gt;=0,Tax!AQ16&lt;Inputs!$F$84),INDEX(Inputs!$J$82:$AU$82,Tax!AQ16+1),0))</f>
        <v/>
      </c>
      <c r="AR17" s="20">
        <f>Tax!$F$15*(Inputs!$F$243/100+Inputs!$F$244/100)*(IF(Tax!AR16=0,Inputs!$F$246/100,0)+(1-Inputs!$F$246/100)*IF(AND(Tax!AR16&gt;=0,Tax!AR16&lt;Inputs!$F$84),INDEX(Inputs!$J$82:$AU$82,Tax!AR16+1),0))+Tax!$F$15*Inputs!$F$244/100*(IF(Tax!AR16=0,0,0))+Tax!$F$15*Inputs!$F$244/100*(1-Inputs!$F$246/100)*(IF(AND(Tax!AR16&gt;=0,Tax!AR16&lt;Inputs!$F$85),INDEX(Inputs!$J$83:$AU$83,Tax!AR16+1),0)-IF(AND(Tax!AR16&gt;=0,Tax!AR16&lt;Inputs!$F$84),INDEX(Inputs!$J$82:$AU$82,Tax!AR16+1),0))</f>
        <v/>
      </c>
      <c r="AS17" s="20">
        <f>Tax!$F$15*(Inputs!$F$243/100+Inputs!$F$244/100)*(IF(Tax!AS16=0,Inputs!$F$246/100,0)+(1-Inputs!$F$246/100)*IF(AND(Tax!AS16&gt;=0,Tax!AS16&lt;Inputs!$F$84),INDEX(Inputs!$J$82:$AU$82,Tax!AS16+1),0))+Tax!$F$15*Inputs!$F$244/100*(IF(Tax!AS16=0,0,0))+Tax!$F$15*Inputs!$F$244/100*(1-Inputs!$F$246/100)*(IF(AND(Tax!AS16&gt;=0,Tax!AS16&lt;Inputs!$F$85),INDEX(Inputs!$J$83:$AU$83,Tax!AS16+1),0)-IF(AND(Tax!AS16&gt;=0,Tax!AS16&lt;Inputs!$F$84),INDEX(Inputs!$J$82:$AU$82,Tax!AS16+1),0))</f>
        <v/>
      </c>
      <c r="AT17" s="20">
        <f>Tax!$F$15*(Inputs!$F$243/100+Inputs!$F$244/100)*(IF(Tax!AT16=0,Inputs!$F$246/100,0)+(1-Inputs!$F$246/100)*IF(AND(Tax!AT16&gt;=0,Tax!AT16&lt;Inputs!$F$84),INDEX(Inputs!$J$82:$AU$82,Tax!AT16+1),0))+Tax!$F$15*Inputs!$F$244/100*(IF(Tax!AT16=0,0,0))+Tax!$F$15*Inputs!$F$244/100*(1-Inputs!$F$246/100)*(IF(AND(Tax!AT16&gt;=0,Tax!AT16&lt;Inputs!$F$85),INDEX(Inputs!$J$83:$AU$83,Tax!AT16+1),0)-IF(AND(Tax!AT16&gt;=0,Tax!AT16&lt;Inputs!$F$84),INDEX(Inputs!$J$82:$AU$82,Tax!AT16+1),0))</f>
        <v/>
      </c>
      <c r="AU17" s="20">
        <f>Tax!$F$15*(Inputs!$F$243/100+Inputs!$F$244/100)*(IF(Tax!AU16=0,Inputs!$F$246/100,0)+(1-Inputs!$F$246/100)*IF(AND(Tax!AU16&gt;=0,Tax!AU16&lt;Inputs!$F$84),INDEX(Inputs!$J$82:$AU$82,Tax!AU16+1),0))+Tax!$F$15*Inputs!$F$244/100*(IF(Tax!AU16=0,0,0))+Tax!$F$15*Inputs!$F$244/100*(1-Inputs!$F$246/100)*(IF(AND(Tax!AU16&gt;=0,Tax!AU16&lt;Inputs!$F$85),INDEX(Inputs!$J$83:$AU$83,Tax!AU16+1),0)-IF(AND(Tax!AU16&gt;=0,Tax!AU16&lt;Inputs!$F$84),INDEX(Inputs!$J$82:$AU$82,Tax!AU16+1),0))</f>
        <v/>
      </c>
    </row>
    <row r="18">
      <c r="D18" t="inlineStr">
        <is>
          <t>Depreciable basis, R7</t>
        </is>
      </c>
      <c r="E18" t="inlineStr">
        <is>
          <t>USD m</t>
        </is>
      </c>
      <c r="F18" s="20">
        <f>Inputs!$F$263-Inputs!$F$253*Tax!$F$8</f>
        <v/>
      </c>
    </row>
    <row r="19">
      <c r="D19" t="inlineStr">
        <is>
          <t>Recovery year index, R7</t>
        </is>
      </c>
      <c r="E19" t="inlineStr">
        <is>
          <t>years</t>
        </is>
      </c>
      <c r="J19" s="12">
        <f>Time!J$4-YEAR(Inputs!$F$262)</f>
        <v/>
      </c>
      <c r="K19" s="12">
        <f>Time!K$4-YEAR(Inputs!$F$262)</f>
        <v/>
      </c>
      <c r="L19" s="12">
        <f>Time!L$4-YEAR(Inputs!$F$262)</f>
        <v/>
      </c>
      <c r="M19" s="12">
        <f>Time!M$4-YEAR(Inputs!$F$262)</f>
        <v/>
      </c>
      <c r="N19" s="12">
        <f>Time!N$4-YEAR(Inputs!$F$262)</f>
        <v/>
      </c>
      <c r="O19" s="12">
        <f>Time!O$4-YEAR(Inputs!$F$262)</f>
        <v/>
      </c>
      <c r="P19" s="12">
        <f>Time!P$4-YEAR(Inputs!$F$262)</f>
        <v/>
      </c>
      <c r="Q19" s="12">
        <f>Time!Q$4-YEAR(Inputs!$F$262)</f>
        <v/>
      </c>
      <c r="R19" s="12">
        <f>Time!R$4-YEAR(Inputs!$F$262)</f>
        <v/>
      </c>
      <c r="S19" s="12">
        <f>Time!S$4-YEAR(Inputs!$F$262)</f>
        <v/>
      </c>
      <c r="T19" s="12">
        <f>Time!T$4-YEAR(Inputs!$F$262)</f>
        <v/>
      </c>
      <c r="U19" s="12">
        <f>Time!U$4-YEAR(Inputs!$F$262)</f>
        <v/>
      </c>
      <c r="V19" s="12">
        <f>Time!V$4-YEAR(Inputs!$F$262)</f>
        <v/>
      </c>
      <c r="W19" s="12">
        <f>Time!W$4-YEAR(Inputs!$F$262)</f>
        <v/>
      </c>
      <c r="X19" s="12">
        <f>Time!X$4-YEAR(Inputs!$F$262)</f>
        <v/>
      </c>
      <c r="Y19" s="12">
        <f>Time!Y$4-YEAR(Inputs!$F$262)</f>
        <v/>
      </c>
      <c r="Z19" s="12">
        <f>Time!Z$4-YEAR(Inputs!$F$262)</f>
        <v/>
      </c>
      <c r="AA19" s="12">
        <f>Time!AA$4-YEAR(Inputs!$F$262)</f>
        <v/>
      </c>
      <c r="AB19" s="12">
        <f>Time!AB$4-YEAR(Inputs!$F$262)</f>
        <v/>
      </c>
      <c r="AC19" s="12">
        <f>Time!AC$4-YEAR(Inputs!$F$262)</f>
        <v/>
      </c>
      <c r="AD19" s="12">
        <f>Time!AD$4-YEAR(Inputs!$F$262)</f>
        <v/>
      </c>
      <c r="AE19" s="12">
        <f>Time!AE$4-YEAR(Inputs!$F$262)</f>
        <v/>
      </c>
      <c r="AF19" s="12">
        <f>Time!AF$4-YEAR(Inputs!$F$262)</f>
        <v/>
      </c>
      <c r="AG19" s="12">
        <f>Time!AG$4-YEAR(Inputs!$F$262)</f>
        <v/>
      </c>
      <c r="AH19" s="12">
        <f>Time!AH$4-YEAR(Inputs!$F$262)</f>
        <v/>
      </c>
      <c r="AI19" s="12">
        <f>Time!AI$4-YEAR(Inputs!$F$262)</f>
        <v/>
      </c>
      <c r="AJ19" s="12">
        <f>Time!AJ$4-YEAR(Inputs!$F$262)</f>
        <v/>
      </c>
      <c r="AK19" s="12">
        <f>Time!AK$4-YEAR(Inputs!$F$262)</f>
        <v/>
      </c>
      <c r="AL19" s="12">
        <f>Time!AL$4-YEAR(Inputs!$F$262)</f>
        <v/>
      </c>
      <c r="AM19" s="12">
        <f>Time!AM$4-YEAR(Inputs!$F$262)</f>
        <v/>
      </c>
      <c r="AN19" s="12">
        <f>Time!AN$4-YEAR(Inputs!$F$262)</f>
        <v/>
      </c>
      <c r="AO19" s="12">
        <f>Time!AO$4-YEAR(Inputs!$F$262)</f>
        <v/>
      </c>
      <c r="AP19" s="12">
        <f>Time!AP$4-YEAR(Inputs!$F$262)</f>
        <v/>
      </c>
      <c r="AQ19" s="12">
        <f>Time!AQ$4-YEAR(Inputs!$F$262)</f>
        <v/>
      </c>
      <c r="AR19" s="12">
        <f>Time!AR$4-YEAR(Inputs!$F$262)</f>
        <v/>
      </c>
      <c r="AS19" s="12">
        <f>Time!AS$4-YEAR(Inputs!$F$262)</f>
        <v/>
      </c>
      <c r="AT19" s="12">
        <f>Time!AT$4-YEAR(Inputs!$F$262)</f>
        <v/>
      </c>
      <c r="AU19" s="12">
        <f>Time!AU$4-YEAR(Inputs!$F$262)</f>
        <v/>
      </c>
    </row>
    <row r="20">
      <c r="D20" t="inlineStr">
        <is>
          <t>Tax depreciation, R7</t>
        </is>
      </c>
      <c r="E20" t="inlineStr">
        <is>
          <t>USD m</t>
        </is>
      </c>
      <c r="G20" s="20">
        <f>SUM(J20:AU20)</f>
        <v/>
      </c>
      <c r="J20" s="20">
        <f>Tax!$F$18*(Inputs!$F$243/100+Inputs!$F$244/100)*(IF(Tax!J19=0,Inputs!$F$247/100,0)+(1-Inputs!$F$247/100)*IF(AND(Tax!J19&gt;=0,Tax!J19&lt;Inputs!$F$84),INDEX(Inputs!$J$82:$AU$82,Tax!J19+1),0))+Tax!$F$18*Inputs!$F$244/100*(IF(Tax!J19=0,0,0))+Tax!$F$18*Inputs!$F$244/100*(1-Inputs!$F$247/100)*(IF(AND(Tax!J19&gt;=0,Tax!J19&lt;Inputs!$F$85),INDEX(Inputs!$J$83:$AU$83,Tax!J19+1),0)-IF(AND(Tax!J19&gt;=0,Tax!J19&lt;Inputs!$F$84),INDEX(Inputs!$J$82:$AU$82,Tax!J19+1),0))</f>
        <v/>
      </c>
      <c r="K20" s="20">
        <f>Tax!$F$18*(Inputs!$F$243/100+Inputs!$F$244/100)*(IF(Tax!K19=0,Inputs!$F$247/100,0)+(1-Inputs!$F$247/100)*IF(AND(Tax!K19&gt;=0,Tax!K19&lt;Inputs!$F$84),INDEX(Inputs!$J$82:$AU$82,Tax!K19+1),0))+Tax!$F$18*Inputs!$F$244/100*(IF(Tax!K19=0,0,0))+Tax!$F$18*Inputs!$F$244/100*(1-Inputs!$F$247/100)*(IF(AND(Tax!K19&gt;=0,Tax!K19&lt;Inputs!$F$85),INDEX(Inputs!$J$83:$AU$83,Tax!K19+1),0)-IF(AND(Tax!K19&gt;=0,Tax!K19&lt;Inputs!$F$84),INDEX(Inputs!$J$82:$AU$82,Tax!K19+1),0))</f>
        <v/>
      </c>
      <c r="L20" s="20">
        <f>Tax!$F$18*(Inputs!$F$243/100+Inputs!$F$244/100)*(IF(Tax!L19=0,Inputs!$F$247/100,0)+(1-Inputs!$F$247/100)*IF(AND(Tax!L19&gt;=0,Tax!L19&lt;Inputs!$F$84),INDEX(Inputs!$J$82:$AU$82,Tax!L19+1),0))+Tax!$F$18*Inputs!$F$244/100*(IF(Tax!L19=0,0,0))+Tax!$F$18*Inputs!$F$244/100*(1-Inputs!$F$247/100)*(IF(AND(Tax!L19&gt;=0,Tax!L19&lt;Inputs!$F$85),INDEX(Inputs!$J$83:$AU$83,Tax!L19+1),0)-IF(AND(Tax!L19&gt;=0,Tax!L19&lt;Inputs!$F$84),INDEX(Inputs!$J$82:$AU$82,Tax!L19+1),0))</f>
        <v/>
      </c>
      <c r="M20" s="20">
        <f>Tax!$F$18*(Inputs!$F$243/100+Inputs!$F$244/100)*(IF(Tax!M19=0,Inputs!$F$247/100,0)+(1-Inputs!$F$247/100)*IF(AND(Tax!M19&gt;=0,Tax!M19&lt;Inputs!$F$84),INDEX(Inputs!$J$82:$AU$82,Tax!M19+1),0))+Tax!$F$18*Inputs!$F$244/100*(IF(Tax!M19=0,0,0))+Tax!$F$18*Inputs!$F$244/100*(1-Inputs!$F$247/100)*(IF(AND(Tax!M19&gt;=0,Tax!M19&lt;Inputs!$F$85),INDEX(Inputs!$J$83:$AU$83,Tax!M19+1),0)-IF(AND(Tax!M19&gt;=0,Tax!M19&lt;Inputs!$F$84),INDEX(Inputs!$J$82:$AU$82,Tax!M19+1),0))</f>
        <v/>
      </c>
      <c r="N20" s="20">
        <f>Tax!$F$18*(Inputs!$F$243/100+Inputs!$F$244/100)*(IF(Tax!N19=0,Inputs!$F$247/100,0)+(1-Inputs!$F$247/100)*IF(AND(Tax!N19&gt;=0,Tax!N19&lt;Inputs!$F$84),INDEX(Inputs!$J$82:$AU$82,Tax!N19+1),0))+Tax!$F$18*Inputs!$F$244/100*(IF(Tax!N19=0,0,0))+Tax!$F$18*Inputs!$F$244/100*(1-Inputs!$F$247/100)*(IF(AND(Tax!N19&gt;=0,Tax!N19&lt;Inputs!$F$85),INDEX(Inputs!$J$83:$AU$83,Tax!N19+1),0)-IF(AND(Tax!N19&gt;=0,Tax!N19&lt;Inputs!$F$84),INDEX(Inputs!$J$82:$AU$82,Tax!N19+1),0))</f>
        <v/>
      </c>
      <c r="O20" s="20">
        <f>Tax!$F$18*(Inputs!$F$243/100+Inputs!$F$244/100)*(IF(Tax!O19=0,Inputs!$F$247/100,0)+(1-Inputs!$F$247/100)*IF(AND(Tax!O19&gt;=0,Tax!O19&lt;Inputs!$F$84),INDEX(Inputs!$J$82:$AU$82,Tax!O19+1),0))+Tax!$F$18*Inputs!$F$244/100*(IF(Tax!O19=0,0,0))+Tax!$F$18*Inputs!$F$244/100*(1-Inputs!$F$247/100)*(IF(AND(Tax!O19&gt;=0,Tax!O19&lt;Inputs!$F$85),INDEX(Inputs!$J$83:$AU$83,Tax!O19+1),0)-IF(AND(Tax!O19&gt;=0,Tax!O19&lt;Inputs!$F$84),INDEX(Inputs!$J$82:$AU$82,Tax!O19+1),0))</f>
        <v/>
      </c>
      <c r="P20" s="20">
        <f>Tax!$F$18*(Inputs!$F$243/100+Inputs!$F$244/100)*(IF(Tax!P19=0,Inputs!$F$247/100,0)+(1-Inputs!$F$247/100)*IF(AND(Tax!P19&gt;=0,Tax!P19&lt;Inputs!$F$84),INDEX(Inputs!$J$82:$AU$82,Tax!P19+1),0))+Tax!$F$18*Inputs!$F$244/100*(IF(Tax!P19=0,0,0))+Tax!$F$18*Inputs!$F$244/100*(1-Inputs!$F$247/100)*(IF(AND(Tax!P19&gt;=0,Tax!P19&lt;Inputs!$F$85),INDEX(Inputs!$J$83:$AU$83,Tax!P19+1),0)-IF(AND(Tax!P19&gt;=0,Tax!P19&lt;Inputs!$F$84),INDEX(Inputs!$J$82:$AU$82,Tax!P19+1),0))</f>
        <v/>
      </c>
      <c r="Q20" s="20">
        <f>Tax!$F$18*(Inputs!$F$243/100+Inputs!$F$244/100)*(IF(Tax!Q19=0,Inputs!$F$247/100,0)+(1-Inputs!$F$247/100)*IF(AND(Tax!Q19&gt;=0,Tax!Q19&lt;Inputs!$F$84),INDEX(Inputs!$J$82:$AU$82,Tax!Q19+1),0))+Tax!$F$18*Inputs!$F$244/100*(IF(Tax!Q19=0,0,0))+Tax!$F$18*Inputs!$F$244/100*(1-Inputs!$F$247/100)*(IF(AND(Tax!Q19&gt;=0,Tax!Q19&lt;Inputs!$F$85),INDEX(Inputs!$J$83:$AU$83,Tax!Q19+1),0)-IF(AND(Tax!Q19&gt;=0,Tax!Q19&lt;Inputs!$F$84),INDEX(Inputs!$J$82:$AU$82,Tax!Q19+1),0))</f>
        <v/>
      </c>
      <c r="R20" s="20">
        <f>Tax!$F$18*(Inputs!$F$243/100+Inputs!$F$244/100)*(IF(Tax!R19=0,Inputs!$F$247/100,0)+(1-Inputs!$F$247/100)*IF(AND(Tax!R19&gt;=0,Tax!R19&lt;Inputs!$F$84),INDEX(Inputs!$J$82:$AU$82,Tax!R19+1),0))+Tax!$F$18*Inputs!$F$244/100*(IF(Tax!R19=0,0,0))+Tax!$F$18*Inputs!$F$244/100*(1-Inputs!$F$247/100)*(IF(AND(Tax!R19&gt;=0,Tax!R19&lt;Inputs!$F$85),INDEX(Inputs!$J$83:$AU$83,Tax!R19+1),0)-IF(AND(Tax!R19&gt;=0,Tax!R19&lt;Inputs!$F$84),INDEX(Inputs!$J$82:$AU$82,Tax!R19+1),0))</f>
        <v/>
      </c>
      <c r="S20" s="20">
        <f>Tax!$F$18*(Inputs!$F$243/100+Inputs!$F$244/100)*(IF(Tax!S19=0,Inputs!$F$247/100,0)+(1-Inputs!$F$247/100)*IF(AND(Tax!S19&gt;=0,Tax!S19&lt;Inputs!$F$84),INDEX(Inputs!$J$82:$AU$82,Tax!S19+1),0))+Tax!$F$18*Inputs!$F$244/100*(IF(Tax!S19=0,0,0))+Tax!$F$18*Inputs!$F$244/100*(1-Inputs!$F$247/100)*(IF(AND(Tax!S19&gt;=0,Tax!S19&lt;Inputs!$F$85),INDEX(Inputs!$J$83:$AU$83,Tax!S19+1),0)-IF(AND(Tax!S19&gt;=0,Tax!S19&lt;Inputs!$F$84),INDEX(Inputs!$J$82:$AU$82,Tax!S19+1),0))</f>
        <v/>
      </c>
      <c r="T20" s="20">
        <f>Tax!$F$18*(Inputs!$F$243/100+Inputs!$F$244/100)*(IF(Tax!T19=0,Inputs!$F$247/100,0)+(1-Inputs!$F$247/100)*IF(AND(Tax!T19&gt;=0,Tax!T19&lt;Inputs!$F$84),INDEX(Inputs!$J$82:$AU$82,Tax!T19+1),0))+Tax!$F$18*Inputs!$F$244/100*(IF(Tax!T19=0,0,0))+Tax!$F$18*Inputs!$F$244/100*(1-Inputs!$F$247/100)*(IF(AND(Tax!T19&gt;=0,Tax!T19&lt;Inputs!$F$85),INDEX(Inputs!$J$83:$AU$83,Tax!T19+1),0)-IF(AND(Tax!T19&gt;=0,Tax!T19&lt;Inputs!$F$84),INDEX(Inputs!$J$82:$AU$82,Tax!T19+1),0))</f>
        <v/>
      </c>
      <c r="U20" s="20">
        <f>Tax!$F$18*(Inputs!$F$243/100+Inputs!$F$244/100)*(IF(Tax!U19=0,Inputs!$F$247/100,0)+(1-Inputs!$F$247/100)*IF(AND(Tax!U19&gt;=0,Tax!U19&lt;Inputs!$F$84),INDEX(Inputs!$J$82:$AU$82,Tax!U19+1),0))+Tax!$F$18*Inputs!$F$244/100*(IF(Tax!U19=0,0,0))+Tax!$F$18*Inputs!$F$244/100*(1-Inputs!$F$247/100)*(IF(AND(Tax!U19&gt;=0,Tax!U19&lt;Inputs!$F$85),INDEX(Inputs!$J$83:$AU$83,Tax!U19+1),0)-IF(AND(Tax!U19&gt;=0,Tax!U19&lt;Inputs!$F$84),INDEX(Inputs!$J$82:$AU$82,Tax!U19+1),0))</f>
        <v/>
      </c>
      <c r="V20" s="20">
        <f>Tax!$F$18*(Inputs!$F$243/100+Inputs!$F$244/100)*(IF(Tax!V19=0,Inputs!$F$247/100,0)+(1-Inputs!$F$247/100)*IF(AND(Tax!V19&gt;=0,Tax!V19&lt;Inputs!$F$84),INDEX(Inputs!$J$82:$AU$82,Tax!V19+1),0))+Tax!$F$18*Inputs!$F$244/100*(IF(Tax!V19=0,0,0))+Tax!$F$18*Inputs!$F$244/100*(1-Inputs!$F$247/100)*(IF(AND(Tax!V19&gt;=0,Tax!V19&lt;Inputs!$F$85),INDEX(Inputs!$J$83:$AU$83,Tax!V19+1),0)-IF(AND(Tax!V19&gt;=0,Tax!V19&lt;Inputs!$F$84),INDEX(Inputs!$J$82:$AU$82,Tax!V19+1),0))</f>
        <v/>
      </c>
      <c r="W20" s="20">
        <f>Tax!$F$18*(Inputs!$F$243/100+Inputs!$F$244/100)*(IF(Tax!W19=0,Inputs!$F$247/100,0)+(1-Inputs!$F$247/100)*IF(AND(Tax!W19&gt;=0,Tax!W19&lt;Inputs!$F$84),INDEX(Inputs!$J$82:$AU$82,Tax!W19+1),0))+Tax!$F$18*Inputs!$F$244/100*(IF(Tax!W19=0,0,0))+Tax!$F$18*Inputs!$F$244/100*(1-Inputs!$F$247/100)*(IF(AND(Tax!W19&gt;=0,Tax!W19&lt;Inputs!$F$85),INDEX(Inputs!$J$83:$AU$83,Tax!W19+1),0)-IF(AND(Tax!W19&gt;=0,Tax!W19&lt;Inputs!$F$84),INDEX(Inputs!$J$82:$AU$82,Tax!W19+1),0))</f>
        <v/>
      </c>
      <c r="X20" s="20">
        <f>Tax!$F$18*(Inputs!$F$243/100+Inputs!$F$244/100)*(IF(Tax!X19=0,Inputs!$F$247/100,0)+(1-Inputs!$F$247/100)*IF(AND(Tax!X19&gt;=0,Tax!X19&lt;Inputs!$F$84),INDEX(Inputs!$J$82:$AU$82,Tax!X19+1),0))+Tax!$F$18*Inputs!$F$244/100*(IF(Tax!X19=0,0,0))+Tax!$F$18*Inputs!$F$244/100*(1-Inputs!$F$247/100)*(IF(AND(Tax!X19&gt;=0,Tax!X19&lt;Inputs!$F$85),INDEX(Inputs!$J$83:$AU$83,Tax!X19+1),0)-IF(AND(Tax!X19&gt;=0,Tax!X19&lt;Inputs!$F$84),INDEX(Inputs!$J$82:$AU$82,Tax!X19+1),0))</f>
        <v/>
      </c>
      <c r="Y20" s="20">
        <f>Tax!$F$18*(Inputs!$F$243/100+Inputs!$F$244/100)*(IF(Tax!Y19=0,Inputs!$F$247/100,0)+(1-Inputs!$F$247/100)*IF(AND(Tax!Y19&gt;=0,Tax!Y19&lt;Inputs!$F$84),INDEX(Inputs!$J$82:$AU$82,Tax!Y19+1),0))+Tax!$F$18*Inputs!$F$244/100*(IF(Tax!Y19=0,0,0))+Tax!$F$18*Inputs!$F$244/100*(1-Inputs!$F$247/100)*(IF(AND(Tax!Y19&gt;=0,Tax!Y19&lt;Inputs!$F$85),INDEX(Inputs!$J$83:$AU$83,Tax!Y19+1),0)-IF(AND(Tax!Y19&gt;=0,Tax!Y19&lt;Inputs!$F$84),INDEX(Inputs!$J$82:$AU$82,Tax!Y19+1),0))</f>
        <v/>
      </c>
      <c r="Z20" s="20">
        <f>Tax!$F$18*(Inputs!$F$243/100+Inputs!$F$244/100)*(IF(Tax!Z19=0,Inputs!$F$247/100,0)+(1-Inputs!$F$247/100)*IF(AND(Tax!Z19&gt;=0,Tax!Z19&lt;Inputs!$F$84),INDEX(Inputs!$J$82:$AU$82,Tax!Z19+1),0))+Tax!$F$18*Inputs!$F$244/100*(IF(Tax!Z19=0,0,0))+Tax!$F$18*Inputs!$F$244/100*(1-Inputs!$F$247/100)*(IF(AND(Tax!Z19&gt;=0,Tax!Z19&lt;Inputs!$F$85),INDEX(Inputs!$J$83:$AU$83,Tax!Z19+1),0)-IF(AND(Tax!Z19&gt;=0,Tax!Z19&lt;Inputs!$F$84),INDEX(Inputs!$J$82:$AU$82,Tax!Z19+1),0))</f>
        <v/>
      </c>
      <c r="AA20" s="20">
        <f>Tax!$F$18*(Inputs!$F$243/100+Inputs!$F$244/100)*(IF(Tax!AA19=0,Inputs!$F$247/100,0)+(1-Inputs!$F$247/100)*IF(AND(Tax!AA19&gt;=0,Tax!AA19&lt;Inputs!$F$84),INDEX(Inputs!$J$82:$AU$82,Tax!AA19+1),0))+Tax!$F$18*Inputs!$F$244/100*(IF(Tax!AA19=0,0,0))+Tax!$F$18*Inputs!$F$244/100*(1-Inputs!$F$247/100)*(IF(AND(Tax!AA19&gt;=0,Tax!AA19&lt;Inputs!$F$85),INDEX(Inputs!$J$83:$AU$83,Tax!AA19+1),0)-IF(AND(Tax!AA19&gt;=0,Tax!AA19&lt;Inputs!$F$84),INDEX(Inputs!$J$82:$AU$82,Tax!AA19+1),0))</f>
        <v/>
      </c>
      <c r="AB20" s="20">
        <f>Tax!$F$18*(Inputs!$F$243/100+Inputs!$F$244/100)*(IF(Tax!AB19=0,Inputs!$F$247/100,0)+(1-Inputs!$F$247/100)*IF(AND(Tax!AB19&gt;=0,Tax!AB19&lt;Inputs!$F$84),INDEX(Inputs!$J$82:$AU$82,Tax!AB19+1),0))+Tax!$F$18*Inputs!$F$244/100*(IF(Tax!AB19=0,0,0))+Tax!$F$18*Inputs!$F$244/100*(1-Inputs!$F$247/100)*(IF(AND(Tax!AB19&gt;=0,Tax!AB19&lt;Inputs!$F$85),INDEX(Inputs!$J$83:$AU$83,Tax!AB19+1),0)-IF(AND(Tax!AB19&gt;=0,Tax!AB19&lt;Inputs!$F$84),INDEX(Inputs!$J$82:$AU$82,Tax!AB19+1),0))</f>
        <v/>
      </c>
      <c r="AC20" s="20">
        <f>Tax!$F$18*(Inputs!$F$243/100+Inputs!$F$244/100)*(IF(Tax!AC19=0,Inputs!$F$247/100,0)+(1-Inputs!$F$247/100)*IF(AND(Tax!AC19&gt;=0,Tax!AC19&lt;Inputs!$F$84),INDEX(Inputs!$J$82:$AU$82,Tax!AC19+1),0))+Tax!$F$18*Inputs!$F$244/100*(IF(Tax!AC19=0,0,0))+Tax!$F$18*Inputs!$F$244/100*(1-Inputs!$F$247/100)*(IF(AND(Tax!AC19&gt;=0,Tax!AC19&lt;Inputs!$F$85),INDEX(Inputs!$J$83:$AU$83,Tax!AC19+1),0)-IF(AND(Tax!AC19&gt;=0,Tax!AC19&lt;Inputs!$F$84),INDEX(Inputs!$J$82:$AU$82,Tax!AC19+1),0))</f>
        <v/>
      </c>
      <c r="AD20" s="20">
        <f>Tax!$F$18*(Inputs!$F$243/100+Inputs!$F$244/100)*(IF(Tax!AD19=0,Inputs!$F$247/100,0)+(1-Inputs!$F$247/100)*IF(AND(Tax!AD19&gt;=0,Tax!AD19&lt;Inputs!$F$84),INDEX(Inputs!$J$82:$AU$82,Tax!AD19+1),0))+Tax!$F$18*Inputs!$F$244/100*(IF(Tax!AD19=0,0,0))+Tax!$F$18*Inputs!$F$244/100*(1-Inputs!$F$247/100)*(IF(AND(Tax!AD19&gt;=0,Tax!AD19&lt;Inputs!$F$85),INDEX(Inputs!$J$83:$AU$83,Tax!AD19+1),0)-IF(AND(Tax!AD19&gt;=0,Tax!AD19&lt;Inputs!$F$84),INDEX(Inputs!$J$82:$AU$82,Tax!AD19+1),0))</f>
        <v/>
      </c>
      <c r="AE20" s="20">
        <f>Tax!$F$18*(Inputs!$F$243/100+Inputs!$F$244/100)*(IF(Tax!AE19=0,Inputs!$F$247/100,0)+(1-Inputs!$F$247/100)*IF(AND(Tax!AE19&gt;=0,Tax!AE19&lt;Inputs!$F$84),INDEX(Inputs!$J$82:$AU$82,Tax!AE19+1),0))+Tax!$F$18*Inputs!$F$244/100*(IF(Tax!AE19=0,0,0))+Tax!$F$18*Inputs!$F$244/100*(1-Inputs!$F$247/100)*(IF(AND(Tax!AE19&gt;=0,Tax!AE19&lt;Inputs!$F$85),INDEX(Inputs!$J$83:$AU$83,Tax!AE19+1),0)-IF(AND(Tax!AE19&gt;=0,Tax!AE19&lt;Inputs!$F$84),INDEX(Inputs!$J$82:$AU$82,Tax!AE19+1),0))</f>
        <v/>
      </c>
      <c r="AF20" s="20">
        <f>Tax!$F$18*(Inputs!$F$243/100+Inputs!$F$244/100)*(IF(Tax!AF19=0,Inputs!$F$247/100,0)+(1-Inputs!$F$247/100)*IF(AND(Tax!AF19&gt;=0,Tax!AF19&lt;Inputs!$F$84),INDEX(Inputs!$J$82:$AU$82,Tax!AF19+1),0))+Tax!$F$18*Inputs!$F$244/100*(IF(Tax!AF19=0,0,0))+Tax!$F$18*Inputs!$F$244/100*(1-Inputs!$F$247/100)*(IF(AND(Tax!AF19&gt;=0,Tax!AF19&lt;Inputs!$F$85),INDEX(Inputs!$J$83:$AU$83,Tax!AF19+1),0)-IF(AND(Tax!AF19&gt;=0,Tax!AF19&lt;Inputs!$F$84),INDEX(Inputs!$J$82:$AU$82,Tax!AF19+1),0))</f>
        <v/>
      </c>
      <c r="AG20" s="20">
        <f>Tax!$F$18*(Inputs!$F$243/100+Inputs!$F$244/100)*(IF(Tax!AG19=0,Inputs!$F$247/100,0)+(1-Inputs!$F$247/100)*IF(AND(Tax!AG19&gt;=0,Tax!AG19&lt;Inputs!$F$84),INDEX(Inputs!$J$82:$AU$82,Tax!AG19+1),0))+Tax!$F$18*Inputs!$F$244/100*(IF(Tax!AG19=0,0,0))+Tax!$F$18*Inputs!$F$244/100*(1-Inputs!$F$247/100)*(IF(AND(Tax!AG19&gt;=0,Tax!AG19&lt;Inputs!$F$85),INDEX(Inputs!$J$83:$AU$83,Tax!AG19+1),0)-IF(AND(Tax!AG19&gt;=0,Tax!AG19&lt;Inputs!$F$84),INDEX(Inputs!$J$82:$AU$82,Tax!AG19+1),0))</f>
        <v/>
      </c>
      <c r="AH20" s="20">
        <f>Tax!$F$18*(Inputs!$F$243/100+Inputs!$F$244/100)*(IF(Tax!AH19=0,Inputs!$F$247/100,0)+(1-Inputs!$F$247/100)*IF(AND(Tax!AH19&gt;=0,Tax!AH19&lt;Inputs!$F$84),INDEX(Inputs!$J$82:$AU$82,Tax!AH19+1),0))+Tax!$F$18*Inputs!$F$244/100*(IF(Tax!AH19=0,0,0))+Tax!$F$18*Inputs!$F$244/100*(1-Inputs!$F$247/100)*(IF(AND(Tax!AH19&gt;=0,Tax!AH19&lt;Inputs!$F$85),INDEX(Inputs!$J$83:$AU$83,Tax!AH19+1),0)-IF(AND(Tax!AH19&gt;=0,Tax!AH19&lt;Inputs!$F$84),INDEX(Inputs!$J$82:$AU$82,Tax!AH19+1),0))</f>
        <v/>
      </c>
      <c r="AI20" s="20">
        <f>Tax!$F$18*(Inputs!$F$243/100+Inputs!$F$244/100)*(IF(Tax!AI19=0,Inputs!$F$247/100,0)+(1-Inputs!$F$247/100)*IF(AND(Tax!AI19&gt;=0,Tax!AI19&lt;Inputs!$F$84),INDEX(Inputs!$J$82:$AU$82,Tax!AI19+1),0))+Tax!$F$18*Inputs!$F$244/100*(IF(Tax!AI19=0,0,0))+Tax!$F$18*Inputs!$F$244/100*(1-Inputs!$F$247/100)*(IF(AND(Tax!AI19&gt;=0,Tax!AI19&lt;Inputs!$F$85),INDEX(Inputs!$J$83:$AU$83,Tax!AI19+1),0)-IF(AND(Tax!AI19&gt;=0,Tax!AI19&lt;Inputs!$F$84),INDEX(Inputs!$J$82:$AU$82,Tax!AI19+1),0))</f>
        <v/>
      </c>
      <c r="AJ20" s="20">
        <f>Tax!$F$18*(Inputs!$F$243/100+Inputs!$F$244/100)*(IF(Tax!AJ19=0,Inputs!$F$247/100,0)+(1-Inputs!$F$247/100)*IF(AND(Tax!AJ19&gt;=0,Tax!AJ19&lt;Inputs!$F$84),INDEX(Inputs!$J$82:$AU$82,Tax!AJ19+1),0))+Tax!$F$18*Inputs!$F$244/100*(IF(Tax!AJ19=0,0,0))+Tax!$F$18*Inputs!$F$244/100*(1-Inputs!$F$247/100)*(IF(AND(Tax!AJ19&gt;=0,Tax!AJ19&lt;Inputs!$F$85),INDEX(Inputs!$J$83:$AU$83,Tax!AJ19+1),0)-IF(AND(Tax!AJ19&gt;=0,Tax!AJ19&lt;Inputs!$F$84),INDEX(Inputs!$J$82:$AU$82,Tax!AJ19+1),0))</f>
        <v/>
      </c>
      <c r="AK20" s="20">
        <f>Tax!$F$18*(Inputs!$F$243/100+Inputs!$F$244/100)*(IF(Tax!AK19=0,Inputs!$F$247/100,0)+(1-Inputs!$F$247/100)*IF(AND(Tax!AK19&gt;=0,Tax!AK19&lt;Inputs!$F$84),INDEX(Inputs!$J$82:$AU$82,Tax!AK19+1),0))+Tax!$F$18*Inputs!$F$244/100*(IF(Tax!AK19=0,0,0))+Tax!$F$18*Inputs!$F$244/100*(1-Inputs!$F$247/100)*(IF(AND(Tax!AK19&gt;=0,Tax!AK19&lt;Inputs!$F$85),INDEX(Inputs!$J$83:$AU$83,Tax!AK19+1),0)-IF(AND(Tax!AK19&gt;=0,Tax!AK19&lt;Inputs!$F$84),INDEX(Inputs!$J$82:$AU$82,Tax!AK19+1),0))</f>
        <v/>
      </c>
      <c r="AL20" s="20">
        <f>Tax!$F$18*(Inputs!$F$243/100+Inputs!$F$244/100)*(IF(Tax!AL19=0,Inputs!$F$247/100,0)+(1-Inputs!$F$247/100)*IF(AND(Tax!AL19&gt;=0,Tax!AL19&lt;Inputs!$F$84),INDEX(Inputs!$J$82:$AU$82,Tax!AL19+1),0))+Tax!$F$18*Inputs!$F$244/100*(IF(Tax!AL19=0,0,0))+Tax!$F$18*Inputs!$F$244/100*(1-Inputs!$F$247/100)*(IF(AND(Tax!AL19&gt;=0,Tax!AL19&lt;Inputs!$F$85),INDEX(Inputs!$J$83:$AU$83,Tax!AL19+1),0)-IF(AND(Tax!AL19&gt;=0,Tax!AL19&lt;Inputs!$F$84),INDEX(Inputs!$J$82:$AU$82,Tax!AL19+1),0))</f>
        <v/>
      </c>
      <c r="AM20" s="20">
        <f>Tax!$F$18*(Inputs!$F$243/100+Inputs!$F$244/100)*(IF(Tax!AM19=0,Inputs!$F$247/100,0)+(1-Inputs!$F$247/100)*IF(AND(Tax!AM19&gt;=0,Tax!AM19&lt;Inputs!$F$84),INDEX(Inputs!$J$82:$AU$82,Tax!AM19+1),0))+Tax!$F$18*Inputs!$F$244/100*(IF(Tax!AM19=0,0,0))+Tax!$F$18*Inputs!$F$244/100*(1-Inputs!$F$247/100)*(IF(AND(Tax!AM19&gt;=0,Tax!AM19&lt;Inputs!$F$85),INDEX(Inputs!$J$83:$AU$83,Tax!AM19+1),0)-IF(AND(Tax!AM19&gt;=0,Tax!AM19&lt;Inputs!$F$84),INDEX(Inputs!$J$82:$AU$82,Tax!AM19+1),0))</f>
        <v/>
      </c>
      <c r="AN20" s="20">
        <f>Tax!$F$18*(Inputs!$F$243/100+Inputs!$F$244/100)*(IF(Tax!AN19=0,Inputs!$F$247/100,0)+(1-Inputs!$F$247/100)*IF(AND(Tax!AN19&gt;=0,Tax!AN19&lt;Inputs!$F$84),INDEX(Inputs!$J$82:$AU$82,Tax!AN19+1),0))+Tax!$F$18*Inputs!$F$244/100*(IF(Tax!AN19=0,0,0))+Tax!$F$18*Inputs!$F$244/100*(1-Inputs!$F$247/100)*(IF(AND(Tax!AN19&gt;=0,Tax!AN19&lt;Inputs!$F$85),INDEX(Inputs!$J$83:$AU$83,Tax!AN19+1),0)-IF(AND(Tax!AN19&gt;=0,Tax!AN19&lt;Inputs!$F$84),INDEX(Inputs!$J$82:$AU$82,Tax!AN19+1),0))</f>
        <v/>
      </c>
      <c r="AO20" s="20">
        <f>Tax!$F$18*(Inputs!$F$243/100+Inputs!$F$244/100)*(IF(Tax!AO19=0,Inputs!$F$247/100,0)+(1-Inputs!$F$247/100)*IF(AND(Tax!AO19&gt;=0,Tax!AO19&lt;Inputs!$F$84),INDEX(Inputs!$J$82:$AU$82,Tax!AO19+1),0))+Tax!$F$18*Inputs!$F$244/100*(IF(Tax!AO19=0,0,0))+Tax!$F$18*Inputs!$F$244/100*(1-Inputs!$F$247/100)*(IF(AND(Tax!AO19&gt;=0,Tax!AO19&lt;Inputs!$F$85),INDEX(Inputs!$J$83:$AU$83,Tax!AO19+1),0)-IF(AND(Tax!AO19&gt;=0,Tax!AO19&lt;Inputs!$F$84),INDEX(Inputs!$J$82:$AU$82,Tax!AO19+1),0))</f>
        <v/>
      </c>
      <c r="AP20" s="20">
        <f>Tax!$F$18*(Inputs!$F$243/100+Inputs!$F$244/100)*(IF(Tax!AP19=0,Inputs!$F$247/100,0)+(1-Inputs!$F$247/100)*IF(AND(Tax!AP19&gt;=0,Tax!AP19&lt;Inputs!$F$84),INDEX(Inputs!$J$82:$AU$82,Tax!AP19+1),0))+Tax!$F$18*Inputs!$F$244/100*(IF(Tax!AP19=0,0,0))+Tax!$F$18*Inputs!$F$244/100*(1-Inputs!$F$247/100)*(IF(AND(Tax!AP19&gt;=0,Tax!AP19&lt;Inputs!$F$85),INDEX(Inputs!$J$83:$AU$83,Tax!AP19+1),0)-IF(AND(Tax!AP19&gt;=0,Tax!AP19&lt;Inputs!$F$84),INDEX(Inputs!$J$82:$AU$82,Tax!AP19+1),0))</f>
        <v/>
      </c>
      <c r="AQ20" s="20">
        <f>Tax!$F$18*(Inputs!$F$243/100+Inputs!$F$244/100)*(IF(Tax!AQ19=0,Inputs!$F$247/100,0)+(1-Inputs!$F$247/100)*IF(AND(Tax!AQ19&gt;=0,Tax!AQ19&lt;Inputs!$F$84),INDEX(Inputs!$J$82:$AU$82,Tax!AQ19+1),0))+Tax!$F$18*Inputs!$F$244/100*(IF(Tax!AQ19=0,0,0))+Tax!$F$18*Inputs!$F$244/100*(1-Inputs!$F$247/100)*(IF(AND(Tax!AQ19&gt;=0,Tax!AQ19&lt;Inputs!$F$85),INDEX(Inputs!$J$83:$AU$83,Tax!AQ19+1),0)-IF(AND(Tax!AQ19&gt;=0,Tax!AQ19&lt;Inputs!$F$84),INDEX(Inputs!$J$82:$AU$82,Tax!AQ19+1),0))</f>
        <v/>
      </c>
      <c r="AR20" s="20">
        <f>Tax!$F$18*(Inputs!$F$243/100+Inputs!$F$244/100)*(IF(Tax!AR19=0,Inputs!$F$247/100,0)+(1-Inputs!$F$247/100)*IF(AND(Tax!AR19&gt;=0,Tax!AR19&lt;Inputs!$F$84),INDEX(Inputs!$J$82:$AU$82,Tax!AR19+1),0))+Tax!$F$18*Inputs!$F$244/100*(IF(Tax!AR19=0,0,0))+Tax!$F$18*Inputs!$F$244/100*(1-Inputs!$F$247/100)*(IF(AND(Tax!AR19&gt;=0,Tax!AR19&lt;Inputs!$F$85),INDEX(Inputs!$J$83:$AU$83,Tax!AR19+1),0)-IF(AND(Tax!AR19&gt;=0,Tax!AR19&lt;Inputs!$F$84),INDEX(Inputs!$J$82:$AU$82,Tax!AR19+1),0))</f>
        <v/>
      </c>
      <c r="AS20" s="20">
        <f>Tax!$F$18*(Inputs!$F$243/100+Inputs!$F$244/100)*(IF(Tax!AS19=0,Inputs!$F$247/100,0)+(1-Inputs!$F$247/100)*IF(AND(Tax!AS19&gt;=0,Tax!AS19&lt;Inputs!$F$84),INDEX(Inputs!$J$82:$AU$82,Tax!AS19+1),0))+Tax!$F$18*Inputs!$F$244/100*(IF(Tax!AS19=0,0,0))+Tax!$F$18*Inputs!$F$244/100*(1-Inputs!$F$247/100)*(IF(AND(Tax!AS19&gt;=0,Tax!AS19&lt;Inputs!$F$85),INDEX(Inputs!$J$83:$AU$83,Tax!AS19+1),0)-IF(AND(Tax!AS19&gt;=0,Tax!AS19&lt;Inputs!$F$84),INDEX(Inputs!$J$82:$AU$82,Tax!AS19+1),0))</f>
        <v/>
      </c>
      <c r="AT20" s="20">
        <f>Tax!$F$18*(Inputs!$F$243/100+Inputs!$F$244/100)*(IF(Tax!AT19=0,Inputs!$F$247/100,0)+(1-Inputs!$F$247/100)*IF(AND(Tax!AT19&gt;=0,Tax!AT19&lt;Inputs!$F$84),INDEX(Inputs!$J$82:$AU$82,Tax!AT19+1),0))+Tax!$F$18*Inputs!$F$244/100*(IF(Tax!AT19=0,0,0))+Tax!$F$18*Inputs!$F$244/100*(1-Inputs!$F$247/100)*(IF(AND(Tax!AT19&gt;=0,Tax!AT19&lt;Inputs!$F$85),INDEX(Inputs!$J$83:$AU$83,Tax!AT19+1),0)-IF(AND(Tax!AT19&gt;=0,Tax!AT19&lt;Inputs!$F$84),INDEX(Inputs!$J$82:$AU$82,Tax!AT19+1),0))</f>
        <v/>
      </c>
      <c r="AU20" s="20">
        <f>Tax!$F$18*(Inputs!$F$243/100+Inputs!$F$244/100)*(IF(Tax!AU19=0,Inputs!$F$247/100,0)+(1-Inputs!$F$247/100)*IF(AND(Tax!AU19&gt;=0,Tax!AU19&lt;Inputs!$F$84),INDEX(Inputs!$J$82:$AU$82,Tax!AU19+1),0))+Tax!$F$18*Inputs!$F$244/100*(IF(Tax!AU19=0,0,0))+Tax!$F$18*Inputs!$F$244/100*(1-Inputs!$F$247/100)*(IF(AND(Tax!AU19&gt;=0,Tax!AU19&lt;Inputs!$F$85),INDEX(Inputs!$J$83:$AU$83,Tax!AU19+1),0)-IF(AND(Tax!AU19&gt;=0,Tax!AU19&lt;Inputs!$F$84),INDEX(Inputs!$J$82:$AU$82,Tax!AU19+1),0))</f>
        <v/>
      </c>
    </row>
    <row r="21">
      <c r="D21" t="inlineStr">
        <is>
          <t>Depreciable basis, R8</t>
        </is>
      </c>
      <c r="E21" t="inlineStr">
        <is>
          <t>USD m</t>
        </is>
      </c>
      <c r="F21" s="20">
        <f>Inputs!$F$264-Inputs!$F$253*Tax!$F$9</f>
        <v/>
      </c>
    </row>
    <row r="22">
      <c r="D22" t="inlineStr">
        <is>
          <t>Recovery year index, R8</t>
        </is>
      </c>
      <c r="E22" t="inlineStr">
        <is>
          <t>years</t>
        </is>
      </c>
      <c r="J22" s="12">
        <f>Time!J$4-YEAR(Inputs!$F$262)</f>
        <v/>
      </c>
      <c r="K22" s="12">
        <f>Time!K$4-YEAR(Inputs!$F$262)</f>
        <v/>
      </c>
      <c r="L22" s="12">
        <f>Time!L$4-YEAR(Inputs!$F$262)</f>
        <v/>
      </c>
      <c r="M22" s="12">
        <f>Time!M$4-YEAR(Inputs!$F$262)</f>
        <v/>
      </c>
      <c r="N22" s="12">
        <f>Time!N$4-YEAR(Inputs!$F$262)</f>
        <v/>
      </c>
      <c r="O22" s="12">
        <f>Time!O$4-YEAR(Inputs!$F$262)</f>
        <v/>
      </c>
      <c r="P22" s="12">
        <f>Time!P$4-YEAR(Inputs!$F$262)</f>
        <v/>
      </c>
      <c r="Q22" s="12">
        <f>Time!Q$4-YEAR(Inputs!$F$262)</f>
        <v/>
      </c>
      <c r="R22" s="12">
        <f>Time!R$4-YEAR(Inputs!$F$262)</f>
        <v/>
      </c>
      <c r="S22" s="12">
        <f>Time!S$4-YEAR(Inputs!$F$262)</f>
        <v/>
      </c>
      <c r="T22" s="12">
        <f>Time!T$4-YEAR(Inputs!$F$262)</f>
        <v/>
      </c>
      <c r="U22" s="12">
        <f>Time!U$4-YEAR(Inputs!$F$262)</f>
        <v/>
      </c>
      <c r="V22" s="12">
        <f>Time!V$4-YEAR(Inputs!$F$262)</f>
        <v/>
      </c>
      <c r="W22" s="12">
        <f>Time!W$4-YEAR(Inputs!$F$262)</f>
        <v/>
      </c>
      <c r="X22" s="12">
        <f>Time!X$4-YEAR(Inputs!$F$262)</f>
        <v/>
      </c>
      <c r="Y22" s="12">
        <f>Time!Y$4-YEAR(Inputs!$F$262)</f>
        <v/>
      </c>
      <c r="Z22" s="12">
        <f>Time!Z$4-YEAR(Inputs!$F$262)</f>
        <v/>
      </c>
      <c r="AA22" s="12">
        <f>Time!AA$4-YEAR(Inputs!$F$262)</f>
        <v/>
      </c>
      <c r="AB22" s="12">
        <f>Time!AB$4-YEAR(Inputs!$F$262)</f>
        <v/>
      </c>
      <c r="AC22" s="12">
        <f>Time!AC$4-YEAR(Inputs!$F$262)</f>
        <v/>
      </c>
      <c r="AD22" s="12">
        <f>Time!AD$4-YEAR(Inputs!$F$262)</f>
        <v/>
      </c>
      <c r="AE22" s="12">
        <f>Time!AE$4-YEAR(Inputs!$F$262)</f>
        <v/>
      </c>
      <c r="AF22" s="12">
        <f>Time!AF$4-YEAR(Inputs!$F$262)</f>
        <v/>
      </c>
      <c r="AG22" s="12">
        <f>Time!AG$4-YEAR(Inputs!$F$262)</f>
        <v/>
      </c>
      <c r="AH22" s="12">
        <f>Time!AH$4-YEAR(Inputs!$F$262)</f>
        <v/>
      </c>
      <c r="AI22" s="12">
        <f>Time!AI$4-YEAR(Inputs!$F$262)</f>
        <v/>
      </c>
      <c r="AJ22" s="12">
        <f>Time!AJ$4-YEAR(Inputs!$F$262)</f>
        <v/>
      </c>
      <c r="AK22" s="12">
        <f>Time!AK$4-YEAR(Inputs!$F$262)</f>
        <v/>
      </c>
      <c r="AL22" s="12">
        <f>Time!AL$4-YEAR(Inputs!$F$262)</f>
        <v/>
      </c>
      <c r="AM22" s="12">
        <f>Time!AM$4-YEAR(Inputs!$F$262)</f>
        <v/>
      </c>
      <c r="AN22" s="12">
        <f>Time!AN$4-YEAR(Inputs!$F$262)</f>
        <v/>
      </c>
      <c r="AO22" s="12">
        <f>Time!AO$4-YEAR(Inputs!$F$262)</f>
        <v/>
      </c>
      <c r="AP22" s="12">
        <f>Time!AP$4-YEAR(Inputs!$F$262)</f>
        <v/>
      </c>
      <c r="AQ22" s="12">
        <f>Time!AQ$4-YEAR(Inputs!$F$262)</f>
        <v/>
      </c>
      <c r="AR22" s="12">
        <f>Time!AR$4-YEAR(Inputs!$F$262)</f>
        <v/>
      </c>
      <c r="AS22" s="12">
        <f>Time!AS$4-YEAR(Inputs!$F$262)</f>
        <v/>
      </c>
      <c r="AT22" s="12">
        <f>Time!AT$4-YEAR(Inputs!$F$262)</f>
        <v/>
      </c>
      <c r="AU22" s="12">
        <f>Time!AU$4-YEAR(Inputs!$F$262)</f>
        <v/>
      </c>
    </row>
    <row r="23">
      <c r="D23" t="inlineStr">
        <is>
          <t>Tax depreciation, R8</t>
        </is>
      </c>
      <c r="E23" t="inlineStr">
        <is>
          <t>USD m</t>
        </is>
      </c>
      <c r="G23" s="20">
        <f>SUM(J23:AU23)</f>
        <v/>
      </c>
      <c r="J23" s="20">
        <f>Tax!$F$21*(Inputs!$F$243/100+Inputs!$F$244/100)*(IF(Tax!J22=0,Inputs!$F$247/100,0)+(1-Inputs!$F$247/100)*IF(AND(Tax!J22&gt;=0,Tax!J22&lt;Inputs!$F$84),INDEX(Inputs!$J$82:$AU$82,Tax!J22+1),0))+Tax!$F$21*Inputs!$F$244/100*(IF(Tax!J22=0,0,0))+Tax!$F$21*Inputs!$F$244/100*(1-Inputs!$F$247/100)*(IF(AND(Tax!J22&gt;=0,Tax!J22&lt;Inputs!$F$85),INDEX(Inputs!$J$83:$AU$83,Tax!J22+1),0)-IF(AND(Tax!J22&gt;=0,Tax!J22&lt;Inputs!$F$84),INDEX(Inputs!$J$82:$AU$82,Tax!J22+1),0))</f>
        <v/>
      </c>
      <c r="K23" s="20">
        <f>Tax!$F$21*(Inputs!$F$243/100+Inputs!$F$244/100)*(IF(Tax!K22=0,Inputs!$F$247/100,0)+(1-Inputs!$F$247/100)*IF(AND(Tax!K22&gt;=0,Tax!K22&lt;Inputs!$F$84),INDEX(Inputs!$J$82:$AU$82,Tax!K22+1),0))+Tax!$F$21*Inputs!$F$244/100*(IF(Tax!K22=0,0,0))+Tax!$F$21*Inputs!$F$244/100*(1-Inputs!$F$247/100)*(IF(AND(Tax!K22&gt;=0,Tax!K22&lt;Inputs!$F$85),INDEX(Inputs!$J$83:$AU$83,Tax!K22+1),0)-IF(AND(Tax!K22&gt;=0,Tax!K22&lt;Inputs!$F$84),INDEX(Inputs!$J$82:$AU$82,Tax!K22+1),0))</f>
        <v/>
      </c>
      <c r="L23" s="20">
        <f>Tax!$F$21*(Inputs!$F$243/100+Inputs!$F$244/100)*(IF(Tax!L22=0,Inputs!$F$247/100,0)+(1-Inputs!$F$247/100)*IF(AND(Tax!L22&gt;=0,Tax!L22&lt;Inputs!$F$84),INDEX(Inputs!$J$82:$AU$82,Tax!L22+1),0))+Tax!$F$21*Inputs!$F$244/100*(IF(Tax!L22=0,0,0))+Tax!$F$21*Inputs!$F$244/100*(1-Inputs!$F$247/100)*(IF(AND(Tax!L22&gt;=0,Tax!L22&lt;Inputs!$F$85),INDEX(Inputs!$J$83:$AU$83,Tax!L22+1),0)-IF(AND(Tax!L22&gt;=0,Tax!L22&lt;Inputs!$F$84),INDEX(Inputs!$J$82:$AU$82,Tax!L22+1),0))</f>
        <v/>
      </c>
      <c r="M23" s="20">
        <f>Tax!$F$21*(Inputs!$F$243/100+Inputs!$F$244/100)*(IF(Tax!M22=0,Inputs!$F$247/100,0)+(1-Inputs!$F$247/100)*IF(AND(Tax!M22&gt;=0,Tax!M22&lt;Inputs!$F$84),INDEX(Inputs!$J$82:$AU$82,Tax!M22+1),0))+Tax!$F$21*Inputs!$F$244/100*(IF(Tax!M22=0,0,0))+Tax!$F$21*Inputs!$F$244/100*(1-Inputs!$F$247/100)*(IF(AND(Tax!M22&gt;=0,Tax!M22&lt;Inputs!$F$85),INDEX(Inputs!$J$83:$AU$83,Tax!M22+1),0)-IF(AND(Tax!M22&gt;=0,Tax!M22&lt;Inputs!$F$84),INDEX(Inputs!$J$82:$AU$82,Tax!M22+1),0))</f>
        <v/>
      </c>
      <c r="N23" s="20">
        <f>Tax!$F$21*(Inputs!$F$243/100+Inputs!$F$244/100)*(IF(Tax!N22=0,Inputs!$F$247/100,0)+(1-Inputs!$F$247/100)*IF(AND(Tax!N22&gt;=0,Tax!N22&lt;Inputs!$F$84),INDEX(Inputs!$J$82:$AU$82,Tax!N22+1),0))+Tax!$F$21*Inputs!$F$244/100*(IF(Tax!N22=0,0,0))+Tax!$F$21*Inputs!$F$244/100*(1-Inputs!$F$247/100)*(IF(AND(Tax!N22&gt;=0,Tax!N22&lt;Inputs!$F$85),INDEX(Inputs!$J$83:$AU$83,Tax!N22+1),0)-IF(AND(Tax!N22&gt;=0,Tax!N22&lt;Inputs!$F$84),INDEX(Inputs!$J$82:$AU$82,Tax!N22+1),0))</f>
        <v/>
      </c>
      <c r="O23" s="20">
        <f>Tax!$F$21*(Inputs!$F$243/100+Inputs!$F$244/100)*(IF(Tax!O22=0,Inputs!$F$247/100,0)+(1-Inputs!$F$247/100)*IF(AND(Tax!O22&gt;=0,Tax!O22&lt;Inputs!$F$84),INDEX(Inputs!$J$82:$AU$82,Tax!O22+1),0))+Tax!$F$21*Inputs!$F$244/100*(IF(Tax!O22=0,0,0))+Tax!$F$21*Inputs!$F$244/100*(1-Inputs!$F$247/100)*(IF(AND(Tax!O22&gt;=0,Tax!O22&lt;Inputs!$F$85),INDEX(Inputs!$J$83:$AU$83,Tax!O22+1),0)-IF(AND(Tax!O22&gt;=0,Tax!O22&lt;Inputs!$F$84),INDEX(Inputs!$J$82:$AU$82,Tax!O22+1),0))</f>
        <v/>
      </c>
      <c r="P23" s="20">
        <f>Tax!$F$21*(Inputs!$F$243/100+Inputs!$F$244/100)*(IF(Tax!P22=0,Inputs!$F$247/100,0)+(1-Inputs!$F$247/100)*IF(AND(Tax!P22&gt;=0,Tax!P22&lt;Inputs!$F$84),INDEX(Inputs!$J$82:$AU$82,Tax!P22+1),0))+Tax!$F$21*Inputs!$F$244/100*(IF(Tax!P22=0,0,0))+Tax!$F$21*Inputs!$F$244/100*(1-Inputs!$F$247/100)*(IF(AND(Tax!P22&gt;=0,Tax!P22&lt;Inputs!$F$85),INDEX(Inputs!$J$83:$AU$83,Tax!P22+1),0)-IF(AND(Tax!P22&gt;=0,Tax!P22&lt;Inputs!$F$84),INDEX(Inputs!$J$82:$AU$82,Tax!P22+1),0))</f>
        <v/>
      </c>
      <c r="Q23" s="20">
        <f>Tax!$F$21*(Inputs!$F$243/100+Inputs!$F$244/100)*(IF(Tax!Q22=0,Inputs!$F$247/100,0)+(1-Inputs!$F$247/100)*IF(AND(Tax!Q22&gt;=0,Tax!Q22&lt;Inputs!$F$84),INDEX(Inputs!$J$82:$AU$82,Tax!Q22+1),0))+Tax!$F$21*Inputs!$F$244/100*(IF(Tax!Q22=0,0,0))+Tax!$F$21*Inputs!$F$244/100*(1-Inputs!$F$247/100)*(IF(AND(Tax!Q22&gt;=0,Tax!Q22&lt;Inputs!$F$85),INDEX(Inputs!$J$83:$AU$83,Tax!Q22+1),0)-IF(AND(Tax!Q22&gt;=0,Tax!Q22&lt;Inputs!$F$84),INDEX(Inputs!$J$82:$AU$82,Tax!Q22+1),0))</f>
        <v/>
      </c>
      <c r="R23" s="20">
        <f>Tax!$F$21*(Inputs!$F$243/100+Inputs!$F$244/100)*(IF(Tax!R22=0,Inputs!$F$247/100,0)+(1-Inputs!$F$247/100)*IF(AND(Tax!R22&gt;=0,Tax!R22&lt;Inputs!$F$84),INDEX(Inputs!$J$82:$AU$82,Tax!R22+1),0))+Tax!$F$21*Inputs!$F$244/100*(IF(Tax!R22=0,0,0))+Tax!$F$21*Inputs!$F$244/100*(1-Inputs!$F$247/100)*(IF(AND(Tax!R22&gt;=0,Tax!R22&lt;Inputs!$F$85),INDEX(Inputs!$J$83:$AU$83,Tax!R22+1),0)-IF(AND(Tax!R22&gt;=0,Tax!R22&lt;Inputs!$F$84),INDEX(Inputs!$J$82:$AU$82,Tax!R22+1),0))</f>
        <v/>
      </c>
      <c r="S23" s="20">
        <f>Tax!$F$21*(Inputs!$F$243/100+Inputs!$F$244/100)*(IF(Tax!S22=0,Inputs!$F$247/100,0)+(1-Inputs!$F$247/100)*IF(AND(Tax!S22&gt;=0,Tax!S22&lt;Inputs!$F$84),INDEX(Inputs!$J$82:$AU$82,Tax!S22+1),0))+Tax!$F$21*Inputs!$F$244/100*(IF(Tax!S22=0,0,0))+Tax!$F$21*Inputs!$F$244/100*(1-Inputs!$F$247/100)*(IF(AND(Tax!S22&gt;=0,Tax!S22&lt;Inputs!$F$85),INDEX(Inputs!$J$83:$AU$83,Tax!S22+1),0)-IF(AND(Tax!S22&gt;=0,Tax!S22&lt;Inputs!$F$84),INDEX(Inputs!$J$82:$AU$82,Tax!S22+1),0))</f>
        <v/>
      </c>
      <c r="T23" s="20">
        <f>Tax!$F$21*(Inputs!$F$243/100+Inputs!$F$244/100)*(IF(Tax!T22=0,Inputs!$F$247/100,0)+(1-Inputs!$F$247/100)*IF(AND(Tax!T22&gt;=0,Tax!T22&lt;Inputs!$F$84),INDEX(Inputs!$J$82:$AU$82,Tax!T22+1),0))+Tax!$F$21*Inputs!$F$244/100*(IF(Tax!T22=0,0,0))+Tax!$F$21*Inputs!$F$244/100*(1-Inputs!$F$247/100)*(IF(AND(Tax!T22&gt;=0,Tax!T22&lt;Inputs!$F$85),INDEX(Inputs!$J$83:$AU$83,Tax!T22+1),0)-IF(AND(Tax!T22&gt;=0,Tax!T22&lt;Inputs!$F$84),INDEX(Inputs!$J$82:$AU$82,Tax!T22+1),0))</f>
        <v/>
      </c>
      <c r="U23" s="20">
        <f>Tax!$F$21*(Inputs!$F$243/100+Inputs!$F$244/100)*(IF(Tax!U22=0,Inputs!$F$247/100,0)+(1-Inputs!$F$247/100)*IF(AND(Tax!U22&gt;=0,Tax!U22&lt;Inputs!$F$84),INDEX(Inputs!$J$82:$AU$82,Tax!U22+1),0))+Tax!$F$21*Inputs!$F$244/100*(IF(Tax!U22=0,0,0))+Tax!$F$21*Inputs!$F$244/100*(1-Inputs!$F$247/100)*(IF(AND(Tax!U22&gt;=0,Tax!U22&lt;Inputs!$F$85),INDEX(Inputs!$J$83:$AU$83,Tax!U22+1),0)-IF(AND(Tax!U22&gt;=0,Tax!U22&lt;Inputs!$F$84),INDEX(Inputs!$J$82:$AU$82,Tax!U22+1),0))</f>
        <v/>
      </c>
      <c r="V23" s="20">
        <f>Tax!$F$21*(Inputs!$F$243/100+Inputs!$F$244/100)*(IF(Tax!V22=0,Inputs!$F$247/100,0)+(1-Inputs!$F$247/100)*IF(AND(Tax!V22&gt;=0,Tax!V22&lt;Inputs!$F$84),INDEX(Inputs!$J$82:$AU$82,Tax!V22+1),0))+Tax!$F$21*Inputs!$F$244/100*(IF(Tax!V22=0,0,0))+Tax!$F$21*Inputs!$F$244/100*(1-Inputs!$F$247/100)*(IF(AND(Tax!V22&gt;=0,Tax!V22&lt;Inputs!$F$85),INDEX(Inputs!$J$83:$AU$83,Tax!V22+1),0)-IF(AND(Tax!V22&gt;=0,Tax!V22&lt;Inputs!$F$84),INDEX(Inputs!$J$82:$AU$82,Tax!V22+1),0))</f>
        <v/>
      </c>
      <c r="W23" s="20">
        <f>Tax!$F$21*(Inputs!$F$243/100+Inputs!$F$244/100)*(IF(Tax!W22=0,Inputs!$F$247/100,0)+(1-Inputs!$F$247/100)*IF(AND(Tax!W22&gt;=0,Tax!W22&lt;Inputs!$F$84),INDEX(Inputs!$J$82:$AU$82,Tax!W22+1),0))+Tax!$F$21*Inputs!$F$244/100*(IF(Tax!W22=0,0,0))+Tax!$F$21*Inputs!$F$244/100*(1-Inputs!$F$247/100)*(IF(AND(Tax!W22&gt;=0,Tax!W22&lt;Inputs!$F$85),INDEX(Inputs!$J$83:$AU$83,Tax!W22+1),0)-IF(AND(Tax!W22&gt;=0,Tax!W22&lt;Inputs!$F$84),INDEX(Inputs!$J$82:$AU$82,Tax!W22+1),0))</f>
        <v/>
      </c>
      <c r="X23" s="20">
        <f>Tax!$F$21*(Inputs!$F$243/100+Inputs!$F$244/100)*(IF(Tax!X22=0,Inputs!$F$247/100,0)+(1-Inputs!$F$247/100)*IF(AND(Tax!X22&gt;=0,Tax!X22&lt;Inputs!$F$84),INDEX(Inputs!$J$82:$AU$82,Tax!X22+1),0))+Tax!$F$21*Inputs!$F$244/100*(IF(Tax!X22=0,0,0))+Tax!$F$21*Inputs!$F$244/100*(1-Inputs!$F$247/100)*(IF(AND(Tax!X22&gt;=0,Tax!X22&lt;Inputs!$F$85),INDEX(Inputs!$J$83:$AU$83,Tax!X22+1),0)-IF(AND(Tax!X22&gt;=0,Tax!X22&lt;Inputs!$F$84),INDEX(Inputs!$J$82:$AU$82,Tax!X22+1),0))</f>
        <v/>
      </c>
      <c r="Y23" s="20">
        <f>Tax!$F$21*(Inputs!$F$243/100+Inputs!$F$244/100)*(IF(Tax!Y22=0,Inputs!$F$247/100,0)+(1-Inputs!$F$247/100)*IF(AND(Tax!Y22&gt;=0,Tax!Y22&lt;Inputs!$F$84),INDEX(Inputs!$J$82:$AU$82,Tax!Y22+1),0))+Tax!$F$21*Inputs!$F$244/100*(IF(Tax!Y22=0,0,0))+Tax!$F$21*Inputs!$F$244/100*(1-Inputs!$F$247/100)*(IF(AND(Tax!Y22&gt;=0,Tax!Y22&lt;Inputs!$F$85),INDEX(Inputs!$J$83:$AU$83,Tax!Y22+1),0)-IF(AND(Tax!Y22&gt;=0,Tax!Y22&lt;Inputs!$F$84),INDEX(Inputs!$J$82:$AU$82,Tax!Y22+1),0))</f>
        <v/>
      </c>
      <c r="Z23" s="20">
        <f>Tax!$F$21*(Inputs!$F$243/100+Inputs!$F$244/100)*(IF(Tax!Z22=0,Inputs!$F$247/100,0)+(1-Inputs!$F$247/100)*IF(AND(Tax!Z22&gt;=0,Tax!Z22&lt;Inputs!$F$84),INDEX(Inputs!$J$82:$AU$82,Tax!Z22+1),0))+Tax!$F$21*Inputs!$F$244/100*(IF(Tax!Z22=0,0,0))+Tax!$F$21*Inputs!$F$244/100*(1-Inputs!$F$247/100)*(IF(AND(Tax!Z22&gt;=0,Tax!Z22&lt;Inputs!$F$85),INDEX(Inputs!$J$83:$AU$83,Tax!Z22+1),0)-IF(AND(Tax!Z22&gt;=0,Tax!Z22&lt;Inputs!$F$84),INDEX(Inputs!$J$82:$AU$82,Tax!Z22+1),0))</f>
        <v/>
      </c>
      <c r="AA23" s="20">
        <f>Tax!$F$21*(Inputs!$F$243/100+Inputs!$F$244/100)*(IF(Tax!AA22=0,Inputs!$F$247/100,0)+(1-Inputs!$F$247/100)*IF(AND(Tax!AA22&gt;=0,Tax!AA22&lt;Inputs!$F$84),INDEX(Inputs!$J$82:$AU$82,Tax!AA22+1),0))+Tax!$F$21*Inputs!$F$244/100*(IF(Tax!AA22=0,0,0))+Tax!$F$21*Inputs!$F$244/100*(1-Inputs!$F$247/100)*(IF(AND(Tax!AA22&gt;=0,Tax!AA22&lt;Inputs!$F$85),INDEX(Inputs!$J$83:$AU$83,Tax!AA22+1),0)-IF(AND(Tax!AA22&gt;=0,Tax!AA22&lt;Inputs!$F$84),INDEX(Inputs!$J$82:$AU$82,Tax!AA22+1),0))</f>
        <v/>
      </c>
      <c r="AB23" s="20">
        <f>Tax!$F$21*(Inputs!$F$243/100+Inputs!$F$244/100)*(IF(Tax!AB22=0,Inputs!$F$247/100,0)+(1-Inputs!$F$247/100)*IF(AND(Tax!AB22&gt;=0,Tax!AB22&lt;Inputs!$F$84),INDEX(Inputs!$J$82:$AU$82,Tax!AB22+1),0))+Tax!$F$21*Inputs!$F$244/100*(IF(Tax!AB22=0,0,0))+Tax!$F$21*Inputs!$F$244/100*(1-Inputs!$F$247/100)*(IF(AND(Tax!AB22&gt;=0,Tax!AB22&lt;Inputs!$F$85),INDEX(Inputs!$J$83:$AU$83,Tax!AB22+1),0)-IF(AND(Tax!AB22&gt;=0,Tax!AB22&lt;Inputs!$F$84),INDEX(Inputs!$J$82:$AU$82,Tax!AB22+1),0))</f>
        <v/>
      </c>
      <c r="AC23" s="20">
        <f>Tax!$F$21*(Inputs!$F$243/100+Inputs!$F$244/100)*(IF(Tax!AC22=0,Inputs!$F$247/100,0)+(1-Inputs!$F$247/100)*IF(AND(Tax!AC22&gt;=0,Tax!AC22&lt;Inputs!$F$84),INDEX(Inputs!$J$82:$AU$82,Tax!AC22+1),0))+Tax!$F$21*Inputs!$F$244/100*(IF(Tax!AC22=0,0,0))+Tax!$F$21*Inputs!$F$244/100*(1-Inputs!$F$247/100)*(IF(AND(Tax!AC22&gt;=0,Tax!AC22&lt;Inputs!$F$85),INDEX(Inputs!$J$83:$AU$83,Tax!AC22+1),0)-IF(AND(Tax!AC22&gt;=0,Tax!AC22&lt;Inputs!$F$84),INDEX(Inputs!$J$82:$AU$82,Tax!AC22+1),0))</f>
        <v/>
      </c>
      <c r="AD23" s="20">
        <f>Tax!$F$21*(Inputs!$F$243/100+Inputs!$F$244/100)*(IF(Tax!AD22=0,Inputs!$F$247/100,0)+(1-Inputs!$F$247/100)*IF(AND(Tax!AD22&gt;=0,Tax!AD22&lt;Inputs!$F$84),INDEX(Inputs!$J$82:$AU$82,Tax!AD22+1),0))+Tax!$F$21*Inputs!$F$244/100*(IF(Tax!AD22=0,0,0))+Tax!$F$21*Inputs!$F$244/100*(1-Inputs!$F$247/100)*(IF(AND(Tax!AD22&gt;=0,Tax!AD22&lt;Inputs!$F$85),INDEX(Inputs!$J$83:$AU$83,Tax!AD22+1),0)-IF(AND(Tax!AD22&gt;=0,Tax!AD22&lt;Inputs!$F$84),INDEX(Inputs!$J$82:$AU$82,Tax!AD22+1),0))</f>
        <v/>
      </c>
      <c r="AE23" s="20">
        <f>Tax!$F$21*(Inputs!$F$243/100+Inputs!$F$244/100)*(IF(Tax!AE22=0,Inputs!$F$247/100,0)+(1-Inputs!$F$247/100)*IF(AND(Tax!AE22&gt;=0,Tax!AE22&lt;Inputs!$F$84),INDEX(Inputs!$J$82:$AU$82,Tax!AE22+1),0))+Tax!$F$21*Inputs!$F$244/100*(IF(Tax!AE22=0,0,0))+Tax!$F$21*Inputs!$F$244/100*(1-Inputs!$F$247/100)*(IF(AND(Tax!AE22&gt;=0,Tax!AE22&lt;Inputs!$F$85),INDEX(Inputs!$J$83:$AU$83,Tax!AE22+1),0)-IF(AND(Tax!AE22&gt;=0,Tax!AE22&lt;Inputs!$F$84),INDEX(Inputs!$J$82:$AU$82,Tax!AE22+1),0))</f>
        <v/>
      </c>
      <c r="AF23" s="20">
        <f>Tax!$F$21*(Inputs!$F$243/100+Inputs!$F$244/100)*(IF(Tax!AF22=0,Inputs!$F$247/100,0)+(1-Inputs!$F$247/100)*IF(AND(Tax!AF22&gt;=0,Tax!AF22&lt;Inputs!$F$84),INDEX(Inputs!$J$82:$AU$82,Tax!AF22+1),0))+Tax!$F$21*Inputs!$F$244/100*(IF(Tax!AF22=0,0,0))+Tax!$F$21*Inputs!$F$244/100*(1-Inputs!$F$247/100)*(IF(AND(Tax!AF22&gt;=0,Tax!AF22&lt;Inputs!$F$85),INDEX(Inputs!$J$83:$AU$83,Tax!AF22+1),0)-IF(AND(Tax!AF22&gt;=0,Tax!AF22&lt;Inputs!$F$84),INDEX(Inputs!$J$82:$AU$82,Tax!AF22+1),0))</f>
        <v/>
      </c>
      <c r="AG23" s="20">
        <f>Tax!$F$21*(Inputs!$F$243/100+Inputs!$F$244/100)*(IF(Tax!AG22=0,Inputs!$F$247/100,0)+(1-Inputs!$F$247/100)*IF(AND(Tax!AG22&gt;=0,Tax!AG22&lt;Inputs!$F$84),INDEX(Inputs!$J$82:$AU$82,Tax!AG22+1),0))+Tax!$F$21*Inputs!$F$244/100*(IF(Tax!AG22=0,0,0))+Tax!$F$21*Inputs!$F$244/100*(1-Inputs!$F$247/100)*(IF(AND(Tax!AG22&gt;=0,Tax!AG22&lt;Inputs!$F$85),INDEX(Inputs!$J$83:$AU$83,Tax!AG22+1),0)-IF(AND(Tax!AG22&gt;=0,Tax!AG22&lt;Inputs!$F$84),INDEX(Inputs!$J$82:$AU$82,Tax!AG22+1),0))</f>
        <v/>
      </c>
      <c r="AH23" s="20">
        <f>Tax!$F$21*(Inputs!$F$243/100+Inputs!$F$244/100)*(IF(Tax!AH22=0,Inputs!$F$247/100,0)+(1-Inputs!$F$247/100)*IF(AND(Tax!AH22&gt;=0,Tax!AH22&lt;Inputs!$F$84),INDEX(Inputs!$J$82:$AU$82,Tax!AH22+1),0))+Tax!$F$21*Inputs!$F$244/100*(IF(Tax!AH22=0,0,0))+Tax!$F$21*Inputs!$F$244/100*(1-Inputs!$F$247/100)*(IF(AND(Tax!AH22&gt;=0,Tax!AH22&lt;Inputs!$F$85),INDEX(Inputs!$J$83:$AU$83,Tax!AH22+1),0)-IF(AND(Tax!AH22&gt;=0,Tax!AH22&lt;Inputs!$F$84),INDEX(Inputs!$J$82:$AU$82,Tax!AH22+1),0))</f>
        <v/>
      </c>
      <c r="AI23" s="20">
        <f>Tax!$F$21*(Inputs!$F$243/100+Inputs!$F$244/100)*(IF(Tax!AI22=0,Inputs!$F$247/100,0)+(1-Inputs!$F$247/100)*IF(AND(Tax!AI22&gt;=0,Tax!AI22&lt;Inputs!$F$84),INDEX(Inputs!$J$82:$AU$82,Tax!AI22+1),0))+Tax!$F$21*Inputs!$F$244/100*(IF(Tax!AI22=0,0,0))+Tax!$F$21*Inputs!$F$244/100*(1-Inputs!$F$247/100)*(IF(AND(Tax!AI22&gt;=0,Tax!AI22&lt;Inputs!$F$85),INDEX(Inputs!$J$83:$AU$83,Tax!AI22+1),0)-IF(AND(Tax!AI22&gt;=0,Tax!AI22&lt;Inputs!$F$84),INDEX(Inputs!$J$82:$AU$82,Tax!AI22+1),0))</f>
        <v/>
      </c>
      <c r="AJ23" s="20">
        <f>Tax!$F$21*(Inputs!$F$243/100+Inputs!$F$244/100)*(IF(Tax!AJ22=0,Inputs!$F$247/100,0)+(1-Inputs!$F$247/100)*IF(AND(Tax!AJ22&gt;=0,Tax!AJ22&lt;Inputs!$F$84),INDEX(Inputs!$J$82:$AU$82,Tax!AJ22+1),0))+Tax!$F$21*Inputs!$F$244/100*(IF(Tax!AJ22=0,0,0))+Tax!$F$21*Inputs!$F$244/100*(1-Inputs!$F$247/100)*(IF(AND(Tax!AJ22&gt;=0,Tax!AJ22&lt;Inputs!$F$85),INDEX(Inputs!$J$83:$AU$83,Tax!AJ22+1),0)-IF(AND(Tax!AJ22&gt;=0,Tax!AJ22&lt;Inputs!$F$84),INDEX(Inputs!$J$82:$AU$82,Tax!AJ22+1),0))</f>
        <v/>
      </c>
      <c r="AK23" s="20">
        <f>Tax!$F$21*(Inputs!$F$243/100+Inputs!$F$244/100)*(IF(Tax!AK22=0,Inputs!$F$247/100,0)+(1-Inputs!$F$247/100)*IF(AND(Tax!AK22&gt;=0,Tax!AK22&lt;Inputs!$F$84),INDEX(Inputs!$J$82:$AU$82,Tax!AK22+1),0))+Tax!$F$21*Inputs!$F$244/100*(IF(Tax!AK22=0,0,0))+Tax!$F$21*Inputs!$F$244/100*(1-Inputs!$F$247/100)*(IF(AND(Tax!AK22&gt;=0,Tax!AK22&lt;Inputs!$F$85),INDEX(Inputs!$J$83:$AU$83,Tax!AK22+1),0)-IF(AND(Tax!AK22&gt;=0,Tax!AK22&lt;Inputs!$F$84),INDEX(Inputs!$J$82:$AU$82,Tax!AK22+1),0))</f>
        <v/>
      </c>
      <c r="AL23" s="20">
        <f>Tax!$F$21*(Inputs!$F$243/100+Inputs!$F$244/100)*(IF(Tax!AL22=0,Inputs!$F$247/100,0)+(1-Inputs!$F$247/100)*IF(AND(Tax!AL22&gt;=0,Tax!AL22&lt;Inputs!$F$84),INDEX(Inputs!$J$82:$AU$82,Tax!AL22+1),0))+Tax!$F$21*Inputs!$F$244/100*(IF(Tax!AL22=0,0,0))+Tax!$F$21*Inputs!$F$244/100*(1-Inputs!$F$247/100)*(IF(AND(Tax!AL22&gt;=0,Tax!AL22&lt;Inputs!$F$85),INDEX(Inputs!$J$83:$AU$83,Tax!AL22+1),0)-IF(AND(Tax!AL22&gt;=0,Tax!AL22&lt;Inputs!$F$84),INDEX(Inputs!$J$82:$AU$82,Tax!AL22+1),0))</f>
        <v/>
      </c>
      <c r="AM23" s="20">
        <f>Tax!$F$21*(Inputs!$F$243/100+Inputs!$F$244/100)*(IF(Tax!AM22=0,Inputs!$F$247/100,0)+(1-Inputs!$F$247/100)*IF(AND(Tax!AM22&gt;=0,Tax!AM22&lt;Inputs!$F$84),INDEX(Inputs!$J$82:$AU$82,Tax!AM22+1),0))+Tax!$F$21*Inputs!$F$244/100*(IF(Tax!AM22=0,0,0))+Tax!$F$21*Inputs!$F$244/100*(1-Inputs!$F$247/100)*(IF(AND(Tax!AM22&gt;=0,Tax!AM22&lt;Inputs!$F$85),INDEX(Inputs!$J$83:$AU$83,Tax!AM22+1),0)-IF(AND(Tax!AM22&gt;=0,Tax!AM22&lt;Inputs!$F$84),INDEX(Inputs!$J$82:$AU$82,Tax!AM22+1),0))</f>
        <v/>
      </c>
      <c r="AN23" s="20">
        <f>Tax!$F$21*(Inputs!$F$243/100+Inputs!$F$244/100)*(IF(Tax!AN22=0,Inputs!$F$247/100,0)+(1-Inputs!$F$247/100)*IF(AND(Tax!AN22&gt;=0,Tax!AN22&lt;Inputs!$F$84),INDEX(Inputs!$J$82:$AU$82,Tax!AN22+1),0))+Tax!$F$21*Inputs!$F$244/100*(IF(Tax!AN22=0,0,0))+Tax!$F$21*Inputs!$F$244/100*(1-Inputs!$F$247/100)*(IF(AND(Tax!AN22&gt;=0,Tax!AN22&lt;Inputs!$F$85),INDEX(Inputs!$J$83:$AU$83,Tax!AN22+1),0)-IF(AND(Tax!AN22&gt;=0,Tax!AN22&lt;Inputs!$F$84),INDEX(Inputs!$J$82:$AU$82,Tax!AN22+1),0))</f>
        <v/>
      </c>
      <c r="AO23" s="20">
        <f>Tax!$F$21*(Inputs!$F$243/100+Inputs!$F$244/100)*(IF(Tax!AO22=0,Inputs!$F$247/100,0)+(1-Inputs!$F$247/100)*IF(AND(Tax!AO22&gt;=0,Tax!AO22&lt;Inputs!$F$84),INDEX(Inputs!$J$82:$AU$82,Tax!AO22+1),0))+Tax!$F$21*Inputs!$F$244/100*(IF(Tax!AO22=0,0,0))+Tax!$F$21*Inputs!$F$244/100*(1-Inputs!$F$247/100)*(IF(AND(Tax!AO22&gt;=0,Tax!AO22&lt;Inputs!$F$85),INDEX(Inputs!$J$83:$AU$83,Tax!AO22+1),0)-IF(AND(Tax!AO22&gt;=0,Tax!AO22&lt;Inputs!$F$84),INDEX(Inputs!$J$82:$AU$82,Tax!AO22+1),0))</f>
        <v/>
      </c>
      <c r="AP23" s="20">
        <f>Tax!$F$21*(Inputs!$F$243/100+Inputs!$F$244/100)*(IF(Tax!AP22=0,Inputs!$F$247/100,0)+(1-Inputs!$F$247/100)*IF(AND(Tax!AP22&gt;=0,Tax!AP22&lt;Inputs!$F$84),INDEX(Inputs!$J$82:$AU$82,Tax!AP22+1),0))+Tax!$F$21*Inputs!$F$244/100*(IF(Tax!AP22=0,0,0))+Tax!$F$21*Inputs!$F$244/100*(1-Inputs!$F$247/100)*(IF(AND(Tax!AP22&gt;=0,Tax!AP22&lt;Inputs!$F$85),INDEX(Inputs!$J$83:$AU$83,Tax!AP22+1),0)-IF(AND(Tax!AP22&gt;=0,Tax!AP22&lt;Inputs!$F$84),INDEX(Inputs!$J$82:$AU$82,Tax!AP22+1),0))</f>
        <v/>
      </c>
      <c r="AQ23" s="20">
        <f>Tax!$F$21*(Inputs!$F$243/100+Inputs!$F$244/100)*(IF(Tax!AQ22=0,Inputs!$F$247/100,0)+(1-Inputs!$F$247/100)*IF(AND(Tax!AQ22&gt;=0,Tax!AQ22&lt;Inputs!$F$84),INDEX(Inputs!$J$82:$AU$82,Tax!AQ22+1),0))+Tax!$F$21*Inputs!$F$244/100*(IF(Tax!AQ22=0,0,0))+Tax!$F$21*Inputs!$F$244/100*(1-Inputs!$F$247/100)*(IF(AND(Tax!AQ22&gt;=0,Tax!AQ22&lt;Inputs!$F$85),INDEX(Inputs!$J$83:$AU$83,Tax!AQ22+1),0)-IF(AND(Tax!AQ22&gt;=0,Tax!AQ22&lt;Inputs!$F$84),INDEX(Inputs!$J$82:$AU$82,Tax!AQ22+1),0))</f>
        <v/>
      </c>
      <c r="AR23" s="20">
        <f>Tax!$F$21*(Inputs!$F$243/100+Inputs!$F$244/100)*(IF(Tax!AR22=0,Inputs!$F$247/100,0)+(1-Inputs!$F$247/100)*IF(AND(Tax!AR22&gt;=0,Tax!AR22&lt;Inputs!$F$84),INDEX(Inputs!$J$82:$AU$82,Tax!AR22+1),0))+Tax!$F$21*Inputs!$F$244/100*(IF(Tax!AR22=0,0,0))+Tax!$F$21*Inputs!$F$244/100*(1-Inputs!$F$247/100)*(IF(AND(Tax!AR22&gt;=0,Tax!AR22&lt;Inputs!$F$85),INDEX(Inputs!$J$83:$AU$83,Tax!AR22+1),0)-IF(AND(Tax!AR22&gt;=0,Tax!AR22&lt;Inputs!$F$84),INDEX(Inputs!$J$82:$AU$82,Tax!AR22+1),0))</f>
        <v/>
      </c>
      <c r="AS23" s="20">
        <f>Tax!$F$21*(Inputs!$F$243/100+Inputs!$F$244/100)*(IF(Tax!AS22=0,Inputs!$F$247/100,0)+(1-Inputs!$F$247/100)*IF(AND(Tax!AS22&gt;=0,Tax!AS22&lt;Inputs!$F$84),INDEX(Inputs!$J$82:$AU$82,Tax!AS22+1),0))+Tax!$F$21*Inputs!$F$244/100*(IF(Tax!AS22=0,0,0))+Tax!$F$21*Inputs!$F$244/100*(1-Inputs!$F$247/100)*(IF(AND(Tax!AS22&gt;=0,Tax!AS22&lt;Inputs!$F$85),INDEX(Inputs!$J$83:$AU$83,Tax!AS22+1),0)-IF(AND(Tax!AS22&gt;=0,Tax!AS22&lt;Inputs!$F$84),INDEX(Inputs!$J$82:$AU$82,Tax!AS22+1),0))</f>
        <v/>
      </c>
      <c r="AT23" s="20">
        <f>Tax!$F$21*(Inputs!$F$243/100+Inputs!$F$244/100)*(IF(Tax!AT22=0,Inputs!$F$247/100,0)+(1-Inputs!$F$247/100)*IF(AND(Tax!AT22&gt;=0,Tax!AT22&lt;Inputs!$F$84),INDEX(Inputs!$J$82:$AU$82,Tax!AT22+1),0))+Tax!$F$21*Inputs!$F$244/100*(IF(Tax!AT22=0,0,0))+Tax!$F$21*Inputs!$F$244/100*(1-Inputs!$F$247/100)*(IF(AND(Tax!AT22&gt;=0,Tax!AT22&lt;Inputs!$F$85),INDEX(Inputs!$J$83:$AU$83,Tax!AT22+1),0)-IF(AND(Tax!AT22&gt;=0,Tax!AT22&lt;Inputs!$F$84),INDEX(Inputs!$J$82:$AU$82,Tax!AT22+1),0))</f>
        <v/>
      </c>
      <c r="AU23" s="20">
        <f>Tax!$F$21*(Inputs!$F$243/100+Inputs!$F$244/100)*(IF(Tax!AU22=0,Inputs!$F$247/100,0)+(1-Inputs!$F$247/100)*IF(AND(Tax!AU22&gt;=0,Tax!AU22&lt;Inputs!$F$84),INDEX(Inputs!$J$82:$AU$82,Tax!AU22+1),0))+Tax!$F$21*Inputs!$F$244/100*(IF(Tax!AU22=0,0,0))+Tax!$F$21*Inputs!$F$244/100*(1-Inputs!$F$247/100)*(IF(AND(Tax!AU22&gt;=0,Tax!AU22&lt;Inputs!$F$85),INDEX(Inputs!$J$83:$AU$83,Tax!AU22+1),0)-IF(AND(Tax!AU22&gt;=0,Tax!AU22&lt;Inputs!$F$84),INDEX(Inputs!$J$82:$AU$82,Tax!AU22+1),0))</f>
        <v/>
      </c>
    </row>
    <row r="24">
      <c r="D24" t="inlineStr">
        <is>
          <t>Tax depreciation, total</t>
        </is>
      </c>
      <c r="E24" t="inlineStr">
        <is>
          <t>USD m</t>
        </is>
      </c>
      <c r="G24" s="20">
        <f>SUM(J24:AU24)</f>
        <v/>
      </c>
      <c r="J24" s="20">
        <f>Tax!J14+Tax!J17+Tax!J20+Tax!J23</f>
        <v/>
      </c>
      <c r="K24" s="20">
        <f>Tax!K14+Tax!K17+Tax!K20+Tax!K23</f>
        <v/>
      </c>
      <c r="L24" s="20">
        <f>Tax!L14+Tax!L17+Tax!L20+Tax!L23</f>
        <v/>
      </c>
      <c r="M24" s="20">
        <f>Tax!M14+Tax!M17+Tax!M20+Tax!M23</f>
        <v/>
      </c>
      <c r="N24" s="20">
        <f>Tax!N14+Tax!N17+Tax!N20+Tax!N23</f>
        <v/>
      </c>
      <c r="O24" s="20">
        <f>Tax!O14+Tax!O17+Tax!O20+Tax!O23</f>
        <v/>
      </c>
      <c r="P24" s="20">
        <f>Tax!P14+Tax!P17+Tax!P20+Tax!P23</f>
        <v/>
      </c>
      <c r="Q24" s="20">
        <f>Tax!Q14+Tax!Q17+Tax!Q20+Tax!Q23</f>
        <v/>
      </c>
      <c r="R24" s="20">
        <f>Tax!R14+Tax!R17+Tax!R20+Tax!R23</f>
        <v/>
      </c>
      <c r="S24" s="20">
        <f>Tax!S14+Tax!S17+Tax!S20+Tax!S23</f>
        <v/>
      </c>
      <c r="T24" s="20">
        <f>Tax!T14+Tax!T17+Tax!T20+Tax!T23</f>
        <v/>
      </c>
      <c r="U24" s="20">
        <f>Tax!U14+Tax!U17+Tax!U20+Tax!U23</f>
        <v/>
      </c>
      <c r="V24" s="20">
        <f>Tax!V14+Tax!V17+Tax!V20+Tax!V23</f>
        <v/>
      </c>
      <c r="W24" s="20">
        <f>Tax!W14+Tax!W17+Tax!W20+Tax!W23</f>
        <v/>
      </c>
      <c r="X24" s="20">
        <f>Tax!X14+Tax!X17+Tax!X20+Tax!X23</f>
        <v/>
      </c>
      <c r="Y24" s="20">
        <f>Tax!Y14+Tax!Y17+Tax!Y20+Tax!Y23</f>
        <v/>
      </c>
      <c r="Z24" s="20">
        <f>Tax!Z14+Tax!Z17+Tax!Z20+Tax!Z23</f>
        <v/>
      </c>
      <c r="AA24" s="20">
        <f>Tax!AA14+Tax!AA17+Tax!AA20+Tax!AA23</f>
        <v/>
      </c>
      <c r="AB24" s="20">
        <f>Tax!AB14+Tax!AB17+Tax!AB20+Tax!AB23</f>
        <v/>
      </c>
      <c r="AC24" s="20">
        <f>Tax!AC14+Tax!AC17+Tax!AC20+Tax!AC23</f>
        <v/>
      </c>
      <c r="AD24" s="20">
        <f>Tax!AD14+Tax!AD17+Tax!AD20+Tax!AD23</f>
        <v/>
      </c>
      <c r="AE24" s="20">
        <f>Tax!AE14+Tax!AE17+Tax!AE20+Tax!AE23</f>
        <v/>
      </c>
      <c r="AF24" s="20">
        <f>Tax!AF14+Tax!AF17+Tax!AF20+Tax!AF23</f>
        <v/>
      </c>
      <c r="AG24" s="20">
        <f>Tax!AG14+Tax!AG17+Tax!AG20+Tax!AG23</f>
        <v/>
      </c>
      <c r="AH24" s="20">
        <f>Tax!AH14+Tax!AH17+Tax!AH20+Tax!AH23</f>
        <v/>
      </c>
      <c r="AI24" s="20">
        <f>Tax!AI14+Tax!AI17+Tax!AI20+Tax!AI23</f>
        <v/>
      </c>
      <c r="AJ24" s="20">
        <f>Tax!AJ14+Tax!AJ17+Tax!AJ20+Tax!AJ23</f>
        <v/>
      </c>
      <c r="AK24" s="20">
        <f>Tax!AK14+Tax!AK17+Tax!AK20+Tax!AK23</f>
        <v/>
      </c>
      <c r="AL24" s="20">
        <f>Tax!AL14+Tax!AL17+Tax!AL20+Tax!AL23</f>
        <v/>
      </c>
      <c r="AM24" s="20">
        <f>Tax!AM14+Tax!AM17+Tax!AM20+Tax!AM23</f>
        <v/>
      </c>
      <c r="AN24" s="20">
        <f>Tax!AN14+Tax!AN17+Tax!AN20+Tax!AN23</f>
        <v/>
      </c>
      <c r="AO24" s="20">
        <f>Tax!AO14+Tax!AO17+Tax!AO20+Tax!AO23</f>
        <v/>
      </c>
      <c r="AP24" s="20">
        <f>Tax!AP14+Tax!AP17+Tax!AP20+Tax!AP23</f>
        <v/>
      </c>
      <c r="AQ24" s="20">
        <f>Tax!AQ14+Tax!AQ17+Tax!AQ20+Tax!AQ23</f>
        <v/>
      </c>
      <c r="AR24" s="20">
        <f>Tax!AR14+Tax!AR17+Tax!AR20+Tax!AR23</f>
        <v/>
      </c>
      <c r="AS24" s="20">
        <f>Tax!AS14+Tax!AS17+Tax!AS20+Tax!AS23</f>
        <v/>
      </c>
      <c r="AT24" s="20">
        <f>Tax!AT14+Tax!AT17+Tax!AT20+Tax!AT23</f>
        <v/>
      </c>
      <c r="AU24" s="20">
        <f>Tax!AU14+Tax!AU17+Tax!AU20+Tax!AU23</f>
        <v/>
      </c>
    </row>
    <row r="25">
      <c r="D25" t="inlineStr">
        <is>
          <t>Taxable operating income (Mesa shares) less asset management</t>
        </is>
      </c>
      <c r="E25" t="inlineStr">
        <is>
          <t>USD m</t>
        </is>
      </c>
      <c r="J25" s="20">
        <f>Operations!J95+Operations!J137+Operations!J180+Operations!J223+Operations!J266+Operations!J298+Operations!J331+Operations!J373-Operations!J384</f>
        <v/>
      </c>
      <c r="K25" s="20">
        <f>Operations!K95+Operations!K137+Operations!K180+Operations!K223+Operations!K266+Operations!K298+Operations!K331+Operations!K373-Operations!K384</f>
        <v/>
      </c>
      <c r="L25" s="20">
        <f>Operations!L95+Operations!L137+Operations!L180+Operations!L223+Operations!L266+Operations!L298+Operations!L331+Operations!L373-Operations!L384</f>
        <v/>
      </c>
      <c r="M25" s="20">
        <f>Operations!M95+Operations!M137+Operations!M180+Operations!M223+Operations!M266+Operations!M298+Operations!M331+Operations!M373-Operations!M384</f>
        <v/>
      </c>
      <c r="N25" s="20">
        <f>Operations!N95+Operations!N137+Operations!N180+Operations!N223+Operations!N266+Operations!N298+Operations!N331+Operations!N373-Operations!N384</f>
        <v/>
      </c>
      <c r="O25" s="20">
        <f>Operations!O95+Operations!O137+Operations!O180+Operations!O223+Operations!O266+Operations!O298+Operations!O331+Operations!O373-Operations!O384</f>
        <v/>
      </c>
      <c r="P25" s="20">
        <f>Operations!P95+Operations!P137+Operations!P180+Operations!P223+Operations!P266+Operations!P298+Operations!P331+Operations!P373-Operations!P384</f>
        <v/>
      </c>
      <c r="Q25" s="20">
        <f>Operations!Q95+Operations!Q137+Operations!Q180+Operations!Q223+Operations!Q266+Operations!Q298+Operations!Q331+Operations!Q373-Operations!Q384</f>
        <v/>
      </c>
      <c r="R25" s="20">
        <f>Operations!R95+Operations!R137+Operations!R180+Operations!R223+Operations!R266+Operations!R298+Operations!R331+Operations!R373-Operations!R384</f>
        <v/>
      </c>
      <c r="S25" s="20">
        <f>Operations!S95+Operations!S137+Operations!S180+Operations!S223+Operations!S266+Operations!S298+Operations!S331+Operations!S373-Operations!S384</f>
        <v/>
      </c>
      <c r="T25" s="20">
        <f>Operations!T95+Operations!T137+Operations!T180+Operations!T223+Operations!T266+Operations!T298+Operations!T331+Operations!T373-Operations!T384</f>
        <v/>
      </c>
      <c r="U25" s="20">
        <f>Operations!U95+Operations!U137+Operations!U180+Operations!U223+Operations!U266+Operations!U298+Operations!U331+Operations!U373-Operations!U384</f>
        <v/>
      </c>
      <c r="V25" s="20">
        <f>Operations!V95+Operations!V137+Operations!V180+Operations!V223+Operations!V266+Operations!V298+Operations!V331+Operations!V373-Operations!V384</f>
        <v/>
      </c>
      <c r="W25" s="20">
        <f>Operations!W95+Operations!W137+Operations!W180+Operations!W223+Operations!W266+Operations!W298+Operations!W331+Operations!W373-Operations!W384</f>
        <v/>
      </c>
      <c r="X25" s="20">
        <f>Operations!X95+Operations!X137+Operations!X180+Operations!X223+Operations!X266+Operations!X298+Operations!X331+Operations!X373-Operations!X384</f>
        <v/>
      </c>
      <c r="Y25" s="20">
        <f>Operations!Y95+Operations!Y137+Operations!Y180+Operations!Y223+Operations!Y266+Operations!Y298+Operations!Y331+Operations!Y373-Operations!Y384</f>
        <v/>
      </c>
      <c r="Z25" s="20">
        <f>Operations!Z95+Operations!Z137+Operations!Z180+Operations!Z223+Operations!Z266+Operations!Z298+Operations!Z331+Operations!Z373-Operations!Z384</f>
        <v/>
      </c>
      <c r="AA25" s="20">
        <f>Operations!AA95+Operations!AA137+Operations!AA180+Operations!AA223+Operations!AA266+Operations!AA298+Operations!AA331+Operations!AA373-Operations!AA384</f>
        <v/>
      </c>
      <c r="AB25" s="20">
        <f>Operations!AB95+Operations!AB137+Operations!AB180+Operations!AB223+Operations!AB266+Operations!AB298+Operations!AB331+Operations!AB373-Operations!AB384</f>
        <v/>
      </c>
      <c r="AC25" s="20">
        <f>Operations!AC95+Operations!AC137+Operations!AC180+Operations!AC223+Operations!AC266+Operations!AC298+Operations!AC331+Operations!AC373-Operations!AC384</f>
        <v/>
      </c>
      <c r="AD25" s="20">
        <f>Operations!AD95+Operations!AD137+Operations!AD180+Operations!AD223+Operations!AD266+Operations!AD298+Operations!AD331+Operations!AD373-Operations!AD384</f>
        <v/>
      </c>
      <c r="AE25" s="20">
        <f>Operations!AE95+Operations!AE137+Operations!AE180+Operations!AE223+Operations!AE266+Operations!AE298+Operations!AE331+Operations!AE373-Operations!AE384</f>
        <v/>
      </c>
      <c r="AF25" s="20">
        <f>Operations!AF95+Operations!AF137+Operations!AF180+Operations!AF223+Operations!AF266+Operations!AF298+Operations!AF331+Operations!AF373-Operations!AF384</f>
        <v/>
      </c>
      <c r="AG25" s="20">
        <f>Operations!AG95+Operations!AG137+Operations!AG180+Operations!AG223+Operations!AG266+Operations!AG298+Operations!AG331+Operations!AG373-Operations!AG384</f>
        <v/>
      </c>
      <c r="AH25" s="20">
        <f>Operations!AH95+Operations!AH137+Operations!AH180+Operations!AH223+Operations!AH266+Operations!AH298+Operations!AH331+Operations!AH373-Operations!AH384</f>
        <v/>
      </c>
      <c r="AI25" s="20">
        <f>Operations!AI95+Operations!AI137+Operations!AI180+Operations!AI223+Operations!AI266+Operations!AI298+Operations!AI331+Operations!AI373-Operations!AI384</f>
        <v/>
      </c>
      <c r="AJ25" s="20">
        <f>Operations!AJ95+Operations!AJ137+Operations!AJ180+Operations!AJ223+Operations!AJ266+Operations!AJ298+Operations!AJ331+Operations!AJ373-Operations!AJ384</f>
        <v/>
      </c>
      <c r="AK25" s="20">
        <f>Operations!AK95+Operations!AK137+Operations!AK180+Operations!AK223+Operations!AK266+Operations!AK298+Operations!AK331+Operations!AK373-Operations!AK384</f>
        <v/>
      </c>
      <c r="AL25" s="20">
        <f>Operations!AL95+Operations!AL137+Operations!AL180+Operations!AL223+Operations!AL266+Operations!AL298+Operations!AL331+Operations!AL373-Operations!AL384</f>
        <v/>
      </c>
      <c r="AM25" s="20">
        <f>Operations!AM95+Operations!AM137+Operations!AM180+Operations!AM223+Operations!AM266+Operations!AM298+Operations!AM331+Operations!AM373-Operations!AM384</f>
        <v/>
      </c>
      <c r="AN25" s="20">
        <f>Operations!AN95+Operations!AN137+Operations!AN180+Operations!AN223+Operations!AN266+Operations!AN298+Operations!AN331+Operations!AN373-Operations!AN384</f>
        <v/>
      </c>
      <c r="AO25" s="20">
        <f>Operations!AO95+Operations!AO137+Operations!AO180+Operations!AO223+Operations!AO266+Operations!AO298+Operations!AO331+Operations!AO373-Operations!AO384</f>
        <v/>
      </c>
      <c r="AP25" s="20">
        <f>Operations!AP95+Operations!AP137+Operations!AP180+Operations!AP223+Operations!AP266+Operations!AP298+Operations!AP331+Operations!AP373-Operations!AP384</f>
        <v/>
      </c>
      <c r="AQ25" s="20">
        <f>Operations!AQ95+Operations!AQ137+Operations!AQ180+Operations!AQ223+Operations!AQ266+Operations!AQ298+Operations!AQ331+Operations!AQ373-Operations!AQ384</f>
        <v/>
      </c>
      <c r="AR25" s="20">
        <f>Operations!AR95+Operations!AR137+Operations!AR180+Operations!AR223+Operations!AR266+Operations!AR298+Operations!AR331+Operations!AR373-Operations!AR384</f>
        <v/>
      </c>
      <c r="AS25" s="20">
        <f>Operations!AS95+Operations!AS137+Operations!AS180+Operations!AS223+Operations!AS266+Operations!AS298+Operations!AS331+Operations!AS373-Operations!AS384</f>
        <v/>
      </c>
      <c r="AT25" s="20">
        <f>Operations!AT95+Operations!AT137+Operations!AT180+Operations!AT223+Operations!AT266+Operations!AT298+Operations!AT331+Operations!AT373-Operations!AT384</f>
        <v/>
      </c>
      <c r="AU25" s="20">
        <f>Operations!AU95+Operations!AU137+Operations!AU180+Operations!AU223+Operations!AU266+Operations!AU298+Operations!AU331+Operations!AU373-Operations!AU384</f>
        <v/>
      </c>
    </row>
    <row r="27">
      <c r="A27" s="4" t="inlineStr">
        <is>
          <t>Taxable income, NOL and cash tax (Mesa Corta modeled as a taxable blocker)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</row>
    <row r="28">
      <c r="D28" t="inlineStr">
        <is>
          <t>Interest deducted (opco TL, Redfern, USPP, holdco)</t>
        </is>
      </c>
      <c r="E28" t="inlineStr">
        <is>
          <t>USD m</t>
        </is>
      </c>
      <c r="J28" s="20">
        <f>Debt!J15+Debt!J24+Debt!J32+Debt!J47+Debt!J54+Debt!J61</f>
        <v/>
      </c>
      <c r="K28" s="20">
        <f>Debt!K15+Debt!K24+Debt!K32+Debt!K47+Debt!K54+Debt!K61</f>
        <v/>
      </c>
      <c r="L28" s="20">
        <f>Debt!L15+Debt!L24+Debt!L32+Debt!L47+Debt!L54+Debt!L61</f>
        <v/>
      </c>
      <c r="M28" s="20">
        <f>Debt!M15+Debt!M24+Debt!M32+Debt!M47+Debt!M54+Debt!M61</f>
        <v/>
      </c>
      <c r="N28" s="20">
        <f>Debt!N15+Debt!N24+Debt!N32+Debt!N47+Debt!N54+Debt!N61</f>
        <v/>
      </c>
      <c r="O28" s="20">
        <f>Debt!O15+Debt!O24+Debt!O32+Debt!O47+Debt!O54+Debt!O61</f>
        <v/>
      </c>
      <c r="P28" s="20">
        <f>Debt!P15+Debt!P24+Debt!P32+Debt!P47+Debt!P54+Debt!P61</f>
        <v/>
      </c>
      <c r="Q28" s="20">
        <f>Debt!Q15+Debt!Q24+Debt!Q32+Debt!Q47+Debt!Q54+Debt!Q61</f>
        <v/>
      </c>
      <c r="R28" s="20">
        <f>Debt!R15+Debt!R24+Debt!R32+Debt!R47+Debt!R54+Debt!R61</f>
        <v/>
      </c>
      <c r="S28" s="20">
        <f>Debt!S15+Debt!S24+Debt!S32+Debt!S47+Debt!S54+Debt!S61</f>
        <v/>
      </c>
      <c r="T28" s="20">
        <f>Debt!T15+Debt!T24+Debt!T32+Debt!T47+Debt!T54+Debt!T61</f>
        <v/>
      </c>
      <c r="U28" s="20">
        <f>Debt!U15+Debt!U24+Debt!U32+Debt!U47+Debt!U54+Debt!U61</f>
        <v/>
      </c>
      <c r="V28" s="20">
        <f>Debt!V15+Debt!V24+Debt!V32+Debt!V47+Debt!V54+Debt!V61</f>
        <v/>
      </c>
      <c r="W28" s="20">
        <f>Debt!W15+Debt!W24+Debt!W32+Debt!W47+Debt!W54+Debt!W61</f>
        <v/>
      </c>
      <c r="X28" s="20">
        <f>Debt!X15+Debt!X24+Debt!X32+Debt!X47+Debt!X54+Debt!X61</f>
        <v/>
      </c>
      <c r="Y28" s="20">
        <f>Debt!Y15+Debt!Y24+Debt!Y32+Debt!Y47+Debt!Y54+Debt!Y61</f>
        <v/>
      </c>
      <c r="Z28" s="20">
        <f>Debt!Z15+Debt!Z24+Debt!Z32+Debt!Z47+Debt!Z54+Debt!Z61</f>
        <v/>
      </c>
      <c r="AA28" s="20">
        <f>Debt!AA15+Debt!AA24+Debt!AA32+Debt!AA47+Debt!AA54+Debt!AA61</f>
        <v/>
      </c>
      <c r="AB28" s="20">
        <f>Debt!AB15+Debt!AB24+Debt!AB32+Debt!AB47+Debt!AB54+Debt!AB61</f>
        <v/>
      </c>
      <c r="AC28" s="20">
        <f>Debt!AC15+Debt!AC24+Debt!AC32+Debt!AC47+Debt!AC54+Debt!AC61</f>
        <v/>
      </c>
      <c r="AD28" s="20">
        <f>Debt!AD15+Debt!AD24+Debt!AD32+Debt!AD47+Debt!AD54+Debt!AD61</f>
        <v/>
      </c>
      <c r="AE28" s="20">
        <f>Debt!AE15+Debt!AE24+Debt!AE32+Debt!AE47+Debt!AE54+Debt!AE61</f>
        <v/>
      </c>
      <c r="AF28" s="20">
        <f>Debt!AF15+Debt!AF24+Debt!AF32+Debt!AF47+Debt!AF54+Debt!AF61</f>
        <v/>
      </c>
      <c r="AG28" s="20">
        <f>Debt!AG15+Debt!AG24+Debt!AG32+Debt!AG47+Debt!AG54+Debt!AG61</f>
        <v/>
      </c>
      <c r="AH28" s="20">
        <f>Debt!AH15+Debt!AH24+Debt!AH32+Debt!AH47+Debt!AH54+Debt!AH61</f>
        <v/>
      </c>
      <c r="AI28" s="20">
        <f>Debt!AI15+Debt!AI24+Debt!AI32+Debt!AI47+Debt!AI54+Debt!AI61</f>
        <v/>
      </c>
      <c r="AJ28" s="20">
        <f>Debt!AJ15+Debt!AJ24+Debt!AJ32+Debt!AJ47+Debt!AJ54+Debt!AJ61</f>
        <v/>
      </c>
      <c r="AK28" s="20">
        <f>Debt!AK15+Debt!AK24+Debt!AK32+Debt!AK47+Debt!AK54+Debt!AK61</f>
        <v/>
      </c>
      <c r="AL28" s="20">
        <f>Debt!AL15+Debt!AL24+Debt!AL32+Debt!AL47+Debt!AL54+Debt!AL61</f>
        <v/>
      </c>
      <c r="AM28" s="20">
        <f>Debt!AM15+Debt!AM24+Debt!AM32+Debt!AM47+Debt!AM54+Debt!AM61</f>
        <v/>
      </c>
      <c r="AN28" s="20">
        <f>Debt!AN15+Debt!AN24+Debt!AN32+Debt!AN47+Debt!AN54+Debt!AN61</f>
        <v/>
      </c>
      <c r="AO28" s="20">
        <f>Debt!AO15+Debt!AO24+Debt!AO32+Debt!AO47+Debt!AO54+Debt!AO61</f>
        <v/>
      </c>
      <c r="AP28" s="20">
        <f>Debt!AP15+Debt!AP24+Debt!AP32+Debt!AP47+Debt!AP54+Debt!AP61</f>
        <v/>
      </c>
      <c r="AQ28" s="20">
        <f>Debt!AQ15+Debt!AQ24+Debt!AQ32+Debt!AQ47+Debt!AQ54+Debt!AQ61</f>
        <v/>
      </c>
      <c r="AR28" s="20">
        <f>Debt!AR15+Debt!AR24+Debt!AR32+Debt!AR47+Debt!AR54+Debt!AR61</f>
        <v/>
      </c>
      <c r="AS28" s="20">
        <f>Debt!AS15+Debt!AS24+Debt!AS32+Debt!AS47+Debt!AS54+Debt!AS61</f>
        <v/>
      </c>
      <c r="AT28" s="20">
        <f>Debt!AT15+Debt!AT24+Debt!AT32+Debt!AT47+Debt!AT54+Debt!AT61</f>
        <v/>
      </c>
      <c r="AU28" s="20">
        <f>Debt!AU15+Debt!AU24+Debt!AU32+Debt!AU47+Debt!AU54+Debt!AU61</f>
        <v/>
      </c>
    </row>
    <row r="29">
      <c r="D29" t="inlineStr">
        <is>
          <t>Taxable income before NOL</t>
        </is>
      </c>
      <c r="E29" t="inlineStr">
        <is>
          <t>USD m</t>
        </is>
      </c>
      <c r="J29" s="20">
        <f>Tax!J25-Tax!J24-Tax!J28</f>
        <v/>
      </c>
      <c r="K29" s="20">
        <f>Tax!K25-Tax!K24-Tax!K28</f>
        <v/>
      </c>
      <c r="L29" s="20">
        <f>Tax!L25-Tax!L24-Tax!L28</f>
        <v/>
      </c>
      <c r="M29" s="20">
        <f>Tax!M25-Tax!M24-Tax!M28</f>
        <v/>
      </c>
      <c r="N29" s="20">
        <f>Tax!N25-Tax!N24-Tax!N28</f>
        <v/>
      </c>
      <c r="O29" s="20">
        <f>Tax!O25-Tax!O24-Tax!O28</f>
        <v/>
      </c>
      <c r="P29" s="20">
        <f>Tax!P25-Tax!P24-Tax!P28</f>
        <v/>
      </c>
      <c r="Q29" s="20">
        <f>Tax!Q25-Tax!Q24-Tax!Q28</f>
        <v/>
      </c>
      <c r="R29" s="20">
        <f>Tax!R25-Tax!R24-Tax!R28</f>
        <v/>
      </c>
      <c r="S29" s="20">
        <f>Tax!S25-Tax!S24-Tax!S28</f>
        <v/>
      </c>
      <c r="T29" s="20">
        <f>Tax!T25-Tax!T24-Tax!T28</f>
        <v/>
      </c>
      <c r="U29" s="20">
        <f>Tax!U25-Tax!U24-Tax!U28</f>
        <v/>
      </c>
      <c r="V29" s="20">
        <f>Tax!V25-Tax!V24-Tax!V28</f>
        <v/>
      </c>
      <c r="W29" s="20">
        <f>Tax!W25-Tax!W24-Tax!W28</f>
        <v/>
      </c>
      <c r="X29" s="20">
        <f>Tax!X25-Tax!X24-Tax!X28</f>
        <v/>
      </c>
      <c r="Y29" s="20">
        <f>Tax!Y25-Tax!Y24-Tax!Y28</f>
        <v/>
      </c>
      <c r="Z29" s="20">
        <f>Tax!Z25-Tax!Z24-Tax!Z28</f>
        <v/>
      </c>
      <c r="AA29" s="20">
        <f>Tax!AA25-Tax!AA24-Tax!AA28</f>
        <v/>
      </c>
      <c r="AB29" s="20">
        <f>Tax!AB25-Tax!AB24-Tax!AB28</f>
        <v/>
      </c>
      <c r="AC29" s="20">
        <f>Tax!AC25-Tax!AC24-Tax!AC28</f>
        <v/>
      </c>
      <c r="AD29" s="20">
        <f>Tax!AD25-Tax!AD24-Tax!AD28</f>
        <v/>
      </c>
      <c r="AE29" s="20">
        <f>Tax!AE25-Tax!AE24-Tax!AE28</f>
        <v/>
      </c>
      <c r="AF29" s="20">
        <f>Tax!AF25-Tax!AF24-Tax!AF28</f>
        <v/>
      </c>
      <c r="AG29" s="20">
        <f>Tax!AG25-Tax!AG24-Tax!AG28</f>
        <v/>
      </c>
      <c r="AH29" s="20">
        <f>Tax!AH25-Tax!AH24-Tax!AH28</f>
        <v/>
      </c>
      <c r="AI29" s="20">
        <f>Tax!AI25-Tax!AI24-Tax!AI28</f>
        <v/>
      </c>
      <c r="AJ29" s="20">
        <f>Tax!AJ25-Tax!AJ24-Tax!AJ28</f>
        <v/>
      </c>
      <c r="AK29" s="20">
        <f>Tax!AK25-Tax!AK24-Tax!AK28</f>
        <v/>
      </c>
      <c r="AL29" s="20">
        <f>Tax!AL25-Tax!AL24-Tax!AL28</f>
        <v/>
      </c>
      <c r="AM29" s="20">
        <f>Tax!AM25-Tax!AM24-Tax!AM28</f>
        <v/>
      </c>
      <c r="AN29" s="20">
        <f>Tax!AN25-Tax!AN24-Tax!AN28</f>
        <v/>
      </c>
      <c r="AO29" s="20">
        <f>Tax!AO25-Tax!AO24-Tax!AO28</f>
        <v/>
      </c>
      <c r="AP29" s="20">
        <f>Tax!AP25-Tax!AP24-Tax!AP28</f>
        <v/>
      </c>
      <c r="AQ29" s="20">
        <f>Tax!AQ25-Tax!AQ24-Tax!AQ28</f>
        <v/>
      </c>
      <c r="AR29" s="20">
        <f>Tax!AR25-Tax!AR24-Tax!AR28</f>
        <v/>
      </c>
      <c r="AS29" s="20">
        <f>Tax!AS25-Tax!AS24-Tax!AS28</f>
        <v/>
      </c>
      <c r="AT29" s="20">
        <f>Tax!AT25-Tax!AT24-Tax!AT28</f>
        <v/>
      </c>
      <c r="AU29" s="20">
        <f>Tax!AU25-Tax!AU24-Tax!AU28</f>
        <v/>
      </c>
    </row>
    <row r="30">
      <c r="D30" t="inlineStr">
        <is>
          <t>NOL opening</t>
        </is>
      </c>
      <c r="E30" t="inlineStr">
        <is>
          <t>USD m</t>
        </is>
      </c>
      <c r="J30" s="20">
        <f>I33</f>
        <v/>
      </c>
      <c r="K30" s="20">
        <f>J33</f>
        <v/>
      </c>
      <c r="L30" s="20">
        <f>K33</f>
        <v/>
      </c>
      <c r="M30" s="20">
        <f>L33</f>
        <v/>
      </c>
      <c r="N30" s="20">
        <f>M33</f>
        <v/>
      </c>
      <c r="O30" s="20">
        <f>N33</f>
        <v/>
      </c>
      <c r="P30" s="20">
        <f>O33</f>
        <v/>
      </c>
      <c r="Q30" s="20">
        <f>P33</f>
        <v/>
      </c>
      <c r="R30" s="20">
        <f>Q33</f>
        <v/>
      </c>
      <c r="S30" s="20">
        <f>R33</f>
        <v/>
      </c>
      <c r="T30" s="20">
        <f>S33</f>
        <v/>
      </c>
      <c r="U30" s="20">
        <f>T33</f>
        <v/>
      </c>
      <c r="V30" s="20">
        <f>U33</f>
        <v/>
      </c>
      <c r="W30" s="20">
        <f>V33</f>
        <v/>
      </c>
      <c r="X30" s="20">
        <f>W33</f>
        <v/>
      </c>
      <c r="Y30" s="20">
        <f>X33</f>
        <v/>
      </c>
      <c r="Z30" s="20">
        <f>Y33</f>
        <v/>
      </c>
      <c r="AA30" s="20">
        <f>Z33</f>
        <v/>
      </c>
      <c r="AB30" s="20">
        <f>AA33</f>
        <v/>
      </c>
      <c r="AC30" s="20">
        <f>AB33</f>
        <v/>
      </c>
      <c r="AD30" s="20">
        <f>AC33</f>
        <v/>
      </c>
      <c r="AE30" s="20">
        <f>AD33</f>
        <v/>
      </c>
      <c r="AF30" s="20">
        <f>AE33</f>
        <v/>
      </c>
      <c r="AG30" s="20">
        <f>AF33</f>
        <v/>
      </c>
      <c r="AH30" s="20">
        <f>AG33</f>
        <v/>
      </c>
      <c r="AI30" s="20">
        <f>AH33</f>
        <v/>
      </c>
      <c r="AJ30" s="20">
        <f>AI33</f>
        <v/>
      </c>
      <c r="AK30" s="20">
        <f>AJ33</f>
        <v/>
      </c>
      <c r="AL30" s="20">
        <f>AK33</f>
        <v/>
      </c>
      <c r="AM30" s="20">
        <f>AL33</f>
        <v/>
      </c>
      <c r="AN30" s="20">
        <f>AM33</f>
        <v/>
      </c>
      <c r="AO30" s="20">
        <f>AN33</f>
        <v/>
      </c>
      <c r="AP30" s="20">
        <f>AO33</f>
        <v/>
      </c>
      <c r="AQ30" s="20">
        <f>AP33</f>
        <v/>
      </c>
      <c r="AR30" s="20">
        <f>AQ33</f>
        <v/>
      </c>
      <c r="AS30" s="20">
        <f>AR33</f>
        <v/>
      </c>
      <c r="AT30" s="20">
        <f>AS33</f>
        <v/>
      </c>
      <c r="AU30" s="20">
        <f>AT33</f>
        <v/>
      </c>
    </row>
    <row r="31">
      <c r="D31" t="inlineStr">
        <is>
          <t>NOL used (limited to 80% of taxable income)</t>
        </is>
      </c>
      <c r="E31" t="inlineStr">
        <is>
          <t>USD m</t>
        </is>
      </c>
      <c r="G31" s="20">
        <f>SUM(J31:AU31)</f>
        <v/>
      </c>
      <c r="J31" s="20">
        <f>MIN(Tax!J30,Inputs!$F$242/100*MAX(Tax!J29,0))</f>
        <v/>
      </c>
      <c r="K31" s="20">
        <f>MIN(Tax!K30,Inputs!$F$242/100*MAX(Tax!K29,0))</f>
        <v/>
      </c>
      <c r="L31" s="20">
        <f>MIN(Tax!L30,Inputs!$F$242/100*MAX(Tax!L29,0))</f>
        <v/>
      </c>
      <c r="M31" s="20">
        <f>MIN(Tax!M30,Inputs!$F$242/100*MAX(Tax!M29,0))</f>
        <v/>
      </c>
      <c r="N31" s="20">
        <f>MIN(Tax!N30,Inputs!$F$242/100*MAX(Tax!N29,0))</f>
        <v/>
      </c>
      <c r="O31" s="20">
        <f>MIN(Tax!O30,Inputs!$F$242/100*MAX(Tax!O29,0))</f>
        <v/>
      </c>
      <c r="P31" s="20">
        <f>MIN(Tax!P30,Inputs!$F$242/100*MAX(Tax!P29,0))</f>
        <v/>
      </c>
      <c r="Q31" s="20">
        <f>MIN(Tax!Q30,Inputs!$F$242/100*MAX(Tax!Q29,0))</f>
        <v/>
      </c>
      <c r="R31" s="20">
        <f>MIN(Tax!R30,Inputs!$F$242/100*MAX(Tax!R29,0))</f>
        <v/>
      </c>
      <c r="S31" s="20">
        <f>MIN(Tax!S30,Inputs!$F$242/100*MAX(Tax!S29,0))</f>
        <v/>
      </c>
      <c r="T31" s="20">
        <f>MIN(Tax!T30,Inputs!$F$242/100*MAX(Tax!T29,0))</f>
        <v/>
      </c>
      <c r="U31" s="20">
        <f>MIN(Tax!U30,Inputs!$F$242/100*MAX(Tax!U29,0))</f>
        <v/>
      </c>
      <c r="V31" s="20">
        <f>MIN(Tax!V30,Inputs!$F$242/100*MAX(Tax!V29,0))</f>
        <v/>
      </c>
      <c r="W31" s="20">
        <f>MIN(Tax!W30,Inputs!$F$242/100*MAX(Tax!W29,0))</f>
        <v/>
      </c>
      <c r="X31" s="20">
        <f>MIN(Tax!X30,Inputs!$F$242/100*MAX(Tax!X29,0))</f>
        <v/>
      </c>
      <c r="Y31" s="20">
        <f>MIN(Tax!Y30,Inputs!$F$242/100*MAX(Tax!Y29,0))</f>
        <v/>
      </c>
      <c r="Z31" s="20">
        <f>MIN(Tax!Z30,Inputs!$F$242/100*MAX(Tax!Z29,0))</f>
        <v/>
      </c>
      <c r="AA31" s="20">
        <f>MIN(Tax!AA30,Inputs!$F$242/100*MAX(Tax!AA29,0))</f>
        <v/>
      </c>
      <c r="AB31" s="20">
        <f>MIN(Tax!AB30,Inputs!$F$242/100*MAX(Tax!AB29,0))</f>
        <v/>
      </c>
      <c r="AC31" s="20">
        <f>MIN(Tax!AC30,Inputs!$F$242/100*MAX(Tax!AC29,0))</f>
        <v/>
      </c>
      <c r="AD31" s="20">
        <f>MIN(Tax!AD30,Inputs!$F$242/100*MAX(Tax!AD29,0))</f>
        <v/>
      </c>
      <c r="AE31" s="20">
        <f>MIN(Tax!AE30,Inputs!$F$242/100*MAX(Tax!AE29,0))</f>
        <v/>
      </c>
      <c r="AF31" s="20">
        <f>MIN(Tax!AF30,Inputs!$F$242/100*MAX(Tax!AF29,0))</f>
        <v/>
      </c>
      <c r="AG31" s="20">
        <f>MIN(Tax!AG30,Inputs!$F$242/100*MAX(Tax!AG29,0))</f>
        <v/>
      </c>
      <c r="AH31" s="20">
        <f>MIN(Tax!AH30,Inputs!$F$242/100*MAX(Tax!AH29,0))</f>
        <v/>
      </c>
      <c r="AI31" s="20">
        <f>MIN(Tax!AI30,Inputs!$F$242/100*MAX(Tax!AI29,0))</f>
        <v/>
      </c>
      <c r="AJ31" s="20">
        <f>MIN(Tax!AJ30,Inputs!$F$242/100*MAX(Tax!AJ29,0))</f>
        <v/>
      </c>
      <c r="AK31" s="20">
        <f>MIN(Tax!AK30,Inputs!$F$242/100*MAX(Tax!AK29,0))</f>
        <v/>
      </c>
      <c r="AL31" s="20">
        <f>MIN(Tax!AL30,Inputs!$F$242/100*MAX(Tax!AL29,0))</f>
        <v/>
      </c>
      <c r="AM31" s="20">
        <f>MIN(Tax!AM30,Inputs!$F$242/100*MAX(Tax!AM29,0))</f>
        <v/>
      </c>
      <c r="AN31" s="20">
        <f>MIN(Tax!AN30,Inputs!$F$242/100*MAX(Tax!AN29,0))</f>
        <v/>
      </c>
      <c r="AO31" s="20">
        <f>MIN(Tax!AO30,Inputs!$F$242/100*MAX(Tax!AO29,0))</f>
        <v/>
      </c>
      <c r="AP31" s="20">
        <f>MIN(Tax!AP30,Inputs!$F$242/100*MAX(Tax!AP29,0))</f>
        <v/>
      </c>
      <c r="AQ31" s="20">
        <f>MIN(Tax!AQ30,Inputs!$F$242/100*MAX(Tax!AQ29,0))</f>
        <v/>
      </c>
      <c r="AR31" s="20">
        <f>MIN(Tax!AR30,Inputs!$F$242/100*MAX(Tax!AR29,0))</f>
        <v/>
      </c>
      <c r="AS31" s="20">
        <f>MIN(Tax!AS30,Inputs!$F$242/100*MAX(Tax!AS29,0))</f>
        <v/>
      </c>
      <c r="AT31" s="20">
        <f>MIN(Tax!AT30,Inputs!$F$242/100*MAX(Tax!AT29,0))</f>
        <v/>
      </c>
      <c r="AU31" s="20">
        <f>MIN(Tax!AU30,Inputs!$F$242/100*MAX(Tax!AU29,0))</f>
        <v/>
      </c>
    </row>
    <row r="32">
      <c r="D32" t="inlineStr">
        <is>
          <t>Cash tax</t>
        </is>
      </c>
      <c r="E32" t="inlineStr">
        <is>
          <t>USD m</t>
        </is>
      </c>
      <c r="G32" s="20">
        <f>SUM(J32:AU32)</f>
        <v/>
      </c>
      <c r="J32" s="20">
        <f>Inputs!$F$241/100*(MAX(Tax!J29,0)-Tax!J31)</f>
        <v/>
      </c>
      <c r="K32" s="20">
        <f>Inputs!$F$241/100*(MAX(Tax!K29,0)-Tax!K31)</f>
        <v/>
      </c>
      <c r="L32" s="20">
        <f>Inputs!$F$241/100*(MAX(Tax!L29,0)-Tax!L31)</f>
        <v/>
      </c>
      <c r="M32" s="20">
        <f>Inputs!$F$241/100*(MAX(Tax!M29,0)-Tax!M31)</f>
        <v/>
      </c>
      <c r="N32" s="20">
        <f>Inputs!$F$241/100*(MAX(Tax!N29,0)-Tax!N31)</f>
        <v/>
      </c>
      <c r="O32" s="20">
        <f>Inputs!$F$241/100*(MAX(Tax!O29,0)-Tax!O31)</f>
        <v/>
      </c>
      <c r="P32" s="20">
        <f>Inputs!$F$241/100*(MAX(Tax!P29,0)-Tax!P31)</f>
        <v/>
      </c>
      <c r="Q32" s="20">
        <f>Inputs!$F$241/100*(MAX(Tax!Q29,0)-Tax!Q31)</f>
        <v/>
      </c>
      <c r="R32" s="20">
        <f>Inputs!$F$241/100*(MAX(Tax!R29,0)-Tax!R31)</f>
        <v/>
      </c>
      <c r="S32" s="20">
        <f>Inputs!$F$241/100*(MAX(Tax!S29,0)-Tax!S31)</f>
        <v/>
      </c>
      <c r="T32" s="20">
        <f>Inputs!$F$241/100*(MAX(Tax!T29,0)-Tax!T31)</f>
        <v/>
      </c>
      <c r="U32" s="20">
        <f>Inputs!$F$241/100*(MAX(Tax!U29,0)-Tax!U31)</f>
        <v/>
      </c>
      <c r="V32" s="20">
        <f>Inputs!$F$241/100*(MAX(Tax!V29,0)-Tax!V31)</f>
        <v/>
      </c>
      <c r="W32" s="20">
        <f>Inputs!$F$241/100*(MAX(Tax!W29,0)-Tax!W31)</f>
        <v/>
      </c>
      <c r="X32" s="20">
        <f>Inputs!$F$241/100*(MAX(Tax!X29,0)-Tax!X31)</f>
        <v/>
      </c>
      <c r="Y32" s="20">
        <f>Inputs!$F$241/100*(MAX(Tax!Y29,0)-Tax!Y31)</f>
        <v/>
      </c>
      <c r="Z32" s="20">
        <f>Inputs!$F$241/100*(MAX(Tax!Z29,0)-Tax!Z31)</f>
        <v/>
      </c>
      <c r="AA32" s="20">
        <f>Inputs!$F$241/100*(MAX(Tax!AA29,0)-Tax!AA31)</f>
        <v/>
      </c>
      <c r="AB32" s="20">
        <f>Inputs!$F$241/100*(MAX(Tax!AB29,0)-Tax!AB31)</f>
        <v/>
      </c>
      <c r="AC32" s="20">
        <f>Inputs!$F$241/100*(MAX(Tax!AC29,0)-Tax!AC31)</f>
        <v/>
      </c>
      <c r="AD32" s="20">
        <f>Inputs!$F$241/100*(MAX(Tax!AD29,0)-Tax!AD31)</f>
        <v/>
      </c>
      <c r="AE32" s="20">
        <f>Inputs!$F$241/100*(MAX(Tax!AE29,0)-Tax!AE31)</f>
        <v/>
      </c>
      <c r="AF32" s="20">
        <f>Inputs!$F$241/100*(MAX(Tax!AF29,0)-Tax!AF31)</f>
        <v/>
      </c>
      <c r="AG32" s="20">
        <f>Inputs!$F$241/100*(MAX(Tax!AG29,0)-Tax!AG31)</f>
        <v/>
      </c>
      <c r="AH32" s="20">
        <f>Inputs!$F$241/100*(MAX(Tax!AH29,0)-Tax!AH31)</f>
        <v/>
      </c>
      <c r="AI32" s="20">
        <f>Inputs!$F$241/100*(MAX(Tax!AI29,0)-Tax!AI31)</f>
        <v/>
      </c>
      <c r="AJ32" s="20">
        <f>Inputs!$F$241/100*(MAX(Tax!AJ29,0)-Tax!AJ31)</f>
        <v/>
      </c>
      <c r="AK32" s="20">
        <f>Inputs!$F$241/100*(MAX(Tax!AK29,0)-Tax!AK31)</f>
        <v/>
      </c>
      <c r="AL32" s="20">
        <f>Inputs!$F$241/100*(MAX(Tax!AL29,0)-Tax!AL31)</f>
        <v/>
      </c>
      <c r="AM32" s="20">
        <f>Inputs!$F$241/100*(MAX(Tax!AM29,0)-Tax!AM31)</f>
        <v/>
      </c>
      <c r="AN32" s="20">
        <f>Inputs!$F$241/100*(MAX(Tax!AN29,0)-Tax!AN31)</f>
        <v/>
      </c>
      <c r="AO32" s="20">
        <f>Inputs!$F$241/100*(MAX(Tax!AO29,0)-Tax!AO31)</f>
        <v/>
      </c>
      <c r="AP32" s="20">
        <f>Inputs!$F$241/100*(MAX(Tax!AP29,0)-Tax!AP31)</f>
        <v/>
      </c>
      <c r="AQ32" s="20">
        <f>Inputs!$F$241/100*(MAX(Tax!AQ29,0)-Tax!AQ31)</f>
        <v/>
      </c>
      <c r="AR32" s="20">
        <f>Inputs!$F$241/100*(MAX(Tax!AR29,0)-Tax!AR31)</f>
        <v/>
      </c>
      <c r="AS32" s="20">
        <f>Inputs!$F$241/100*(MAX(Tax!AS29,0)-Tax!AS31)</f>
        <v/>
      </c>
      <c r="AT32" s="20">
        <f>Inputs!$F$241/100*(MAX(Tax!AT29,0)-Tax!AT31)</f>
        <v/>
      </c>
      <c r="AU32" s="20">
        <f>Inputs!$F$241/100*(MAX(Tax!AU29,0)-Tax!AU31)</f>
        <v/>
      </c>
    </row>
    <row r="33">
      <c r="D33" t="inlineStr">
        <is>
          <t>NOL closing</t>
        </is>
      </c>
      <c r="E33" t="inlineStr">
        <is>
          <t>USD m</t>
        </is>
      </c>
      <c r="J33" s="20">
        <f>Tax!J30-Tax!J31+MAX(-Tax!J29,0)</f>
        <v/>
      </c>
      <c r="K33" s="20">
        <f>Tax!K30-Tax!K31+MAX(-Tax!K29,0)</f>
        <v/>
      </c>
      <c r="L33" s="20">
        <f>Tax!L30-Tax!L31+MAX(-Tax!L29,0)</f>
        <v/>
      </c>
      <c r="M33" s="20">
        <f>Tax!M30-Tax!M31+MAX(-Tax!M29,0)</f>
        <v/>
      </c>
      <c r="N33" s="20">
        <f>Tax!N30-Tax!N31+MAX(-Tax!N29,0)</f>
        <v/>
      </c>
      <c r="O33" s="20">
        <f>Tax!O30-Tax!O31+MAX(-Tax!O29,0)</f>
        <v/>
      </c>
      <c r="P33" s="20">
        <f>Tax!P30-Tax!P31+MAX(-Tax!P29,0)</f>
        <v/>
      </c>
      <c r="Q33" s="20">
        <f>Tax!Q30-Tax!Q31+MAX(-Tax!Q29,0)</f>
        <v/>
      </c>
      <c r="R33" s="20">
        <f>Tax!R30-Tax!R31+MAX(-Tax!R29,0)</f>
        <v/>
      </c>
      <c r="S33" s="20">
        <f>Tax!S30-Tax!S31+MAX(-Tax!S29,0)</f>
        <v/>
      </c>
      <c r="T33" s="20">
        <f>Tax!T30-Tax!T31+MAX(-Tax!T29,0)</f>
        <v/>
      </c>
      <c r="U33" s="20">
        <f>Tax!U30-Tax!U31+MAX(-Tax!U29,0)</f>
        <v/>
      </c>
      <c r="V33" s="20">
        <f>Tax!V30-Tax!V31+MAX(-Tax!V29,0)</f>
        <v/>
      </c>
      <c r="W33" s="20">
        <f>Tax!W30-Tax!W31+MAX(-Tax!W29,0)</f>
        <v/>
      </c>
      <c r="X33" s="20">
        <f>Tax!X30-Tax!X31+MAX(-Tax!X29,0)</f>
        <v/>
      </c>
      <c r="Y33" s="20">
        <f>Tax!Y30-Tax!Y31+MAX(-Tax!Y29,0)</f>
        <v/>
      </c>
      <c r="Z33" s="20">
        <f>Tax!Z30-Tax!Z31+MAX(-Tax!Z29,0)</f>
        <v/>
      </c>
      <c r="AA33" s="20">
        <f>Tax!AA30-Tax!AA31+MAX(-Tax!AA29,0)</f>
        <v/>
      </c>
      <c r="AB33" s="20">
        <f>Tax!AB30-Tax!AB31+MAX(-Tax!AB29,0)</f>
        <v/>
      </c>
      <c r="AC33" s="20">
        <f>Tax!AC30-Tax!AC31+MAX(-Tax!AC29,0)</f>
        <v/>
      </c>
      <c r="AD33" s="20">
        <f>Tax!AD30-Tax!AD31+MAX(-Tax!AD29,0)</f>
        <v/>
      </c>
      <c r="AE33" s="20">
        <f>Tax!AE30-Tax!AE31+MAX(-Tax!AE29,0)</f>
        <v/>
      </c>
      <c r="AF33" s="20">
        <f>Tax!AF30-Tax!AF31+MAX(-Tax!AF29,0)</f>
        <v/>
      </c>
      <c r="AG33" s="20">
        <f>Tax!AG30-Tax!AG31+MAX(-Tax!AG29,0)</f>
        <v/>
      </c>
      <c r="AH33" s="20">
        <f>Tax!AH30-Tax!AH31+MAX(-Tax!AH29,0)</f>
        <v/>
      </c>
      <c r="AI33" s="20">
        <f>Tax!AI30-Tax!AI31+MAX(-Tax!AI29,0)</f>
        <v/>
      </c>
      <c r="AJ33" s="20">
        <f>Tax!AJ30-Tax!AJ31+MAX(-Tax!AJ29,0)</f>
        <v/>
      </c>
      <c r="AK33" s="20">
        <f>Tax!AK30-Tax!AK31+MAX(-Tax!AK29,0)</f>
        <v/>
      </c>
      <c r="AL33" s="20">
        <f>Tax!AL30-Tax!AL31+MAX(-Tax!AL29,0)</f>
        <v/>
      </c>
      <c r="AM33" s="20">
        <f>Tax!AM30-Tax!AM31+MAX(-Tax!AM29,0)</f>
        <v/>
      </c>
      <c r="AN33" s="20">
        <f>Tax!AN30-Tax!AN31+MAX(-Tax!AN29,0)</f>
        <v/>
      </c>
      <c r="AO33" s="20">
        <f>Tax!AO30-Tax!AO31+MAX(-Tax!AO29,0)</f>
        <v/>
      </c>
      <c r="AP33" s="20">
        <f>Tax!AP30-Tax!AP31+MAX(-Tax!AP29,0)</f>
        <v/>
      </c>
      <c r="AQ33" s="20">
        <f>Tax!AQ30-Tax!AQ31+MAX(-Tax!AQ29,0)</f>
        <v/>
      </c>
      <c r="AR33" s="20">
        <f>Tax!AR30-Tax!AR31+MAX(-Tax!AR29,0)</f>
        <v/>
      </c>
      <c r="AS33" s="20">
        <f>Tax!AS30-Tax!AS31+MAX(-Tax!AS29,0)</f>
        <v/>
      </c>
      <c r="AT33" s="20">
        <f>Tax!AT30-Tax!AT31+MAX(-Tax!AT29,0)</f>
        <v/>
      </c>
      <c r="AU33" s="20">
        <f>Tax!AU30-Tax!AU31+MAX(-Tax!AU29,0)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Funding: debt sizing (base P50 and P99 sizing blocks), sources and uses, 2025 refinancing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D4" t="inlineStr">
        <is>
          <t>Year</t>
        </is>
      </c>
      <c r="J4" s="2">
        <f>Time!J$4</f>
        <v/>
      </c>
      <c r="K4" s="2">
        <f>Time!K$4</f>
        <v/>
      </c>
      <c r="L4" s="2">
        <f>Time!L$4</f>
        <v/>
      </c>
      <c r="M4" s="2">
        <f>Time!M$4</f>
        <v/>
      </c>
      <c r="N4" s="2">
        <f>Time!N$4</f>
        <v/>
      </c>
      <c r="O4" s="2">
        <f>Time!O$4</f>
        <v/>
      </c>
      <c r="P4" s="2">
        <f>Time!P$4</f>
        <v/>
      </c>
      <c r="Q4" s="2">
        <f>Time!Q$4</f>
        <v/>
      </c>
      <c r="R4" s="2">
        <f>Time!R$4</f>
        <v/>
      </c>
      <c r="S4" s="2">
        <f>Time!S$4</f>
        <v/>
      </c>
      <c r="T4" s="2">
        <f>Time!T$4</f>
        <v/>
      </c>
      <c r="U4" s="2">
        <f>Time!U$4</f>
        <v/>
      </c>
      <c r="V4" s="2">
        <f>Time!V$4</f>
        <v/>
      </c>
      <c r="W4" s="2">
        <f>Time!W$4</f>
        <v/>
      </c>
      <c r="X4" s="2">
        <f>Time!X$4</f>
        <v/>
      </c>
      <c r="Y4" s="2">
        <f>Time!Y$4</f>
        <v/>
      </c>
      <c r="Z4" s="2">
        <f>Time!Z$4</f>
        <v/>
      </c>
      <c r="AA4" s="2">
        <f>Time!AA$4</f>
        <v/>
      </c>
      <c r="AB4" s="2">
        <f>Time!AB$4</f>
        <v/>
      </c>
      <c r="AC4" s="2">
        <f>Time!AC$4</f>
        <v/>
      </c>
      <c r="AD4" s="2">
        <f>Time!AD$4</f>
        <v/>
      </c>
      <c r="AE4" s="2">
        <f>Time!AE$4</f>
        <v/>
      </c>
      <c r="AF4" s="2">
        <f>Time!AF$4</f>
        <v/>
      </c>
      <c r="AG4" s="2">
        <f>Time!AG$4</f>
        <v/>
      </c>
      <c r="AH4" s="2">
        <f>Time!AH$4</f>
        <v/>
      </c>
      <c r="AI4" s="2">
        <f>Time!AI$4</f>
        <v/>
      </c>
      <c r="AJ4" s="2">
        <f>Time!AJ$4</f>
        <v/>
      </c>
      <c r="AK4" s="2">
        <f>Time!AK$4</f>
        <v/>
      </c>
      <c r="AL4" s="2">
        <f>Time!AL$4</f>
        <v/>
      </c>
      <c r="AM4" s="2">
        <f>Time!AM$4</f>
        <v/>
      </c>
      <c r="AN4" s="2">
        <f>Time!AN$4</f>
        <v/>
      </c>
      <c r="AO4" s="2">
        <f>Time!AO$4</f>
        <v/>
      </c>
      <c r="AP4" s="2">
        <f>Time!AP$4</f>
        <v/>
      </c>
      <c r="AQ4" s="2">
        <f>Time!AQ$4</f>
        <v/>
      </c>
      <c r="AR4" s="2">
        <f>Time!AR$4</f>
        <v/>
      </c>
      <c r="AS4" s="2">
        <f>Time!AS$4</f>
        <v/>
      </c>
      <c r="AT4" s="2">
        <f>Time!AT$4</f>
        <v/>
      </c>
      <c r="AU4" s="2">
        <f>Time!AU$4</f>
        <v/>
      </c>
    </row>
    <row r="5">
      <c r="D5" t="inlineStr">
        <is>
          <t>Period end</t>
        </is>
      </c>
      <c r="J5" s="3">
        <f>Time!J$6</f>
        <v/>
      </c>
      <c r="K5" s="3">
        <f>Time!K$6</f>
        <v/>
      </c>
      <c r="L5" s="3">
        <f>Time!L$6</f>
        <v/>
      </c>
      <c r="M5" s="3">
        <f>Time!M$6</f>
        <v/>
      </c>
      <c r="N5" s="3">
        <f>Time!N$6</f>
        <v/>
      </c>
      <c r="O5" s="3">
        <f>Time!O$6</f>
        <v/>
      </c>
      <c r="P5" s="3">
        <f>Time!P$6</f>
        <v/>
      </c>
      <c r="Q5" s="3">
        <f>Time!Q$6</f>
        <v/>
      </c>
      <c r="R5" s="3">
        <f>Time!R$6</f>
        <v/>
      </c>
      <c r="S5" s="3">
        <f>Time!S$6</f>
        <v/>
      </c>
      <c r="T5" s="3">
        <f>Time!T$6</f>
        <v/>
      </c>
      <c r="U5" s="3">
        <f>Time!U$6</f>
        <v/>
      </c>
      <c r="V5" s="3">
        <f>Time!V$6</f>
        <v/>
      </c>
      <c r="W5" s="3">
        <f>Time!W$6</f>
        <v/>
      </c>
      <c r="X5" s="3">
        <f>Time!X$6</f>
        <v/>
      </c>
      <c r="Y5" s="3">
        <f>Time!Y$6</f>
        <v/>
      </c>
      <c r="Z5" s="3">
        <f>Time!Z$6</f>
        <v/>
      </c>
      <c r="AA5" s="3">
        <f>Time!AA$6</f>
        <v/>
      </c>
      <c r="AB5" s="3">
        <f>Time!AB$6</f>
        <v/>
      </c>
      <c r="AC5" s="3">
        <f>Time!AC$6</f>
        <v/>
      </c>
      <c r="AD5" s="3">
        <f>Time!AD$6</f>
        <v/>
      </c>
      <c r="AE5" s="3">
        <f>Time!AE$6</f>
        <v/>
      </c>
      <c r="AF5" s="3">
        <f>Time!AF$6</f>
        <v/>
      </c>
      <c r="AG5" s="3">
        <f>Time!AG$6</f>
        <v/>
      </c>
      <c r="AH5" s="3">
        <f>Time!AH$6</f>
        <v/>
      </c>
      <c r="AI5" s="3">
        <f>Time!AI$6</f>
        <v/>
      </c>
      <c r="AJ5" s="3">
        <f>Time!AJ$6</f>
        <v/>
      </c>
      <c r="AK5" s="3">
        <f>Time!AK$6</f>
        <v/>
      </c>
      <c r="AL5" s="3">
        <f>Time!AL$6</f>
        <v/>
      </c>
      <c r="AM5" s="3">
        <f>Time!AM$6</f>
        <v/>
      </c>
      <c r="AN5" s="3">
        <f>Time!AN$6</f>
        <v/>
      </c>
      <c r="AO5" s="3">
        <f>Time!AO$6</f>
        <v/>
      </c>
      <c r="AP5" s="3">
        <f>Time!AP$6</f>
        <v/>
      </c>
      <c r="AQ5" s="3">
        <f>Time!AQ$6</f>
        <v/>
      </c>
      <c r="AR5" s="3">
        <f>Time!AR$6</f>
        <v/>
      </c>
      <c r="AS5" s="3">
        <f>Time!AS$6</f>
        <v/>
      </c>
      <c r="AT5" s="3">
        <f>Time!AT$6</f>
        <v/>
      </c>
      <c r="AU5" s="3">
        <f>Time!AU$6</f>
        <v/>
      </c>
    </row>
    <row r="7">
      <c r="A7" s="4" t="inlineStr">
        <is>
          <t>Opco term loan, March 22, 2022 (A1 group, sculpted to December 31, 2040)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D8" t="inlineStr">
        <is>
          <t>Interest period fraction (loan date to notional end)</t>
        </is>
      </c>
      <c r="E8" t="inlineStr">
        <is>
          <t>fraction</t>
        </is>
      </c>
      <c r="J8" s="14">
        <f>MAX(0,MIN(Inputs!$F$270,Time!J$6)-MAX(Inputs!$F$269,Time!J$5))/Time!J$7</f>
        <v/>
      </c>
      <c r="K8" s="14">
        <f>MAX(0,MIN(Inputs!$F$270,Time!K$6)-MAX(Inputs!$F$269,Time!K$5))/Time!K$7</f>
        <v/>
      </c>
      <c r="L8" s="14">
        <f>MAX(0,MIN(Inputs!$F$270,Time!L$6)-MAX(Inputs!$F$269,Time!L$5))/Time!L$7</f>
        <v/>
      </c>
      <c r="M8" s="14">
        <f>MAX(0,MIN(Inputs!$F$270,Time!M$6)-MAX(Inputs!$F$269,Time!M$5))/Time!M$7</f>
        <v/>
      </c>
      <c r="N8" s="14">
        <f>MAX(0,MIN(Inputs!$F$270,Time!N$6)-MAX(Inputs!$F$269,Time!N$5))/Time!N$7</f>
        <v/>
      </c>
      <c r="O8" s="14">
        <f>MAX(0,MIN(Inputs!$F$270,Time!O$6)-MAX(Inputs!$F$269,Time!O$5))/Time!O$7</f>
        <v/>
      </c>
      <c r="P8" s="14">
        <f>MAX(0,MIN(Inputs!$F$270,Time!P$6)-MAX(Inputs!$F$269,Time!P$5))/Time!P$7</f>
        <v/>
      </c>
      <c r="Q8" s="14">
        <f>MAX(0,MIN(Inputs!$F$270,Time!Q$6)-MAX(Inputs!$F$269,Time!Q$5))/Time!Q$7</f>
        <v/>
      </c>
      <c r="R8" s="14">
        <f>MAX(0,MIN(Inputs!$F$270,Time!R$6)-MAX(Inputs!$F$269,Time!R$5))/Time!R$7</f>
        <v/>
      </c>
      <c r="S8" s="14">
        <f>MAX(0,MIN(Inputs!$F$270,Time!S$6)-MAX(Inputs!$F$269,Time!S$5))/Time!S$7</f>
        <v/>
      </c>
      <c r="T8" s="14">
        <f>MAX(0,MIN(Inputs!$F$270,Time!T$6)-MAX(Inputs!$F$269,Time!T$5))/Time!T$7</f>
        <v/>
      </c>
      <c r="U8" s="14">
        <f>MAX(0,MIN(Inputs!$F$270,Time!U$6)-MAX(Inputs!$F$269,Time!U$5))/Time!U$7</f>
        <v/>
      </c>
      <c r="V8" s="14">
        <f>MAX(0,MIN(Inputs!$F$270,Time!V$6)-MAX(Inputs!$F$269,Time!V$5))/Time!V$7</f>
        <v/>
      </c>
      <c r="W8" s="14">
        <f>MAX(0,MIN(Inputs!$F$270,Time!W$6)-MAX(Inputs!$F$269,Time!W$5))/Time!W$7</f>
        <v/>
      </c>
      <c r="X8" s="14">
        <f>MAX(0,MIN(Inputs!$F$270,Time!X$6)-MAX(Inputs!$F$269,Time!X$5))/Time!X$7</f>
        <v/>
      </c>
      <c r="Y8" s="14">
        <f>MAX(0,MIN(Inputs!$F$270,Time!Y$6)-MAX(Inputs!$F$269,Time!Y$5))/Time!Y$7</f>
        <v/>
      </c>
      <c r="Z8" s="14">
        <f>MAX(0,MIN(Inputs!$F$270,Time!Z$6)-MAX(Inputs!$F$269,Time!Z$5))/Time!Z$7</f>
        <v/>
      </c>
      <c r="AA8" s="14">
        <f>MAX(0,MIN(Inputs!$F$270,Time!AA$6)-MAX(Inputs!$F$269,Time!AA$5))/Time!AA$7</f>
        <v/>
      </c>
      <c r="AB8" s="14">
        <f>MAX(0,MIN(Inputs!$F$270,Time!AB$6)-MAX(Inputs!$F$269,Time!AB$5))/Time!AB$7</f>
        <v/>
      </c>
      <c r="AC8" s="14">
        <f>MAX(0,MIN(Inputs!$F$270,Time!AC$6)-MAX(Inputs!$F$269,Time!AC$5))/Time!AC$7</f>
        <v/>
      </c>
      <c r="AD8" s="14">
        <f>MAX(0,MIN(Inputs!$F$270,Time!AD$6)-MAX(Inputs!$F$269,Time!AD$5))/Time!AD$7</f>
        <v/>
      </c>
      <c r="AE8" s="14">
        <f>MAX(0,MIN(Inputs!$F$270,Time!AE$6)-MAX(Inputs!$F$269,Time!AE$5))/Time!AE$7</f>
        <v/>
      </c>
      <c r="AF8" s="14">
        <f>MAX(0,MIN(Inputs!$F$270,Time!AF$6)-MAX(Inputs!$F$269,Time!AF$5))/Time!AF$7</f>
        <v/>
      </c>
      <c r="AG8" s="14">
        <f>MAX(0,MIN(Inputs!$F$270,Time!AG$6)-MAX(Inputs!$F$269,Time!AG$5))/Time!AG$7</f>
        <v/>
      </c>
      <c r="AH8" s="14">
        <f>MAX(0,MIN(Inputs!$F$270,Time!AH$6)-MAX(Inputs!$F$269,Time!AH$5))/Time!AH$7</f>
        <v/>
      </c>
      <c r="AI8" s="14">
        <f>MAX(0,MIN(Inputs!$F$270,Time!AI$6)-MAX(Inputs!$F$269,Time!AI$5))/Time!AI$7</f>
        <v/>
      </c>
      <c r="AJ8" s="14">
        <f>MAX(0,MIN(Inputs!$F$270,Time!AJ$6)-MAX(Inputs!$F$269,Time!AJ$5))/Time!AJ$7</f>
        <v/>
      </c>
      <c r="AK8" s="14">
        <f>MAX(0,MIN(Inputs!$F$270,Time!AK$6)-MAX(Inputs!$F$269,Time!AK$5))/Time!AK$7</f>
        <v/>
      </c>
      <c r="AL8" s="14">
        <f>MAX(0,MIN(Inputs!$F$270,Time!AL$6)-MAX(Inputs!$F$269,Time!AL$5))/Time!AL$7</f>
        <v/>
      </c>
      <c r="AM8" s="14">
        <f>MAX(0,MIN(Inputs!$F$270,Time!AM$6)-MAX(Inputs!$F$269,Time!AM$5))/Time!AM$7</f>
        <v/>
      </c>
      <c r="AN8" s="14">
        <f>MAX(0,MIN(Inputs!$F$270,Time!AN$6)-MAX(Inputs!$F$269,Time!AN$5))/Time!AN$7</f>
        <v/>
      </c>
      <c r="AO8" s="14">
        <f>MAX(0,MIN(Inputs!$F$270,Time!AO$6)-MAX(Inputs!$F$269,Time!AO$5))/Time!AO$7</f>
        <v/>
      </c>
      <c r="AP8" s="14">
        <f>MAX(0,MIN(Inputs!$F$270,Time!AP$6)-MAX(Inputs!$F$269,Time!AP$5))/Time!AP$7</f>
        <v/>
      </c>
      <c r="AQ8" s="14">
        <f>MAX(0,MIN(Inputs!$F$270,Time!AQ$6)-MAX(Inputs!$F$269,Time!AQ$5))/Time!AQ$7</f>
        <v/>
      </c>
      <c r="AR8" s="14">
        <f>MAX(0,MIN(Inputs!$F$270,Time!AR$6)-MAX(Inputs!$F$269,Time!AR$5))/Time!AR$7</f>
        <v/>
      </c>
      <c r="AS8" s="14">
        <f>MAX(0,MIN(Inputs!$F$270,Time!AS$6)-MAX(Inputs!$F$269,Time!AS$5))/Time!AS$7</f>
        <v/>
      </c>
      <c r="AT8" s="14">
        <f>MAX(0,MIN(Inputs!$F$270,Time!AT$6)-MAX(Inputs!$F$269,Time!AT$5))/Time!AT$7</f>
        <v/>
      </c>
      <c r="AU8" s="14">
        <f>MAX(0,MIN(Inputs!$F$270,Time!AU$6)-MAX(Inputs!$F$269,Time!AU$5))/Time!AU$7</f>
        <v/>
      </c>
    </row>
    <row r="9">
      <c r="D9" t="inlineStr">
        <is>
          <t>Fraction of year before margin step</t>
        </is>
      </c>
      <c r="E9" t="inlineStr">
        <is>
          <t>fraction</t>
        </is>
      </c>
      <c r="J9" s="14">
        <f>MAX(0,MIN(Inputs!$F$273,Time!J$6)-Time!J$5)/Time!J$7</f>
        <v/>
      </c>
      <c r="K9" s="14">
        <f>MAX(0,MIN(Inputs!$F$273,Time!K$6)-Time!K$5)/Time!K$7</f>
        <v/>
      </c>
      <c r="L9" s="14">
        <f>MAX(0,MIN(Inputs!$F$273,Time!L$6)-Time!L$5)/Time!L$7</f>
        <v/>
      </c>
      <c r="M9" s="14">
        <f>MAX(0,MIN(Inputs!$F$273,Time!M$6)-Time!M$5)/Time!M$7</f>
        <v/>
      </c>
      <c r="N9" s="14">
        <f>MAX(0,MIN(Inputs!$F$273,Time!N$6)-Time!N$5)/Time!N$7</f>
        <v/>
      </c>
      <c r="O9" s="14">
        <f>MAX(0,MIN(Inputs!$F$273,Time!O$6)-Time!O$5)/Time!O$7</f>
        <v/>
      </c>
      <c r="P9" s="14">
        <f>MAX(0,MIN(Inputs!$F$273,Time!P$6)-Time!P$5)/Time!P$7</f>
        <v/>
      </c>
      <c r="Q9" s="14">
        <f>MAX(0,MIN(Inputs!$F$273,Time!Q$6)-Time!Q$5)/Time!Q$7</f>
        <v/>
      </c>
      <c r="R9" s="14">
        <f>MAX(0,MIN(Inputs!$F$273,Time!R$6)-Time!R$5)/Time!R$7</f>
        <v/>
      </c>
      <c r="S9" s="14">
        <f>MAX(0,MIN(Inputs!$F$273,Time!S$6)-Time!S$5)/Time!S$7</f>
        <v/>
      </c>
      <c r="T9" s="14">
        <f>MAX(0,MIN(Inputs!$F$273,Time!T$6)-Time!T$5)/Time!T$7</f>
        <v/>
      </c>
      <c r="U9" s="14">
        <f>MAX(0,MIN(Inputs!$F$273,Time!U$6)-Time!U$5)/Time!U$7</f>
        <v/>
      </c>
      <c r="V9" s="14">
        <f>MAX(0,MIN(Inputs!$F$273,Time!V$6)-Time!V$5)/Time!V$7</f>
        <v/>
      </c>
      <c r="W9" s="14">
        <f>MAX(0,MIN(Inputs!$F$273,Time!W$6)-Time!W$5)/Time!W$7</f>
        <v/>
      </c>
      <c r="X9" s="14">
        <f>MAX(0,MIN(Inputs!$F$273,Time!X$6)-Time!X$5)/Time!X$7</f>
        <v/>
      </c>
      <c r="Y9" s="14">
        <f>MAX(0,MIN(Inputs!$F$273,Time!Y$6)-Time!Y$5)/Time!Y$7</f>
        <v/>
      </c>
      <c r="Z9" s="14">
        <f>MAX(0,MIN(Inputs!$F$273,Time!Z$6)-Time!Z$5)/Time!Z$7</f>
        <v/>
      </c>
      <c r="AA9" s="14">
        <f>MAX(0,MIN(Inputs!$F$273,Time!AA$6)-Time!AA$5)/Time!AA$7</f>
        <v/>
      </c>
      <c r="AB9" s="14">
        <f>MAX(0,MIN(Inputs!$F$273,Time!AB$6)-Time!AB$5)/Time!AB$7</f>
        <v/>
      </c>
      <c r="AC9" s="14">
        <f>MAX(0,MIN(Inputs!$F$273,Time!AC$6)-Time!AC$5)/Time!AC$7</f>
        <v/>
      </c>
      <c r="AD9" s="14">
        <f>MAX(0,MIN(Inputs!$F$273,Time!AD$6)-Time!AD$5)/Time!AD$7</f>
        <v/>
      </c>
      <c r="AE9" s="14">
        <f>MAX(0,MIN(Inputs!$F$273,Time!AE$6)-Time!AE$5)/Time!AE$7</f>
        <v/>
      </c>
      <c r="AF9" s="14">
        <f>MAX(0,MIN(Inputs!$F$273,Time!AF$6)-Time!AF$5)/Time!AF$7</f>
        <v/>
      </c>
      <c r="AG9" s="14">
        <f>MAX(0,MIN(Inputs!$F$273,Time!AG$6)-Time!AG$5)/Time!AG$7</f>
        <v/>
      </c>
      <c r="AH9" s="14">
        <f>MAX(0,MIN(Inputs!$F$273,Time!AH$6)-Time!AH$5)/Time!AH$7</f>
        <v/>
      </c>
      <c r="AI9" s="14">
        <f>MAX(0,MIN(Inputs!$F$273,Time!AI$6)-Time!AI$5)/Time!AI$7</f>
        <v/>
      </c>
      <c r="AJ9" s="14">
        <f>MAX(0,MIN(Inputs!$F$273,Time!AJ$6)-Time!AJ$5)/Time!AJ$7</f>
        <v/>
      </c>
      <c r="AK9" s="14">
        <f>MAX(0,MIN(Inputs!$F$273,Time!AK$6)-Time!AK$5)/Time!AK$7</f>
        <v/>
      </c>
      <c r="AL9" s="14">
        <f>MAX(0,MIN(Inputs!$F$273,Time!AL$6)-Time!AL$5)/Time!AL$7</f>
        <v/>
      </c>
      <c r="AM9" s="14">
        <f>MAX(0,MIN(Inputs!$F$273,Time!AM$6)-Time!AM$5)/Time!AM$7</f>
        <v/>
      </c>
      <c r="AN9" s="14">
        <f>MAX(0,MIN(Inputs!$F$273,Time!AN$6)-Time!AN$5)/Time!AN$7</f>
        <v/>
      </c>
      <c r="AO9" s="14">
        <f>MAX(0,MIN(Inputs!$F$273,Time!AO$6)-Time!AO$5)/Time!AO$7</f>
        <v/>
      </c>
      <c r="AP9" s="14">
        <f>MAX(0,MIN(Inputs!$F$273,Time!AP$6)-Time!AP$5)/Time!AP$7</f>
        <v/>
      </c>
      <c r="AQ9" s="14">
        <f>MAX(0,MIN(Inputs!$F$273,Time!AQ$6)-Time!AQ$5)/Time!AQ$7</f>
        <v/>
      </c>
      <c r="AR9" s="14">
        <f>MAX(0,MIN(Inputs!$F$273,Time!AR$6)-Time!AR$5)/Time!AR$7</f>
        <v/>
      </c>
      <c r="AS9" s="14">
        <f>MAX(0,MIN(Inputs!$F$273,Time!AS$6)-Time!AS$5)/Time!AS$7</f>
        <v/>
      </c>
      <c r="AT9" s="14">
        <f>MAX(0,MIN(Inputs!$F$273,Time!AT$6)-Time!AT$5)/Time!AT$7</f>
        <v/>
      </c>
      <c r="AU9" s="14">
        <f>MAX(0,MIN(Inputs!$F$273,Time!AU$6)-Time!AU$5)/Time!AU$7</f>
        <v/>
      </c>
    </row>
    <row r="10">
      <c r="D10" t="inlineStr">
        <is>
          <t>Margin</t>
        </is>
      </c>
      <c r="E10" t="inlineStr">
        <is>
          <t>%</t>
        </is>
      </c>
      <c r="J10" s="15">
        <f>Inputs!$F$272-(Inputs!$F$272-Inputs!$F$271)*Funding!J9</f>
        <v/>
      </c>
      <c r="K10" s="15">
        <f>Inputs!$F$272-(Inputs!$F$272-Inputs!$F$271)*Funding!K9</f>
        <v/>
      </c>
      <c r="L10" s="15">
        <f>Inputs!$F$272-(Inputs!$F$272-Inputs!$F$271)*Funding!L9</f>
        <v/>
      </c>
      <c r="M10" s="15">
        <f>Inputs!$F$272-(Inputs!$F$272-Inputs!$F$271)*Funding!M9</f>
        <v/>
      </c>
      <c r="N10" s="15">
        <f>Inputs!$F$272-(Inputs!$F$272-Inputs!$F$271)*Funding!N9</f>
        <v/>
      </c>
      <c r="O10" s="15">
        <f>Inputs!$F$272-(Inputs!$F$272-Inputs!$F$271)*Funding!O9</f>
        <v/>
      </c>
      <c r="P10" s="15">
        <f>Inputs!$F$272-(Inputs!$F$272-Inputs!$F$271)*Funding!P9</f>
        <v/>
      </c>
      <c r="Q10" s="15">
        <f>Inputs!$F$272-(Inputs!$F$272-Inputs!$F$271)*Funding!Q9</f>
        <v/>
      </c>
      <c r="R10" s="15">
        <f>Inputs!$F$272-(Inputs!$F$272-Inputs!$F$271)*Funding!R9</f>
        <v/>
      </c>
      <c r="S10" s="15">
        <f>Inputs!$F$272-(Inputs!$F$272-Inputs!$F$271)*Funding!S9</f>
        <v/>
      </c>
      <c r="T10" s="15">
        <f>Inputs!$F$272-(Inputs!$F$272-Inputs!$F$271)*Funding!T9</f>
        <v/>
      </c>
      <c r="U10" s="15">
        <f>Inputs!$F$272-(Inputs!$F$272-Inputs!$F$271)*Funding!U9</f>
        <v/>
      </c>
      <c r="V10" s="15">
        <f>Inputs!$F$272-(Inputs!$F$272-Inputs!$F$271)*Funding!V9</f>
        <v/>
      </c>
      <c r="W10" s="15">
        <f>Inputs!$F$272-(Inputs!$F$272-Inputs!$F$271)*Funding!W9</f>
        <v/>
      </c>
      <c r="X10" s="15">
        <f>Inputs!$F$272-(Inputs!$F$272-Inputs!$F$271)*Funding!X9</f>
        <v/>
      </c>
      <c r="Y10" s="15">
        <f>Inputs!$F$272-(Inputs!$F$272-Inputs!$F$271)*Funding!Y9</f>
        <v/>
      </c>
      <c r="Z10" s="15">
        <f>Inputs!$F$272-(Inputs!$F$272-Inputs!$F$271)*Funding!Z9</f>
        <v/>
      </c>
      <c r="AA10" s="15">
        <f>Inputs!$F$272-(Inputs!$F$272-Inputs!$F$271)*Funding!AA9</f>
        <v/>
      </c>
      <c r="AB10" s="15">
        <f>Inputs!$F$272-(Inputs!$F$272-Inputs!$F$271)*Funding!AB9</f>
        <v/>
      </c>
      <c r="AC10" s="15">
        <f>Inputs!$F$272-(Inputs!$F$272-Inputs!$F$271)*Funding!AC9</f>
        <v/>
      </c>
      <c r="AD10" s="15">
        <f>Inputs!$F$272-(Inputs!$F$272-Inputs!$F$271)*Funding!AD9</f>
        <v/>
      </c>
      <c r="AE10" s="15">
        <f>Inputs!$F$272-(Inputs!$F$272-Inputs!$F$271)*Funding!AE9</f>
        <v/>
      </c>
      <c r="AF10" s="15">
        <f>Inputs!$F$272-(Inputs!$F$272-Inputs!$F$271)*Funding!AF9</f>
        <v/>
      </c>
      <c r="AG10" s="15">
        <f>Inputs!$F$272-(Inputs!$F$272-Inputs!$F$271)*Funding!AG9</f>
        <v/>
      </c>
      <c r="AH10" s="15">
        <f>Inputs!$F$272-(Inputs!$F$272-Inputs!$F$271)*Funding!AH9</f>
        <v/>
      </c>
      <c r="AI10" s="15">
        <f>Inputs!$F$272-(Inputs!$F$272-Inputs!$F$271)*Funding!AI9</f>
        <v/>
      </c>
      <c r="AJ10" s="15">
        <f>Inputs!$F$272-(Inputs!$F$272-Inputs!$F$271)*Funding!AJ9</f>
        <v/>
      </c>
      <c r="AK10" s="15">
        <f>Inputs!$F$272-(Inputs!$F$272-Inputs!$F$271)*Funding!AK9</f>
        <v/>
      </c>
      <c r="AL10" s="15">
        <f>Inputs!$F$272-(Inputs!$F$272-Inputs!$F$271)*Funding!AL9</f>
        <v/>
      </c>
      <c r="AM10" s="15">
        <f>Inputs!$F$272-(Inputs!$F$272-Inputs!$F$271)*Funding!AM9</f>
        <v/>
      </c>
      <c r="AN10" s="15">
        <f>Inputs!$F$272-(Inputs!$F$272-Inputs!$F$271)*Funding!AN9</f>
        <v/>
      </c>
      <c r="AO10" s="15">
        <f>Inputs!$F$272-(Inputs!$F$272-Inputs!$F$271)*Funding!AO9</f>
        <v/>
      </c>
      <c r="AP10" s="15">
        <f>Inputs!$F$272-(Inputs!$F$272-Inputs!$F$271)*Funding!AP9</f>
        <v/>
      </c>
      <c r="AQ10" s="15">
        <f>Inputs!$F$272-(Inputs!$F$272-Inputs!$F$271)*Funding!AQ9</f>
        <v/>
      </c>
      <c r="AR10" s="15">
        <f>Inputs!$F$272-(Inputs!$F$272-Inputs!$F$271)*Funding!AR9</f>
        <v/>
      </c>
      <c r="AS10" s="15">
        <f>Inputs!$F$272-(Inputs!$F$272-Inputs!$F$271)*Funding!AS9</f>
        <v/>
      </c>
      <c r="AT10" s="15">
        <f>Inputs!$F$272-(Inputs!$F$272-Inputs!$F$271)*Funding!AT9</f>
        <v/>
      </c>
      <c r="AU10" s="15">
        <f>Inputs!$F$272-(Inputs!$F$272-Inputs!$F$271)*Funding!AU9</f>
        <v/>
      </c>
    </row>
    <row r="11">
      <c r="D11" t="inlineStr">
        <is>
          <t>Hedged share (hedge ratio x fraction of year before swap end)</t>
        </is>
      </c>
      <c r="E11" t="inlineStr">
        <is>
          <t>fraction</t>
        </is>
      </c>
      <c r="J11" s="14">
        <f>Inputs!$F$279/100*MAX(0,MIN(Inputs!$F$281,Time!J$6)-Time!J$5)/Time!J$7</f>
        <v/>
      </c>
      <c r="K11" s="14">
        <f>Inputs!$F$279/100*MAX(0,MIN(Inputs!$F$281,Time!K$6)-Time!K$5)/Time!K$7</f>
        <v/>
      </c>
      <c r="L11" s="14">
        <f>Inputs!$F$279/100*MAX(0,MIN(Inputs!$F$281,Time!L$6)-Time!L$5)/Time!L$7</f>
        <v/>
      </c>
      <c r="M11" s="14">
        <f>Inputs!$F$279/100*MAX(0,MIN(Inputs!$F$281,Time!M$6)-Time!M$5)/Time!M$7</f>
        <v/>
      </c>
      <c r="N11" s="14">
        <f>Inputs!$F$279/100*MAX(0,MIN(Inputs!$F$281,Time!N$6)-Time!N$5)/Time!N$7</f>
        <v/>
      </c>
      <c r="O11" s="14">
        <f>Inputs!$F$279/100*MAX(0,MIN(Inputs!$F$281,Time!O$6)-Time!O$5)/Time!O$7</f>
        <v/>
      </c>
      <c r="P11" s="14">
        <f>Inputs!$F$279/100*MAX(0,MIN(Inputs!$F$281,Time!P$6)-Time!P$5)/Time!P$7</f>
        <v/>
      </c>
      <c r="Q11" s="14">
        <f>Inputs!$F$279/100*MAX(0,MIN(Inputs!$F$281,Time!Q$6)-Time!Q$5)/Time!Q$7</f>
        <v/>
      </c>
      <c r="R11" s="14">
        <f>Inputs!$F$279/100*MAX(0,MIN(Inputs!$F$281,Time!R$6)-Time!R$5)/Time!R$7</f>
        <v/>
      </c>
      <c r="S11" s="14">
        <f>Inputs!$F$279/100*MAX(0,MIN(Inputs!$F$281,Time!S$6)-Time!S$5)/Time!S$7</f>
        <v/>
      </c>
      <c r="T11" s="14">
        <f>Inputs!$F$279/100*MAX(0,MIN(Inputs!$F$281,Time!T$6)-Time!T$5)/Time!T$7</f>
        <v/>
      </c>
      <c r="U11" s="14">
        <f>Inputs!$F$279/100*MAX(0,MIN(Inputs!$F$281,Time!U$6)-Time!U$5)/Time!U$7</f>
        <v/>
      </c>
      <c r="V11" s="14">
        <f>Inputs!$F$279/100*MAX(0,MIN(Inputs!$F$281,Time!V$6)-Time!V$5)/Time!V$7</f>
        <v/>
      </c>
      <c r="W11" s="14">
        <f>Inputs!$F$279/100*MAX(0,MIN(Inputs!$F$281,Time!W$6)-Time!W$5)/Time!W$7</f>
        <v/>
      </c>
      <c r="X11" s="14">
        <f>Inputs!$F$279/100*MAX(0,MIN(Inputs!$F$281,Time!X$6)-Time!X$5)/Time!X$7</f>
        <v/>
      </c>
      <c r="Y11" s="14">
        <f>Inputs!$F$279/100*MAX(0,MIN(Inputs!$F$281,Time!Y$6)-Time!Y$5)/Time!Y$7</f>
        <v/>
      </c>
      <c r="Z11" s="14">
        <f>Inputs!$F$279/100*MAX(0,MIN(Inputs!$F$281,Time!Z$6)-Time!Z$5)/Time!Z$7</f>
        <v/>
      </c>
      <c r="AA11" s="14">
        <f>Inputs!$F$279/100*MAX(0,MIN(Inputs!$F$281,Time!AA$6)-Time!AA$5)/Time!AA$7</f>
        <v/>
      </c>
      <c r="AB11" s="14">
        <f>Inputs!$F$279/100*MAX(0,MIN(Inputs!$F$281,Time!AB$6)-Time!AB$5)/Time!AB$7</f>
        <v/>
      </c>
      <c r="AC11" s="14">
        <f>Inputs!$F$279/100*MAX(0,MIN(Inputs!$F$281,Time!AC$6)-Time!AC$5)/Time!AC$7</f>
        <v/>
      </c>
      <c r="AD11" s="14">
        <f>Inputs!$F$279/100*MAX(0,MIN(Inputs!$F$281,Time!AD$6)-Time!AD$5)/Time!AD$7</f>
        <v/>
      </c>
      <c r="AE11" s="14">
        <f>Inputs!$F$279/100*MAX(0,MIN(Inputs!$F$281,Time!AE$6)-Time!AE$5)/Time!AE$7</f>
        <v/>
      </c>
      <c r="AF11" s="14">
        <f>Inputs!$F$279/100*MAX(0,MIN(Inputs!$F$281,Time!AF$6)-Time!AF$5)/Time!AF$7</f>
        <v/>
      </c>
      <c r="AG11" s="14">
        <f>Inputs!$F$279/100*MAX(0,MIN(Inputs!$F$281,Time!AG$6)-Time!AG$5)/Time!AG$7</f>
        <v/>
      </c>
      <c r="AH11" s="14">
        <f>Inputs!$F$279/100*MAX(0,MIN(Inputs!$F$281,Time!AH$6)-Time!AH$5)/Time!AH$7</f>
        <v/>
      </c>
      <c r="AI11" s="14">
        <f>Inputs!$F$279/100*MAX(0,MIN(Inputs!$F$281,Time!AI$6)-Time!AI$5)/Time!AI$7</f>
        <v/>
      </c>
      <c r="AJ11" s="14">
        <f>Inputs!$F$279/100*MAX(0,MIN(Inputs!$F$281,Time!AJ$6)-Time!AJ$5)/Time!AJ$7</f>
        <v/>
      </c>
      <c r="AK11" s="14">
        <f>Inputs!$F$279/100*MAX(0,MIN(Inputs!$F$281,Time!AK$6)-Time!AK$5)/Time!AK$7</f>
        <v/>
      </c>
      <c r="AL11" s="14">
        <f>Inputs!$F$279/100*MAX(0,MIN(Inputs!$F$281,Time!AL$6)-Time!AL$5)/Time!AL$7</f>
        <v/>
      </c>
      <c r="AM11" s="14">
        <f>Inputs!$F$279/100*MAX(0,MIN(Inputs!$F$281,Time!AM$6)-Time!AM$5)/Time!AM$7</f>
        <v/>
      </c>
      <c r="AN11" s="14">
        <f>Inputs!$F$279/100*MAX(0,MIN(Inputs!$F$281,Time!AN$6)-Time!AN$5)/Time!AN$7</f>
        <v/>
      </c>
      <c r="AO11" s="14">
        <f>Inputs!$F$279/100*MAX(0,MIN(Inputs!$F$281,Time!AO$6)-Time!AO$5)/Time!AO$7</f>
        <v/>
      </c>
      <c r="AP11" s="14">
        <f>Inputs!$F$279/100*MAX(0,MIN(Inputs!$F$281,Time!AP$6)-Time!AP$5)/Time!AP$7</f>
        <v/>
      </c>
      <c r="AQ11" s="14">
        <f>Inputs!$F$279/100*MAX(0,MIN(Inputs!$F$281,Time!AQ$6)-Time!AQ$5)/Time!AQ$7</f>
        <v/>
      </c>
      <c r="AR11" s="14">
        <f>Inputs!$F$279/100*MAX(0,MIN(Inputs!$F$281,Time!AR$6)-Time!AR$5)/Time!AR$7</f>
        <v/>
      </c>
      <c r="AS11" s="14">
        <f>Inputs!$F$279/100*MAX(0,MIN(Inputs!$F$281,Time!AS$6)-Time!AS$5)/Time!AS$7</f>
        <v/>
      </c>
      <c r="AT11" s="14">
        <f>Inputs!$F$279/100*MAX(0,MIN(Inputs!$F$281,Time!AT$6)-Time!AT$5)/Time!AT$7</f>
        <v/>
      </c>
      <c r="AU11" s="14">
        <f>Inputs!$F$279/100*MAX(0,MIN(Inputs!$F$281,Time!AU$6)-Time!AU$5)/Time!AU$7</f>
        <v/>
      </c>
    </row>
    <row r="12">
      <c r="D12" t="inlineStr">
        <is>
          <t>All-in sizing rate</t>
        </is>
      </c>
      <c r="E12" t="inlineStr">
        <is>
          <t>%</t>
        </is>
      </c>
      <c r="J12" s="15">
        <f>Funding!J11*Inputs!$F$280+(1-Funding!J11)*Inputs!J80+Funding!J10</f>
        <v/>
      </c>
      <c r="K12" s="15">
        <f>Funding!K11*Inputs!$F$280+(1-Funding!K11)*Inputs!K80+Funding!K10</f>
        <v/>
      </c>
      <c r="L12" s="15">
        <f>Funding!L11*Inputs!$F$280+(1-Funding!L11)*Inputs!L80+Funding!L10</f>
        <v/>
      </c>
      <c r="M12" s="15">
        <f>Funding!M11*Inputs!$F$280+(1-Funding!M11)*Inputs!M80+Funding!M10</f>
        <v/>
      </c>
      <c r="N12" s="15">
        <f>Funding!N11*Inputs!$F$280+(1-Funding!N11)*Inputs!N80+Funding!N10</f>
        <v/>
      </c>
      <c r="O12" s="15">
        <f>Funding!O11*Inputs!$F$280+(1-Funding!O11)*Inputs!O80+Funding!O10</f>
        <v/>
      </c>
      <c r="P12" s="15">
        <f>Funding!P11*Inputs!$F$280+(1-Funding!P11)*Inputs!P80+Funding!P10</f>
        <v/>
      </c>
      <c r="Q12" s="15">
        <f>Funding!Q11*Inputs!$F$280+(1-Funding!Q11)*Inputs!Q80+Funding!Q10</f>
        <v/>
      </c>
      <c r="R12" s="15">
        <f>Funding!R11*Inputs!$F$280+(1-Funding!R11)*Inputs!R80+Funding!R10</f>
        <v/>
      </c>
      <c r="S12" s="15">
        <f>Funding!S11*Inputs!$F$280+(1-Funding!S11)*Inputs!S80+Funding!S10</f>
        <v/>
      </c>
      <c r="T12" s="15">
        <f>Funding!T11*Inputs!$F$280+(1-Funding!T11)*Inputs!T80+Funding!T10</f>
        <v/>
      </c>
      <c r="U12" s="15">
        <f>Funding!U11*Inputs!$F$280+(1-Funding!U11)*Inputs!U80+Funding!U10</f>
        <v/>
      </c>
      <c r="V12" s="15">
        <f>Funding!V11*Inputs!$F$280+(1-Funding!V11)*Inputs!V80+Funding!V10</f>
        <v/>
      </c>
      <c r="W12" s="15">
        <f>Funding!W11*Inputs!$F$280+(1-Funding!W11)*Inputs!W80+Funding!W10</f>
        <v/>
      </c>
      <c r="X12" s="15">
        <f>Funding!X11*Inputs!$F$280+(1-Funding!X11)*Inputs!X80+Funding!X10</f>
        <v/>
      </c>
      <c r="Y12" s="15">
        <f>Funding!Y11*Inputs!$F$280+(1-Funding!Y11)*Inputs!Y80+Funding!Y10</f>
        <v/>
      </c>
      <c r="Z12" s="15">
        <f>Funding!Z11*Inputs!$F$280+(1-Funding!Z11)*Inputs!Z80+Funding!Z10</f>
        <v/>
      </c>
      <c r="AA12" s="15">
        <f>Funding!AA11*Inputs!$F$280+(1-Funding!AA11)*Inputs!AA80+Funding!AA10</f>
        <v/>
      </c>
      <c r="AB12" s="15">
        <f>Funding!AB11*Inputs!$F$280+(1-Funding!AB11)*Inputs!AB80+Funding!AB10</f>
        <v/>
      </c>
      <c r="AC12" s="15">
        <f>Funding!AC11*Inputs!$F$280+(1-Funding!AC11)*Inputs!AC80+Funding!AC10</f>
        <v/>
      </c>
      <c r="AD12" s="15">
        <f>Funding!AD11*Inputs!$F$280+(1-Funding!AD11)*Inputs!AD80+Funding!AD10</f>
        <v/>
      </c>
      <c r="AE12" s="15">
        <f>Funding!AE11*Inputs!$F$280+(1-Funding!AE11)*Inputs!AE80+Funding!AE10</f>
        <v/>
      </c>
      <c r="AF12" s="15">
        <f>Funding!AF11*Inputs!$F$280+(1-Funding!AF11)*Inputs!AF80+Funding!AF10</f>
        <v/>
      </c>
      <c r="AG12" s="15">
        <f>Funding!AG11*Inputs!$F$280+(1-Funding!AG11)*Inputs!AG80+Funding!AG10</f>
        <v/>
      </c>
      <c r="AH12" s="15">
        <f>Funding!AH11*Inputs!$F$280+(1-Funding!AH11)*Inputs!AH80+Funding!AH10</f>
        <v/>
      </c>
      <c r="AI12" s="15">
        <f>Funding!AI11*Inputs!$F$280+(1-Funding!AI11)*Inputs!AI80+Funding!AI10</f>
        <v/>
      </c>
      <c r="AJ12" s="15">
        <f>Funding!AJ11*Inputs!$F$280+(1-Funding!AJ11)*Inputs!AJ80+Funding!AJ10</f>
        <v/>
      </c>
      <c r="AK12" s="15">
        <f>Funding!AK11*Inputs!$F$280+(1-Funding!AK11)*Inputs!AK80+Funding!AK10</f>
        <v/>
      </c>
      <c r="AL12" s="15">
        <f>Funding!AL11*Inputs!$F$280+(1-Funding!AL11)*Inputs!AL80+Funding!AL10</f>
        <v/>
      </c>
      <c r="AM12" s="15">
        <f>Funding!AM11*Inputs!$F$280+(1-Funding!AM11)*Inputs!AM80+Funding!AM10</f>
        <v/>
      </c>
      <c r="AN12" s="15">
        <f>Funding!AN11*Inputs!$F$280+(1-Funding!AN11)*Inputs!AN80+Funding!AN10</f>
        <v/>
      </c>
      <c r="AO12" s="15">
        <f>Funding!AO11*Inputs!$F$280+(1-Funding!AO11)*Inputs!AO80+Funding!AO10</f>
        <v/>
      </c>
      <c r="AP12" s="15">
        <f>Funding!AP11*Inputs!$F$280+(1-Funding!AP11)*Inputs!AP80+Funding!AP10</f>
        <v/>
      </c>
      <c r="AQ12" s="15">
        <f>Funding!AQ11*Inputs!$F$280+(1-Funding!AQ11)*Inputs!AQ80+Funding!AQ10</f>
        <v/>
      </c>
      <c r="AR12" s="15">
        <f>Funding!AR11*Inputs!$F$280+(1-Funding!AR11)*Inputs!AR80+Funding!AR10</f>
        <v/>
      </c>
      <c r="AS12" s="15">
        <f>Funding!AS11*Inputs!$F$280+(1-Funding!AS11)*Inputs!AS80+Funding!AS10</f>
        <v/>
      </c>
      <c r="AT12" s="15">
        <f>Funding!AT11*Inputs!$F$280+(1-Funding!AT11)*Inputs!AT80+Funding!AT10</f>
        <v/>
      </c>
      <c r="AU12" s="15">
        <f>Funding!AU11*Inputs!$F$280+(1-Funding!AU11)*Inputs!AU80+Funding!AU10</f>
        <v/>
      </c>
    </row>
    <row r="13">
      <c r="D13" t="inlineStr">
        <is>
          <t>Debt-service capacity by bucket (CFADS / bucket DSCR)</t>
        </is>
      </c>
      <c r="E13" t="inlineStr">
        <is>
          <t>USD m</t>
        </is>
      </c>
      <c r="J13" s="20">
        <f>Operations!J777/Inputs!$F$275+Operations!J778/Inputs!$F$276+Operations!J779/Inputs!$F$277</f>
        <v/>
      </c>
      <c r="K13" s="20">
        <f>Operations!K777/Inputs!$F$275+Operations!K778/Inputs!$F$276+Operations!K779/Inputs!$F$277</f>
        <v/>
      </c>
      <c r="L13" s="20">
        <f>Operations!L777/Inputs!$F$275+Operations!L778/Inputs!$F$276+Operations!L779/Inputs!$F$277</f>
        <v/>
      </c>
      <c r="M13" s="20">
        <f>Operations!M777/Inputs!$F$275+Operations!M778/Inputs!$F$276+Operations!M779/Inputs!$F$277</f>
        <v/>
      </c>
      <c r="N13" s="20">
        <f>Operations!N777/Inputs!$F$275+Operations!N778/Inputs!$F$276+Operations!N779/Inputs!$F$277</f>
        <v/>
      </c>
      <c r="O13" s="20">
        <f>Operations!O777/Inputs!$F$275+Operations!O778/Inputs!$F$276+Operations!O779/Inputs!$F$277</f>
        <v/>
      </c>
      <c r="P13" s="20">
        <f>Operations!P777/Inputs!$F$275+Operations!P778/Inputs!$F$276+Operations!P779/Inputs!$F$277</f>
        <v/>
      </c>
      <c r="Q13" s="20">
        <f>Operations!Q777/Inputs!$F$275+Operations!Q778/Inputs!$F$276+Operations!Q779/Inputs!$F$277</f>
        <v/>
      </c>
      <c r="R13" s="20">
        <f>Operations!R777/Inputs!$F$275+Operations!R778/Inputs!$F$276+Operations!R779/Inputs!$F$277</f>
        <v/>
      </c>
      <c r="S13" s="20">
        <f>Operations!S777/Inputs!$F$275+Operations!S778/Inputs!$F$276+Operations!S779/Inputs!$F$277</f>
        <v/>
      </c>
      <c r="T13" s="20">
        <f>Operations!T777/Inputs!$F$275+Operations!T778/Inputs!$F$276+Operations!T779/Inputs!$F$277</f>
        <v/>
      </c>
      <c r="U13" s="20">
        <f>Operations!U777/Inputs!$F$275+Operations!U778/Inputs!$F$276+Operations!U779/Inputs!$F$277</f>
        <v/>
      </c>
      <c r="V13" s="20">
        <f>Operations!V777/Inputs!$F$275+Operations!V778/Inputs!$F$276+Operations!V779/Inputs!$F$277</f>
        <v/>
      </c>
      <c r="W13" s="20">
        <f>Operations!W777/Inputs!$F$275+Operations!W778/Inputs!$F$276+Operations!W779/Inputs!$F$277</f>
        <v/>
      </c>
      <c r="X13" s="20">
        <f>Operations!X777/Inputs!$F$275+Operations!X778/Inputs!$F$276+Operations!X779/Inputs!$F$277</f>
        <v/>
      </c>
      <c r="Y13" s="20">
        <f>Operations!Y777/Inputs!$F$275+Operations!Y778/Inputs!$F$276+Operations!Y779/Inputs!$F$277</f>
        <v/>
      </c>
      <c r="Z13" s="20">
        <f>Operations!Z777/Inputs!$F$275+Operations!Z778/Inputs!$F$276+Operations!Z779/Inputs!$F$277</f>
        <v/>
      </c>
      <c r="AA13" s="20">
        <f>Operations!AA777/Inputs!$F$275+Operations!AA778/Inputs!$F$276+Operations!AA779/Inputs!$F$277</f>
        <v/>
      </c>
      <c r="AB13" s="20">
        <f>Operations!AB777/Inputs!$F$275+Operations!AB778/Inputs!$F$276+Operations!AB779/Inputs!$F$277</f>
        <v/>
      </c>
      <c r="AC13" s="20">
        <f>Operations!AC777/Inputs!$F$275+Operations!AC778/Inputs!$F$276+Operations!AC779/Inputs!$F$277</f>
        <v/>
      </c>
      <c r="AD13" s="20">
        <f>Operations!AD777/Inputs!$F$275+Operations!AD778/Inputs!$F$276+Operations!AD779/Inputs!$F$277</f>
        <v/>
      </c>
      <c r="AE13" s="20">
        <f>Operations!AE777/Inputs!$F$275+Operations!AE778/Inputs!$F$276+Operations!AE779/Inputs!$F$277</f>
        <v/>
      </c>
      <c r="AF13" s="20">
        <f>Operations!AF777/Inputs!$F$275+Operations!AF778/Inputs!$F$276+Operations!AF779/Inputs!$F$277</f>
        <v/>
      </c>
      <c r="AG13" s="20">
        <f>Operations!AG777/Inputs!$F$275+Operations!AG778/Inputs!$F$276+Operations!AG779/Inputs!$F$277</f>
        <v/>
      </c>
      <c r="AH13" s="20">
        <f>Operations!AH777/Inputs!$F$275+Operations!AH778/Inputs!$F$276+Operations!AH779/Inputs!$F$277</f>
        <v/>
      </c>
      <c r="AI13" s="20">
        <f>Operations!AI777/Inputs!$F$275+Operations!AI778/Inputs!$F$276+Operations!AI779/Inputs!$F$277</f>
        <v/>
      </c>
      <c r="AJ13" s="20">
        <f>Operations!AJ777/Inputs!$F$275+Operations!AJ778/Inputs!$F$276+Operations!AJ779/Inputs!$F$277</f>
        <v/>
      </c>
      <c r="AK13" s="20">
        <f>Operations!AK777/Inputs!$F$275+Operations!AK778/Inputs!$F$276+Operations!AK779/Inputs!$F$277</f>
        <v/>
      </c>
      <c r="AL13" s="20">
        <f>Operations!AL777/Inputs!$F$275+Operations!AL778/Inputs!$F$276+Operations!AL779/Inputs!$F$277</f>
        <v/>
      </c>
      <c r="AM13" s="20">
        <f>Operations!AM777/Inputs!$F$275+Operations!AM778/Inputs!$F$276+Operations!AM779/Inputs!$F$277</f>
        <v/>
      </c>
      <c r="AN13" s="20">
        <f>Operations!AN777/Inputs!$F$275+Operations!AN778/Inputs!$F$276+Operations!AN779/Inputs!$F$277</f>
        <v/>
      </c>
      <c r="AO13" s="20">
        <f>Operations!AO777/Inputs!$F$275+Operations!AO778/Inputs!$F$276+Operations!AO779/Inputs!$F$277</f>
        <v/>
      </c>
      <c r="AP13" s="20">
        <f>Operations!AP777/Inputs!$F$275+Operations!AP778/Inputs!$F$276+Operations!AP779/Inputs!$F$277</f>
        <v/>
      </c>
      <c r="AQ13" s="20">
        <f>Operations!AQ777/Inputs!$F$275+Operations!AQ778/Inputs!$F$276+Operations!AQ779/Inputs!$F$277</f>
        <v/>
      </c>
      <c r="AR13" s="20">
        <f>Operations!AR777/Inputs!$F$275+Operations!AR778/Inputs!$F$276+Operations!AR779/Inputs!$F$277</f>
        <v/>
      </c>
      <c r="AS13" s="20">
        <f>Operations!AS777/Inputs!$F$275+Operations!AS778/Inputs!$F$276+Operations!AS779/Inputs!$F$277</f>
        <v/>
      </c>
      <c r="AT13" s="20">
        <f>Operations!AT777/Inputs!$F$275+Operations!AT778/Inputs!$F$276+Operations!AT779/Inputs!$F$277</f>
        <v/>
      </c>
      <c r="AU13" s="20">
        <f>Operations!AU777/Inputs!$F$275+Operations!AU778/Inputs!$F$276+Operations!AU779/Inputs!$F$277</f>
        <v/>
      </c>
    </row>
    <row r="14">
      <c r="D14" t="inlineStr">
        <is>
          <t>Debt-service capacity at P99 (P99 CFADS / 1.00x)</t>
        </is>
      </c>
      <c r="E14" t="inlineStr">
        <is>
          <t>USD m</t>
        </is>
      </c>
      <c r="J14" s="20">
        <f>Operations!J1142/Inputs!$F$278</f>
        <v/>
      </c>
      <c r="K14" s="20">
        <f>Operations!K1142/Inputs!$F$278</f>
        <v/>
      </c>
      <c r="L14" s="20">
        <f>Operations!L1142/Inputs!$F$278</f>
        <v/>
      </c>
      <c r="M14" s="20">
        <f>Operations!M1142/Inputs!$F$278</f>
        <v/>
      </c>
      <c r="N14" s="20">
        <f>Operations!N1142/Inputs!$F$278</f>
        <v/>
      </c>
      <c r="O14" s="20">
        <f>Operations!O1142/Inputs!$F$278</f>
        <v/>
      </c>
      <c r="P14" s="20">
        <f>Operations!P1142/Inputs!$F$278</f>
        <v/>
      </c>
      <c r="Q14" s="20">
        <f>Operations!Q1142/Inputs!$F$278</f>
        <v/>
      </c>
      <c r="R14" s="20">
        <f>Operations!R1142/Inputs!$F$278</f>
        <v/>
      </c>
      <c r="S14" s="20">
        <f>Operations!S1142/Inputs!$F$278</f>
        <v/>
      </c>
      <c r="T14" s="20">
        <f>Operations!T1142/Inputs!$F$278</f>
        <v/>
      </c>
      <c r="U14" s="20">
        <f>Operations!U1142/Inputs!$F$278</f>
        <v/>
      </c>
      <c r="V14" s="20">
        <f>Operations!V1142/Inputs!$F$278</f>
        <v/>
      </c>
      <c r="W14" s="20">
        <f>Operations!W1142/Inputs!$F$278</f>
        <v/>
      </c>
      <c r="X14" s="20">
        <f>Operations!X1142/Inputs!$F$278</f>
        <v/>
      </c>
      <c r="Y14" s="20">
        <f>Operations!Y1142/Inputs!$F$278</f>
        <v/>
      </c>
      <c r="Z14" s="20">
        <f>Operations!Z1142/Inputs!$F$278</f>
        <v/>
      </c>
      <c r="AA14" s="20">
        <f>Operations!AA1142/Inputs!$F$278</f>
        <v/>
      </c>
      <c r="AB14" s="20">
        <f>Operations!AB1142/Inputs!$F$278</f>
        <v/>
      </c>
      <c r="AC14" s="20">
        <f>Operations!AC1142/Inputs!$F$278</f>
        <v/>
      </c>
      <c r="AD14" s="20">
        <f>Operations!AD1142/Inputs!$F$278</f>
        <v/>
      </c>
      <c r="AE14" s="20">
        <f>Operations!AE1142/Inputs!$F$278</f>
        <v/>
      </c>
      <c r="AF14" s="20">
        <f>Operations!AF1142/Inputs!$F$278</f>
        <v/>
      </c>
      <c r="AG14" s="20">
        <f>Operations!AG1142/Inputs!$F$278</f>
        <v/>
      </c>
      <c r="AH14" s="20">
        <f>Operations!AH1142/Inputs!$F$278</f>
        <v/>
      </c>
      <c r="AI14" s="20">
        <f>Operations!AI1142/Inputs!$F$278</f>
        <v/>
      </c>
      <c r="AJ14" s="20">
        <f>Operations!AJ1142/Inputs!$F$278</f>
        <v/>
      </c>
      <c r="AK14" s="20">
        <f>Operations!AK1142/Inputs!$F$278</f>
        <v/>
      </c>
      <c r="AL14" s="20">
        <f>Operations!AL1142/Inputs!$F$278</f>
        <v/>
      </c>
      <c r="AM14" s="20">
        <f>Operations!AM1142/Inputs!$F$278</f>
        <v/>
      </c>
      <c r="AN14" s="20">
        <f>Operations!AN1142/Inputs!$F$278</f>
        <v/>
      </c>
      <c r="AO14" s="20">
        <f>Operations!AO1142/Inputs!$F$278</f>
        <v/>
      </c>
      <c r="AP14" s="20">
        <f>Operations!AP1142/Inputs!$F$278</f>
        <v/>
      </c>
      <c r="AQ14" s="20">
        <f>Operations!AQ1142/Inputs!$F$278</f>
        <v/>
      </c>
      <c r="AR14" s="20">
        <f>Operations!AR1142/Inputs!$F$278</f>
        <v/>
      </c>
      <c r="AS14" s="20">
        <f>Operations!AS1142/Inputs!$F$278</f>
        <v/>
      </c>
      <c r="AT14" s="20">
        <f>Operations!AT1142/Inputs!$F$278</f>
        <v/>
      </c>
      <c r="AU14" s="20">
        <f>Operations!AU1142/Inputs!$F$278</f>
        <v/>
      </c>
    </row>
    <row r="15">
      <c r="D15" t="inlineStr">
        <is>
          <t>Sculpted debt service</t>
        </is>
      </c>
      <c r="E15" t="inlineStr">
        <is>
          <t>USD m</t>
        </is>
      </c>
      <c r="G15" s="20">
        <f>SUM(J15:AU15)</f>
        <v/>
      </c>
      <c r="J15" s="20">
        <f>IF(Funding!J8&gt;0,MAX(0,MIN(Funding!J13,Funding!J14)),0)</f>
        <v/>
      </c>
      <c r="K15" s="20">
        <f>IF(Funding!K8&gt;0,MAX(0,MIN(Funding!K13,Funding!K14)),0)</f>
        <v/>
      </c>
      <c r="L15" s="20">
        <f>IF(Funding!L8&gt;0,MAX(0,MIN(Funding!L13,Funding!L14)),0)</f>
        <v/>
      </c>
      <c r="M15" s="20">
        <f>IF(Funding!M8&gt;0,MAX(0,MIN(Funding!M13,Funding!M14)),0)</f>
        <v/>
      </c>
      <c r="N15" s="20">
        <f>IF(Funding!N8&gt;0,MAX(0,MIN(Funding!N13,Funding!N14)),0)</f>
        <v/>
      </c>
      <c r="O15" s="20">
        <f>IF(Funding!O8&gt;0,MAX(0,MIN(Funding!O13,Funding!O14)),0)</f>
        <v/>
      </c>
      <c r="P15" s="20">
        <f>IF(Funding!P8&gt;0,MAX(0,MIN(Funding!P13,Funding!P14)),0)</f>
        <v/>
      </c>
      <c r="Q15" s="20">
        <f>IF(Funding!Q8&gt;0,MAX(0,MIN(Funding!Q13,Funding!Q14)),0)</f>
        <v/>
      </c>
      <c r="R15" s="20">
        <f>IF(Funding!R8&gt;0,MAX(0,MIN(Funding!R13,Funding!R14)),0)</f>
        <v/>
      </c>
      <c r="S15" s="20">
        <f>IF(Funding!S8&gt;0,MAX(0,MIN(Funding!S13,Funding!S14)),0)</f>
        <v/>
      </c>
      <c r="T15" s="20">
        <f>IF(Funding!T8&gt;0,MAX(0,MIN(Funding!T13,Funding!T14)),0)</f>
        <v/>
      </c>
      <c r="U15" s="20">
        <f>IF(Funding!U8&gt;0,MAX(0,MIN(Funding!U13,Funding!U14)),0)</f>
        <v/>
      </c>
      <c r="V15" s="20">
        <f>IF(Funding!V8&gt;0,MAX(0,MIN(Funding!V13,Funding!V14)),0)</f>
        <v/>
      </c>
      <c r="W15" s="20">
        <f>IF(Funding!W8&gt;0,MAX(0,MIN(Funding!W13,Funding!W14)),0)</f>
        <v/>
      </c>
      <c r="X15" s="20">
        <f>IF(Funding!X8&gt;0,MAX(0,MIN(Funding!X13,Funding!X14)),0)</f>
        <v/>
      </c>
      <c r="Y15" s="20">
        <f>IF(Funding!Y8&gt;0,MAX(0,MIN(Funding!Y13,Funding!Y14)),0)</f>
        <v/>
      </c>
      <c r="Z15" s="20">
        <f>IF(Funding!Z8&gt;0,MAX(0,MIN(Funding!Z13,Funding!Z14)),0)</f>
        <v/>
      </c>
      <c r="AA15" s="20">
        <f>IF(Funding!AA8&gt;0,MAX(0,MIN(Funding!AA13,Funding!AA14)),0)</f>
        <v/>
      </c>
      <c r="AB15" s="20">
        <f>IF(Funding!AB8&gt;0,MAX(0,MIN(Funding!AB13,Funding!AB14)),0)</f>
        <v/>
      </c>
      <c r="AC15" s="20">
        <f>IF(Funding!AC8&gt;0,MAX(0,MIN(Funding!AC13,Funding!AC14)),0)</f>
        <v/>
      </c>
      <c r="AD15" s="20">
        <f>IF(Funding!AD8&gt;0,MAX(0,MIN(Funding!AD13,Funding!AD14)),0)</f>
        <v/>
      </c>
      <c r="AE15" s="20">
        <f>IF(Funding!AE8&gt;0,MAX(0,MIN(Funding!AE13,Funding!AE14)),0)</f>
        <v/>
      </c>
      <c r="AF15" s="20">
        <f>IF(Funding!AF8&gt;0,MAX(0,MIN(Funding!AF13,Funding!AF14)),0)</f>
        <v/>
      </c>
      <c r="AG15" s="20">
        <f>IF(Funding!AG8&gt;0,MAX(0,MIN(Funding!AG13,Funding!AG14)),0)</f>
        <v/>
      </c>
      <c r="AH15" s="20">
        <f>IF(Funding!AH8&gt;0,MAX(0,MIN(Funding!AH13,Funding!AH14)),0)</f>
        <v/>
      </c>
      <c r="AI15" s="20">
        <f>IF(Funding!AI8&gt;0,MAX(0,MIN(Funding!AI13,Funding!AI14)),0)</f>
        <v/>
      </c>
      <c r="AJ15" s="20">
        <f>IF(Funding!AJ8&gt;0,MAX(0,MIN(Funding!AJ13,Funding!AJ14)),0)</f>
        <v/>
      </c>
      <c r="AK15" s="20">
        <f>IF(Funding!AK8&gt;0,MAX(0,MIN(Funding!AK13,Funding!AK14)),0)</f>
        <v/>
      </c>
      <c r="AL15" s="20">
        <f>IF(Funding!AL8&gt;0,MAX(0,MIN(Funding!AL13,Funding!AL14)),0)</f>
        <v/>
      </c>
      <c r="AM15" s="20">
        <f>IF(Funding!AM8&gt;0,MAX(0,MIN(Funding!AM13,Funding!AM14)),0)</f>
        <v/>
      </c>
      <c r="AN15" s="20">
        <f>IF(Funding!AN8&gt;0,MAX(0,MIN(Funding!AN13,Funding!AN14)),0)</f>
        <v/>
      </c>
      <c r="AO15" s="20">
        <f>IF(Funding!AO8&gt;0,MAX(0,MIN(Funding!AO13,Funding!AO14)),0)</f>
        <v/>
      </c>
      <c r="AP15" s="20">
        <f>IF(Funding!AP8&gt;0,MAX(0,MIN(Funding!AP13,Funding!AP14)),0)</f>
        <v/>
      </c>
      <c r="AQ15" s="20">
        <f>IF(Funding!AQ8&gt;0,MAX(0,MIN(Funding!AQ13,Funding!AQ14)),0)</f>
        <v/>
      </c>
      <c r="AR15" s="20">
        <f>IF(Funding!AR8&gt;0,MAX(0,MIN(Funding!AR13,Funding!AR14)),0)</f>
        <v/>
      </c>
      <c r="AS15" s="20">
        <f>IF(Funding!AS8&gt;0,MAX(0,MIN(Funding!AS13,Funding!AS14)),0)</f>
        <v/>
      </c>
      <c r="AT15" s="20">
        <f>IF(Funding!AT8&gt;0,MAX(0,MIN(Funding!AT13,Funding!AT14)),0)</f>
        <v/>
      </c>
      <c r="AU15" s="20">
        <f>IF(Funding!AU8&gt;0,MAX(0,MIN(Funding!AU13,Funding!AU14)),0)</f>
        <v/>
      </c>
    </row>
    <row r="16">
      <c r="D16" t="inlineStr">
        <is>
          <t>Discount factor to loan date</t>
        </is>
      </c>
      <c r="E16" t="inlineStr">
        <is>
          <t>factor</t>
        </is>
      </c>
      <c r="J16" s="14">
        <f>IF(Time!J$4=Inputs!$F$23,1,I16)/(1+Funding!J12/100*Funding!J8)</f>
        <v/>
      </c>
      <c r="K16" s="14">
        <f>IF(Time!K$4=Inputs!$F$23,1,J16)/(1+Funding!K12/100*Funding!K8)</f>
        <v/>
      </c>
      <c r="L16" s="14">
        <f>IF(Time!L$4=Inputs!$F$23,1,K16)/(1+Funding!L12/100*Funding!L8)</f>
        <v/>
      </c>
      <c r="M16" s="14">
        <f>IF(Time!M$4=Inputs!$F$23,1,L16)/(1+Funding!M12/100*Funding!M8)</f>
        <v/>
      </c>
      <c r="N16" s="14">
        <f>IF(Time!N$4=Inputs!$F$23,1,M16)/(1+Funding!N12/100*Funding!N8)</f>
        <v/>
      </c>
      <c r="O16" s="14">
        <f>IF(Time!O$4=Inputs!$F$23,1,N16)/(1+Funding!O12/100*Funding!O8)</f>
        <v/>
      </c>
      <c r="P16" s="14">
        <f>IF(Time!P$4=Inputs!$F$23,1,O16)/(1+Funding!P12/100*Funding!P8)</f>
        <v/>
      </c>
      <c r="Q16" s="14">
        <f>IF(Time!Q$4=Inputs!$F$23,1,P16)/(1+Funding!Q12/100*Funding!Q8)</f>
        <v/>
      </c>
      <c r="R16" s="14">
        <f>IF(Time!R$4=Inputs!$F$23,1,Q16)/(1+Funding!R12/100*Funding!R8)</f>
        <v/>
      </c>
      <c r="S16" s="14">
        <f>IF(Time!S$4=Inputs!$F$23,1,R16)/(1+Funding!S12/100*Funding!S8)</f>
        <v/>
      </c>
      <c r="T16" s="14">
        <f>IF(Time!T$4=Inputs!$F$23,1,S16)/(1+Funding!T12/100*Funding!T8)</f>
        <v/>
      </c>
      <c r="U16" s="14">
        <f>IF(Time!U$4=Inputs!$F$23,1,T16)/(1+Funding!U12/100*Funding!U8)</f>
        <v/>
      </c>
      <c r="V16" s="14">
        <f>IF(Time!V$4=Inputs!$F$23,1,U16)/(1+Funding!V12/100*Funding!V8)</f>
        <v/>
      </c>
      <c r="W16" s="14">
        <f>IF(Time!W$4=Inputs!$F$23,1,V16)/(1+Funding!W12/100*Funding!W8)</f>
        <v/>
      </c>
      <c r="X16" s="14">
        <f>IF(Time!X$4=Inputs!$F$23,1,W16)/(1+Funding!X12/100*Funding!X8)</f>
        <v/>
      </c>
      <c r="Y16" s="14">
        <f>IF(Time!Y$4=Inputs!$F$23,1,X16)/(1+Funding!Y12/100*Funding!Y8)</f>
        <v/>
      </c>
      <c r="Z16" s="14">
        <f>IF(Time!Z$4=Inputs!$F$23,1,Y16)/(1+Funding!Z12/100*Funding!Z8)</f>
        <v/>
      </c>
      <c r="AA16" s="14">
        <f>IF(Time!AA$4=Inputs!$F$23,1,Z16)/(1+Funding!AA12/100*Funding!AA8)</f>
        <v/>
      </c>
      <c r="AB16" s="14">
        <f>IF(Time!AB$4=Inputs!$F$23,1,AA16)/(1+Funding!AB12/100*Funding!AB8)</f>
        <v/>
      </c>
      <c r="AC16" s="14">
        <f>IF(Time!AC$4=Inputs!$F$23,1,AB16)/(1+Funding!AC12/100*Funding!AC8)</f>
        <v/>
      </c>
      <c r="AD16" s="14">
        <f>IF(Time!AD$4=Inputs!$F$23,1,AC16)/(1+Funding!AD12/100*Funding!AD8)</f>
        <v/>
      </c>
      <c r="AE16" s="14">
        <f>IF(Time!AE$4=Inputs!$F$23,1,AD16)/(1+Funding!AE12/100*Funding!AE8)</f>
        <v/>
      </c>
      <c r="AF16" s="14">
        <f>IF(Time!AF$4=Inputs!$F$23,1,AE16)/(1+Funding!AF12/100*Funding!AF8)</f>
        <v/>
      </c>
      <c r="AG16" s="14">
        <f>IF(Time!AG$4=Inputs!$F$23,1,AF16)/(1+Funding!AG12/100*Funding!AG8)</f>
        <v/>
      </c>
      <c r="AH16" s="14">
        <f>IF(Time!AH$4=Inputs!$F$23,1,AG16)/(1+Funding!AH12/100*Funding!AH8)</f>
        <v/>
      </c>
      <c r="AI16" s="14">
        <f>IF(Time!AI$4=Inputs!$F$23,1,AH16)/(1+Funding!AI12/100*Funding!AI8)</f>
        <v/>
      </c>
      <c r="AJ16" s="14">
        <f>IF(Time!AJ$4=Inputs!$F$23,1,AI16)/(1+Funding!AJ12/100*Funding!AJ8)</f>
        <v/>
      </c>
      <c r="AK16" s="14">
        <f>IF(Time!AK$4=Inputs!$F$23,1,AJ16)/(1+Funding!AK12/100*Funding!AK8)</f>
        <v/>
      </c>
      <c r="AL16" s="14">
        <f>IF(Time!AL$4=Inputs!$F$23,1,AK16)/(1+Funding!AL12/100*Funding!AL8)</f>
        <v/>
      </c>
      <c r="AM16" s="14">
        <f>IF(Time!AM$4=Inputs!$F$23,1,AL16)/(1+Funding!AM12/100*Funding!AM8)</f>
        <v/>
      </c>
      <c r="AN16" s="14">
        <f>IF(Time!AN$4=Inputs!$F$23,1,AM16)/(1+Funding!AN12/100*Funding!AN8)</f>
        <v/>
      </c>
      <c r="AO16" s="14">
        <f>IF(Time!AO$4=Inputs!$F$23,1,AN16)/(1+Funding!AO12/100*Funding!AO8)</f>
        <v/>
      </c>
      <c r="AP16" s="14">
        <f>IF(Time!AP$4=Inputs!$F$23,1,AO16)/(1+Funding!AP12/100*Funding!AP8)</f>
        <v/>
      </c>
      <c r="AQ16" s="14">
        <f>IF(Time!AQ$4=Inputs!$F$23,1,AP16)/(1+Funding!AQ12/100*Funding!AQ8)</f>
        <v/>
      </c>
      <c r="AR16" s="14">
        <f>IF(Time!AR$4=Inputs!$F$23,1,AQ16)/(1+Funding!AR12/100*Funding!AR8)</f>
        <v/>
      </c>
      <c r="AS16" s="14">
        <f>IF(Time!AS$4=Inputs!$F$23,1,AR16)/(1+Funding!AS12/100*Funding!AS8)</f>
        <v/>
      </c>
      <c r="AT16" s="14">
        <f>IF(Time!AT$4=Inputs!$F$23,1,AS16)/(1+Funding!AT12/100*Funding!AT8)</f>
        <v/>
      </c>
      <c r="AU16" s="14">
        <f>IF(Time!AU$4=Inputs!$F$23,1,AT16)/(1+Funding!AU12/100*Funding!AU8)</f>
        <v/>
      </c>
    </row>
    <row r="17">
      <c r="D17" t="inlineStr">
        <is>
          <t>Opco term loan amount (PV of sculpted debt service)</t>
        </is>
      </c>
      <c r="E17" t="inlineStr">
        <is>
          <t>USD m</t>
        </is>
      </c>
      <c r="F17" s="20">
        <f>SUMPRODUCT(Funding!$J$15:$AU$15,Funding!$J$16:$AU$16)</f>
        <v/>
      </c>
    </row>
    <row r="18">
      <c r="D18" t="inlineStr">
        <is>
          <t>PV of contracted debt-service capacity</t>
        </is>
      </c>
      <c r="E18" t="inlineStr">
        <is>
          <t>USD m</t>
        </is>
      </c>
      <c r="F18" s="20">
        <f>SUMPRODUCT(Operations!$J$777:$AU$777/Inputs!$F$275,Funding!$J$16:$AU$16,--(Funding!$J$8:$AU$8&gt;0))</f>
        <v/>
      </c>
    </row>
    <row r="19">
      <c r="D19" t="inlineStr">
        <is>
          <t>PV of hedged debt-service capacity</t>
        </is>
      </c>
      <c r="E19" t="inlineStr">
        <is>
          <t>USD m</t>
        </is>
      </c>
      <c r="F19" s="20">
        <f>SUMPRODUCT(Operations!$J$778:$AU$778/Inputs!$F$276,Funding!$J$16:$AU$16,--(Funding!$J$8:$AU$8&gt;0))</f>
        <v/>
      </c>
    </row>
    <row r="20">
      <c r="D20" t="inlineStr">
        <is>
          <t>PV of merchant debt-service capacity</t>
        </is>
      </c>
      <c r="E20" t="inlineStr">
        <is>
          <t>USD m</t>
        </is>
      </c>
      <c r="F20" s="20">
        <f>SUMPRODUCT(Operations!$J$779:$AU$779/Inputs!$F$277,Funding!$J$16:$AU$16,--(Funding!$J$8:$AU$8&gt;0))</f>
        <v/>
      </c>
    </row>
    <row r="21">
      <c r="D21" t="inlineStr">
        <is>
          <t>Years in which the P99 test binds</t>
        </is>
      </c>
      <c r="E21" t="inlineStr">
        <is>
          <t>years</t>
        </is>
      </c>
      <c r="F21" s="12">
        <f>SUMPRODUCT(--(Funding!$J$14:$AU$14&lt;Funding!$J$13:$AU$13),--(Funding!$J$8:$AU$8&gt;0))</f>
        <v/>
      </c>
    </row>
    <row r="22">
      <c r="D22" t="inlineStr">
        <is>
          <t>Sculpted schedule: opening balance</t>
        </is>
      </c>
      <c r="E22" t="inlineStr">
        <is>
          <t>USD m</t>
        </is>
      </c>
      <c r="J22" s="20">
        <f>IF(Time!J$4=YEAR(Inputs!$F$269),Funding!$F$17,I25)</f>
        <v/>
      </c>
      <c r="K22" s="20">
        <f>IF(Time!K$4=YEAR(Inputs!$F$269),Funding!$F$17,J25)</f>
        <v/>
      </c>
      <c r="L22" s="20">
        <f>IF(Time!L$4=YEAR(Inputs!$F$269),Funding!$F$17,K25)</f>
        <v/>
      </c>
      <c r="M22" s="20">
        <f>IF(Time!M$4=YEAR(Inputs!$F$269),Funding!$F$17,L25)</f>
        <v/>
      </c>
      <c r="N22" s="20">
        <f>IF(Time!N$4=YEAR(Inputs!$F$269),Funding!$F$17,M25)</f>
        <v/>
      </c>
      <c r="O22" s="20">
        <f>IF(Time!O$4=YEAR(Inputs!$F$269),Funding!$F$17,N25)</f>
        <v/>
      </c>
      <c r="P22" s="20">
        <f>IF(Time!P$4=YEAR(Inputs!$F$269),Funding!$F$17,O25)</f>
        <v/>
      </c>
      <c r="Q22" s="20">
        <f>IF(Time!Q$4=YEAR(Inputs!$F$269),Funding!$F$17,P25)</f>
        <v/>
      </c>
      <c r="R22" s="20">
        <f>IF(Time!R$4=YEAR(Inputs!$F$269),Funding!$F$17,Q25)</f>
        <v/>
      </c>
      <c r="S22" s="20">
        <f>IF(Time!S$4=YEAR(Inputs!$F$269),Funding!$F$17,R25)</f>
        <v/>
      </c>
      <c r="T22" s="20">
        <f>IF(Time!T$4=YEAR(Inputs!$F$269),Funding!$F$17,S25)</f>
        <v/>
      </c>
      <c r="U22" s="20">
        <f>IF(Time!U$4=YEAR(Inputs!$F$269),Funding!$F$17,T25)</f>
        <v/>
      </c>
      <c r="V22" s="20">
        <f>IF(Time!V$4=YEAR(Inputs!$F$269),Funding!$F$17,U25)</f>
        <v/>
      </c>
      <c r="W22" s="20">
        <f>IF(Time!W$4=YEAR(Inputs!$F$269),Funding!$F$17,V25)</f>
        <v/>
      </c>
      <c r="X22" s="20">
        <f>IF(Time!X$4=YEAR(Inputs!$F$269),Funding!$F$17,W25)</f>
        <v/>
      </c>
      <c r="Y22" s="20">
        <f>IF(Time!Y$4=YEAR(Inputs!$F$269),Funding!$F$17,X25)</f>
        <v/>
      </c>
      <c r="Z22" s="20">
        <f>IF(Time!Z$4=YEAR(Inputs!$F$269),Funding!$F$17,Y25)</f>
        <v/>
      </c>
      <c r="AA22" s="20">
        <f>IF(Time!AA$4=YEAR(Inputs!$F$269),Funding!$F$17,Z25)</f>
        <v/>
      </c>
      <c r="AB22" s="20">
        <f>IF(Time!AB$4=YEAR(Inputs!$F$269),Funding!$F$17,AA25)</f>
        <v/>
      </c>
      <c r="AC22" s="20">
        <f>IF(Time!AC$4=YEAR(Inputs!$F$269),Funding!$F$17,AB25)</f>
        <v/>
      </c>
      <c r="AD22" s="20">
        <f>IF(Time!AD$4=YEAR(Inputs!$F$269),Funding!$F$17,AC25)</f>
        <v/>
      </c>
      <c r="AE22" s="20">
        <f>IF(Time!AE$4=YEAR(Inputs!$F$269),Funding!$F$17,AD25)</f>
        <v/>
      </c>
      <c r="AF22" s="20">
        <f>IF(Time!AF$4=YEAR(Inputs!$F$269),Funding!$F$17,AE25)</f>
        <v/>
      </c>
      <c r="AG22" s="20">
        <f>IF(Time!AG$4=YEAR(Inputs!$F$269),Funding!$F$17,AF25)</f>
        <v/>
      </c>
      <c r="AH22" s="20">
        <f>IF(Time!AH$4=YEAR(Inputs!$F$269),Funding!$F$17,AG25)</f>
        <v/>
      </c>
      <c r="AI22" s="20">
        <f>IF(Time!AI$4=YEAR(Inputs!$F$269),Funding!$F$17,AH25)</f>
        <v/>
      </c>
      <c r="AJ22" s="20">
        <f>IF(Time!AJ$4=YEAR(Inputs!$F$269),Funding!$F$17,AI25)</f>
        <v/>
      </c>
      <c r="AK22" s="20">
        <f>IF(Time!AK$4=YEAR(Inputs!$F$269),Funding!$F$17,AJ25)</f>
        <v/>
      </c>
      <c r="AL22" s="20">
        <f>IF(Time!AL$4=YEAR(Inputs!$F$269),Funding!$F$17,AK25)</f>
        <v/>
      </c>
      <c r="AM22" s="20">
        <f>IF(Time!AM$4=YEAR(Inputs!$F$269),Funding!$F$17,AL25)</f>
        <v/>
      </c>
      <c r="AN22" s="20">
        <f>IF(Time!AN$4=YEAR(Inputs!$F$269),Funding!$F$17,AM25)</f>
        <v/>
      </c>
      <c r="AO22" s="20">
        <f>IF(Time!AO$4=YEAR(Inputs!$F$269),Funding!$F$17,AN25)</f>
        <v/>
      </c>
      <c r="AP22" s="20">
        <f>IF(Time!AP$4=YEAR(Inputs!$F$269),Funding!$F$17,AO25)</f>
        <v/>
      </c>
      <c r="AQ22" s="20">
        <f>IF(Time!AQ$4=YEAR(Inputs!$F$269),Funding!$F$17,AP25)</f>
        <v/>
      </c>
      <c r="AR22" s="20">
        <f>IF(Time!AR$4=YEAR(Inputs!$F$269),Funding!$F$17,AQ25)</f>
        <v/>
      </c>
      <c r="AS22" s="20">
        <f>IF(Time!AS$4=YEAR(Inputs!$F$269),Funding!$F$17,AR25)</f>
        <v/>
      </c>
      <c r="AT22" s="20">
        <f>IF(Time!AT$4=YEAR(Inputs!$F$269),Funding!$F$17,AS25)</f>
        <v/>
      </c>
      <c r="AU22" s="20">
        <f>IF(Time!AU$4=YEAR(Inputs!$F$269),Funding!$F$17,AT25)</f>
        <v/>
      </c>
    </row>
    <row r="23">
      <c r="D23" t="inlineStr">
        <is>
          <t>Sculpted schedule: interest</t>
        </is>
      </c>
      <c r="E23" t="inlineStr">
        <is>
          <t>USD m</t>
        </is>
      </c>
      <c r="J23" s="20">
        <f>Funding!J22*Funding!J12/100*Funding!J8</f>
        <v/>
      </c>
      <c r="K23" s="20">
        <f>Funding!K22*Funding!K12/100*Funding!K8</f>
        <v/>
      </c>
      <c r="L23" s="20">
        <f>Funding!L22*Funding!L12/100*Funding!L8</f>
        <v/>
      </c>
      <c r="M23" s="20">
        <f>Funding!M22*Funding!M12/100*Funding!M8</f>
        <v/>
      </c>
      <c r="N23" s="20">
        <f>Funding!N22*Funding!N12/100*Funding!N8</f>
        <v/>
      </c>
      <c r="O23" s="20">
        <f>Funding!O22*Funding!O12/100*Funding!O8</f>
        <v/>
      </c>
      <c r="P23" s="20">
        <f>Funding!P22*Funding!P12/100*Funding!P8</f>
        <v/>
      </c>
      <c r="Q23" s="20">
        <f>Funding!Q22*Funding!Q12/100*Funding!Q8</f>
        <v/>
      </c>
      <c r="R23" s="20">
        <f>Funding!R22*Funding!R12/100*Funding!R8</f>
        <v/>
      </c>
      <c r="S23" s="20">
        <f>Funding!S22*Funding!S12/100*Funding!S8</f>
        <v/>
      </c>
      <c r="T23" s="20">
        <f>Funding!T22*Funding!T12/100*Funding!T8</f>
        <v/>
      </c>
      <c r="U23" s="20">
        <f>Funding!U22*Funding!U12/100*Funding!U8</f>
        <v/>
      </c>
      <c r="V23" s="20">
        <f>Funding!V22*Funding!V12/100*Funding!V8</f>
        <v/>
      </c>
      <c r="W23" s="20">
        <f>Funding!W22*Funding!W12/100*Funding!W8</f>
        <v/>
      </c>
      <c r="X23" s="20">
        <f>Funding!X22*Funding!X12/100*Funding!X8</f>
        <v/>
      </c>
      <c r="Y23" s="20">
        <f>Funding!Y22*Funding!Y12/100*Funding!Y8</f>
        <v/>
      </c>
      <c r="Z23" s="20">
        <f>Funding!Z22*Funding!Z12/100*Funding!Z8</f>
        <v/>
      </c>
      <c r="AA23" s="20">
        <f>Funding!AA22*Funding!AA12/100*Funding!AA8</f>
        <v/>
      </c>
      <c r="AB23" s="20">
        <f>Funding!AB22*Funding!AB12/100*Funding!AB8</f>
        <v/>
      </c>
      <c r="AC23" s="20">
        <f>Funding!AC22*Funding!AC12/100*Funding!AC8</f>
        <v/>
      </c>
      <c r="AD23" s="20">
        <f>Funding!AD22*Funding!AD12/100*Funding!AD8</f>
        <v/>
      </c>
      <c r="AE23" s="20">
        <f>Funding!AE22*Funding!AE12/100*Funding!AE8</f>
        <v/>
      </c>
      <c r="AF23" s="20">
        <f>Funding!AF22*Funding!AF12/100*Funding!AF8</f>
        <v/>
      </c>
      <c r="AG23" s="20">
        <f>Funding!AG22*Funding!AG12/100*Funding!AG8</f>
        <v/>
      </c>
      <c r="AH23" s="20">
        <f>Funding!AH22*Funding!AH12/100*Funding!AH8</f>
        <v/>
      </c>
      <c r="AI23" s="20">
        <f>Funding!AI22*Funding!AI12/100*Funding!AI8</f>
        <v/>
      </c>
      <c r="AJ23" s="20">
        <f>Funding!AJ22*Funding!AJ12/100*Funding!AJ8</f>
        <v/>
      </c>
      <c r="AK23" s="20">
        <f>Funding!AK22*Funding!AK12/100*Funding!AK8</f>
        <v/>
      </c>
      <c r="AL23" s="20">
        <f>Funding!AL22*Funding!AL12/100*Funding!AL8</f>
        <v/>
      </c>
      <c r="AM23" s="20">
        <f>Funding!AM22*Funding!AM12/100*Funding!AM8</f>
        <v/>
      </c>
      <c r="AN23" s="20">
        <f>Funding!AN22*Funding!AN12/100*Funding!AN8</f>
        <v/>
      </c>
      <c r="AO23" s="20">
        <f>Funding!AO22*Funding!AO12/100*Funding!AO8</f>
        <v/>
      </c>
      <c r="AP23" s="20">
        <f>Funding!AP22*Funding!AP12/100*Funding!AP8</f>
        <v/>
      </c>
      <c r="AQ23" s="20">
        <f>Funding!AQ22*Funding!AQ12/100*Funding!AQ8</f>
        <v/>
      </c>
      <c r="AR23" s="20">
        <f>Funding!AR22*Funding!AR12/100*Funding!AR8</f>
        <v/>
      </c>
      <c r="AS23" s="20">
        <f>Funding!AS22*Funding!AS12/100*Funding!AS8</f>
        <v/>
      </c>
      <c r="AT23" s="20">
        <f>Funding!AT22*Funding!AT12/100*Funding!AT8</f>
        <v/>
      </c>
      <c r="AU23" s="20">
        <f>Funding!AU22*Funding!AU12/100*Funding!AU8</f>
        <v/>
      </c>
    </row>
    <row r="24">
      <c r="D24" t="inlineStr">
        <is>
          <t>Sculpted schedule: principal</t>
        </is>
      </c>
      <c r="E24" t="inlineStr">
        <is>
          <t>USD m</t>
        </is>
      </c>
      <c r="G24" s="20">
        <f>SUM(J24:AU24)</f>
        <v/>
      </c>
      <c r="J24" s="20">
        <f>IF(Funding!J8&gt;0,Funding!J15-Funding!J23,0)</f>
        <v/>
      </c>
      <c r="K24" s="20">
        <f>IF(Funding!K8&gt;0,Funding!K15-Funding!K23,0)</f>
        <v/>
      </c>
      <c r="L24" s="20">
        <f>IF(Funding!L8&gt;0,Funding!L15-Funding!L23,0)</f>
        <v/>
      </c>
      <c r="M24" s="20">
        <f>IF(Funding!M8&gt;0,Funding!M15-Funding!M23,0)</f>
        <v/>
      </c>
      <c r="N24" s="20">
        <f>IF(Funding!N8&gt;0,Funding!N15-Funding!N23,0)</f>
        <v/>
      </c>
      <c r="O24" s="20">
        <f>IF(Funding!O8&gt;0,Funding!O15-Funding!O23,0)</f>
        <v/>
      </c>
      <c r="P24" s="20">
        <f>IF(Funding!P8&gt;0,Funding!P15-Funding!P23,0)</f>
        <v/>
      </c>
      <c r="Q24" s="20">
        <f>IF(Funding!Q8&gt;0,Funding!Q15-Funding!Q23,0)</f>
        <v/>
      </c>
      <c r="R24" s="20">
        <f>IF(Funding!R8&gt;0,Funding!R15-Funding!R23,0)</f>
        <v/>
      </c>
      <c r="S24" s="20">
        <f>IF(Funding!S8&gt;0,Funding!S15-Funding!S23,0)</f>
        <v/>
      </c>
      <c r="T24" s="20">
        <f>IF(Funding!T8&gt;0,Funding!T15-Funding!T23,0)</f>
        <v/>
      </c>
      <c r="U24" s="20">
        <f>IF(Funding!U8&gt;0,Funding!U15-Funding!U23,0)</f>
        <v/>
      </c>
      <c r="V24" s="20">
        <f>IF(Funding!V8&gt;0,Funding!V15-Funding!V23,0)</f>
        <v/>
      </c>
      <c r="W24" s="20">
        <f>IF(Funding!W8&gt;0,Funding!W15-Funding!W23,0)</f>
        <v/>
      </c>
      <c r="X24" s="20">
        <f>IF(Funding!X8&gt;0,Funding!X15-Funding!X23,0)</f>
        <v/>
      </c>
      <c r="Y24" s="20">
        <f>IF(Funding!Y8&gt;0,Funding!Y15-Funding!Y23,0)</f>
        <v/>
      </c>
      <c r="Z24" s="20">
        <f>IF(Funding!Z8&gt;0,Funding!Z15-Funding!Z23,0)</f>
        <v/>
      </c>
      <c r="AA24" s="20">
        <f>IF(Funding!AA8&gt;0,Funding!AA15-Funding!AA23,0)</f>
        <v/>
      </c>
      <c r="AB24" s="20">
        <f>IF(Funding!AB8&gt;0,Funding!AB15-Funding!AB23,0)</f>
        <v/>
      </c>
      <c r="AC24" s="20">
        <f>IF(Funding!AC8&gt;0,Funding!AC15-Funding!AC23,0)</f>
        <v/>
      </c>
      <c r="AD24" s="20">
        <f>IF(Funding!AD8&gt;0,Funding!AD15-Funding!AD23,0)</f>
        <v/>
      </c>
      <c r="AE24" s="20">
        <f>IF(Funding!AE8&gt;0,Funding!AE15-Funding!AE23,0)</f>
        <v/>
      </c>
      <c r="AF24" s="20">
        <f>IF(Funding!AF8&gt;0,Funding!AF15-Funding!AF23,0)</f>
        <v/>
      </c>
      <c r="AG24" s="20">
        <f>IF(Funding!AG8&gt;0,Funding!AG15-Funding!AG23,0)</f>
        <v/>
      </c>
      <c r="AH24" s="20">
        <f>IF(Funding!AH8&gt;0,Funding!AH15-Funding!AH23,0)</f>
        <v/>
      </c>
      <c r="AI24" s="20">
        <f>IF(Funding!AI8&gt;0,Funding!AI15-Funding!AI23,0)</f>
        <v/>
      </c>
      <c r="AJ24" s="20">
        <f>IF(Funding!AJ8&gt;0,Funding!AJ15-Funding!AJ23,0)</f>
        <v/>
      </c>
      <c r="AK24" s="20">
        <f>IF(Funding!AK8&gt;0,Funding!AK15-Funding!AK23,0)</f>
        <v/>
      </c>
      <c r="AL24" s="20">
        <f>IF(Funding!AL8&gt;0,Funding!AL15-Funding!AL23,0)</f>
        <v/>
      </c>
      <c r="AM24" s="20">
        <f>IF(Funding!AM8&gt;0,Funding!AM15-Funding!AM23,0)</f>
        <v/>
      </c>
      <c r="AN24" s="20">
        <f>IF(Funding!AN8&gt;0,Funding!AN15-Funding!AN23,0)</f>
        <v/>
      </c>
      <c r="AO24" s="20">
        <f>IF(Funding!AO8&gt;0,Funding!AO15-Funding!AO23,0)</f>
        <v/>
      </c>
      <c r="AP24" s="20">
        <f>IF(Funding!AP8&gt;0,Funding!AP15-Funding!AP23,0)</f>
        <v/>
      </c>
      <c r="AQ24" s="20">
        <f>IF(Funding!AQ8&gt;0,Funding!AQ15-Funding!AQ23,0)</f>
        <v/>
      </c>
      <c r="AR24" s="20">
        <f>IF(Funding!AR8&gt;0,Funding!AR15-Funding!AR23,0)</f>
        <v/>
      </c>
      <c r="AS24" s="20">
        <f>IF(Funding!AS8&gt;0,Funding!AS15-Funding!AS23,0)</f>
        <v/>
      </c>
      <c r="AT24" s="20">
        <f>IF(Funding!AT8&gt;0,Funding!AT15-Funding!AT23,0)</f>
        <v/>
      </c>
      <c r="AU24" s="20">
        <f>IF(Funding!AU8&gt;0,Funding!AU15-Funding!AU23,0)</f>
        <v/>
      </c>
    </row>
    <row r="25">
      <c r="D25" t="inlineStr">
        <is>
          <t>Sculpted schedule: closing balance</t>
        </is>
      </c>
      <c r="E25" t="inlineStr">
        <is>
          <t>USD m</t>
        </is>
      </c>
      <c r="J25" s="20">
        <f>Funding!J22-Funding!J24</f>
        <v/>
      </c>
      <c r="K25" s="20">
        <f>Funding!K22-Funding!K24</f>
        <v/>
      </c>
      <c r="L25" s="20">
        <f>Funding!L22-Funding!L24</f>
        <v/>
      </c>
      <c r="M25" s="20">
        <f>Funding!M22-Funding!M24</f>
        <v/>
      </c>
      <c r="N25" s="20">
        <f>Funding!N22-Funding!N24</f>
        <v/>
      </c>
      <c r="O25" s="20">
        <f>Funding!O22-Funding!O24</f>
        <v/>
      </c>
      <c r="P25" s="20">
        <f>Funding!P22-Funding!P24</f>
        <v/>
      </c>
      <c r="Q25" s="20">
        <f>Funding!Q22-Funding!Q24</f>
        <v/>
      </c>
      <c r="R25" s="20">
        <f>Funding!R22-Funding!R24</f>
        <v/>
      </c>
      <c r="S25" s="20">
        <f>Funding!S22-Funding!S24</f>
        <v/>
      </c>
      <c r="T25" s="20">
        <f>Funding!T22-Funding!T24</f>
        <v/>
      </c>
      <c r="U25" s="20">
        <f>Funding!U22-Funding!U24</f>
        <v/>
      </c>
      <c r="V25" s="20">
        <f>Funding!V22-Funding!V24</f>
        <v/>
      </c>
      <c r="W25" s="20">
        <f>Funding!W22-Funding!W24</f>
        <v/>
      </c>
      <c r="X25" s="20">
        <f>Funding!X22-Funding!X24</f>
        <v/>
      </c>
      <c r="Y25" s="20">
        <f>Funding!Y22-Funding!Y24</f>
        <v/>
      </c>
      <c r="Z25" s="20">
        <f>Funding!Z22-Funding!Z24</f>
        <v/>
      </c>
      <c r="AA25" s="20">
        <f>Funding!AA22-Funding!AA24</f>
        <v/>
      </c>
      <c r="AB25" s="20">
        <f>Funding!AB22-Funding!AB24</f>
        <v/>
      </c>
      <c r="AC25" s="20">
        <f>Funding!AC22-Funding!AC24</f>
        <v/>
      </c>
      <c r="AD25" s="20">
        <f>Funding!AD22-Funding!AD24</f>
        <v/>
      </c>
      <c r="AE25" s="20">
        <f>Funding!AE22-Funding!AE24</f>
        <v/>
      </c>
      <c r="AF25" s="20">
        <f>Funding!AF22-Funding!AF24</f>
        <v/>
      </c>
      <c r="AG25" s="20">
        <f>Funding!AG22-Funding!AG24</f>
        <v/>
      </c>
      <c r="AH25" s="20">
        <f>Funding!AH22-Funding!AH24</f>
        <v/>
      </c>
      <c r="AI25" s="20">
        <f>Funding!AI22-Funding!AI24</f>
        <v/>
      </c>
      <c r="AJ25" s="20">
        <f>Funding!AJ22-Funding!AJ24</f>
        <v/>
      </c>
      <c r="AK25" s="20">
        <f>Funding!AK22-Funding!AK24</f>
        <v/>
      </c>
      <c r="AL25" s="20">
        <f>Funding!AL22-Funding!AL24</f>
        <v/>
      </c>
      <c r="AM25" s="20">
        <f>Funding!AM22-Funding!AM24</f>
        <v/>
      </c>
      <c r="AN25" s="20">
        <f>Funding!AN22-Funding!AN24</f>
        <v/>
      </c>
      <c r="AO25" s="20">
        <f>Funding!AO22-Funding!AO24</f>
        <v/>
      </c>
      <c r="AP25" s="20">
        <f>Funding!AP22-Funding!AP24</f>
        <v/>
      </c>
      <c r="AQ25" s="20">
        <f>Funding!AQ22-Funding!AQ24</f>
        <v/>
      </c>
      <c r="AR25" s="20">
        <f>Funding!AR22-Funding!AR24</f>
        <v/>
      </c>
      <c r="AS25" s="20">
        <f>Funding!AS22-Funding!AS24</f>
        <v/>
      </c>
      <c r="AT25" s="20">
        <f>Funding!AT22-Funding!AT24</f>
        <v/>
      </c>
      <c r="AU25" s="20">
        <f>Funding!AU22-Funding!AU24</f>
        <v/>
      </c>
    </row>
    <row r="26">
      <c r="D26" t="inlineStr">
        <is>
          <t>Base P50 distributions from A1 group (CFADS less sculpted debt service)</t>
        </is>
      </c>
      <c r="E26" t="inlineStr">
        <is>
          <t>USD m</t>
        </is>
      </c>
      <c r="J26" s="20">
        <f>Operations!J771-Funding!J15</f>
        <v/>
      </c>
      <c r="K26" s="20">
        <f>Operations!K771-Funding!K15</f>
        <v/>
      </c>
      <c r="L26" s="20">
        <f>Operations!L771-Funding!L15</f>
        <v/>
      </c>
      <c r="M26" s="20">
        <f>Operations!M771-Funding!M15</f>
        <v/>
      </c>
      <c r="N26" s="20">
        <f>Operations!N771-Funding!N15</f>
        <v/>
      </c>
      <c r="O26" s="20">
        <f>Operations!O771-Funding!O15</f>
        <v/>
      </c>
      <c r="P26" s="20">
        <f>Operations!P771-Funding!P15</f>
        <v/>
      </c>
      <c r="Q26" s="20">
        <f>Operations!Q771-Funding!Q15</f>
        <v/>
      </c>
      <c r="R26" s="20">
        <f>Operations!R771-Funding!R15</f>
        <v/>
      </c>
      <c r="S26" s="20">
        <f>Operations!S771-Funding!S15</f>
        <v/>
      </c>
      <c r="T26" s="20">
        <f>Operations!T771-Funding!T15</f>
        <v/>
      </c>
      <c r="U26" s="20">
        <f>Operations!U771-Funding!U15</f>
        <v/>
      </c>
      <c r="V26" s="20">
        <f>Operations!V771-Funding!V15</f>
        <v/>
      </c>
      <c r="W26" s="20">
        <f>Operations!W771-Funding!W15</f>
        <v/>
      </c>
      <c r="X26" s="20">
        <f>Operations!X771-Funding!X15</f>
        <v/>
      </c>
      <c r="Y26" s="20">
        <f>Operations!Y771-Funding!Y15</f>
        <v/>
      </c>
      <c r="Z26" s="20">
        <f>Operations!Z771-Funding!Z15</f>
        <v/>
      </c>
      <c r="AA26" s="20">
        <f>Operations!AA771-Funding!AA15</f>
        <v/>
      </c>
      <c r="AB26" s="20">
        <f>Operations!AB771-Funding!AB15</f>
        <v/>
      </c>
      <c r="AC26" s="20">
        <f>Operations!AC771-Funding!AC15</f>
        <v/>
      </c>
      <c r="AD26" s="20">
        <f>Operations!AD771-Funding!AD15</f>
        <v/>
      </c>
      <c r="AE26" s="20">
        <f>Operations!AE771-Funding!AE15</f>
        <v/>
      </c>
      <c r="AF26" s="20">
        <f>Operations!AF771-Funding!AF15</f>
        <v/>
      </c>
      <c r="AG26" s="20">
        <f>Operations!AG771-Funding!AG15</f>
        <v/>
      </c>
      <c r="AH26" s="20">
        <f>Operations!AH771-Funding!AH15</f>
        <v/>
      </c>
      <c r="AI26" s="20">
        <f>Operations!AI771-Funding!AI15</f>
        <v/>
      </c>
      <c r="AJ26" s="20">
        <f>Operations!AJ771-Funding!AJ15</f>
        <v/>
      </c>
      <c r="AK26" s="20">
        <f>Operations!AK771-Funding!AK15</f>
        <v/>
      </c>
      <c r="AL26" s="20">
        <f>Operations!AL771-Funding!AL15</f>
        <v/>
      </c>
      <c r="AM26" s="20">
        <f>Operations!AM771-Funding!AM15</f>
        <v/>
      </c>
      <c r="AN26" s="20">
        <f>Operations!AN771-Funding!AN15</f>
        <v/>
      </c>
      <c r="AO26" s="20">
        <f>Operations!AO771-Funding!AO15</f>
        <v/>
      </c>
      <c r="AP26" s="20">
        <f>Operations!AP771-Funding!AP15</f>
        <v/>
      </c>
      <c r="AQ26" s="20">
        <f>Operations!AQ771-Funding!AQ15</f>
        <v/>
      </c>
      <c r="AR26" s="20">
        <f>Operations!AR771-Funding!AR15</f>
        <v/>
      </c>
      <c r="AS26" s="20">
        <f>Operations!AS771-Funding!AS15</f>
        <v/>
      </c>
      <c r="AT26" s="20">
        <f>Operations!AT771-Funding!AT15</f>
        <v/>
      </c>
      <c r="AU26" s="20">
        <f>Operations!AU771-Funding!AU15</f>
        <v/>
      </c>
    </row>
    <row r="28">
      <c r="A28" s="4" t="inlineStr">
        <is>
          <t>Holdco term loan B, March 22, 2022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</row>
    <row r="29">
      <c r="D29" t="inlineStr">
        <is>
          <t>Interest period fraction to maturity</t>
        </is>
      </c>
      <c r="E29" t="inlineStr">
        <is>
          <t>fraction</t>
        </is>
      </c>
      <c r="J29" s="14">
        <f>MAX(0,MIN(Inputs!$F$283,Time!J$6)-MAX(Inputs!$F$282,Time!J$5))/Time!J$7</f>
        <v/>
      </c>
      <c r="K29" s="14">
        <f>MAX(0,MIN(Inputs!$F$283,Time!K$6)-MAX(Inputs!$F$282,Time!K$5))/Time!K$7</f>
        <v/>
      </c>
      <c r="L29" s="14">
        <f>MAX(0,MIN(Inputs!$F$283,Time!L$6)-MAX(Inputs!$F$282,Time!L$5))/Time!L$7</f>
        <v/>
      </c>
      <c r="M29" s="14">
        <f>MAX(0,MIN(Inputs!$F$283,Time!M$6)-MAX(Inputs!$F$282,Time!M$5))/Time!M$7</f>
        <v/>
      </c>
      <c r="N29" s="14">
        <f>MAX(0,MIN(Inputs!$F$283,Time!N$6)-MAX(Inputs!$F$282,Time!N$5))/Time!N$7</f>
        <v/>
      </c>
      <c r="O29" s="14">
        <f>MAX(0,MIN(Inputs!$F$283,Time!O$6)-MAX(Inputs!$F$282,Time!O$5))/Time!O$7</f>
        <v/>
      </c>
      <c r="P29" s="14">
        <f>MAX(0,MIN(Inputs!$F$283,Time!P$6)-MAX(Inputs!$F$282,Time!P$5))/Time!P$7</f>
        <v/>
      </c>
      <c r="Q29" s="14">
        <f>MAX(0,MIN(Inputs!$F$283,Time!Q$6)-MAX(Inputs!$F$282,Time!Q$5))/Time!Q$7</f>
        <v/>
      </c>
      <c r="R29" s="14">
        <f>MAX(0,MIN(Inputs!$F$283,Time!R$6)-MAX(Inputs!$F$282,Time!R$5))/Time!R$7</f>
        <v/>
      </c>
      <c r="S29" s="14">
        <f>MAX(0,MIN(Inputs!$F$283,Time!S$6)-MAX(Inputs!$F$282,Time!S$5))/Time!S$7</f>
        <v/>
      </c>
      <c r="T29" s="14">
        <f>MAX(0,MIN(Inputs!$F$283,Time!T$6)-MAX(Inputs!$F$282,Time!T$5))/Time!T$7</f>
        <v/>
      </c>
      <c r="U29" s="14">
        <f>MAX(0,MIN(Inputs!$F$283,Time!U$6)-MAX(Inputs!$F$282,Time!U$5))/Time!U$7</f>
        <v/>
      </c>
      <c r="V29" s="14">
        <f>MAX(0,MIN(Inputs!$F$283,Time!V$6)-MAX(Inputs!$F$282,Time!V$5))/Time!V$7</f>
        <v/>
      </c>
      <c r="W29" s="14">
        <f>MAX(0,MIN(Inputs!$F$283,Time!W$6)-MAX(Inputs!$F$282,Time!W$5))/Time!W$7</f>
        <v/>
      </c>
      <c r="X29" s="14">
        <f>MAX(0,MIN(Inputs!$F$283,Time!X$6)-MAX(Inputs!$F$282,Time!X$5))/Time!X$7</f>
        <v/>
      </c>
      <c r="Y29" s="14">
        <f>MAX(0,MIN(Inputs!$F$283,Time!Y$6)-MAX(Inputs!$F$282,Time!Y$5))/Time!Y$7</f>
        <v/>
      </c>
      <c r="Z29" s="14">
        <f>MAX(0,MIN(Inputs!$F$283,Time!Z$6)-MAX(Inputs!$F$282,Time!Z$5))/Time!Z$7</f>
        <v/>
      </c>
      <c r="AA29" s="14">
        <f>MAX(0,MIN(Inputs!$F$283,Time!AA$6)-MAX(Inputs!$F$282,Time!AA$5))/Time!AA$7</f>
        <v/>
      </c>
      <c r="AB29" s="14">
        <f>MAX(0,MIN(Inputs!$F$283,Time!AB$6)-MAX(Inputs!$F$282,Time!AB$5))/Time!AB$7</f>
        <v/>
      </c>
      <c r="AC29" s="14">
        <f>MAX(0,MIN(Inputs!$F$283,Time!AC$6)-MAX(Inputs!$F$282,Time!AC$5))/Time!AC$7</f>
        <v/>
      </c>
      <c r="AD29" s="14">
        <f>MAX(0,MIN(Inputs!$F$283,Time!AD$6)-MAX(Inputs!$F$282,Time!AD$5))/Time!AD$7</f>
        <v/>
      </c>
      <c r="AE29" s="14">
        <f>MAX(0,MIN(Inputs!$F$283,Time!AE$6)-MAX(Inputs!$F$282,Time!AE$5))/Time!AE$7</f>
        <v/>
      </c>
      <c r="AF29" s="14">
        <f>MAX(0,MIN(Inputs!$F$283,Time!AF$6)-MAX(Inputs!$F$282,Time!AF$5))/Time!AF$7</f>
        <v/>
      </c>
      <c r="AG29" s="14">
        <f>MAX(0,MIN(Inputs!$F$283,Time!AG$6)-MAX(Inputs!$F$282,Time!AG$5))/Time!AG$7</f>
        <v/>
      </c>
      <c r="AH29" s="14">
        <f>MAX(0,MIN(Inputs!$F$283,Time!AH$6)-MAX(Inputs!$F$282,Time!AH$5))/Time!AH$7</f>
        <v/>
      </c>
      <c r="AI29" s="14">
        <f>MAX(0,MIN(Inputs!$F$283,Time!AI$6)-MAX(Inputs!$F$282,Time!AI$5))/Time!AI$7</f>
        <v/>
      </c>
      <c r="AJ29" s="14">
        <f>MAX(0,MIN(Inputs!$F$283,Time!AJ$6)-MAX(Inputs!$F$282,Time!AJ$5))/Time!AJ$7</f>
        <v/>
      </c>
      <c r="AK29" s="14">
        <f>MAX(0,MIN(Inputs!$F$283,Time!AK$6)-MAX(Inputs!$F$282,Time!AK$5))/Time!AK$7</f>
        <v/>
      </c>
      <c r="AL29" s="14">
        <f>MAX(0,MIN(Inputs!$F$283,Time!AL$6)-MAX(Inputs!$F$282,Time!AL$5))/Time!AL$7</f>
        <v/>
      </c>
      <c r="AM29" s="14">
        <f>MAX(0,MIN(Inputs!$F$283,Time!AM$6)-MAX(Inputs!$F$282,Time!AM$5))/Time!AM$7</f>
        <v/>
      </c>
      <c r="AN29" s="14">
        <f>MAX(0,MIN(Inputs!$F$283,Time!AN$6)-MAX(Inputs!$F$282,Time!AN$5))/Time!AN$7</f>
        <v/>
      </c>
      <c r="AO29" s="14">
        <f>MAX(0,MIN(Inputs!$F$283,Time!AO$6)-MAX(Inputs!$F$282,Time!AO$5))/Time!AO$7</f>
        <v/>
      </c>
      <c r="AP29" s="14">
        <f>MAX(0,MIN(Inputs!$F$283,Time!AP$6)-MAX(Inputs!$F$282,Time!AP$5))/Time!AP$7</f>
        <v/>
      </c>
      <c r="AQ29" s="14">
        <f>MAX(0,MIN(Inputs!$F$283,Time!AQ$6)-MAX(Inputs!$F$282,Time!AQ$5))/Time!AQ$7</f>
        <v/>
      </c>
      <c r="AR29" s="14">
        <f>MAX(0,MIN(Inputs!$F$283,Time!AR$6)-MAX(Inputs!$F$282,Time!AR$5))/Time!AR$7</f>
        <v/>
      </c>
      <c r="AS29" s="14">
        <f>MAX(0,MIN(Inputs!$F$283,Time!AS$6)-MAX(Inputs!$F$282,Time!AS$5))/Time!AS$7</f>
        <v/>
      </c>
      <c r="AT29" s="14">
        <f>MAX(0,MIN(Inputs!$F$283,Time!AT$6)-MAX(Inputs!$F$282,Time!AT$5))/Time!AT$7</f>
        <v/>
      </c>
      <c r="AU29" s="14">
        <f>MAX(0,MIN(Inputs!$F$283,Time!AU$6)-MAX(Inputs!$F$282,Time!AU$5))/Time!AU$7</f>
        <v/>
      </c>
    </row>
    <row r="30">
      <c r="D30" t="inlineStr">
        <is>
          <t>Rate (SOFR floored + margin)</t>
        </is>
      </c>
      <c r="E30" t="inlineStr">
        <is>
          <t>%</t>
        </is>
      </c>
      <c r="J30" s="15">
        <f>MAX(Inputs!J80,Inputs!$F$285)+Inputs!$F$284</f>
        <v/>
      </c>
      <c r="K30" s="15">
        <f>MAX(Inputs!K80,Inputs!$F$285)+Inputs!$F$284</f>
        <v/>
      </c>
      <c r="L30" s="15">
        <f>MAX(Inputs!L80,Inputs!$F$285)+Inputs!$F$284</f>
        <v/>
      </c>
      <c r="M30" s="15">
        <f>MAX(Inputs!M80,Inputs!$F$285)+Inputs!$F$284</f>
        <v/>
      </c>
      <c r="N30" s="15">
        <f>MAX(Inputs!N80,Inputs!$F$285)+Inputs!$F$284</f>
        <v/>
      </c>
      <c r="O30" s="15">
        <f>MAX(Inputs!O80,Inputs!$F$285)+Inputs!$F$284</f>
        <v/>
      </c>
      <c r="P30" s="15">
        <f>MAX(Inputs!P80,Inputs!$F$285)+Inputs!$F$284</f>
        <v/>
      </c>
      <c r="Q30" s="15">
        <f>MAX(Inputs!Q80,Inputs!$F$285)+Inputs!$F$284</f>
        <v/>
      </c>
      <c r="R30" s="15">
        <f>MAX(Inputs!R80,Inputs!$F$285)+Inputs!$F$284</f>
        <v/>
      </c>
      <c r="S30" s="15">
        <f>MAX(Inputs!S80,Inputs!$F$285)+Inputs!$F$284</f>
        <v/>
      </c>
      <c r="T30" s="15">
        <f>MAX(Inputs!T80,Inputs!$F$285)+Inputs!$F$284</f>
        <v/>
      </c>
      <c r="U30" s="15">
        <f>MAX(Inputs!U80,Inputs!$F$285)+Inputs!$F$284</f>
        <v/>
      </c>
      <c r="V30" s="15">
        <f>MAX(Inputs!V80,Inputs!$F$285)+Inputs!$F$284</f>
        <v/>
      </c>
      <c r="W30" s="15">
        <f>MAX(Inputs!W80,Inputs!$F$285)+Inputs!$F$284</f>
        <v/>
      </c>
      <c r="X30" s="15">
        <f>MAX(Inputs!X80,Inputs!$F$285)+Inputs!$F$284</f>
        <v/>
      </c>
      <c r="Y30" s="15">
        <f>MAX(Inputs!Y80,Inputs!$F$285)+Inputs!$F$284</f>
        <v/>
      </c>
      <c r="Z30" s="15">
        <f>MAX(Inputs!Z80,Inputs!$F$285)+Inputs!$F$284</f>
        <v/>
      </c>
      <c r="AA30" s="15">
        <f>MAX(Inputs!AA80,Inputs!$F$285)+Inputs!$F$284</f>
        <v/>
      </c>
      <c r="AB30" s="15">
        <f>MAX(Inputs!AB80,Inputs!$F$285)+Inputs!$F$284</f>
        <v/>
      </c>
      <c r="AC30" s="15">
        <f>MAX(Inputs!AC80,Inputs!$F$285)+Inputs!$F$284</f>
        <v/>
      </c>
      <c r="AD30" s="15">
        <f>MAX(Inputs!AD80,Inputs!$F$285)+Inputs!$F$284</f>
        <v/>
      </c>
      <c r="AE30" s="15">
        <f>MAX(Inputs!AE80,Inputs!$F$285)+Inputs!$F$284</f>
        <v/>
      </c>
      <c r="AF30" s="15">
        <f>MAX(Inputs!AF80,Inputs!$F$285)+Inputs!$F$284</f>
        <v/>
      </c>
      <c r="AG30" s="15">
        <f>MAX(Inputs!AG80,Inputs!$F$285)+Inputs!$F$284</f>
        <v/>
      </c>
      <c r="AH30" s="15">
        <f>MAX(Inputs!AH80,Inputs!$F$285)+Inputs!$F$284</f>
        <v/>
      </c>
      <c r="AI30" s="15">
        <f>MAX(Inputs!AI80,Inputs!$F$285)+Inputs!$F$284</f>
        <v/>
      </c>
      <c r="AJ30" s="15">
        <f>MAX(Inputs!AJ80,Inputs!$F$285)+Inputs!$F$284</f>
        <v/>
      </c>
      <c r="AK30" s="15">
        <f>MAX(Inputs!AK80,Inputs!$F$285)+Inputs!$F$284</f>
        <v/>
      </c>
      <c r="AL30" s="15">
        <f>MAX(Inputs!AL80,Inputs!$F$285)+Inputs!$F$284</f>
        <v/>
      </c>
      <c r="AM30" s="15">
        <f>MAX(Inputs!AM80,Inputs!$F$285)+Inputs!$F$284</f>
        <v/>
      </c>
      <c r="AN30" s="15">
        <f>MAX(Inputs!AN80,Inputs!$F$285)+Inputs!$F$284</f>
        <v/>
      </c>
      <c r="AO30" s="15">
        <f>MAX(Inputs!AO80,Inputs!$F$285)+Inputs!$F$284</f>
        <v/>
      </c>
      <c r="AP30" s="15">
        <f>MAX(Inputs!AP80,Inputs!$F$285)+Inputs!$F$284</f>
        <v/>
      </c>
      <c r="AQ30" s="15">
        <f>MAX(Inputs!AQ80,Inputs!$F$285)+Inputs!$F$284</f>
        <v/>
      </c>
      <c r="AR30" s="15">
        <f>MAX(Inputs!AR80,Inputs!$F$285)+Inputs!$F$284</f>
        <v/>
      </c>
      <c r="AS30" s="15">
        <f>MAX(Inputs!AS80,Inputs!$F$285)+Inputs!$F$284</f>
        <v/>
      </c>
      <c r="AT30" s="15">
        <f>MAX(Inputs!AT80,Inputs!$F$285)+Inputs!$F$284</f>
        <v/>
      </c>
      <c r="AU30" s="15">
        <f>MAX(Inputs!AU80,Inputs!$F$285)+Inputs!$F$284</f>
        <v/>
      </c>
    </row>
    <row r="31">
      <c r="D31" t="inlineStr">
        <is>
          <t>Scheduled amortization per unit of face</t>
        </is>
      </c>
      <c r="E31" t="inlineStr">
        <is>
          <t>factor</t>
        </is>
      </c>
      <c r="J31" s="14">
        <f>Inputs!$F$287/100*Funding!J29</f>
        <v/>
      </c>
      <c r="K31" s="14">
        <f>Inputs!$F$287/100*Funding!K29</f>
        <v/>
      </c>
      <c r="L31" s="14">
        <f>Inputs!$F$287/100*Funding!L29</f>
        <v/>
      </c>
      <c r="M31" s="14">
        <f>Inputs!$F$287/100*Funding!M29</f>
        <v/>
      </c>
      <c r="N31" s="14">
        <f>Inputs!$F$287/100*Funding!N29</f>
        <v/>
      </c>
      <c r="O31" s="14">
        <f>Inputs!$F$287/100*Funding!O29</f>
        <v/>
      </c>
      <c r="P31" s="14">
        <f>Inputs!$F$287/100*Funding!P29</f>
        <v/>
      </c>
      <c r="Q31" s="14">
        <f>Inputs!$F$287/100*Funding!Q29</f>
        <v/>
      </c>
      <c r="R31" s="14">
        <f>Inputs!$F$287/100*Funding!R29</f>
        <v/>
      </c>
      <c r="S31" s="14">
        <f>Inputs!$F$287/100*Funding!S29</f>
        <v/>
      </c>
      <c r="T31" s="14">
        <f>Inputs!$F$287/100*Funding!T29</f>
        <v/>
      </c>
      <c r="U31" s="14">
        <f>Inputs!$F$287/100*Funding!U29</f>
        <v/>
      </c>
      <c r="V31" s="14">
        <f>Inputs!$F$287/100*Funding!V29</f>
        <v/>
      </c>
      <c r="W31" s="14">
        <f>Inputs!$F$287/100*Funding!W29</f>
        <v/>
      </c>
      <c r="X31" s="14">
        <f>Inputs!$F$287/100*Funding!X29</f>
        <v/>
      </c>
      <c r="Y31" s="14">
        <f>Inputs!$F$287/100*Funding!Y29</f>
        <v/>
      </c>
      <c r="Z31" s="14">
        <f>Inputs!$F$287/100*Funding!Z29</f>
        <v/>
      </c>
      <c r="AA31" s="14">
        <f>Inputs!$F$287/100*Funding!AA29</f>
        <v/>
      </c>
      <c r="AB31" s="14">
        <f>Inputs!$F$287/100*Funding!AB29</f>
        <v/>
      </c>
      <c r="AC31" s="14">
        <f>Inputs!$F$287/100*Funding!AC29</f>
        <v/>
      </c>
      <c r="AD31" s="14">
        <f>Inputs!$F$287/100*Funding!AD29</f>
        <v/>
      </c>
      <c r="AE31" s="14">
        <f>Inputs!$F$287/100*Funding!AE29</f>
        <v/>
      </c>
      <c r="AF31" s="14">
        <f>Inputs!$F$287/100*Funding!AF29</f>
        <v/>
      </c>
      <c r="AG31" s="14">
        <f>Inputs!$F$287/100*Funding!AG29</f>
        <v/>
      </c>
      <c r="AH31" s="14">
        <f>Inputs!$F$287/100*Funding!AH29</f>
        <v/>
      </c>
      <c r="AI31" s="14">
        <f>Inputs!$F$287/100*Funding!AI29</f>
        <v/>
      </c>
      <c r="AJ31" s="14">
        <f>Inputs!$F$287/100*Funding!AJ29</f>
        <v/>
      </c>
      <c r="AK31" s="14">
        <f>Inputs!$F$287/100*Funding!AK29</f>
        <v/>
      </c>
      <c r="AL31" s="14">
        <f>Inputs!$F$287/100*Funding!AL29</f>
        <v/>
      </c>
      <c r="AM31" s="14">
        <f>Inputs!$F$287/100*Funding!AM29</f>
        <v/>
      </c>
      <c r="AN31" s="14">
        <f>Inputs!$F$287/100*Funding!AN29</f>
        <v/>
      </c>
      <c r="AO31" s="14">
        <f>Inputs!$F$287/100*Funding!AO29</f>
        <v/>
      </c>
      <c r="AP31" s="14">
        <f>Inputs!$F$287/100*Funding!AP29</f>
        <v/>
      </c>
      <c r="AQ31" s="14">
        <f>Inputs!$F$287/100*Funding!AQ29</f>
        <v/>
      </c>
      <c r="AR31" s="14">
        <f>Inputs!$F$287/100*Funding!AR29</f>
        <v/>
      </c>
      <c r="AS31" s="14">
        <f>Inputs!$F$287/100*Funding!AS29</f>
        <v/>
      </c>
      <c r="AT31" s="14">
        <f>Inputs!$F$287/100*Funding!AT29</f>
        <v/>
      </c>
      <c r="AU31" s="14">
        <f>Inputs!$F$287/100*Funding!AU29</f>
        <v/>
      </c>
    </row>
    <row r="32">
      <c r="D32" t="inlineStr">
        <is>
          <t>Scheduled balance per unit of face</t>
        </is>
      </c>
      <c r="E32" t="inlineStr">
        <is>
          <t>factor</t>
        </is>
      </c>
      <c r="J32" s="14">
        <f>IF(Time!J$4=Inputs!$F$23,1,I32-I31)</f>
        <v/>
      </c>
      <c r="K32" s="14">
        <f>IF(Time!K$4=Inputs!$F$23,1,J32-J31)</f>
        <v/>
      </c>
      <c r="L32" s="14">
        <f>IF(Time!L$4=Inputs!$F$23,1,K32-K31)</f>
        <v/>
      </c>
      <c r="M32" s="14">
        <f>IF(Time!M$4=Inputs!$F$23,1,L32-L31)</f>
        <v/>
      </c>
      <c r="N32" s="14">
        <f>IF(Time!N$4=Inputs!$F$23,1,M32-M31)</f>
        <v/>
      </c>
      <c r="O32" s="14">
        <f>IF(Time!O$4=Inputs!$F$23,1,N32-N31)</f>
        <v/>
      </c>
      <c r="P32" s="14">
        <f>IF(Time!P$4=Inputs!$F$23,1,O32-O31)</f>
        <v/>
      </c>
      <c r="Q32" s="14">
        <f>IF(Time!Q$4=Inputs!$F$23,1,P32-P31)</f>
        <v/>
      </c>
      <c r="R32" s="14">
        <f>IF(Time!R$4=Inputs!$F$23,1,Q32-Q31)</f>
        <v/>
      </c>
      <c r="S32" s="14">
        <f>IF(Time!S$4=Inputs!$F$23,1,R32-R31)</f>
        <v/>
      </c>
      <c r="T32" s="14">
        <f>IF(Time!T$4=Inputs!$F$23,1,S32-S31)</f>
        <v/>
      </c>
      <c r="U32" s="14">
        <f>IF(Time!U$4=Inputs!$F$23,1,T32-T31)</f>
        <v/>
      </c>
      <c r="V32" s="14">
        <f>IF(Time!V$4=Inputs!$F$23,1,U32-U31)</f>
        <v/>
      </c>
      <c r="W32" s="14">
        <f>IF(Time!W$4=Inputs!$F$23,1,V32-V31)</f>
        <v/>
      </c>
      <c r="X32" s="14">
        <f>IF(Time!X$4=Inputs!$F$23,1,W32-W31)</f>
        <v/>
      </c>
      <c r="Y32" s="14">
        <f>IF(Time!Y$4=Inputs!$F$23,1,X32-X31)</f>
        <v/>
      </c>
      <c r="Z32" s="14">
        <f>IF(Time!Z$4=Inputs!$F$23,1,Y32-Y31)</f>
        <v/>
      </c>
      <c r="AA32" s="14">
        <f>IF(Time!AA$4=Inputs!$F$23,1,Z32-Z31)</f>
        <v/>
      </c>
      <c r="AB32" s="14">
        <f>IF(Time!AB$4=Inputs!$F$23,1,AA32-AA31)</f>
        <v/>
      </c>
      <c r="AC32" s="14">
        <f>IF(Time!AC$4=Inputs!$F$23,1,AB32-AB31)</f>
        <v/>
      </c>
      <c r="AD32" s="14">
        <f>IF(Time!AD$4=Inputs!$F$23,1,AC32-AC31)</f>
        <v/>
      </c>
      <c r="AE32" s="14">
        <f>IF(Time!AE$4=Inputs!$F$23,1,AD32-AD31)</f>
        <v/>
      </c>
      <c r="AF32" s="14">
        <f>IF(Time!AF$4=Inputs!$F$23,1,AE32-AE31)</f>
        <v/>
      </c>
      <c r="AG32" s="14">
        <f>IF(Time!AG$4=Inputs!$F$23,1,AF32-AF31)</f>
        <v/>
      </c>
      <c r="AH32" s="14">
        <f>IF(Time!AH$4=Inputs!$F$23,1,AG32-AG31)</f>
        <v/>
      </c>
      <c r="AI32" s="14">
        <f>IF(Time!AI$4=Inputs!$F$23,1,AH32-AH31)</f>
        <v/>
      </c>
      <c r="AJ32" s="14">
        <f>IF(Time!AJ$4=Inputs!$F$23,1,AI32-AI31)</f>
        <v/>
      </c>
      <c r="AK32" s="14">
        <f>IF(Time!AK$4=Inputs!$F$23,1,AJ32-AJ31)</f>
        <v/>
      </c>
      <c r="AL32" s="14">
        <f>IF(Time!AL$4=Inputs!$F$23,1,AK32-AK31)</f>
        <v/>
      </c>
      <c r="AM32" s="14">
        <f>IF(Time!AM$4=Inputs!$F$23,1,AL32-AL31)</f>
        <v/>
      </c>
      <c r="AN32" s="14">
        <f>IF(Time!AN$4=Inputs!$F$23,1,AM32-AM31)</f>
        <v/>
      </c>
      <c r="AO32" s="14">
        <f>IF(Time!AO$4=Inputs!$F$23,1,AN32-AN31)</f>
        <v/>
      </c>
      <c r="AP32" s="14">
        <f>IF(Time!AP$4=Inputs!$F$23,1,AO32-AO31)</f>
        <v/>
      </c>
      <c r="AQ32" s="14">
        <f>IF(Time!AQ$4=Inputs!$F$23,1,AP32-AP31)</f>
        <v/>
      </c>
      <c r="AR32" s="14">
        <f>IF(Time!AR$4=Inputs!$F$23,1,AQ32-AQ31)</f>
        <v/>
      </c>
      <c r="AS32" s="14">
        <f>IF(Time!AS$4=Inputs!$F$23,1,AR32-AR31)</f>
        <v/>
      </c>
      <c r="AT32" s="14">
        <f>IF(Time!AT$4=Inputs!$F$23,1,AS32-AS31)</f>
        <v/>
      </c>
      <c r="AU32" s="14">
        <f>IF(Time!AU$4=Inputs!$F$23,1,AT32-AT31)</f>
        <v/>
      </c>
    </row>
    <row r="33">
      <c r="D33" t="inlineStr">
        <is>
          <t>Debt service per unit of face</t>
        </is>
      </c>
      <c r="E33" t="inlineStr">
        <is>
          <t>factor</t>
        </is>
      </c>
      <c r="J33" s="14">
        <f>Funding!J32*Funding!J30/100*Funding!J29+Funding!J31</f>
        <v/>
      </c>
      <c r="K33" s="14">
        <f>Funding!K32*Funding!K30/100*Funding!K29+Funding!K31</f>
        <v/>
      </c>
      <c r="L33" s="14">
        <f>Funding!L32*Funding!L30/100*Funding!L29+Funding!L31</f>
        <v/>
      </c>
      <c r="M33" s="14">
        <f>Funding!M32*Funding!M30/100*Funding!M29+Funding!M31</f>
        <v/>
      </c>
      <c r="N33" s="14">
        <f>Funding!N32*Funding!N30/100*Funding!N29+Funding!N31</f>
        <v/>
      </c>
      <c r="O33" s="14">
        <f>Funding!O32*Funding!O30/100*Funding!O29+Funding!O31</f>
        <v/>
      </c>
      <c r="P33" s="14">
        <f>Funding!P32*Funding!P30/100*Funding!P29+Funding!P31</f>
        <v/>
      </c>
      <c r="Q33" s="14">
        <f>Funding!Q32*Funding!Q30/100*Funding!Q29+Funding!Q31</f>
        <v/>
      </c>
      <c r="R33" s="14">
        <f>Funding!R32*Funding!R30/100*Funding!R29+Funding!R31</f>
        <v/>
      </c>
      <c r="S33" s="14">
        <f>Funding!S32*Funding!S30/100*Funding!S29+Funding!S31</f>
        <v/>
      </c>
      <c r="T33" s="14">
        <f>Funding!T32*Funding!T30/100*Funding!T29+Funding!T31</f>
        <v/>
      </c>
      <c r="U33" s="14">
        <f>Funding!U32*Funding!U30/100*Funding!U29+Funding!U31</f>
        <v/>
      </c>
      <c r="V33" s="14">
        <f>Funding!V32*Funding!V30/100*Funding!V29+Funding!V31</f>
        <v/>
      </c>
      <c r="W33" s="14">
        <f>Funding!W32*Funding!W30/100*Funding!W29+Funding!W31</f>
        <v/>
      </c>
      <c r="X33" s="14">
        <f>Funding!X32*Funding!X30/100*Funding!X29+Funding!X31</f>
        <v/>
      </c>
      <c r="Y33" s="14">
        <f>Funding!Y32*Funding!Y30/100*Funding!Y29+Funding!Y31</f>
        <v/>
      </c>
      <c r="Z33" s="14">
        <f>Funding!Z32*Funding!Z30/100*Funding!Z29+Funding!Z31</f>
        <v/>
      </c>
      <c r="AA33" s="14">
        <f>Funding!AA32*Funding!AA30/100*Funding!AA29+Funding!AA31</f>
        <v/>
      </c>
      <c r="AB33" s="14">
        <f>Funding!AB32*Funding!AB30/100*Funding!AB29+Funding!AB31</f>
        <v/>
      </c>
      <c r="AC33" s="14">
        <f>Funding!AC32*Funding!AC30/100*Funding!AC29+Funding!AC31</f>
        <v/>
      </c>
      <c r="AD33" s="14">
        <f>Funding!AD32*Funding!AD30/100*Funding!AD29+Funding!AD31</f>
        <v/>
      </c>
      <c r="AE33" s="14">
        <f>Funding!AE32*Funding!AE30/100*Funding!AE29+Funding!AE31</f>
        <v/>
      </c>
      <c r="AF33" s="14">
        <f>Funding!AF32*Funding!AF30/100*Funding!AF29+Funding!AF31</f>
        <v/>
      </c>
      <c r="AG33" s="14">
        <f>Funding!AG32*Funding!AG30/100*Funding!AG29+Funding!AG31</f>
        <v/>
      </c>
      <c r="AH33" s="14">
        <f>Funding!AH32*Funding!AH30/100*Funding!AH29+Funding!AH31</f>
        <v/>
      </c>
      <c r="AI33" s="14">
        <f>Funding!AI32*Funding!AI30/100*Funding!AI29+Funding!AI31</f>
        <v/>
      </c>
      <c r="AJ33" s="14">
        <f>Funding!AJ32*Funding!AJ30/100*Funding!AJ29+Funding!AJ31</f>
        <v/>
      </c>
      <c r="AK33" s="14">
        <f>Funding!AK32*Funding!AK30/100*Funding!AK29+Funding!AK31</f>
        <v/>
      </c>
      <c r="AL33" s="14">
        <f>Funding!AL32*Funding!AL30/100*Funding!AL29+Funding!AL31</f>
        <v/>
      </c>
      <c r="AM33" s="14">
        <f>Funding!AM32*Funding!AM30/100*Funding!AM29+Funding!AM31</f>
        <v/>
      </c>
      <c r="AN33" s="14">
        <f>Funding!AN32*Funding!AN30/100*Funding!AN29+Funding!AN31</f>
        <v/>
      </c>
      <c r="AO33" s="14">
        <f>Funding!AO32*Funding!AO30/100*Funding!AO29+Funding!AO31</f>
        <v/>
      </c>
      <c r="AP33" s="14">
        <f>Funding!AP32*Funding!AP30/100*Funding!AP29+Funding!AP31</f>
        <v/>
      </c>
      <c r="AQ33" s="14">
        <f>Funding!AQ32*Funding!AQ30/100*Funding!AQ29+Funding!AQ31</f>
        <v/>
      </c>
      <c r="AR33" s="14">
        <f>Funding!AR32*Funding!AR30/100*Funding!AR29+Funding!AR31</f>
        <v/>
      </c>
      <c r="AS33" s="14">
        <f>Funding!AS32*Funding!AS30/100*Funding!AS29+Funding!AS31</f>
        <v/>
      </c>
      <c r="AT33" s="14">
        <f>Funding!AT32*Funding!AT30/100*Funding!AT29+Funding!AT31</f>
        <v/>
      </c>
      <c r="AU33" s="14">
        <f>Funding!AU32*Funding!AU30/100*Funding!AU29+Funding!AU31</f>
        <v/>
      </c>
    </row>
    <row r="34">
      <c r="D34" t="inlineStr">
        <is>
          <t>Coverage test year flag</t>
        </is>
      </c>
      <c r="E34" t="inlineStr">
        <is>
          <t>flag</t>
        </is>
      </c>
      <c r="J34" s="12">
        <f>(Time!J$4&gt;=Inputs!$F$291)*(Time!J$4&lt;=Inputs!$F$292)</f>
        <v/>
      </c>
      <c r="K34" s="12">
        <f>(Time!K$4&gt;=Inputs!$F$291)*(Time!K$4&lt;=Inputs!$F$292)</f>
        <v/>
      </c>
      <c r="L34" s="12">
        <f>(Time!L$4&gt;=Inputs!$F$291)*(Time!L$4&lt;=Inputs!$F$292)</f>
        <v/>
      </c>
      <c r="M34" s="12">
        <f>(Time!M$4&gt;=Inputs!$F$291)*(Time!M$4&lt;=Inputs!$F$292)</f>
        <v/>
      </c>
      <c r="N34" s="12">
        <f>(Time!N$4&gt;=Inputs!$F$291)*(Time!N$4&lt;=Inputs!$F$292)</f>
        <v/>
      </c>
      <c r="O34" s="12">
        <f>(Time!O$4&gt;=Inputs!$F$291)*(Time!O$4&lt;=Inputs!$F$292)</f>
        <v/>
      </c>
      <c r="P34" s="12">
        <f>(Time!P$4&gt;=Inputs!$F$291)*(Time!P$4&lt;=Inputs!$F$292)</f>
        <v/>
      </c>
      <c r="Q34" s="12">
        <f>(Time!Q$4&gt;=Inputs!$F$291)*(Time!Q$4&lt;=Inputs!$F$292)</f>
        <v/>
      </c>
      <c r="R34" s="12">
        <f>(Time!R$4&gt;=Inputs!$F$291)*(Time!R$4&lt;=Inputs!$F$292)</f>
        <v/>
      </c>
      <c r="S34" s="12">
        <f>(Time!S$4&gt;=Inputs!$F$291)*(Time!S$4&lt;=Inputs!$F$292)</f>
        <v/>
      </c>
      <c r="T34" s="12">
        <f>(Time!T$4&gt;=Inputs!$F$291)*(Time!T$4&lt;=Inputs!$F$292)</f>
        <v/>
      </c>
      <c r="U34" s="12">
        <f>(Time!U$4&gt;=Inputs!$F$291)*(Time!U$4&lt;=Inputs!$F$292)</f>
        <v/>
      </c>
      <c r="V34" s="12">
        <f>(Time!V$4&gt;=Inputs!$F$291)*(Time!V$4&lt;=Inputs!$F$292)</f>
        <v/>
      </c>
      <c r="W34" s="12">
        <f>(Time!W$4&gt;=Inputs!$F$291)*(Time!W$4&lt;=Inputs!$F$292)</f>
        <v/>
      </c>
      <c r="X34" s="12">
        <f>(Time!X$4&gt;=Inputs!$F$291)*(Time!X$4&lt;=Inputs!$F$292)</f>
        <v/>
      </c>
      <c r="Y34" s="12">
        <f>(Time!Y$4&gt;=Inputs!$F$291)*(Time!Y$4&lt;=Inputs!$F$292)</f>
        <v/>
      </c>
      <c r="Z34" s="12">
        <f>(Time!Z$4&gt;=Inputs!$F$291)*(Time!Z$4&lt;=Inputs!$F$292)</f>
        <v/>
      </c>
      <c r="AA34" s="12">
        <f>(Time!AA$4&gt;=Inputs!$F$291)*(Time!AA$4&lt;=Inputs!$F$292)</f>
        <v/>
      </c>
      <c r="AB34" s="12">
        <f>(Time!AB$4&gt;=Inputs!$F$291)*(Time!AB$4&lt;=Inputs!$F$292)</f>
        <v/>
      </c>
      <c r="AC34" s="12">
        <f>(Time!AC$4&gt;=Inputs!$F$291)*(Time!AC$4&lt;=Inputs!$F$292)</f>
        <v/>
      </c>
      <c r="AD34" s="12">
        <f>(Time!AD$4&gt;=Inputs!$F$291)*(Time!AD$4&lt;=Inputs!$F$292)</f>
        <v/>
      </c>
      <c r="AE34" s="12">
        <f>(Time!AE$4&gt;=Inputs!$F$291)*(Time!AE$4&lt;=Inputs!$F$292)</f>
        <v/>
      </c>
      <c r="AF34" s="12">
        <f>(Time!AF$4&gt;=Inputs!$F$291)*(Time!AF$4&lt;=Inputs!$F$292)</f>
        <v/>
      </c>
      <c r="AG34" s="12">
        <f>(Time!AG$4&gt;=Inputs!$F$291)*(Time!AG$4&lt;=Inputs!$F$292)</f>
        <v/>
      </c>
      <c r="AH34" s="12">
        <f>(Time!AH$4&gt;=Inputs!$F$291)*(Time!AH$4&lt;=Inputs!$F$292)</f>
        <v/>
      </c>
      <c r="AI34" s="12">
        <f>(Time!AI$4&gt;=Inputs!$F$291)*(Time!AI$4&lt;=Inputs!$F$292)</f>
        <v/>
      </c>
      <c r="AJ34" s="12">
        <f>(Time!AJ$4&gt;=Inputs!$F$291)*(Time!AJ$4&lt;=Inputs!$F$292)</f>
        <v/>
      </c>
      <c r="AK34" s="12">
        <f>(Time!AK$4&gt;=Inputs!$F$291)*(Time!AK$4&lt;=Inputs!$F$292)</f>
        <v/>
      </c>
      <c r="AL34" s="12">
        <f>(Time!AL$4&gt;=Inputs!$F$291)*(Time!AL$4&lt;=Inputs!$F$292)</f>
        <v/>
      </c>
      <c r="AM34" s="12">
        <f>(Time!AM$4&gt;=Inputs!$F$291)*(Time!AM$4&lt;=Inputs!$F$292)</f>
        <v/>
      </c>
      <c r="AN34" s="12">
        <f>(Time!AN$4&gt;=Inputs!$F$291)*(Time!AN$4&lt;=Inputs!$F$292)</f>
        <v/>
      </c>
      <c r="AO34" s="12">
        <f>(Time!AO$4&gt;=Inputs!$F$291)*(Time!AO$4&lt;=Inputs!$F$292)</f>
        <v/>
      </c>
      <c r="AP34" s="12">
        <f>(Time!AP$4&gt;=Inputs!$F$291)*(Time!AP$4&lt;=Inputs!$F$292)</f>
        <v/>
      </c>
      <c r="AQ34" s="12">
        <f>(Time!AQ$4&gt;=Inputs!$F$291)*(Time!AQ$4&lt;=Inputs!$F$292)</f>
        <v/>
      </c>
      <c r="AR34" s="12">
        <f>(Time!AR$4&gt;=Inputs!$F$291)*(Time!AR$4&lt;=Inputs!$F$292)</f>
        <v/>
      </c>
      <c r="AS34" s="12">
        <f>(Time!AS$4&gt;=Inputs!$F$291)*(Time!AS$4&lt;=Inputs!$F$292)</f>
        <v/>
      </c>
      <c r="AT34" s="12">
        <f>(Time!AT$4&gt;=Inputs!$F$291)*(Time!AT$4&lt;=Inputs!$F$292)</f>
        <v/>
      </c>
      <c r="AU34" s="12">
        <f>(Time!AU$4&gt;=Inputs!$F$291)*(Time!AU$4&lt;=Inputs!$F$292)</f>
        <v/>
      </c>
    </row>
    <row r="35">
      <c r="D35" t="inlineStr">
        <is>
          <t>Face supported at 1.75x coverage</t>
        </is>
      </c>
      <c r="E35" t="inlineStr">
        <is>
          <t>USD m</t>
        </is>
      </c>
      <c r="J35" s="20">
        <f>IF(Funding!J34&gt;0,Funding!J26/(Inputs!$F$289*IF(Funding!J33&gt;0,Funding!J33,1)),Inputs!$F$28)</f>
        <v/>
      </c>
      <c r="K35" s="20">
        <f>IF(Funding!K34&gt;0,Funding!K26/(Inputs!$F$289*IF(Funding!K33&gt;0,Funding!K33,1)),Inputs!$F$28)</f>
        <v/>
      </c>
      <c r="L35" s="20">
        <f>IF(Funding!L34&gt;0,Funding!L26/(Inputs!$F$289*IF(Funding!L33&gt;0,Funding!L33,1)),Inputs!$F$28)</f>
        <v/>
      </c>
      <c r="M35" s="20">
        <f>IF(Funding!M34&gt;0,Funding!M26/(Inputs!$F$289*IF(Funding!M33&gt;0,Funding!M33,1)),Inputs!$F$28)</f>
        <v/>
      </c>
      <c r="N35" s="20">
        <f>IF(Funding!N34&gt;0,Funding!N26/(Inputs!$F$289*IF(Funding!N33&gt;0,Funding!N33,1)),Inputs!$F$28)</f>
        <v/>
      </c>
      <c r="O35" s="20">
        <f>IF(Funding!O34&gt;0,Funding!O26/(Inputs!$F$289*IF(Funding!O33&gt;0,Funding!O33,1)),Inputs!$F$28)</f>
        <v/>
      </c>
      <c r="P35" s="20">
        <f>IF(Funding!P34&gt;0,Funding!P26/(Inputs!$F$289*IF(Funding!P33&gt;0,Funding!P33,1)),Inputs!$F$28)</f>
        <v/>
      </c>
      <c r="Q35" s="20">
        <f>IF(Funding!Q34&gt;0,Funding!Q26/(Inputs!$F$289*IF(Funding!Q33&gt;0,Funding!Q33,1)),Inputs!$F$28)</f>
        <v/>
      </c>
      <c r="R35" s="20">
        <f>IF(Funding!R34&gt;0,Funding!R26/(Inputs!$F$289*IF(Funding!R33&gt;0,Funding!R33,1)),Inputs!$F$28)</f>
        <v/>
      </c>
      <c r="S35" s="20">
        <f>IF(Funding!S34&gt;0,Funding!S26/(Inputs!$F$289*IF(Funding!S33&gt;0,Funding!S33,1)),Inputs!$F$28)</f>
        <v/>
      </c>
      <c r="T35" s="20">
        <f>IF(Funding!T34&gt;0,Funding!T26/(Inputs!$F$289*IF(Funding!T33&gt;0,Funding!T33,1)),Inputs!$F$28)</f>
        <v/>
      </c>
      <c r="U35" s="20">
        <f>IF(Funding!U34&gt;0,Funding!U26/(Inputs!$F$289*IF(Funding!U33&gt;0,Funding!U33,1)),Inputs!$F$28)</f>
        <v/>
      </c>
      <c r="V35" s="20">
        <f>IF(Funding!V34&gt;0,Funding!V26/(Inputs!$F$289*IF(Funding!V33&gt;0,Funding!V33,1)),Inputs!$F$28)</f>
        <v/>
      </c>
      <c r="W35" s="20">
        <f>IF(Funding!W34&gt;0,Funding!W26/(Inputs!$F$289*IF(Funding!W33&gt;0,Funding!W33,1)),Inputs!$F$28)</f>
        <v/>
      </c>
      <c r="X35" s="20">
        <f>IF(Funding!X34&gt;0,Funding!X26/(Inputs!$F$289*IF(Funding!X33&gt;0,Funding!X33,1)),Inputs!$F$28)</f>
        <v/>
      </c>
      <c r="Y35" s="20">
        <f>IF(Funding!Y34&gt;0,Funding!Y26/(Inputs!$F$289*IF(Funding!Y33&gt;0,Funding!Y33,1)),Inputs!$F$28)</f>
        <v/>
      </c>
      <c r="Z35" s="20">
        <f>IF(Funding!Z34&gt;0,Funding!Z26/(Inputs!$F$289*IF(Funding!Z33&gt;0,Funding!Z33,1)),Inputs!$F$28)</f>
        <v/>
      </c>
      <c r="AA35" s="20">
        <f>IF(Funding!AA34&gt;0,Funding!AA26/(Inputs!$F$289*IF(Funding!AA33&gt;0,Funding!AA33,1)),Inputs!$F$28)</f>
        <v/>
      </c>
      <c r="AB35" s="20">
        <f>IF(Funding!AB34&gt;0,Funding!AB26/(Inputs!$F$289*IF(Funding!AB33&gt;0,Funding!AB33,1)),Inputs!$F$28)</f>
        <v/>
      </c>
      <c r="AC35" s="20">
        <f>IF(Funding!AC34&gt;0,Funding!AC26/(Inputs!$F$289*IF(Funding!AC33&gt;0,Funding!AC33,1)),Inputs!$F$28)</f>
        <v/>
      </c>
      <c r="AD35" s="20">
        <f>IF(Funding!AD34&gt;0,Funding!AD26/(Inputs!$F$289*IF(Funding!AD33&gt;0,Funding!AD33,1)),Inputs!$F$28)</f>
        <v/>
      </c>
      <c r="AE35" s="20">
        <f>IF(Funding!AE34&gt;0,Funding!AE26/(Inputs!$F$289*IF(Funding!AE33&gt;0,Funding!AE33,1)),Inputs!$F$28)</f>
        <v/>
      </c>
      <c r="AF35" s="20">
        <f>IF(Funding!AF34&gt;0,Funding!AF26/(Inputs!$F$289*IF(Funding!AF33&gt;0,Funding!AF33,1)),Inputs!$F$28)</f>
        <v/>
      </c>
      <c r="AG35" s="20">
        <f>IF(Funding!AG34&gt;0,Funding!AG26/(Inputs!$F$289*IF(Funding!AG33&gt;0,Funding!AG33,1)),Inputs!$F$28)</f>
        <v/>
      </c>
      <c r="AH35" s="20">
        <f>IF(Funding!AH34&gt;0,Funding!AH26/(Inputs!$F$289*IF(Funding!AH33&gt;0,Funding!AH33,1)),Inputs!$F$28)</f>
        <v/>
      </c>
      <c r="AI35" s="20">
        <f>IF(Funding!AI34&gt;0,Funding!AI26/(Inputs!$F$289*IF(Funding!AI33&gt;0,Funding!AI33,1)),Inputs!$F$28)</f>
        <v/>
      </c>
      <c r="AJ35" s="20">
        <f>IF(Funding!AJ34&gt;0,Funding!AJ26/(Inputs!$F$289*IF(Funding!AJ33&gt;0,Funding!AJ33,1)),Inputs!$F$28)</f>
        <v/>
      </c>
      <c r="AK35" s="20">
        <f>IF(Funding!AK34&gt;0,Funding!AK26/(Inputs!$F$289*IF(Funding!AK33&gt;0,Funding!AK33,1)),Inputs!$F$28)</f>
        <v/>
      </c>
      <c r="AL35" s="20">
        <f>IF(Funding!AL34&gt;0,Funding!AL26/(Inputs!$F$289*IF(Funding!AL33&gt;0,Funding!AL33,1)),Inputs!$F$28)</f>
        <v/>
      </c>
      <c r="AM35" s="20">
        <f>IF(Funding!AM34&gt;0,Funding!AM26/(Inputs!$F$289*IF(Funding!AM33&gt;0,Funding!AM33,1)),Inputs!$F$28)</f>
        <v/>
      </c>
      <c r="AN35" s="20">
        <f>IF(Funding!AN34&gt;0,Funding!AN26/(Inputs!$F$289*IF(Funding!AN33&gt;0,Funding!AN33,1)),Inputs!$F$28)</f>
        <v/>
      </c>
      <c r="AO35" s="20">
        <f>IF(Funding!AO34&gt;0,Funding!AO26/(Inputs!$F$289*IF(Funding!AO33&gt;0,Funding!AO33,1)),Inputs!$F$28)</f>
        <v/>
      </c>
      <c r="AP35" s="20">
        <f>IF(Funding!AP34&gt;0,Funding!AP26/(Inputs!$F$289*IF(Funding!AP33&gt;0,Funding!AP33,1)),Inputs!$F$28)</f>
        <v/>
      </c>
      <c r="AQ35" s="20">
        <f>IF(Funding!AQ34&gt;0,Funding!AQ26/(Inputs!$F$289*IF(Funding!AQ33&gt;0,Funding!AQ33,1)),Inputs!$F$28)</f>
        <v/>
      </c>
      <c r="AR35" s="20">
        <f>IF(Funding!AR34&gt;0,Funding!AR26/(Inputs!$F$289*IF(Funding!AR33&gt;0,Funding!AR33,1)),Inputs!$F$28)</f>
        <v/>
      </c>
      <c r="AS35" s="20">
        <f>IF(Funding!AS34&gt;0,Funding!AS26/(Inputs!$F$289*IF(Funding!AS33&gt;0,Funding!AS33,1)),Inputs!$F$28)</f>
        <v/>
      </c>
      <c r="AT35" s="20">
        <f>IF(Funding!AT34&gt;0,Funding!AT26/(Inputs!$F$289*IF(Funding!AT33&gt;0,Funding!AT33,1)),Inputs!$F$28)</f>
        <v/>
      </c>
      <c r="AU35" s="20">
        <f>IF(Funding!AU34&gt;0,Funding!AU26/(Inputs!$F$289*IF(Funding!AU33&gt;0,Funding!AU33,1)),Inputs!$F$28)</f>
        <v/>
      </c>
    </row>
    <row r="36">
      <c r="D36" t="inlineStr">
        <is>
          <t>Face supported by coverage (minimum over test years)</t>
        </is>
      </c>
      <c r="E36" t="inlineStr">
        <is>
          <t>USD m</t>
        </is>
      </c>
      <c r="F36" s="20">
        <f>MIN(Funding!$J$35:$AU$35)</f>
        <v/>
      </c>
    </row>
    <row r="37">
      <c r="D37" t="inlineStr">
        <is>
          <t>Opco equity value at March 22, 2022: years from valuation date</t>
        </is>
      </c>
      <c r="E37" t="inlineStr">
        <is>
          <t>years</t>
        </is>
      </c>
      <c r="J37" s="14">
        <f>MAX(0,(Time!J$6-Inputs!$F$256)/Inputs!$F$27)</f>
        <v/>
      </c>
      <c r="K37" s="14">
        <f>MAX(0,(Time!K$6-Inputs!$F$256)/Inputs!$F$27)</f>
        <v/>
      </c>
      <c r="L37" s="14">
        <f>MAX(0,(Time!L$6-Inputs!$F$256)/Inputs!$F$27)</f>
        <v/>
      </c>
      <c r="M37" s="14">
        <f>MAX(0,(Time!M$6-Inputs!$F$256)/Inputs!$F$27)</f>
        <v/>
      </c>
      <c r="N37" s="14">
        <f>MAX(0,(Time!N$6-Inputs!$F$256)/Inputs!$F$27)</f>
        <v/>
      </c>
      <c r="O37" s="14">
        <f>MAX(0,(Time!O$6-Inputs!$F$256)/Inputs!$F$27)</f>
        <v/>
      </c>
      <c r="P37" s="14">
        <f>MAX(0,(Time!P$6-Inputs!$F$256)/Inputs!$F$27)</f>
        <v/>
      </c>
      <c r="Q37" s="14">
        <f>MAX(0,(Time!Q$6-Inputs!$F$256)/Inputs!$F$27)</f>
        <v/>
      </c>
      <c r="R37" s="14">
        <f>MAX(0,(Time!R$6-Inputs!$F$256)/Inputs!$F$27)</f>
        <v/>
      </c>
      <c r="S37" s="14">
        <f>MAX(0,(Time!S$6-Inputs!$F$256)/Inputs!$F$27)</f>
        <v/>
      </c>
      <c r="T37" s="14">
        <f>MAX(0,(Time!T$6-Inputs!$F$256)/Inputs!$F$27)</f>
        <v/>
      </c>
      <c r="U37" s="14">
        <f>MAX(0,(Time!U$6-Inputs!$F$256)/Inputs!$F$27)</f>
        <v/>
      </c>
      <c r="V37" s="14">
        <f>MAX(0,(Time!V$6-Inputs!$F$256)/Inputs!$F$27)</f>
        <v/>
      </c>
      <c r="W37" s="14">
        <f>MAX(0,(Time!W$6-Inputs!$F$256)/Inputs!$F$27)</f>
        <v/>
      </c>
      <c r="X37" s="14">
        <f>MAX(0,(Time!X$6-Inputs!$F$256)/Inputs!$F$27)</f>
        <v/>
      </c>
      <c r="Y37" s="14">
        <f>MAX(0,(Time!Y$6-Inputs!$F$256)/Inputs!$F$27)</f>
        <v/>
      </c>
      <c r="Z37" s="14">
        <f>MAX(0,(Time!Z$6-Inputs!$F$256)/Inputs!$F$27)</f>
        <v/>
      </c>
      <c r="AA37" s="14">
        <f>MAX(0,(Time!AA$6-Inputs!$F$256)/Inputs!$F$27)</f>
        <v/>
      </c>
      <c r="AB37" s="14">
        <f>MAX(0,(Time!AB$6-Inputs!$F$256)/Inputs!$F$27)</f>
        <v/>
      </c>
      <c r="AC37" s="14">
        <f>MAX(0,(Time!AC$6-Inputs!$F$256)/Inputs!$F$27)</f>
        <v/>
      </c>
      <c r="AD37" s="14">
        <f>MAX(0,(Time!AD$6-Inputs!$F$256)/Inputs!$F$27)</f>
        <v/>
      </c>
      <c r="AE37" s="14">
        <f>MAX(0,(Time!AE$6-Inputs!$F$256)/Inputs!$F$27)</f>
        <v/>
      </c>
      <c r="AF37" s="14">
        <f>MAX(0,(Time!AF$6-Inputs!$F$256)/Inputs!$F$27)</f>
        <v/>
      </c>
      <c r="AG37" s="14">
        <f>MAX(0,(Time!AG$6-Inputs!$F$256)/Inputs!$F$27)</f>
        <v/>
      </c>
      <c r="AH37" s="14">
        <f>MAX(0,(Time!AH$6-Inputs!$F$256)/Inputs!$F$27)</f>
        <v/>
      </c>
      <c r="AI37" s="14">
        <f>MAX(0,(Time!AI$6-Inputs!$F$256)/Inputs!$F$27)</f>
        <v/>
      </c>
      <c r="AJ37" s="14">
        <f>MAX(0,(Time!AJ$6-Inputs!$F$256)/Inputs!$F$27)</f>
        <v/>
      </c>
      <c r="AK37" s="14">
        <f>MAX(0,(Time!AK$6-Inputs!$F$256)/Inputs!$F$27)</f>
        <v/>
      </c>
      <c r="AL37" s="14">
        <f>MAX(0,(Time!AL$6-Inputs!$F$256)/Inputs!$F$27)</f>
        <v/>
      </c>
      <c r="AM37" s="14">
        <f>MAX(0,(Time!AM$6-Inputs!$F$256)/Inputs!$F$27)</f>
        <v/>
      </c>
      <c r="AN37" s="14">
        <f>MAX(0,(Time!AN$6-Inputs!$F$256)/Inputs!$F$27)</f>
        <v/>
      </c>
      <c r="AO37" s="14">
        <f>MAX(0,(Time!AO$6-Inputs!$F$256)/Inputs!$F$27)</f>
        <v/>
      </c>
      <c r="AP37" s="14">
        <f>MAX(0,(Time!AP$6-Inputs!$F$256)/Inputs!$F$27)</f>
        <v/>
      </c>
      <c r="AQ37" s="14">
        <f>MAX(0,(Time!AQ$6-Inputs!$F$256)/Inputs!$F$27)</f>
        <v/>
      </c>
      <c r="AR37" s="14">
        <f>MAX(0,(Time!AR$6-Inputs!$F$256)/Inputs!$F$27)</f>
        <v/>
      </c>
      <c r="AS37" s="14">
        <f>MAX(0,(Time!AS$6-Inputs!$F$256)/Inputs!$F$27)</f>
        <v/>
      </c>
      <c r="AT37" s="14">
        <f>MAX(0,(Time!AT$6-Inputs!$F$256)/Inputs!$F$27)</f>
        <v/>
      </c>
      <c r="AU37" s="14">
        <f>MAX(0,(Time!AU$6-Inputs!$F$256)/Inputs!$F$27)</f>
        <v/>
      </c>
    </row>
    <row r="38">
      <c r="D38" t="inlineStr">
        <is>
          <t>Opco equity value at March 22, 2022: levered discount factor weighted by revenue bucket</t>
        </is>
      </c>
      <c r="E38" t="inlineStr">
        <is>
          <t>factor</t>
        </is>
      </c>
      <c r="J38" s="14">
        <f>(Time!J$6&gt;=Inputs!$F$256)*(Operations!J774*(1+Inputs!$F$336/100)^(-Funding!J37)+Operations!J775*(1+Inputs!$F$337/100)^(-Funding!J37)+Operations!J776*(1+Inputs!$F$338/100)^(-Funding!J37))</f>
        <v/>
      </c>
      <c r="K38" s="14">
        <f>(Time!K$6&gt;=Inputs!$F$256)*(Operations!K774*(1+Inputs!$F$336/100)^(-Funding!K37)+Operations!K775*(1+Inputs!$F$337/100)^(-Funding!K37)+Operations!K776*(1+Inputs!$F$338/100)^(-Funding!K37))</f>
        <v/>
      </c>
      <c r="L38" s="14">
        <f>(Time!L$6&gt;=Inputs!$F$256)*(Operations!L774*(1+Inputs!$F$336/100)^(-Funding!L37)+Operations!L775*(1+Inputs!$F$337/100)^(-Funding!L37)+Operations!L776*(1+Inputs!$F$338/100)^(-Funding!L37))</f>
        <v/>
      </c>
      <c r="M38" s="14">
        <f>(Time!M$6&gt;=Inputs!$F$256)*(Operations!M774*(1+Inputs!$F$336/100)^(-Funding!M37)+Operations!M775*(1+Inputs!$F$337/100)^(-Funding!M37)+Operations!M776*(1+Inputs!$F$338/100)^(-Funding!M37))</f>
        <v/>
      </c>
      <c r="N38" s="14">
        <f>(Time!N$6&gt;=Inputs!$F$256)*(Operations!N774*(1+Inputs!$F$336/100)^(-Funding!N37)+Operations!N775*(1+Inputs!$F$337/100)^(-Funding!N37)+Operations!N776*(1+Inputs!$F$338/100)^(-Funding!N37))</f>
        <v/>
      </c>
      <c r="O38" s="14">
        <f>(Time!O$6&gt;=Inputs!$F$256)*(Operations!O774*(1+Inputs!$F$336/100)^(-Funding!O37)+Operations!O775*(1+Inputs!$F$337/100)^(-Funding!O37)+Operations!O776*(1+Inputs!$F$338/100)^(-Funding!O37))</f>
        <v/>
      </c>
      <c r="P38" s="14">
        <f>(Time!P$6&gt;=Inputs!$F$256)*(Operations!P774*(1+Inputs!$F$336/100)^(-Funding!P37)+Operations!P775*(1+Inputs!$F$337/100)^(-Funding!P37)+Operations!P776*(1+Inputs!$F$338/100)^(-Funding!P37))</f>
        <v/>
      </c>
      <c r="Q38" s="14">
        <f>(Time!Q$6&gt;=Inputs!$F$256)*(Operations!Q774*(1+Inputs!$F$336/100)^(-Funding!Q37)+Operations!Q775*(1+Inputs!$F$337/100)^(-Funding!Q37)+Operations!Q776*(1+Inputs!$F$338/100)^(-Funding!Q37))</f>
        <v/>
      </c>
      <c r="R38" s="14">
        <f>(Time!R$6&gt;=Inputs!$F$256)*(Operations!R774*(1+Inputs!$F$336/100)^(-Funding!R37)+Operations!R775*(1+Inputs!$F$337/100)^(-Funding!R37)+Operations!R776*(1+Inputs!$F$338/100)^(-Funding!R37))</f>
        <v/>
      </c>
      <c r="S38" s="14">
        <f>(Time!S$6&gt;=Inputs!$F$256)*(Operations!S774*(1+Inputs!$F$336/100)^(-Funding!S37)+Operations!S775*(1+Inputs!$F$337/100)^(-Funding!S37)+Operations!S776*(1+Inputs!$F$338/100)^(-Funding!S37))</f>
        <v/>
      </c>
      <c r="T38" s="14">
        <f>(Time!T$6&gt;=Inputs!$F$256)*(Operations!T774*(1+Inputs!$F$336/100)^(-Funding!T37)+Operations!T775*(1+Inputs!$F$337/100)^(-Funding!T37)+Operations!T776*(1+Inputs!$F$338/100)^(-Funding!T37))</f>
        <v/>
      </c>
      <c r="U38" s="14">
        <f>(Time!U$6&gt;=Inputs!$F$256)*(Operations!U774*(1+Inputs!$F$336/100)^(-Funding!U37)+Operations!U775*(1+Inputs!$F$337/100)^(-Funding!U37)+Operations!U776*(1+Inputs!$F$338/100)^(-Funding!U37))</f>
        <v/>
      </c>
      <c r="V38" s="14">
        <f>(Time!V$6&gt;=Inputs!$F$256)*(Operations!V774*(1+Inputs!$F$336/100)^(-Funding!V37)+Operations!V775*(1+Inputs!$F$337/100)^(-Funding!V37)+Operations!V776*(1+Inputs!$F$338/100)^(-Funding!V37))</f>
        <v/>
      </c>
      <c r="W38" s="14">
        <f>(Time!W$6&gt;=Inputs!$F$256)*(Operations!W774*(1+Inputs!$F$336/100)^(-Funding!W37)+Operations!W775*(1+Inputs!$F$337/100)^(-Funding!W37)+Operations!W776*(1+Inputs!$F$338/100)^(-Funding!W37))</f>
        <v/>
      </c>
      <c r="X38" s="14">
        <f>(Time!X$6&gt;=Inputs!$F$256)*(Operations!X774*(1+Inputs!$F$336/100)^(-Funding!X37)+Operations!X775*(1+Inputs!$F$337/100)^(-Funding!X37)+Operations!X776*(1+Inputs!$F$338/100)^(-Funding!X37))</f>
        <v/>
      </c>
      <c r="Y38" s="14">
        <f>(Time!Y$6&gt;=Inputs!$F$256)*(Operations!Y774*(1+Inputs!$F$336/100)^(-Funding!Y37)+Operations!Y775*(1+Inputs!$F$337/100)^(-Funding!Y37)+Operations!Y776*(1+Inputs!$F$338/100)^(-Funding!Y37))</f>
        <v/>
      </c>
      <c r="Z38" s="14">
        <f>(Time!Z$6&gt;=Inputs!$F$256)*(Operations!Z774*(1+Inputs!$F$336/100)^(-Funding!Z37)+Operations!Z775*(1+Inputs!$F$337/100)^(-Funding!Z37)+Operations!Z776*(1+Inputs!$F$338/100)^(-Funding!Z37))</f>
        <v/>
      </c>
      <c r="AA38" s="14">
        <f>(Time!AA$6&gt;=Inputs!$F$256)*(Operations!AA774*(1+Inputs!$F$336/100)^(-Funding!AA37)+Operations!AA775*(1+Inputs!$F$337/100)^(-Funding!AA37)+Operations!AA776*(1+Inputs!$F$338/100)^(-Funding!AA37))</f>
        <v/>
      </c>
      <c r="AB38" s="14">
        <f>(Time!AB$6&gt;=Inputs!$F$256)*(Operations!AB774*(1+Inputs!$F$336/100)^(-Funding!AB37)+Operations!AB775*(1+Inputs!$F$337/100)^(-Funding!AB37)+Operations!AB776*(1+Inputs!$F$338/100)^(-Funding!AB37))</f>
        <v/>
      </c>
      <c r="AC38" s="14">
        <f>(Time!AC$6&gt;=Inputs!$F$256)*(Operations!AC774*(1+Inputs!$F$336/100)^(-Funding!AC37)+Operations!AC775*(1+Inputs!$F$337/100)^(-Funding!AC37)+Operations!AC776*(1+Inputs!$F$338/100)^(-Funding!AC37))</f>
        <v/>
      </c>
      <c r="AD38" s="14">
        <f>(Time!AD$6&gt;=Inputs!$F$256)*(Operations!AD774*(1+Inputs!$F$336/100)^(-Funding!AD37)+Operations!AD775*(1+Inputs!$F$337/100)^(-Funding!AD37)+Operations!AD776*(1+Inputs!$F$338/100)^(-Funding!AD37))</f>
        <v/>
      </c>
      <c r="AE38" s="14">
        <f>(Time!AE$6&gt;=Inputs!$F$256)*(Operations!AE774*(1+Inputs!$F$336/100)^(-Funding!AE37)+Operations!AE775*(1+Inputs!$F$337/100)^(-Funding!AE37)+Operations!AE776*(1+Inputs!$F$338/100)^(-Funding!AE37))</f>
        <v/>
      </c>
      <c r="AF38" s="14">
        <f>(Time!AF$6&gt;=Inputs!$F$256)*(Operations!AF774*(1+Inputs!$F$336/100)^(-Funding!AF37)+Operations!AF775*(1+Inputs!$F$337/100)^(-Funding!AF37)+Operations!AF776*(1+Inputs!$F$338/100)^(-Funding!AF37))</f>
        <v/>
      </c>
      <c r="AG38" s="14">
        <f>(Time!AG$6&gt;=Inputs!$F$256)*(Operations!AG774*(1+Inputs!$F$336/100)^(-Funding!AG37)+Operations!AG775*(1+Inputs!$F$337/100)^(-Funding!AG37)+Operations!AG776*(1+Inputs!$F$338/100)^(-Funding!AG37))</f>
        <v/>
      </c>
      <c r="AH38" s="14">
        <f>(Time!AH$6&gt;=Inputs!$F$256)*(Operations!AH774*(1+Inputs!$F$336/100)^(-Funding!AH37)+Operations!AH775*(1+Inputs!$F$337/100)^(-Funding!AH37)+Operations!AH776*(1+Inputs!$F$338/100)^(-Funding!AH37))</f>
        <v/>
      </c>
      <c r="AI38" s="14">
        <f>(Time!AI$6&gt;=Inputs!$F$256)*(Operations!AI774*(1+Inputs!$F$336/100)^(-Funding!AI37)+Operations!AI775*(1+Inputs!$F$337/100)^(-Funding!AI37)+Operations!AI776*(1+Inputs!$F$338/100)^(-Funding!AI37))</f>
        <v/>
      </c>
      <c r="AJ38" s="14">
        <f>(Time!AJ$6&gt;=Inputs!$F$256)*(Operations!AJ774*(1+Inputs!$F$336/100)^(-Funding!AJ37)+Operations!AJ775*(1+Inputs!$F$337/100)^(-Funding!AJ37)+Operations!AJ776*(1+Inputs!$F$338/100)^(-Funding!AJ37))</f>
        <v/>
      </c>
      <c r="AK38" s="14">
        <f>(Time!AK$6&gt;=Inputs!$F$256)*(Operations!AK774*(1+Inputs!$F$336/100)^(-Funding!AK37)+Operations!AK775*(1+Inputs!$F$337/100)^(-Funding!AK37)+Operations!AK776*(1+Inputs!$F$338/100)^(-Funding!AK37))</f>
        <v/>
      </c>
      <c r="AL38" s="14">
        <f>(Time!AL$6&gt;=Inputs!$F$256)*(Operations!AL774*(1+Inputs!$F$336/100)^(-Funding!AL37)+Operations!AL775*(1+Inputs!$F$337/100)^(-Funding!AL37)+Operations!AL776*(1+Inputs!$F$338/100)^(-Funding!AL37))</f>
        <v/>
      </c>
      <c r="AM38" s="14">
        <f>(Time!AM$6&gt;=Inputs!$F$256)*(Operations!AM774*(1+Inputs!$F$336/100)^(-Funding!AM37)+Operations!AM775*(1+Inputs!$F$337/100)^(-Funding!AM37)+Operations!AM776*(1+Inputs!$F$338/100)^(-Funding!AM37))</f>
        <v/>
      </c>
      <c r="AN38" s="14">
        <f>(Time!AN$6&gt;=Inputs!$F$256)*(Operations!AN774*(1+Inputs!$F$336/100)^(-Funding!AN37)+Operations!AN775*(1+Inputs!$F$337/100)^(-Funding!AN37)+Operations!AN776*(1+Inputs!$F$338/100)^(-Funding!AN37))</f>
        <v/>
      </c>
      <c r="AO38" s="14">
        <f>(Time!AO$6&gt;=Inputs!$F$256)*(Operations!AO774*(1+Inputs!$F$336/100)^(-Funding!AO37)+Operations!AO775*(1+Inputs!$F$337/100)^(-Funding!AO37)+Operations!AO776*(1+Inputs!$F$338/100)^(-Funding!AO37))</f>
        <v/>
      </c>
      <c r="AP38" s="14">
        <f>(Time!AP$6&gt;=Inputs!$F$256)*(Operations!AP774*(1+Inputs!$F$336/100)^(-Funding!AP37)+Operations!AP775*(1+Inputs!$F$337/100)^(-Funding!AP37)+Operations!AP776*(1+Inputs!$F$338/100)^(-Funding!AP37))</f>
        <v/>
      </c>
      <c r="AQ38" s="14">
        <f>(Time!AQ$6&gt;=Inputs!$F$256)*(Operations!AQ774*(1+Inputs!$F$336/100)^(-Funding!AQ37)+Operations!AQ775*(1+Inputs!$F$337/100)^(-Funding!AQ37)+Operations!AQ776*(1+Inputs!$F$338/100)^(-Funding!AQ37))</f>
        <v/>
      </c>
      <c r="AR38" s="14">
        <f>(Time!AR$6&gt;=Inputs!$F$256)*(Operations!AR774*(1+Inputs!$F$336/100)^(-Funding!AR37)+Operations!AR775*(1+Inputs!$F$337/100)^(-Funding!AR37)+Operations!AR776*(1+Inputs!$F$338/100)^(-Funding!AR37))</f>
        <v/>
      </c>
      <c r="AS38" s="14">
        <f>(Time!AS$6&gt;=Inputs!$F$256)*(Operations!AS774*(1+Inputs!$F$336/100)^(-Funding!AS37)+Operations!AS775*(1+Inputs!$F$337/100)^(-Funding!AS37)+Operations!AS776*(1+Inputs!$F$338/100)^(-Funding!AS37))</f>
        <v/>
      </c>
      <c r="AT38" s="14">
        <f>(Time!AT$6&gt;=Inputs!$F$256)*(Operations!AT774*(1+Inputs!$F$336/100)^(-Funding!AT37)+Operations!AT775*(1+Inputs!$F$337/100)^(-Funding!AT37)+Operations!AT776*(1+Inputs!$F$338/100)^(-Funding!AT37))</f>
        <v/>
      </c>
      <c r="AU38" s="14">
        <f>(Time!AU$6&gt;=Inputs!$F$256)*(Operations!AU774*(1+Inputs!$F$336/100)^(-Funding!AU37)+Operations!AU775*(1+Inputs!$F$337/100)^(-Funding!AU37)+Operations!AU776*(1+Inputs!$F$338/100)^(-Funding!AU37))</f>
        <v/>
      </c>
    </row>
    <row r="39">
      <c r="D39" t="inlineStr">
        <is>
          <t>Opco equity value at levered equity rates</t>
        </is>
      </c>
      <c r="E39" t="inlineStr">
        <is>
          <t>USD m</t>
        </is>
      </c>
      <c r="F39" s="20">
        <f>SUMPRODUCT(Funding!$J$26:$AU$26,Funding!$J$38:$AU$38)</f>
        <v/>
      </c>
    </row>
    <row r="40">
      <c r="D40" t="inlineStr">
        <is>
          <t>Cap: 45% of opco equity value</t>
        </is>
      </c>
      <c r="E40" t="inlineStr">
        <is>
          <t>USD m</t>
        </is>
      </c>
      <c r="F40" s="20">
        <f>Inputs!$F$290/100*Funding!$F$39</f>
        <v/>
      </c>
    </row>
    <row r="41">
      <c r="D41" t="inlineStr">
        <is>
          <t>Holdco TLB face</t>
        </is>
      </c>
      <c r="E41" t="inlineStr">
        <is>
          <t>USD m</t>
        </is>
      </c>
      <c r="F41" s="20">
        <f>MIN(Funding!$F$36,Funding!$F$40)</f>
        <v/>
      </c>
    </row>
    <row r="43">
      <c r="A43" s="4" t="inlineStr">
        <is>
          <t>Redfern term loan, August 31, 2023 (toll cash flow only)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</row>
    <row r="44">
      <c r="D44" t="inlineStr">
        <is>
          <t>Interest period fraction</t>
        </is>
      </c>
      <c r="E44" t="inlineStr">
        <is>
          <t>fraction</t>
        </is>
      </c>
      <c r="J44" s="14">
        <f>MAX(0,MIN(Inputs!$F$294,Time!J$6)-MAX(Inputs!$F$293,Time!J$5))/Time!J$7</f>
        <v/>
      </c>
      <c r="K44" s="14">
        <f>MAX(0,MIN(Inputs!$F$294,Time!K$6)-MAX(Inputs!$F$293,Time!K$5))/Time!K$7</f>
        <v/>
      </c>
      <c r="L44" s="14">
        <f>MAX(0,MIN(Inputs!$F$294,Time!L$6)-MAX(Inputs!$F$293,Time!L$5))/Time!L$7</f>
        <v/>
      </c>
      <c r="M44" s="14">
        <f>MAX(0,MIN(Inputs!$F$294,Time!M$6)-MAX(Inputs!$F$293,Time!M$5))/Time!M$7</f>
        <v/>
      </c>
      <c r="N44" s="14">
        <f>MAX(0,MIN(Inputs!$F$294,Time!N$6)-MAX(Inputs!$F$293,Time!N$5))/Time!N$7</f>
        <v/>
      </c>
      <c r="O44" s="14">
        <f>MAX(0,MIN(Inputs!$F$294,Time!O$6)-MAX(Inputs!$F$293,Time!O$5))/Time!O$7</f>
        <v/>
      </c>
      <c r="P44" s="14">
        <f>MAX(0,MIN(Inputs!$F$294,Time!P$6)-MAX(Inputs!$F$293,Time!P$5))/Time!P$7</f>
        <v/>
      </c>
      <c r="Q44" s="14">
        <f>MAX(0,MIN(Inputs!$F$294,Time!Q$6)-MAX(Inputs!$F$293,Time!Q$5))/Time!Q$7</f>
        <v/>
      </c>
      <c r="R44" s="14">
        <f>MAX(0,MIN(Inputs!$F$294,Time!R$6)-MAX(Inputs!$F$293,Time!R$5))/Time!R$7</f>
        <v/>
      </c>
      <c r="S44" s="14">
        <f>MAX(0,MIN(Inputs!$F$294,Time!S$6)-MAX(Inputs!$F$293,Time!S$5))/Time!S$7</f>
        <v/>
      </c>
      <c r="T44" s="14">
        <f>MAX(0,MIN(Inputs!$F$294,Time!T$6)-MAX(Inputs!$F$293,Time!T$5))/Time!T$7</f>
        <v/>
      </c>
      <c r="U44" s="14">
        <f>MAX(0,MIN(Inputs!$F$294,Time!U$6)-MAX(Inputs!$F$293,Time!U$5))/Time!U$7</f>
        <v/>
      </c>
      <c r="V44" s="14">
        <f>MAX(0,MIN(Inputs!$F$294,Time!V$6)-MAX(Inputs!$F$293,Time!V$5))/Time!V$7</f>
        <v/>
      </c>
      <c r="W44" s="14">
        <f>MAX(0,MIN(Inputs!$F$294,Time!W$6)-MAX(Inputs!$F$293,Time!W$5))/Time!W$7</f>
        <v/>
      </c>
      <c r="X44" s="14">
        <f>MAX(0,MIN(Inputs!$F$294,Time!X$6)-MAX(Inputs!$F$293,Time!X$5))/Time!X$7</f>
        <v/>
      </c>
      <c r="Y44" s="14">
        <f>MAX(0,MIN(Inputs!$F$294,Time!Y$6)-MAX(Inputs!$F$293,Time!Y$5))/Time!Y$7</f>
        <v/>
      </c>
      <c r="Z44" s="14">
        <f>MAX(0,MIN(Inputs!$F$294,Time!Z$6)-MAX(Inputs!$F$293,Time!Z$5))/Time!Z$7</f>
        <v/>
      </c>
      <c r="AA44" s="14">
        <f>MAX(0,MIN(Inputs!$F$294,Time!AA$6)-MAX(Inputs!$F$293,Time!AA$5))/Time!AA$7</f>
        <v/>
      </c>
      <c r="AB44" s="14">
        <f>MAX(0,MIN(Inputs!$F$294,Time!AB$6)-MAX(Inputs!$F$293,Time!AB$5))/Time!AB$7</f>
        <v/>
      </c>
      <c r="AC44" s="14">
        <f>MAX(0,MIN(Inputs!$F$294,Time!AC$6)-MAX(Inputs!$F$293,Time!AC$5))/Time!AC$7</f>
        <v/>
      </c>
      <c r="AD44" s="14">
        <f>MAX(0,MIN(Inputs!$F$294,Time!AD$6)-MAX(Inputs!$F$293,Time!AD$5))/Time!AD$7</f>
        <v/>
      </c>
      <c r="AE44" s="14">
        <f>MAX(0,MIN(Inputs!$F$294,Time!AE$6)-MAX(Inputs!$F$293,Time!AE$5))/Time!AE$7</f>
        <v/>
      </c>
      <c r="AF44" s="14">
        <f>MAX(0,MIN(Inputs!$F$294,Time!AF$6)-MAX(Inputs!$F$293,Time!AF$5))/Time!AF$7</f>
        <v/>
      </c>
      <c r="AG44" s="14">
        <f>MAX(0,MIN(Inputs!$F$294,Time!AG$6)-MAX(Inputs!$F$293,Time!AG$5))/Time!AG$7</f>
        <v/>
      </c>
      <c r="AH44" s="14">
        <f>MAX(0,MIN(Inputs!$F$294,Time!AH$6)-MAX(Inputs!$F$293,Time!AH$5))/Time!AH$7</f>
        <v/>
      </c>
      <c r="AI44" s="14">
        <f>MAX(0,MIN(Inputs!$F$294,Time!AI$6)-MAX(Inputs!$F$293,Time!AI$5))/Time!AI$7</f>
        <v/>
      </c>
      <c r="AJ44" s="14">
        <f>MAX(0,MIN(Inputs!$F$294,Time!AJ$6)-MAX(Inputs!$F$293,Time!AJ$5))/Time!AJ$7</f>
        <v/>
      </c>
      <c r="AK44" s="14">
        <f>MAX(0,MIN(Inputs!$F$294,Time!AK$6)-MAX(Inputs!$F$293,Time!AK$5))/Time!AK$7</f>
        <v/>
      </c>
      <c r="AL44" s="14">
        <f>MAX(0,MIN(Inputs!$F$294,Time!AL$6)-MAX(Inputs!$F$293,Time!AL$5))/Time!AL$7</f>
        <v/>
      </c>
      <c r="AM44" s="14">
        <f>MAX(0,MIN(Inputs!$F$294,Time!AM$6)-MAX(Inputs!$F$293,Time!AM$5))/Time!AM$7</f>
        <v/>
      </c>
      <c r="AN44" s="14">
        <f>MAX(0,MIN(Inputs!$F$294,Time!AN$6)-MAX(Inputs!$F$293,Time!AN$5))/Time!AN$7</f>
        <v/>
      </c>
      <c r="AO44" s="14">
        <f>MAX(0,MIN(Inputs!$F$294,Time!AO$6)-MAX(Inputs!$F$293,Time!AO$5))/Time!AO$7</f>
        <v/>
      </c>
      <c r="AP44" s="14">
        <f>MAX(0,MIN(Inputs!$F$294,Time!AP$6)-MAX(Inputs!$F$293,Time!AP$5))/Time!AP$7</f>
        <v/>
      </c>
      <c r="AQ44" s="14">
        <f>MAX(0,MIN(Inputs!$F$294,Time!AQ$6)-MAX(Inputs!$F$293,Time!AQ$5))/Time!AQ$7</f>
        <v/>
      </c>
      <c r="AR44" s="14">
        <f>MAX(0,MIN(Inputs!$F$294,Time!AR$6)-MAX(Inputs!$F$293,Time!AR$5))/Time!AR$7</f>
        <v/>
      </c>
      <c r="AS44" s="14">
        <f>MAX(0,MIN(Inputs!$F$294,Time!AS$6)-MAX(Inputs!$F$293,Time!AS$5))/Time!AS$7</f>
        <v/>
      </c>
      <c r="AT44" s="14">
        <f>MAX(0,MIN(Inputs!$F$294,Time!AT$6)-MAX(Inputs!$F$293,Time!AT$5))/Time!AT$7</f>
        <v/>
      </c>
      <c r="AU44" s="14">
        <f>MAX(0,MIN(Inputs!$F$294,Time!AU$6)-MAX(Inputs!$F$293,Time!AU$5))/Time!AU$7</f>
        <v/>
      </c>
    </row>
    <row r="45">
      <c r="D45" t="inlineStr">
        <is>
          <t>R6 annualized cash costs (opex, surety, margin tax)</t>
        </is>
      </c>
      <c r="E45" t="inlineStr">
        <is>
          <t>USD m</t>
        </is>
      </c>
      <c r="J45" s="20">
        <f>IF(Operations!J647&gt;0,(Operations!J658+Operations!J660+Operations!J661)/Operations!J647,0)</f>
        <v/>
      </c>
      <c r="K45" s="20">
        <f>IF(Operations!K647&gt;0,(Operations!K658+Operations!K660+Operations!K661)/Operations!K647,0)</f>
        <v/>
      </c>
      <c r="L45" s="20">
        <f>IF(Operations!L647&gt;0,(Operations!L658+Operations!L660+Operations!L661)/Operations!L647,0)</f>
        <v/>
      </c>
      <c r="M45" s="20">
        <f>IF(Operations!M647&gt;0,(Operations!M658+Operations!M660+Operations!M661)/Operations!M647,0)</f>
        <v/>
      </c>
      <c r="N45" s="20">
        <f>IF(Operations!N647&gt;0,(Operations!N658+Operations!N660+Operations!N661)/Operations!N647,0)</f>
        <v/>
      </c>
      <c r="O45" s="20">
        <f>IF(Operations!O647&gt;0,(Operations!O658+Operations!O660+Operations!O661)/Operations!O647,0)</f>
        <v/>
      </c>
      <c r="P45" s="20">
        <f>IF(Operations!P647&gt;0,(Operations!P658+Operations!P660+Operations!P661)/Operations!P647,0)</f>
        <v/>
      </c>
      <c r="Q45" s="20">
        <f>IF(Operations!Q647&gt;0,(Operations!Q658+Operations!Q660+Operations!Q661)/Operations!Q647,0)</f>
        <v/>
      </c>
      <c r="R45" s="20">
        <f>IF(Operations!R647&gt;0,(Operations!R658+Operations!R660+Operations!R661)/Operations!R647,0)</f>
        <v/>
      </c>
      <c r="S45" s="20">
        <f>IF(Operations!S647&gt;0,(Operations!S658+Operations!S660+Operations!S661)/Operations!S647,0)</f>
        <v/>
      </c>
      <c r="T45" s="20">
        <f>IF(Operations!T647&gt;0,(Operations!T658+Operations!T660+Operations!T661)/Operations!T647,0)</f>
        <v/>
      </c>
      <c r="U45" s="20">
        <f>IF(Operations!U647&gt;0,(Operations!U658+Operations!U660+Operations!U661)/Operations!U647,0)</f>
        <v/>
      </c>
      <c r="V45" s="20">
        <f>IF(Operations!V647&gt;0,(Operations!V658+Operations!V660+Operations!V661)/Operations!V647,0)</f>
        <v/>
      </c>
      <c r="W45" s="20">
        <f>IF(Operations!W647&gt;0,(Operations!W658+Operations!W660+Operations!W661)/Operations!W647,0)</f>
        <v/>
      </c>
      <c r="X45" s="20">
        <f>IF(Operations!X647&gt;0,(Operations!X658+Operations!X660+Operations!X661)/Operations!X647,0)</f>
        <v/>
      </c>
      <c r="Y45" s="20">
        <f>IF(Operations!Y647&gt;0,(Operations!Y658+Operations!Y660+Operations!Y661)/Operations!Y647,0)</f>
        <v/>
      </c>
      <c r="Z45" s="20">
        <f>IF(Operations!Z647&gt;0,(Operations!Z658+Operations!Z660+Operations!Z661)/Operations!Z647,0)</f>
        <v/>
      </c>
      <c r="AA45" s="20">
        <f>IF(Operations!AA647&gt;0,(Operations!AA658+Operations!AA660+Operations!AA661)/Operations!AA647,0)</f>
        <v/>
      </c>
      <c r="AB45" s="20">
        <f>IF(Operations!AB647&gt;0,(Operations!AB658+Operations!AB660+Operations!AB661)/Operations!AB647,0)</f>
        <v/>
      </c>
      <c r="AC45" s="20">
        <f>IF(Operations!AC647&gt;0,(Operations!AC658+Operations!AC660+Operations!AC661)/Operations!AC647,0)</f>
        <v/>
      </c>
      <c r="AD45" s="20">
        <f>IF(Operations!AD647&gt;0,(Operations!AD658+Operations!AD660+Operations!AD661)/Operations!AD647,0)</f>
        <v/>
      </c>
      <c r="AE45" s="20">
        <f>IF(Operations!AE647&gt;0,(Operations!AE658+Operations!AE660+Operations!AE661)/Operations!AE647,0)</f>
        <v/>
      </c>
      <c r="AF45" s="20">
        <f>IF(Operations!AF647&gt;0,(Operations!AF658+Operations!AF660+Operations!AF661)/Operations!AF647,0)</f>
        <v/>
      </c>
      <c r="AG45" s="20">
        <f>IF(Operations!AG647&gt;0,(Operations!AG658+Operations!AG660+Operations!AG661)/Operations!AG647,0)</f>
        <v/>
      </c>
      <c r="AH45" s="20">
        <f>IF(Operations!AH647&gt;0,(Operations!AH658+Operations!AH660+Operations!AH661)/Operations!AH647,0)</f>
        <v/>
      </c>
      <c r="AI45" s="20">
        <f>IF(Operations!AI647&gt;0,(Operations!AI658+Operations!AI660+Operations!AI661)/Operations!AI647,0)</f>
        <v/>
      </c>
      <c r="AJ45" s="20">
        <f>IF(Operations!AJ647&gt;0,(Operations!AJ658+Operations!AJ660+Operations!AJ661)/Operations!AJ647,0)</f>
        <v/>
      </c>
      <c r="AK45" s="20">
        <f>IF(Operations!AK647&gt;0,(Operations!AK658+Operations!AK660+Operations!AK661)/Operations!AK647,0)</f>
        <v/>
      </c>
      <c r="AL45" s="20">
        <f>IF(Operations!AL647&gt;0,(Operations!AL658+Operations!AL660+Operations!AL661)/Operations!AL647,0)</f>
        <v/>
      </c>
      <c r="AM45" s="20">
        <f>IF(Operations!AM647&gt;0,(Operations!AM658+Operations!AM660+Operations!AM661)/Operations!AM647,0)</f>
        <v/>
      </c>
      <c r="AN45" s="20">
        <f>IF(Operations!AN647&gt;0,(Operations!AN658+Operations!AN660+Operations!AN661)/Operations!AN647,0)</f>
        <v/>
      </c>
      <c r="AO45" s="20">
        <f>IF(Operations!AO647&gt;0,(Operations!AO658+Operations!AO660+Operations!AO661)/Operations!AO647,0)</f>
        <v/>
      </c>
      <c r="AP45" s="20">
        <f>IF(Operations!AP647&gt;0,(Operations!AP658+Operations!AP660+Operations!AP661)/Operations!AP647,0)</f>
        <v/>
      </c>
      <c r="AQ45" s="20">
        <f>IF(Operations!AQ647&gt;0,(Operations!AQ658+Operations!AQ660+Operations!AQ661)/Operations!AQ647,0)</f>
        <v/>
      </c>
      <c r="AR45" s="20">
        <f>IF(Operations!AR647&gt;0,(Operations!AR658+Operations!AR660+Operations!AR661)/Operations!AR647,0)</f>
        <v/>
      </c>
      <c r="AS45" s="20">
        <f>IF(Operations!AS647&gt;0,(Operations!AS658+Operations!AS660+Operations!AS661)/Operations!AS647,0)</f>
        <v/>
      </c>
      <c r="AT45" s="20">
        <f>IF(Operations!AT647&gt;0,(Operations!AT658+Operations!AT660+Operations!AT661)/Operations!AT647,0)</f>
        <v/>
      </c>
      <c r="AU45" s="20">
        <f>IF(Operations!AU647&gt;0,(Operations!AU658+Operations!AU660+Operations!AU661)/Operations!AU647,0)</f>
        <v/>
      </c>
    </row>
    <row r="46">
      <c r="D46" t="inlineStr">
        <is>
          <t>Toll cash flow for sizing</t>
        </is>
      </c>
      <c r="E46" t="inlineStr">
        <is>
          <t>USD m</t>
        </is>
      </c>
      <c r="J46" s="20">
        <f>(Inputs!$F$206*Inputs!$F$207*Inputs!$F$143/1000-Funding!J45)*Funding!J44-Operations!J663*(Funding!J44&gt;0)</f>
        <v/>
      </c>
      <c r="K46" s="20">
        <f>(Inputs!$F$206*Inputs!$F$207*Inputs!$F$143/1000-Funding!K45)*Funding!K44-Operations!K663*(Funding!K44&gt;0)</f>
        <v/>
      </c>
      <c r="L46" s="20">
        <f>(Inputs!$F$206*Inputs!$F$207*Inputs!$F$143/1000-Funding!L45)*Funding!L44-Operations!L663*(Funding!L44&gt;0)</f>
        <v/>
      </c>
      <c r="M46" s="20">
        <f>(Inputs!$F$206*Inputs!$F$207*Inputs!$F$143/1000-Funding!M45)*Funding!M44-Operations!M663*(Funding!M44&gt;0)</f>
        <v/>
      </c>
      <c r="N46" s="20">
        <f>(Inputs!$F$206*Inputs!$F$207*Inputs!$F$143/1000-Funding!N45)*Funding!N44-Operations!N663*(Funding!N44&gt;0)</f>
        <v/>
      </c>
      <c r="O46" s="20">
        <f>(Inputs!$F$206*Inputs!$F$207*Inputs!$F$143/1000-Funding!O45)*Funding!O44-Operations!O663*(Funding!O44&gt;0)</f>
        <v/>
      </c>
      <c r="P46" s="20">
        <f>(Inputs!$F$206*Inputs!$F$207*Inputs!$F$143/1000-Funding!P45)*Funding!P44-Operations!P663*(Funding!P44&gt;0)</f>
        <v/>
      </c>
      <c r="Q46" s="20">
        <f>(Inputs!$F$206*Inputs!$F$207*Inputs!$F$143/1000-Funding!Q45)*Funding!Q44-Operations!Q663*(Funding!Q44&gt;0)</f>
        <v/>
      </c>
      <c r="R46" s="20">
        <f>(Inputs!$F$206*Inputs!$F$207*Inputs!$F$143/1000-Funding!R45)*Funding!R44-Operations!R663*(Funding!R44&gt;0)</f>
        <v/>
      </c>
      <c r="S46" s="20">
        <f>(Inputs!$F$206*Inputs!$F$207*Inputs!$F$143/1000-Funding!S45)*Funding!S44-Operations!S663*(Funding!S44&gt;0)</f>
        <v/>
      </c>
      <c r="T46" s="20">
        <f>(Inputs!$F$206*Inputs!$F$207*Inputs!$F$143/1000-Funding!T45)*Funding!T44-Operations!T663*(Funding!T44&gt;0)</f>
        <v/>
      </c>
      <c r="U46" s="20">
        <f>(Inputs!$F$206*Inputs!$F$207*Inputs!$F$143/1000-Funding!U45)*Funding!U44-Operations!U663*(Funding!U44&gt;0)</f>
        <v/>
      </c>
      <c r="V46" s="20">
        <f>(Inputs!$F$206*Inputs!$F$207*Inputs!$F$143/1000-Funding!V45)*Funding!V44-Operations!V663*(Funding!V44&gt;0)</f>
        <v/>
      </c>
      <c r="W46" s="20">
        <f>(Inputs!$F$206*Inputs!$F$207*Inputs!$F$143/1000-Funding!W45)*Funding!W44-Operations!W663*(Funding!W44&gt;0)</f>
        <v/>
      </c>
      <c r="X46" s="20">
        <f>(Inputs!$F$206*Inputs!$F$207*Inputs!$F$143/1000-Funding!X45)*Funding!X44-Operations!X663*(Funding!X44&gt;0)</f>
        <v/>
      </c>
      <c r="Y46" s="20">
        <f>(Inputs!$F$206*Inputs!$F$207*Inputs!$F$143/1000-Funding!Y45)*Funding!Y44-Operations!Y663*(Funding!Y44&gt;0)</f>
        <v/>
      </c>
      <c r="Z46" s="20">
        <f>(Inputs!$F$206*Inputs!$F$207*Inputs!$F$143/1000-Funding!Z45)*Funding!Z44-Operations!Z663*(Funding!Z44&gt;0)</f>
        <v/>
      </c>
      <c r="AA46" s="20">
        <f>(Inputs!$F$206*Inputs!$F$207*Inputs!$F$143/1000-Funding!AA45)*Funding!AA44-Operations!AA663*(Funding!AA44&gt;0)</f>
        <v/>
      </c>
      <c r="AB46" s="20">
        <f>(Inputs!$F$206*Inputs!$F$207*Inputs!$F$143/1000-Funding!AB45)*Funding!AB44-Operations!AB663*(Funding!AB44&gt;0)</f>
        <v/>
      </c>
      <c r="AC46" s="20">
        <f>(Inputs!$F$206*Inputs!$F$207*Inputs!$F$143/1000-Funding!AC45)*Funding!AC44-Operations!AC663*(Funding!AC44&gt;0)</f>
        <v/>
      </c>
      <c r="AD46" s="20">
        <f>(Inputs!$F$206*Inputs!$F$207*Inputs!$F$143/1000-Funding!AD45)*Funding!AD44-Operations!AD663*(Funding!AD44&gt;0)</f>
        <v/>
      </c>
      <c r="AE46" s="20">
        <f>(Inputs!$F$206*Inputs!$F$207*Inputs!$F$143/1000-Funding!AE45)*Funding!AE44-Operations!AE663*(Funding!AE44&gt;0)</f>
        <v/>
      </c>
      <c r="AF46" s="20">
        <f>(Inputs!$F$206*Inputs!$F$207*Inputs!$F$143/1000-Funding!AF45)*Funding!AF44-Operations!AF663*(Funding!AF44&gt;0)</f>
        <v/>
      </c>
      <c r="AG46" s="20">
        <f>(Inputs!$F$206*Inputs!$F$207*Inputs!$F$143/1000-Funding!AG45)*Funding!AG44-Operations!AG663*(Funding!AG44&gt;0)</f>
        <v/>
      </c>
      <c r="AH46" s="20">
        <f>(Inputs!$F$206*Inputs!$F$207*Inputs!$F$143/1000-Funding!AH45)*Funding!AH44-Operations!AH663*(Funding!AH44&gt;0)</f>
        <v/>
      </c>
      <c r="AI46" s="20">
        <f>(Inputs!$F$206*Inputs!$F$207*Inputs!$F$143/1000-Funding!AI45)*Funding!AI44-Operations!AI663*(Funding!AI44&gt;0)</f>
        <v/>
      </c>
      <c r="AJ46" s="20">
        <f>(Inputs!$F$206*Inputs!$F$207*Inputs!$F$143/1000-Funding!AJ45)*Funding!AJ44-Operations!AJ663*(Funding!AJ44&gt;0)</f>
        <v/>
      </c>
      <c r="AK46" s="20">
        <f>(Inputs!$F$206*Inputs!$F$207*Inputs!$F$143/1000-Funding!AK45)*Funding!AK44-Operations!AK663*(Funding!AK44&gt;0)</f>
        <v/>
      </c>
      <c r="AL46" s="20">
        <f>(Inputs!$F$206*Inputs!$F$207*Inputs!$F$143/1000-Funding!AL45)*Funding!AL44-Operations!AL663*(Funding!AL44&gt;0)</f>
        <v/>
      </c>
      <c r="AM46" s="20">
        <f>(Inputs!$F$206*Inputs!$F$207*Inputs!$F$143/1000-Funding!AM45)*Funding!AM44-Operations!AM663*(Funding!AM44&gt;0)</f>
        <v/>
      </c>
      <c r="AN46" s="20">
        <f>(Inputs!$F$206*Inputs!$F$207*Inputs!$F$143/1000-Funding!AN45)*Funding!AN44-Operations!AN663*(Funding!AN44&gt;0)</f>
        <v/>
      </c>
      <c r="AO46" s="20">
        <f>(Inputs!$F$206*Inputs!$F$207*Inputs!$F$143/1000-Funding!AO45)*Funding!AO44-Operations!AO663*(Funding!AO44&gt;0)</f>
        <v/>
      </c>
      <c r="AP46" s="20">
        <f>(Inputs!$F$206*Inputs!$F$207*Inputs!$F$143/1000-Funding!AP45)*Funding!AP44-Operations!AP663*(Funding!AP44&gt;0)</f>
        <v/>
      </c>
      <c r="AQ46" s="20">
        <f>(Inputs!$F$206*Inputs!$F$207*Inputs!$F$143/1000-Funding!AQ45)*Funding!AQ44-Operations!AQ663*(Funding!AQ44&gt;0)</f>
        <v/>
      </c>
      <c r="AR46" s="20">
        <f>(Inputs!$F$206*Inputs!$F$207*Inputs!$F$143/1000-Funding!AR45)*Funding!AR44-Operations!AR663*(Funding!AR44&gt;0)</f>
        <v/>
      </c>
      <c r="AS46" s="20">
        <f>(Inputs!$F$206*Inputs!$F$207*Inputs!$F$143/1000-Funding!AS45)*Funding!AS44-Operations!AS663*(Funding!AS44&gt;0)</f>
        <v/>
      </c>
      <c r="AT46" s="20">
        <f>(Inputs!$F$206*Inputs!$F$207*Inputs!$F$143/1000-Funding!AT45)*Funding!AT44-Operations!AT663*(Funding!AT44&gt;0)</f>
        <v/>
      </c>
      <c r="AU46" s="20">
        <f>(Inputs!$F$206*Inputs!$F$207*Inputs!$F$143/1000-Funding!AU45)*Funding!AU44-Operations!AU663*(Funding!AU44&gt;0)</f>
        <v/>
      </c>
    </row>
    <row r="47">
      <c r="D47" t="inlineStr">
        <is>
          <t>Sculpted debt service (toll CF / 1.35x)</t>
        </is>
      </c>
      <c r="E47" t="inlineStr">
        <is>
          <t>USD m</t>
        </is>
      </c>
      <c r="J47" s="20">
        <f>IF(Funding!J44&gt;0,Funding!J46/Inputs!$F$297,0)</f>
        <v/>
      </c>
      <c r="K47" s="20">
        <f>IF(Funding!K44&gt;0,Funding!K46/Inputs!$F$297,0)</f>
        <v/>
      </c>
      <c r="L47" s="20">
        <f>IF(Funding!L44&gt;0,Funding!L46/Inputs!$F$297,0)</f>
        <v/>
      </c>
      <c r="M47" s="20">
        <f>IF(Funding!M44&gt;0,Funding!M46/Inputs!$F$297,0)</f>
        <v/>
      </c>
      <c r="N47" s="20">
        <f>IF(Funding!N44&gt;0,Funding!N46/Inputs!$F$297,0)</f>
        <v/>
      </c>
      <c r="O47" s="20">
        <f>IF(Funding!O44&gt;0,Funding!O46/Inputs!$F$297,0)</f>
        <v/>
      </c>
      <c r="P47" s="20">
        <f>IF(Funding!P44&gt;0,Funding!P46/Inputs!$F$297,0)</f>
        <v/>
      </c>
      <c r="Q47" s="20">
        <f>IF(Funding!Q44&gt;0,Funding!Q46/Inputs!$F$297,0)</f>
        <v/>
      </c>
      <c r="R47" s="20">
        <f>IF(Funding!R44&gt;0,Funding!R46/Inputs!$F$297,0)</f>
        <v/>
      </c>
      <c r="S47" s="20">
        <f>IF(Funding!S44&gt;0,Funding!S46/Inputs!$F$297,0)</f>
        <v/>
      </c>
      <c r="T47" s="20">
        <f>IF(Funding!T44&gt;0,Funding!T46/Inputs!$F$297,0)</f>
        <v/>
      </c>
      <c r="U47" s="20">
        <f>IF(Funding!U44&gt;0,Funding!U46/Inputs!$F$297,0)</f>
        <v/>
      </c>
      <c r="V47" s="20">
        <f>IF(Funding!V44&gt;0,Funding!V46/Inputs!$F$297,0)</f>
        <v/>
      </c>
      <c r="W47" s="20">
        <f>IF(Funding!W44&gt;0,Funding!W46/Inputs!$F$297,0)</f>
        <v/>
      </c>
      <c r="X47" s="20">
        <f>IF(Funding!X44&gt;0,Funding!X46/Inputs!$F$297,0)</f>
        <v/>
      </c>
      <c r="Y47" s="20">
        <f>IF(Funding!Y44&gt;0,Funding!Y46/Inputs!$F$297,0)</f>
        <v/>
      </c>
      <c r="Z47" s="20">
        <f>IF(Funding!Z44&gt;0,Funding!Z46/Inputs!$F$297,0)</f>
        <v/>
      </c>
      <c r="AA47" s="20">
        <f>IF(Funding!AA44&gt;0,Funding!AA46/Inputs!$F$297,0)</f>
        <v/>
      </c>
      <c r="AB47" s="20">
        <f>IF(Funding!AB44&gt;0,Funding!AB46/Inputs!$F$297,0)</f>
        <v/>
      </c>
      <c r="AC47" s="20">
        <f>IF(Funding!AC44&gt;0,Funding!AC46/Inputs!$F$297,0)</f>
        <v/>
      </c>
      <c r="AD47" s="20">
        <f>IF(Funding!AD44&gt;0,Funding!AD46/Inputs!$F$297,0)</f>
        <v/>
      </c>
      <c r="AE47" s="20">
        <f>IF(Funding!AE44&gt;0,Funding!AE46/Inputs!$F$297,0)</f>
        <v/>
      </c>
      <c r="AF47" s="20">
        <f>IF(Funding!AF44&gt;0,Funding!AF46/Inputs!$F$297,0)</f>
        <v/>
      </c>
      <c r="AG47" s="20">
        <f>IF(Funding!AG44&gt;0,Funding!AG46/Inputs!$F$297,0)</f>
        <v/>
      </c>
      <c r="AH47" s="20">
        <f>IF(Funding!AH44&gt;0,Funding!AH46/Inputs!$F$297,0)</f>
        <v/>
      </c>
      <c r="AI47" s="20">
        <f>IF(Funding!AI44&gt;0,Funding!AI46/Inputs!$F$297,0)</f>
        <v/>
      </c>
      <c r="AJ47" s="20">
        <f>IF(Funding!AJ44&gt;0,Funding!AJ46/Inputs!$F$297,0)</f>
        <v/>
      </c>
      <c r="AK47" s="20">
        <f>IF(Funding!AK44&gt;0,Funding!AK46/Inputs!$F$297,0)</f>
        <v/>
      </c>
      <c r="AL47" s="20">
        <f>IF(Funding!AL44&gt;0,Funding!AL46/Inputs!$F$297,0)</f>
        <v/>
      </c>
      <c r="AM47" s="20">
        <f>IF(Funding!AM44&gt;0,Funding!AM46/Inputs!$F$297,0)</f>
        <v/>
      </c>
      <c r="AN47" s="20">
        <f>IF(Funding!AN44&gt;0,Funding!AN46/Inputs!$F$297,0)</f>
        <v/>
      </c>
      <c r="AO47" s="20">
        <f>IF(Funding!AO44&gt;0,Funding!AO46/Inputs!$F$297,0)</f>
        <v/>
      </c>
      <c r="AP47" s="20">
        <f>IF(Funding!AP44&gt;0,Funding!AP46/Inputs!$F$297,0)</f>
        <v/>
      </c>
      <c r="AQ47" s="20">
        <f>IF(Funding!AQ44&gt;0,Funding!AQ46/Inputs!$F$297,0)</f>
        <v/>
      </c>
      <c r="AR47" s="20">
        <f>IF(Funding!AR44&gt;0,Funding!AR46/Inputs!$F$297,0)</f>
        <v/>
      </c>
      <c r="AS47" s="20">
        <f>IF(Funding!AS44&gt;0,Funding!AS46/Inputs!$F$297,0)</f>
        <v/>
      </c>
      <c r="AT47" s="20">
        <f>IF(Funding!AT44&gt;0,Funding!AT46/Inputs!$F$297,0)</f>
        <v/>
      </c>
      <c r="AU47" s="20">
        <f>IF(Funding!AU44&gt;0,Funding!AU46/Inputs!$F$297,0)</f>
        <v/>
      </c>
    </row>
    <row r="48">
      <c r="D48" t="inlineStr">
        <is>
          <t>All-in rate</t>
        </is>
      </c>
      <c r="E48" t="inlineStr">
        <is>
          <t>%</t>
        </is>
      </c>
      <c r="J48" s="15">
        <f>Inputs!$F$298/100*Inputs!$F$299+(1-Inputs!$F$298/100)*Inputs!J80+Inputs!$F$295</f>
        <v/>
      </c>
      <c r="K48" s="15">
        <f>Inputs!$F$298/100*Inputs!$F$299+(1-Inputs!$F$298/100)*Inputs!K80+Inputs!$F$295</f>
        <v/>
      </c>
      <c r="L48" s="15">
        <f>Inputs!$F$298/100*Inputs!$F$299+(1-Inputs!$F$298/100)*Inputs!L80+Inputs!$F$295</f>
        <v/>
      </c>
      <c r="M48" s="15">
        <f>Inputs!$F$298/100*Inputs!$F$299+(1-Inputs!$F$298/100)*Inputs!M80+Inputs!$F$295</f>
        <v/>
      </c>
      <c r="N48" s="15">
        <f>Inputs!$F$298/100*Inputs!$F$299+(1-Inputs!$F$298/100)*Inputs!N80+Inputs!$F$295</f>
        <v/>
      </c>
      <c r="O48" s="15">
        <f>Inputs!$F$298/100*Inputs!$F$299+(1-Inputs!$F$298/100)*Inputs!O80+Inputs!$F$295</f>
        <v/>
      </c>
      <c r="P48" s="15">
        <f>Inputs!$F$298/100*Inputs!$F$299+(1-Inputs!$F$298/100)*Inputs!P80+Inputs!$F$295</f>
        <v/>
      </c>
      <c r="Q48" s="15">
        <f>Inputs!$F$298/100*Inputs!$F$299+(1-Inputs!$F$298/100)*Inputs!Q80+Inputs!$F$295</f>
        <v/>
      </c>
      <c r="R48" s="15">
        <f>Inputs!$F$298/100*Inputs!$F$299+(1-Inputs!$F$298/100)*Inputs!R80+Inputs!$F$295</f>
        <v/>
      </c>
      <c r="S48" s="15">
        <f>Inputs!$F$298/100*Inputs!$F$299+(1-Inputs!$F$298/100)*Inputs!S80+Inputs!$F$295</f>
        <v/>
      </c>
      <c r="T48" s="15">
        <f>Inputs!$F$298/100*Inputs!$F$299+(1-Inputs!$F$298/100)*Inputs!T80+Inputs!$F$295</f>
        <v/>
      </c>
      <c r="U48" s="15">
        <f>Inputs!$F$298/100*Inputs!$F$299+(1-Inputs!$F$298/100)*Inputs!U80+Inputs!$F$295</f>
        <v/>
      </c>
      <c r="V48" s="15">
        <f>Inputs!$F$298/100*Inputs!$F$299+(1-Inputs!$F$298/100)*Inputs!V80+Inputs!$F$295</f>
        <v/>
      </c>
      <c r="W48" s="15">
        <f>Inputs!$F$298/100*Inputs!$F$299+(1-Inputs!$F$298/100)*Inputs!W80+Inputs!$F$295</f>
        <v/>
      </c>
      <c r="X48" s="15">
        <f>Inputs!$F$298/100*Inputs!$F$299+(1-Inputs!$F$298/100)*Inputs!X80+Inputs!$F$295</f>
        <v/>
      </c>
      <c r="Y48" s="15">
        <f>Inputs!$F$298/100*Inputs!$F$299+(1-Inputs!$F$298/100)*Inputs!Y80+Inputs!$F$295</f>
        <v/>
      </c>
      <c r="Z48" s="15">
        <f>Inputs!$F$298/100*Inputs!$F$299+(1-Inputs!$F$298/100)*Inputs!Z80+Inputs!$F$295</f>
        <v/>
      </c>
      <c r="AA48" s="15">
        <f>Inputs!$F$298/100*Inputs!$F$299+(1-Inputs!$F$298/100)*Inputs!AA80+Inputs!$F$295</f>
        <v/>
      </c>
      <c r="AB48" s="15">
        <f>Inputs!$F$298/100*Inputs!$F$299+(1-Inputs!$F$298/100)*Inputs!AB80+Inputs!$F$295</f>
        <v/>
      </c>
      <c r="AC48" s="15">
        <f>Inputs!$F$298/100*Inputs!$F$299+(1-Inputs!$F$298/100)*Inputs!AC80+Inputs!$F$295</f>
        <v/>
      </c>
      <c r="AD48" s="15">
        <f>Inputs!$F$298/100*Inputs!$F$299+(1-Inputs!$F$298/100)*Inputs!AD80+Inputs!$F$295</f>
        <v/>
      </c>
      <c r="AE48" s="15">
        <f>Inputs!$F$298/100*Inputs!$F$299+(1-Inputs!$F$298/100)*Inputs!AE80+Inputs!$F$295</f>
        <v/>
      </c>
      <c r="AF48" s="15">
        <f>Inputs!$F$298/100*Inputs!$F$299+(1-Inputs!$F$298/100)*Inputs!AF80+Inputs!$F$295</f>
        <v/>
      </c>
      <c r="AG48" s="15">
        <f>Inputs!$F$298/100*Inputs!$F$299+(1-Inputs!$F$298/100)*Inputs!AG80+Inputs!$F$295</f>
        <v/>
      </c>
      <c r="AH48" s="15">
        <f>Inputs!$F$298/100*Inputs!$F$299+(1-Inputs!$F$298/100)*Inputs!AH80+Inputs!$F$295</f>
        <v/>
      </c>
      <c r="AI48" s="15">
        <f>Inputs!$F$298/100*Inputs!$F$299+(1-Inputs!$F$298/100)*Inputs!AI80+Inputs!$F$295</f>
        <v/>
      </c>
      <c r="AJ48" s="15">
        <f>Inputs!$F$298/100*Inputs!$F$299+(1-Inputs!$F$298/100)*Inputs!AJ80+Inputs!$F$295</f>
        <v/>
      </c>
      <c r="AK48" s="15">
        <f>Inputs!$F$298/100*Inputs!$F$299+(1-Inputs!$F$298/100)*Inputs!AK80+Inputs!$F$295</f>
        <v/>
      </c>
      <c r="AL48" s="15">
        <f>Inputs!$F$298/100*Inputs!$F$299+(1-Inputs!$F$298/100)*Inputs!AL80+Inputs!$F$295</f>
        <v/>
      </c>
      <c r="AM48" s="15">
        <f>Inputs!$F$298/100*Inputs!$F$299+(1-Inputs!$F$298/100)*Inputs!AM80+Inputs!$F$295</f>
        <v/>
      </c>
      <c r="AN48" s="15">
        <f>Inputs!$F$298/100*Inputs!$F$299+(1-Inputs!$F$298/100)*Inputs!AN80+Inputs!$F$295</f>
        <v/>
      </c>
      <c r="AO48" s="15">
        <f>Inputs!$F$298/100*Inputs!$F$299+(1-Inputs!$F$298/100)*Inputs!AO80+Inputs!$F$295</f>
        <v/>
      </c>
      <c r="AP48" s="15">
        <f>Inputs!$F$298/100*Inputs!$F$299+(1-Inputs!$F$298/100)*Inputs!AP80+Inputs!$F$295</f>
        <v/>
      </c>
      <c r="AQ48" s="15">
        <f>Inputs!$F$298/100*Inputs!$F$299+(1-Inputs!$F$298/100)*Inputs!AQ80+Inputs!$F$295</f>
        <v/>
      </c>
      <c r="AR48" s="15">
        <f>Inputs!$F$298/100*Inputs!$F$299+(1-Inputs!$F$298/100)*Inputs!AR80+Inputs!$F$295</f>
        <v/>
      </c>
      <c r="AS48" s="15">
        <f>Inputs!$F$298/100*Inputs!$F$299+(1-Inputs!$F$298/100)*Inputs!AS80+Inputs!$F$295</f>
        <v/>
      </c>
      <c r="AT48" s="15">
        <f>Inputs!$F$298/100*Inputs!$F$299+(1-Inputs!$F$298/100)*Inputs!AT80+Inputs!$F$295</f>
        <v/>
      </c>
      <c r="AU48" s="15">
        <f>Inputs!$F$298/100*Inputs!$F$299+(1-Inputs!$F$298/100)*Inputs!AU80+Inputs!$F$295</f>
        <v/>
      </c>
    </row>
    <row r="49">
      <c r="D49" t="inlineStr">
        <is>
          <t>Discount factor</t>
        </is>
      </c>
      <c r="E49" t="inlineStr">
        <is>
          <t>factor</t>
        </is>
      </c>
      <c r="J49" s="14">
        <f>IF(Time!J$4=Inputs!$F$23,1,I49)/(1+Funding!J48/100*Funding!J44)</f>
        <v/>
      </c>
      <c r="K49" s="14">
        <f>IF(Time!K$4=Inputs!$F$23,1,J49)/(1+Funding!K48/100*Funding!K44)</f>
        <v/>
      </c>
      <c r="L49" s="14">
        <f>IF(Time!L$4=Inputs!$F$23,1,K49)/(1+Funding!L48/100*Funding!L44)</f>
        <v/>
      </c>
      <c r="M49" s="14">
        <f>IF(Time!M$4=Inputs!$F$23,1,L49)/(1+Funding!M48/100*Funding!M44)</f>
        <v/>
      </c>
      <c r="N49" s="14">
        <f>IF(Time!N$4=Inputs!$F$23,1,M49)/(1+Funding!N48/100*Funding!N44)</f>
        <v/>
      </c>
      <c r="O49" s="14">
        <f>IF(Time!O$4=Inputs!$F$23,1,N49)/(1+Funding!O48/100*Funding!O44)</f>
        <v/>
      </c>
      <c r="P49" s="14">
        <f>IF(Time!P$4=Inputs!$F$23,1,O49)/(1+Funding!P48/100*Funding!P44)</f>
        <v/>
      </c>
      <c r="Q49" s="14">
        <f>IF(Time!Q$4=Inputs!$F$23,1,P49)/(1+Funding!Q48/100*Funding!Q44)</f>
        <v/>
      </c>
      <c r="R49" s="14">
        <f>IF(Time!R$4=Inputs!$F$23,1,Q49)/(1+Funding!R48/100*Funding!R44)</f>
        <v/>
      </c>
      <c r="S49" s="14">
        <f>IF(Time!S$4=Inputs!$F$23,1,R49)/(1+Funding!S48/100*Funding!S44)</f>
        <v/>
      </c>
      <c r="T49" s="14">
        <f>IF(Time!T$4=Inputs!$F$23,1,S49)/(1+Funding!T48/100*Funding!T44)</f>
        <v/>
      </c>
      <c r="U49" s="14">
        <f>IF(Time!U$4=Inputs!$F$23,1,T49)/(1+Funding!U48/100*Funding!U44)</f>
        <v/>
      </c>
      <c r="V49" s="14">
        <f>IF(Time!V$4=Inputs!$F$23,1,U49)/(1+Funding!V48/100*Funding!V44)</f>
        <v/>
      </c>
      <c r="W49" s="14">
        <f>IF(Time!W$4=Inputs!$F$23,1,V49)/(1+Funding!W48/100*Funding!W44)</f>
        <v/>
      </c>
      <c r="X49" s="14">
        <f>IF(Time!X$4=Inputs!$F$23,1,W49)/(1+Funding!X48/100*Funding!X44)</f>
        <v/>
      </c>
      <c r="Y49" s="14">
        <f>IF(Time!Y$4=Inputs!$F$23,1,X49)/(1+Funding!Y48/100*Funding!Y44)</f>
        <v/>
      </c>
      <c r="Z49" s="14">
        <f>IF(Time!Z$4=Inputs!$F$23,1,Y49)/(1+Funding!Z48/100*Funding!Z44)</f>
        <v/>
      </c>
      <c r="AA49" s="14">
        <f>IF(Time!AA$4=Inputs!$F$23,1,Z49)/(1+Funding!AA48/100*Funding!AA44)</f>
        <v/>
      </c>
      <c r="AB49" s="14">
        <f>IF(Time!AB$4=Inputs!$F$23,1,AA49)/(1+Funding!AB48/100*Funding!AB44)</f>
        <v/>
      </c>
      <c r="AC49" s="14">
        <f>IF(Time!AC$4=Inputs!$F$23,1,AB49)/(1+Funding!AC48/100*Funding!AC44)</f>
        <v/>
      </c>
      <c r="AD49" s="14">
        <f>IF(Time!AD$4=Inputs!$F$23,1,AC49)/(1+Funding!AD48/100*Funding!AD44)</f>
        <v/>
      </c>
      <c r="AE49" s="14">
        <f>IF(Time!AE$4=Inputs!$F$23,1,AD49)/(1+Funding!AE48/100*Funding!AE44)</f>
        <v/>
      </c>
      <c r="AF49" s="14">
        <f>IF(Time!AF$4=Inputs!$F$23,1,AE49)/(1+Funding!AF48/100*Funding!AF44)</f>
        <v/>
      </c>
      <c r="AG49" s="14">
        <f>IF(Time!AG$4=Inputs!$F$23,1,AF49)/(1+Funding!AG48/100*Funding!AG44)</f>
        <v/>
      </c>
      <c r="AH49" s="14">
        <f>IF(Time!AH$4=Inputs!$F$23,1,AG49)/(1+Funding!AH48/100*Funding!AH44)</f>
        <v/>
      </c>
      <c r="AI49" s="14">
        <f>IF(Time!AI$4=Inputs!$F$23,1,AH49)/(1+Funding!AI48/100*Funding!AI44)</f>
        <v/>
      </c>
      <c r="AJ49" s="14">
        <f>IF(Time!AJ$4=Inputs!$F$23,1,AI49)/(1+Funding!AJ48/100*Funding!AJ44)</f>
        <v/>
      </c>
      <c r="AK49" s="14">
        <f>IF(Time!AK$4=Inputs!$F$23,1,AJ49)/(1+Funding!AK48/100*Funding!AK44)</f>
        <v/>
      </c>
      <c r="AL49" s="14">
        <f>IF(Time!AL$4=Inputs!$F$23,1,AK49)/(1+Funding!AL48/100*Funding!AL44)</f>
        <v/>
      </c>
      <c r="AM49" s="14">
        <f>IF(Time!AM$4=Inputs!$F$23,1,AL49)/(1+Funding!AM48/100*Funding!AM44)</f>
        <v/>
      </c>
      <c r="AN49" s="14">
        <f>IF(Time!AN$4=Inputs!$F$23,1,AM49)/(1+Funding!AN48/100*Funding!AN44)</f>
        <v/>
      </c>
      <c r="AO49" s="14">
        <f>IF(Time!AO$4=Inputs!$F$23,1,AN49)/(1+Funding!AO48/100*Funding!AO44)</f>
        <v/>
      </c>
      <c r="AP49" s="14">
        <f>IF(Time!AP$4=Inputs!$F$23,1,AO49)/(1+Funding!AP48/100*Funding!AP44)</f>
        <v/>
      </c>
      <c r="AQ49" s="14">
        <f>IF(Time!AQ$4=Inputs!$F$23,1,AP49)/(1+Funding!AQ48/100*Funding!AQ44)</f>
        <v/>
      </c>
      <c r="AR49" s="14">
        <f>IF(Time!AR$4=Inputs!$F$23,1,AQ49)/(1+Funding!AR48/100*Funding!AR44)</f>
        <v/>
      </c>
      <c r="AS49" s="14">
        <f>IF(Time!AS$4=Inputs!$F$23,1,AR49)/(1+Funding!AS48/100*Funding!AS44)</f>
        <v/>
      </c>
      <c r="AT49" s="14">
        <f>IF(Time!AT$4=Inputs!$F$23,1,AS49)/(1+Funding!AT48/100*Funding!AT44)</f>
        <v/>
      </c>
      <c r="AU49" s="14">
        <f>IF(Time!AU$4=Inputs!$F$23,1,AT49)/(1+Funding!AU48/100*Funding!AU44)</f>
        <v/>
      </c>
    </row>
    <row r="50">
      <c r="D50" t="inlineStr">
        <is>
          <t>Redfern loan amount</t>
        </is>
      </c>
      <c r="E50" t="inlineStr">
        <is>
          <t>USD m</t>
        </is>
      </c>
      <c r="F50" s="20">
        <f>SUMPRODUCT(Funding!$J$47:$AU$47,Funding!$J$49:$AU$49)</f>
        <v/>
      </c>
    </row>
    <row r="51">
      <c r="D51" t="inlineStr">
        <is>
          <t>Sculpted schedule: opening balance</t>
        </is>
      </c>
      <c r="E51" t="inlineStr">
        <is>
          <t>USD m</t>
        </is>
      </c>
      <c r="J51" s="20">
        <f>IF(Time!J$4=YEAR(Inputs!$F$293),Funding!$F$50,I53)</f>
        <v/>
      </c>
      <c r="K51" s="20">
        <f>IF(Time!K$4=YEAR(Inputs!$F$293),Funding!$F$50,J53)</f>
        <v/>
      </c>
      <c r="L51" s="20">
        <f>IF(Time!L$4=YEAR(Inputs!$F$293),Funding!$F$50,K53)</f>
        <v/>
      </c>
      <c r="M51" s="20">
        <f>IF(Time!M$4=YEAR(Inputs!$F$293),Funding!$F$50,L53)</f>
        <v/>
      </c>
      <c r="N51" s="20">
        <f>IF(Time!N$4=YEAR(Inputs!$F$293),Funding!$F$50,M53)</f>
        <v/>
      </c>
      <c r="O51" s="20">
        <f>IF(Time!O$4=YEAR(Inputs!$F$293),Funding!$F$50,N53)</f>
        <v/>
      </c>
      <c r="P51" s="20">
        <f>IF(Time!P$4=YEAR(Inputs!$F$293),Funding!$F$50,O53)</f>
        <v/>
      </c>
      <c r="Q51" s="20">
        <f>IF(Time!Q$4=YEAR(Inputs!$F$293),Funding!$F$50,P53)</f>
        <v/>
      </c>
      <c r="R51" s="20">
        <f>IF(Time!R$4=YEAR(Inputs!$F$293),Funding!$F$50,Q53)</f>
        <v/>
      </c>
      <c r="S51" s="20">
        <f>IF(Time!S$4=YEAR(Inputs!$F$293),Funding!$F$50,R53)</f>
        <v/>
      </c>
      <c r="T51" s="20">
        <f>IF(Time!T$4=YEAR(Inputs!$F$293),Funding!$F$50,S53)</f>
        <v/>
      </c>
      <c r="U51" s="20">
        <f>IF(Time!U$4=YEAR(Inputs!$F$293),Funding!$F$50,T53)</f>
        <v/>
      </c>
      <c r="V51" s="20">
        <f>IF(Time!V$4=YEAR(Inputs!$F$293),Funding!$F$50,U53)</f>
        <v/>
      </c>
      <c r="W51" s="20">
        <f>IF(Time!W$4=YEAR(Inputs!$F$293),Funding!$F$50,V53)</f>
        <v/>
      </c>
      <c r="X51" s="20">
        <f>IF(Time!X$4=YEAR(Inputs!$F$293),Funding!$F$50,W53)</f>
        <v/>
      </c>
      <c r="Y51" s="20">
        <f>IF(Time!Y$4=YEAR(Inputs!$F$293),Funding!$F$50,X53)</f>
        <v/>
      </c>
      <c r="Z51" s="20">
        <f>IF(Time!Z$4=YEAR(Inputs!$F$293),Funding!$F$50,Y53)</f>
        <v/>
      </c>
      <c r="AA51" s="20">
        <f>IF(Time!AA$4=YEAR(Inputs!$F$293),Funding!$F$50,Z53)</f>
        <v/>
      </c>
      <c r="AB51" s="20">
        <f>IF(Time!AB$4=YEAR(Inputs!$F$293),Funding!$F$50,AA53)</f>
        <v/>
      </c>
      <c r="AC51" s="20">
        <f>IF(Time!AC$4=YEAR(Inputs!$F$293),Funding!$F$50,AB53)</f>
        <v/>
      </c>
      <c r="AD51" s="20">
        <f>IF(Time!AD$4=YEAR(Inputs!$F$293),Funding!$F$50,AC53)</f>
        <v/>
      </c>
      <c r="AE51" s="20">
        <f>IF(Time!AE$4=YEAR(Inputs!$F$293),Funding!$F$50,AD53)</f>
        <v/>
      </c>
      <c r="AF51" s="20">
        <f>IF(Time!AF$4=YEAR(Inputs!$F$293),Funding!$F$50,AE53)</f>
        <v/>
      </c>
      <c r="AG51" s="20">
        <f>IF(Time!AG$4=YEAR(Inputs!$F$293),Funding!$F$50,AF53)</f>
        <v/>
      </c>
      <c r="AH51" s="20">
        <f>IF(Time!AH$4=YEAR(Inputs!$F$293),Funding!$F$50,AG53)</f>
        <v/>
      </c>
      <c r="AI51" s="20">
        <f>IF(Time!AI$4=YEAR(Inputs!$F$293),Funding!$F$50,AH53)</f>
        <v/>
      </c>
      <c r="AJ51" s="20">
        <f>IF(Time!AJ$4=YEAR(Inputs!$F$293),Funding!$F$50,AI53)</f>
        <v/>
      </c>
      <c r="AK51" s="20">
        <f>IF(Time!AK$4=YEAR(Inputs!$F$293),Funding!$F$50,AJ53)</f>
        <v/>
      </c>
      <c r="AL51" s="20">
        <f>IF(Time!AL$4=YEAR(Inputs!$F$293),Funding!$F$50,AK53)</f>
        <v/>
      </c>
      <c r="AM51" s="20">
        <f>IF(Time!AM$4=YEAR(Inputs!$F$293),Funding!$F$50,AL53)</f>
        <v/>
      </c>
      <c r="AN51" s="20">
        <f>IF(Time!AN$4=YEAR(Inputs!$F$293),Funding!$F$50,AM53)</f>
        <v/>
      </c>
      <c r="AO51" s="20">
        <f>IF(Time!AO$4=YEAR(Inputs!$F$293),Funding!$F$50,AN53)</f>
        <v/>
      </c>
      <c r="AP51" s="20">
        <f>IF(Time!AP$4=YEAR(Inputs!$F$293),Funding!$F$50,AO53)</f>
        <v/>
      </c>
      <c r="AQ51" s="20">
        <f>IF(Time!AQ$4=YEAR(Inputs!$F$293),Funding!$F$50,AP53)</f>
        <v/>
      </c>
      <c r="AR51" s="20">
        <f>IF(Time!AR$4=YEAR(Inputs!$F$293),Funding!$F$50,AQ53)</f>
        <v/>
      </c>
      <c r="AS51" s="20">
        <f>IF(Time!AS$4=YEAR(Inputs!$F$293),Funding!$F$50,AR53)</f>
        <v/>
      </c>
      <c r="AT51" s="20">
        <f>IF(Time!AT$4=YEAR(Inputs!$F$293),Funding!$F$50,AS53)</f>
        <v/>
      </c>
      <c r="AU51" s="20">
        <f>IF(Time!AU$4=YEAR(Inputs!$F$293),Funding!$F$50,AT53)</f>
        <v/>
      </c>
    </row>
    <row r="52">
      <c r="D52" t="inlineStr">
        <is>
          <t>Sculpted schedule: principal</t>
        </is>
      </c>
      <c r="E52" t="inlineStr">
        <is>
          <t>USD m</t>
        </is>
      </c>
      <c r="G52" s="20">
        <f>SUM(J52:AU52)</f>
        <v/>
      </c>
      <c r="J52" s="20">
        <f>IF(Funding!J44&gt;0,Funding!J47-Funding!J51*Funding!J48/100*Funding!J44,0)</f>
        <v/>
      </c>
      <c r="K52" s="20">
        <f>IF(Funding!K44&gt;0,Funding!K47-Funding!K51*Funding!K48/100*Funding!K44,0)</f>
        <v/>
      </c>
      <c r="L52" s="20">
        <f>IF(Funding!L44&gt;0,Funding!L47-Funding!L51*Funding!L48/100*Funding!L44,0)</f>
        <v/>
      </c>
      <c r="M52" s="20">
        <f>IF(Funding!M44&gt;0,Funding!M47-Funding!M51*Funding!M48/100*Funding!M44,0)</f>
        <v/>
      </c>
      <c r="N52" s="20">
        <f>IF(Funding!N44&gt;0,Funding!N47-Funding!N51*Funding!N48/100*Funding!N44,0)</f>
        <v/>
      </c>
      <c r="O52" s="20">
        <f>IF(Funding!O44&gt;0,Funding!O47-Funding!O51*Funding!O48/100*Funding!O44,0)</f>
        <v/>
      </c>
      <c r="P52" s="20">
        <f>IF(Funding!P44&gt;0,Funding!P47-Funding!P51*Funding!P48/100*Funding!P44,0)</f>
        <v/>
      </c>
      <c r="Q52" s="20">
        <f>IF(Funding!Q44&gt;0,Funding!Q47-Funding!Q51*Funding!Q48/100*Funding!Q44,0)</f>
        <v/>
      </c>
      <c r="R52" s="20">
        <f>IF(Funding!R44&gt;0,Funding!R47-Funding!R51*Funding!R48/100*Funding!R44,0)</f>
        <v/>
      </c>
      <c r="S52" s="20">
        <f>IF(Funding!S44&gt;0,Funding!S47-Funding!S51*Funding!S48/100*Funding!S44,0)</f>
        <v/>
      </c>
      <c r="T52" s="20">
        <f>IF(Funding!T44&gt;0,Funding!T47-Funding!T51*Funding!T48/100*Funding!T44,0)</f>
        <v/>
      </c>
      <c r="U52" s="20">
        <f>IF(Funding!U44&gt;0,Funding!U47-Funding!U51*Funding!U48/100*Funding!U44,0)</f>
        <v/>
      </c>
      <c r="V52" s="20">
        <f>IF(Funding!V44&gt;0,Funding!V47-Funding!V51*Funding!V48/100*Funding!V44,0)</f>
        <v/>
      </c>
      <c r="W52" s="20">
        <f>IF(Funding!W44&gt;0,Funding!W47-Funding!W51*Funding!W48/100*Funding!W44,0)</f>
        <v/>
      </c>
      <c r="X52" s="20">
        <f>IF(Funding!X44&gt;0,Funding!X47-Funding!X51*Funding!X48/100*Funding!X44,0)</f>
        <v/>
      </c>
      <c r="Y52" s="20">
        <f>IF(Funding!Y44&gt;0,Funding!Y47-Funding!Y51*Funding!Y48/100*Funding!Y44,0)</f>
        <v/>
      </c>
      <c r="Z52" s="20">
        <f>IF(Funding!Z44&gt;0,Funding!Z47-Funding!Z51*Funding!Z48/100*Funding!Z44,0)</f>
        <v/>
      </c>
      <c r="AA52" s="20">
        <f>IF(Funding!AA44&gt;0,Funding!AA47-Funding!AA51*Funding!AA48/100*Funding!AA44,0)</f>
        <v/>
      </c>
      <c r="AB52" s="20">
        <f>IF(Funding!AB44&gt;0,Funding!AB47-Funding!AB51*Funding!AB48/100*Funding!AB44,0)</f>
        <v/>
      </c>
      <c r="AC52" s="20">
        <f>IF(Funding!AC44&gt;0,Funding!AC47-Funding!AC51*Funding!AC48/100*Funding!AC44,0)</f>
        <v/>
      </c>
      <c r="AD52" s="20">
        <f>IF(Funding!AD44&gt;0,Funding!AD47-Funding!AD51*Funding!AD48/100*Funding!AD44,0)</f>
        <v/>
      </c>
      <c r="AE52" s="20">
        <f>IF(Funding!AE44&gt;0,Funding!AE47-Funding!AE51*Funding!AE48/100*Funding!AE44,0)</f>
        <v/>
      </c>
      <c r="AF52" s="20">
        <f>IF(Funding!AF44&gt;0,Funding!AF47-Funding!AF51*Funding!AF48/100*Funding!AF44,0)</f>
        <v/>
      </c>
      <c r="AG52" s="20">
        <f>IF(Funding!AG44&gt;0,Funding!AG47-Funding!AG51*Funding!AG48/100*Funding!AG44,0)</f>
        <v/>
      </c>
      <c r="AH52" s="20">
        <f>IF(Funding!AH44&gt;0,Funding!AH47-Funding!AH51*Funding!AH48/100*Funding!AH44,0)</f>
        <v/>
      </c>
      <c r="AI52" s="20">
        <f>IF(Funding!AI44&gt;0,Funding!AI47-Funding!AI51*Funding!AI48/100*Funding!AI44,0)</f>
        <v/>
      </c>
      <c r="AJ52" s="20">
        <f>IF(Funding!AJ44&gt;0,Funding!AJ47-Funding!AJ51*Funding!AJ48/100*Funding!AJ44,0)</f>
        <v/>
      </c>
      <c r="AK52" s="20">
        <f>IF(Funding!AK44&gt;0,Funding!AK47-Funding!AK51*Funding!AK48/100*Funding!AK44,0)</f>
        <v/>
      </c>
      <c r="AL52" s="20">
        <f>IF(Funding!AL44&gt;0,Funding!AL47-Funding!AL51*Funding!AL48/100*Funding!AL44,0)</f>
        <v/>
      </c>
      <c r="AM52" s="20">
        <f>IF(Funding!AM44&gt;0,Funding!AM47-Funding!AM51*Funding!AM48/100*Funding!AM44,0)</f>
        <v/>
      </c>
      <c r="AN52" s="20">
        <f>IF(Funding!AN44&gt;0,Funding!AN47-Funding!AN51*Funding!AN48/100*Funding!AN44,0)</f>
        <v/>
      </c>
      <c r="AO52" s="20">
        <f>IF(Funding!AO44&gt;0,Funding!AO47-Funding!AO51*Funding!AO48/100*Funding!AO44,0)</f>
        <v/>
      </c>
      <c r="AP52" s="20">
        <f>IF(Funding!AP44&gt;0,Funding!AP47-Funding!AP51*Funding!AP48/100*Funding!AP44,0)</f>
        <v/>
      </c>
      <c r="AQ52" s="20">
        <f>IF(Funding!AQ44&gt;0,Funding!AQ47-Funding!AQ51*Funding!AQ48/100*Funding!AQ44,0)</f>
        <v/>
      </c>
      <c r="AR52" s="20">
        <f>IF(Funding!AR44&gt;0,Funding!AR47-Funding!AR51*Funding!AR48/100*Funding!AR44,0)</f>
        <v/>
      </c>
      <c r="AS52" s="20">
        <f>IF(Funding!AS44&gt;0,Funding!AS47-Funding!AS51*Funding!AS48/100*Funding!AS44,0)</f>
        <v/>
      </c>
      <c r="AT52" s="20">
        <f>IF(Funding!AT44&gt;0,Funding!AT47-Funding!AT51*Funding!AT48/100*Funding!AT44,0)</f>
        <v/>
      </c>
      <c r="AU52" s="20">
        <f>IF(Funding!AU44&gt;0,Funding!AU47-Funding!AU51*Funding!AU48/100*Funding!AU44,0)</f>
        <v/>
      </c>
    </row>
    <row r="53">
      <c r="D53" t="inlineStr">
        <is>
          <t>Sculpted schedule: closing balance</t>
        </is>
      </c>
      <c r="E53" t="inlineStr">
        <is>
          <t>USD m</t>
        </is>
      </c>
      <c r="J53" s="20">
        <f>Funding!J51-Funding!J52</f>
        <v/>
      </c>
      <c r="K53" s="20">
        <f>Funding!K51-Funding!K52</f>
        <v/>
      </c>
      <c r="L53" s="20">
        <f>Funding!L51-Funding!L52</f>
        <v/>
      </c>
      <c r="M53" s="20">
        <f>Funding!M51-Funding!M52</f>
        <v/>
      </c>
      <c r="N53" s="20">
        <f>Funding!N51-Funding!N52</f>
        <v/>
      </c>
      <c r="O53" s="20">
        <f>Funding!O51-Funding!O52</f>
        <v/>
      </c>
      <c r="P53" s="20">
        <f>Funding!P51-Funding!P52</f>
        <v/>
      </c>
      <c r="Q53" s="20">
        <f>Funding!Q51-Funding!Q52</f>
        <v/>
      </c>
      <c r="R53" s="20">
        <f>Funding!R51-Funding!R52</f>
        <v/>
      </c>
      <c r="S53" s="20">
        <f>Funding!S51-Funding!S52</f>
        <v/>
      </c>
      <c r="T53" s="20">
        <f>Funding!T51-Funding!T52</f>
        <v/>
      </c>
      <c r="U53" s="20">
        <f>Funding!U51-Funding!U52</f>
        <v/>
      </c>
      <c r="V53" s="20">
        <f>Funding!V51-Funding!V52</f>
        <v/>
      </c>
      <c r="W53" s="20">
        <f>Funding!W51-Funding!W52</f>
        <v/>
      </c>
      <c r="X53" s="20">
        <f>Funding!X51-Funding!X52</f>
        <v/>
      </c>
      <c r="Y53" s="20">
        <f>Funding!Y51-Funding!Y52</f>
        <v/>
      </c>
      <c r="Z53" s="20">
        <f>Funding!Z51-Funding!Z52</f>
        <v/>
      </c>
      <c r="AA53" s="20">
        <f>Funding!AA51-Funding!AA52</f>
        <v/>
      </c>
      <c r="AB53" s="20">
        <f>Funding!AB51-Funding!AB52</f>
        <v/>
      </c>
      <c r="AC53" s="20">
        <f>Funding!AC51-Funding!AC52</f>
        <v/>
      </c>
      <c r="AD53" s="20">
        <f>Funding!AD51-Funding!AD52</f>
        <v/>
      </c>
      <c r="AE53" s="20">
        <f>Funding!AE51-Funding!AE52</f>
        <v/>
      </c>
      <c r="AF53" s="20">
        <f>Funding!AF51-Funding!AF52</f>
        <v/>
      </c>
      <c r="AG53" s="20">
        <f>Funding!AG51-Funding!AG52</f>
        <v/>
      </c>
      <c r="AH53" s="20">
        <f>Funding!AH51-Funding!AH52</f>
        <v/>
      </c>
      <c r="AI53" s="20">
        <f>Funding!AI51-Funding!AI52</f>
        <v/>
      </c>
      <c r="AJ53" s="20">
        <f>Funding!AJ51-Funding!AJ52</f>
        <v/>
      </c>
      <c r="AK53" s="20">
        <f>Funding!AK51-Funding!AK52</f>
        <v/>
      </c>
      <c r="AL53" s="20">
        <f>Funding!AL51-Funding!AL52</f>
        <v/>
      </c>
      <c r="AM53" s="20">
        <f>Funding!AM51-Funding!AM52</f>
        <v/>
      </c>
      <c r="AN53" s="20">
        <f>Funding!AN51-Funding!AN52</f>
        <v/>
      </c>
      <c r="AO53" s="20">
        <f>Funding!AO51-Funding!AO52</f>
        <v/>
      </c>
      <c r="AP53" s="20">
        <f>Funding!AP51-Funding!AP52</f>
        <v/>
      </c>
      <c r="AQ53" s="20">
        <f>Funding!AQ51-Funding!AQ52</f>
        <v/>
      </c>
      <c r="AR53" s="20">
        <f>Funding!AR51-Funding!AR52</f>
        <v/>
      </c>
      <c r="AS53" s="20">
        <f>Funding!AS51-Funding!AS52</f>
        <v/>
      </c>
      <c r="AT53" s="20">
        <f>Funding!AT51-Funding!AT52</f>
        <v/>
      </c>
      <c r="AU53" s="20">
        <f>Funding!AU51-Funding!AU52</f>
        <v/>
      </c>
    </row>
    <row r="55">
      <c r="A55" s="4" t="inlineStr">
        <is>
          <t>Holdco incremental term loan, February 15, 2024 (R7 and R8)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</row>
    <row r="56">
      <c r="D56" t="inlineStr">
        <is>
          <t>Interest period fraction to maturity</t>
        </is>
      </c>
      <c r="E56" t="inlineStr">
        <is>
          <t>fraction</t>
        </is>
      </c>
      <c r="J56" s="14">
        <f>MAX(0,MIN(Inputs!$F$301,Time!J$6)-MAX(Inputs!$F$300,Time!J$5))/Time!J$7</f>
        <v/>
      </c>
      <c r="K56" s="14">
        <f>MAX(0,MIN(Inputs!$F$301,Time!K$6)-MAX(Inputs!$F$300,Time!K$5))/Time!K$7</f>
        <v/>
      </c>
      <c r="L56" s="14">
        <f>MAX(0,MIN(Inputs!$F$301,Time!L$6)-MAX(Inputs!$F$300,Time!L$5))/Time!L$7</f>
        <v/>
      </c>
      <c r="M56" s="14">
        <f>MAX(0,MIN(Inputs!$F$301,Time!M$6)-MAX(Inputs!$F$300,Time!M$5))/Time!M$7</f>
        <v/>
      </c>
      <c r="N56" s="14">
        <f>MAX(0,MIN(Inputs!$F$301,Time!N$6)-MAX(Inputs!$F$300,Time!N$5))/Time!N$7</f>
        <v/>
      </c>
      <c r="O56" s="14">
        <f>MAX(0,MIN(Inputs!$F$301,Time!O$6)-MAX(Inputs!$F$300,Time!O$5))/Time!O$7</f>
        <v/>
      </c>
      <c r="P56" s="14">
        <f>MAX(0,MIN(Inputs!$F$301,Time!P$6)-MAX(Inputs!$F$300,Time!P$5))/Time!P$7</f>
        <v/>
      </c>
      <c r="Q56" s="14">
        <f>MAX(0,MIN(Inputs!$F$301,Time!Q$6)-MAX(Inputs!$F$300,Time!Q$5))/Time!Q$7</f>
        <v/>
      </c>
      <c r="R56" s="14">
        <f>MAX(0,MIN(Inputs!$F$301,Time!R$6)-MAX(Inputs!$F$300,Time!R$5))/Time!R$7</f>
        <v/>
      </c>
      <c r="S56" s="14">
        <f>MAX(0,MIN(Inputs!$F$301,Time!S$6)-MAX(Inputs!$F$300,Time!S$5))/Time!S$7</f>
        <v/>
      </c>
      <c r="T56" s="14">
        <f>MAX(0,MIN(Inputs!$F$301,Time!T$6)-MAX(Inputs!$F$300,Time!T$5))/Time!T$7</f>
        <v/>
      </c>
      <c r="U56" s="14">
        <f>MAX(0,MIN(Inputs!$F$301,Time!U$6)-MAX(Inputs!$F$300,Time!U$5))/Time!U$7</f>
        <v/>
      </c>
      <c r="V56" s="14">
        <f>MAX(0,MIN(Inputs!$F$301,Time!V$6)-MAX(Inputs!$F$300,Time!V$5))/Time!V$7</f>
        <v/>
      </c>
      <c r="W56" s="14">
        <f>MAX(0,MIN(Inputs!$F$301,Time!W$6)-MAX(Inputs!$F$300,Time!W$5))/Time!W$7</f>
        <v/>
      </c>
      <c r="X56" s="14">
        <f>MAX(0,MIN(Inputs!$F$301,Time!X$6)-MAX(Inputs!$F$300,Time!X$5))/Time!X$7</f>
        <v/>
      </c>
      <c r="Y56" s="14">
        <f>MAX(0,MIN(Inputs!$F$301,Time!Y$6)-MAX(Inputs!$F$300,Time!Y$5))/Time!Y$7</f>
        <v/>
      </c>
      <c r="Z56" s="14">
        <f>MAX(0,MIN(Inputs!$F$301,Time!Z$6)-MAX(Inputs!$F$300,Time!Z$5))/Time!Z$7</f>
        <v/>
      </c>
      <c r="AA56" s="14">
        <f>MAX(0,MIN(Inputs!$F$301,Time!AA$6)-MAX(Inputs!$F$300,Time!AA$5))/Time!AA$7</f>
        <v/>
      </c>
      <c r="AB56" s="14">
        <f>MAX(0,MIN(Inputs!$F$301,Time!AB$6)-MAX(Inputs!$F$300,Time!AB$5))/Time!AB$7</f>
        <v/>
      </c>
      <c r="AC56" s="14">
        <f>MAX(0,MIN(Inputs!$F$301,Time!AC$6)-MAX(Inputs!$F$300,Time!AC$5))/Time!AC$7</f>
        <v/>
      </c>
      <c r="AD56" s="14">
        <f>MAX(0,MIN(Inputs!$F$301,Time!AD$6)-MAX(Inputs!$F$300,Time!AD$5))/Time!AD$7</f>
        <v/>
      </c>
      <c r="AE56" s="14">
        <f>MAX(0,MIN(Inputs!$F$301,Time!AE$6)-MAX(Inputs!$F$300,Time!AE$5))/Time!AE$7</f>
        <v/>
      </c>
      <c r="AF56" s="14">
        <f>MAX(0,MIN(Inputs!$F$301,Time!AF$6)-MAX(Inputs!$F$300,Time!AF$5))/Time!AF$7</f>
        <v/>
      </c>
      <c r="AG56" s="14">
        <f>MAX(0,MIN(Inputs!$F$301,Time!AG$6)-MAX(Inputs!$F$300,Time!AG$5))/Time!AG$7</f>
        <v/>
      </c>
      <c r="AH56" s="14">
        <f>MAX(0,MIN(Inputs!$F$301,Time!AH$6)-MAX(Inputs!$F$300,Time!AH$5))/Time!AH$7</f>
        <v/>
      </c>
      <c r="AI56" s="14">
        <f>MAX(0,MIN(Inputs!$F$301,Time!AI$6)-MAX(Inputs!$F$300,Time!AI$5))/Time!AI$7</f>
        <v/>
      </c>
      <c r="AJ56" s="14">
        <f>MAX(0,MIN(Inputs!$F$301,Time!AJ$6)-MAX(Inputs!$F$300,Time!AJ$5))/Time!AJ$7</f>
        <v/>
      </c>
      <c r="AK56" s="14">
        <f>MAX(0,MIN(Inputs!$F$301,Time!AK$6)-MAX(Inputs!$F$300,Time!AK$5))/Time!AK$7</f>
        <v/>
      </c>
      <c r="AL56" s="14">
        <f>MAX(0,MIN(Inputs!$F$301,Time!AL$6)-MAX(Inputs!$F$300,Time!AL$5))/Time!AL$7</f>
        <v/>
      </c>
      <c r="AM56" s="14">
        <f>MAX(0,MIN(Inputs!$F$301,Time!AM$6)-MAX(Inputs!$F$300,Time!AM$5))/Time!AM$7</f>
        <v/>
      </c>
      <c r="AN56" s="14">
        <f>MAX(0,MIN(Inputs!$F$301,Time!AN$6)-MAX(Inputs!$F$300,Time!AN$5))/Time!AN$7</f>
        <v/>
      </c>
      <c r="AO56" s="14">
        <f>MAX(0,MIN(Inputs!$F$301,Time!AO$6)-MAX(Inputs!$F$300,Time!AO$5))/Time!AO$7</f>
        <v/>
      </c>
      <c r="AP56" s="14">
        <f>MAX(0,MIN(Inputs!$F$301,Time!AP$6)-MAX(Inputs!$F$300,Time!AP$5))/Time!AP$7</f>
        <v/>
      </c>
      <c r="AQ56" s="14">
        <f>MAX(0,MIN(Inputs!$F$301,Time!AQ$6)-MAX(Inputs!$F$300,Time!AQ$5))/Time!AQ$7</f>
        <v/>
      </c>
      <c r="AR56" s="14">
        <f>MAX(0,MIN(Inputs!$F$301,Time!AR$6)-MAX(Inputs!$F$300,Time!AR$5))/Time!AR$7</f>
        <v/>
      </c>
      <c r="AS56" s="14">
        <f>MAX(0,MIN(Inputs!$F$301,Time!AS$6)-MAX(Inputs!$F$300,Time!AS$5))/Time!AS$7</f>
        <v/>
      </c>
      <c r="AT56" s="14">
        <f>MAX(0,MIN(Inputs!$F$301,Time!AT$6)-MAX(Inputs!$F$300,Time!AT$5))/Time!AT$7</f>
        <v/>
      </c>
      <c r="AU56" s="14">
        <f>MAX(0,MIN(Inputs!$F$301,Time!AU$6)-MAX(Inputs!$F$300,Time!AU$5))/Time!AU$7</f>
        <v/>
      </c>
    </row>
    <row r="57">
      <c r="D57" t="inlineStr">
        <is>
          <t>Rate (SOFR floored + margin)</t>
        </is>
      </c>
      <c r="E57" t="inlineStr">
        <is>
          <t>%</t>
        </is>
      </c>
      <c r="J57" s="15">
        <f>MAX(Inputs!J80,Inputs!$F$285)+Inputs!$F$302</f>
        <v/>
      </c>
      <c r="K57" s="15">
        <f>MAX(Inputs!K80,Inputs!$F$285)+Inputs!$F$302</f>
        <v/>
      </c>
      <c r="L57" s="15">
        <f>MAX(Inputs!L80,Inputs!$F$285)+Inputs!$F$302</f>
        <v/>
      </c>
      <c r="M57" s="15">
        <f>MAX(Inputs!M80,Inputs!$F$285)+Inputs!$F$302</f>
        <v/>
      </c>
      <c r="N57" s="15">
        <f>MAX(Inputs!N80,Inputs!$F$285)+Inputs!$F$302</f>
        <v/>
      </c>
      <c r="O57" s="15">
        <f>MAX(Inputs!O80,Inputs!$F$285)+Inputs!$F$302</f>
        <v/>
      </c>
      <c r="P57" s="15">
        <f>MAX(Inputs!P80,Inputs!$F$285)+Inputs!$F$302</f>
        <v/>
      </c>
      <c r="Q57" s="15">
        <f>MAX(Inputs!Q80,Inputs!$F$285)+Inputs!$F$302</f>
        <v/>
      </c>
      <c r="R57" s="15">
        <f>MAX(Inputs!R80,Inputs!$F$285)+Inputs!$F$302</f>
        <v/>
      </c>
      <c r="S57" s="15">
        <f>MAX(Inputs!S80,Inputs!$F$285)+Inputs!$F$302</f>
        <v/>
      </c>
      <c r="T57" s="15">
        <f>MAX(Inputs!T80,Inputs!$F$285)+Inputs!$F$302</f>
        <v/>
      </c>
      <c r="U57" s="15">
        <f>MAX(Inputs!U80,Inputs!$F$285)+Inputs!$F$302</f>
        <v/>
      </c>
      <c r="V57" s="15">
        <f>MAX(Inputs!V80,Inputs!$F$285)+Inputs!$F$302</f>
        <v/>
      </c>
      <c r="W57" s="15">
        <f>MAX(Inputs!W80,Inputs!$F$285)+Inputs!$F$302</f>
        <v/>
      </c>
      <c r="X57" s="15">
        <f>MAX(Inputs!X80,Inputs!$F$285)+Inputs!$F$302</f>
        <v/>
      </c>
      <c r="Y57" s="15">
        <f>MAX(Inputs!Y80,Inputs!$F$285)+Inputs!$F$302</f>
        <v/>
      </c>
      <c r="Z57" s="15">
        <f>MAX(Inputs!Z80,Inputs!$F$285)+Inputs!$F$302</f>
        <v/>
      </c>
      <c r="AA57" s="15">
        <f>MAX(Inputs!AA80,Inputs!$F$285)+Inputs!$F$302</f>
        <v/>
      </c>
      <c r="AB57" s="15">
        <f>MAX(Inputs!AB80,Inputs!$F$285)+Inputs!$F$302</f>
        <v/>
      </c>
      <c r="AC57" s="15">
        <f>MAX(Inputs!AC80,Inputs!$F$285)+Inputs!$F$302</f>
        <v/>
      </c>
      <c r="AD57" s="15">
        <f>MAX(Inputs!AD80,Inputs!$F$285)+Inputs!$F$302</f>
        <v/>
      </c>
      <c r="AE57" s="15">
        <f>MAX(Inputs!AE80,Inputs!$F$285)+Inputs!$F$302</f>
        <v/>
      </c>
      <c r="AF57" s="15">
        <f>MAX(Inputs!AF80,Inputs!$F$285)+Inputs!$F$302</f>
        <v/>
      </c>
      <c r="AG57" s="15">
        <f>MAX(Inputs!AG80,Inputs!$F$285)+Inputs!$F$302</f>
        <v/>
      </c>
      <c r="AH57" s="15">
        <f>MAX(Inputs!AH80,Inputs!$F$285)+Inputs!$F$302</f>
        <v/>
      </c>
      <c r="AI57" s="15">
        <f>MAX(Inputs!AI80,Inputs!$F$285)+Inputs!$F$302</f>
        <v/>
      </c>
      <c r="AJ57" s="15">
        <f>MAX(Inputs!AJ80,Inputs!$F$285)+Inputs!$F$302</f>
        <v/>
      </c>
      <c r="AK57" s="15">
        <f>MAX(Inputs!AK80,Inputs!$F$285)+Inputs!$F$302</f>
        <v/>
      </c>
      <c r="AL57" s="15">
        <f>MAX(Inputs!AL80,Inputs!$F$285)+Inputs!$F$302</f>
        <v/>
      </c>
      <c r="AM57" s="15">
        <f>MAX(Inputs!AM80,Inputs!$F$285)+Inputs!$F$302</f>
        <v/>
      </c>
      <c r="AN57" s="15">
        <f>MAX(Inputs!AN80,Inputs!$F$285)+Inputs!$F$302</f>
        <v/>
      </c>
      <c r="AO57" s="15">
        <f>MAX(Inputs!AO80,Inputs!$F$285)+Inputs!$F$302</f>
        <v/>
      </c>
      <c r="AP57" s="15">
        <f>MAX(Inputs!AP80,Inputs!$F$285)+Inputs!$F$302</f>
        <v/>
      </c>
      <c r="AQ57" s="15">
        <f>MAX(Inputs!AQ80,Inputs!$F$285)+Inputs!$F$302</f>
        <v/>
      </c>
      <c r="AR57" s="15">
        <f>MAX(Inputs!AR80,Inputs!$F$285)+Inputs!$F$302</f>
        <v/>
      </c>
      <c r="AS57" s="15">
        <f>MAX(Inputs!AS80,Inputs!$F$285)+Inputs!$F$302</f>
        <v/>
      </c>
      <c r="AT57" s="15">
        <f>MAX(Inputs!AT80,Inputs!$F$285)+Inputs!$F$302</f>
        <v/>
      </c>
      <c r="AU57" s="15">
        <f>MAX(Inputs!AU80,Inputs!$F$285)+Inputs!$F$302</f>
        <v/>
      </c>
    </row>
    <row r="58">
      <c r="D58" t="inlineStr">
        <is>
          <t>Scheduled amortization per unit of face</t>
        </is>
      </c>
      <c r="E58" t="inlineStr">
        <is>
          <t>factor</t>
        </is>
      </c>
      <c r="J58" s="14">
        <f>Inputs!$F$304/100*Funding!J56</f>
        <v/>
      </c>
      <c r="K58" s="14">
        <f>Inputs!$F$304/100*Funding!K56</f>
        <v/>
      </c>
      <c r="L58" s="14">
        <f>Inputs!$F$304/100*Funding!L56</f>
        <v/>
      </c>
      <c r="M58" s="14">
        <f>Inputs!$F$304/100*Funding!M56</f>
        <v/>
      </c>
      <c r="N58" s="14">
        <f>Inputs!$F$304/100*Funding!N56</f>
        <v/>
      </c>
      <c r="O58" s="14">
        <f>Inputs!$F$304/100*Funding!O56</f>
        <v/>
      </c>
      <c r="P58" s="14">
        <f>Inputs!$F$304/100*Funding!P56</f>
        <v/>
      </c>
      <c r="Q58" s="14">
        <f>Inputs!$F$304/100*Funding!Q56</f>
        <v/>
      </c>
      <c r="R58" s="14">
        <f>Inputs!$F$304/100*Funding!R56</f>
        <v/>
      </c>
      <c r="S58" s="14">
        <f>Inputs!$F$304/100*Funding!S56</f>
        <v/>
      </c>
      <c r="T58" s="14">
        <f>Inputs!$F$304/100*Funding!T56</f>
        <v/>
      </c>
      <c r="U58" s="14">
        <f>Inputs!$F$304/100*Funding!U56</f>
        <v/>
      </c>
      <c r="V58" s="14">
        <f>Inputs!$F$304/100*Funding!V56</f>
        <v/>
      </c>
      <c r="W58" s="14">
        <f>Inputs!$F$304/100*Funding!W56</f>
        <v/>
      </c>
      <c r="X58" s="14">
        <f>Inputs!$F$304/100*Funding!X56</f>
        <v/>
      </c>
      <c r="Y58" s="14">
        <f>Inputs!$F$304/100*Funding!Y56</f>
        <v/>
      </c>
      <c r="Z58" s="14">
        <f>Inputs!$F$304/100*Funding!Z56</f>
        <v/>
      </c>
      <c r="AA58" s="14">
        <f>Inputs!$F$304/100*Funding!AA56</f>
        <v/>
      </c>
      <c r="AB58" s="14">
        <f>Inputs!$F$304/100*Funding!AB56</f>
        <v/>
      </c>
      <c r="AC58" s="14">
        <f>Inputs!$F$304/100*Funding!AC56</f>
        <v/>
      </c>
      <c r="AD58" s="14">
        <f>Inputs!$F$304/100*Funding!AD56</f>
        <v/>
      </c>
      <c r="AE58" s="14">
        <f>Inputs!$F$304/100*Funding!AE56</f>
        <v/>
      </c>
      <c r="AF58" s="14">
        <f>Inputs!$F$304/100*Funding!AF56</f>
        <v/>
      </c>
      <c r="AG58" s="14">
        <f>Inputs!$F$304/100*Funding!AG56</f>
        <v/>
      </c>
      <c r="AH58" s="14">
        <f>Inputs!$F$304/100*Funding!AH56</f>
        <v/>
      </c>
      <c r="AI58" s="14">
        <f>Inputs!$F$304/100*Funding!AI56</f>
        <v/>
      </c>
      <c r="AJ58" s="14">
        <f>Inputs!$F$304/100*Funding!AJ56</f>
        <v/>
      </c>
      <c r="AK58" s="14">
        <f>Inputs!$F$304/100*Funding!AK56</f>
        <v/>
      </c>
      <c r="AL58" s="14">
        <f>Inputs!$F$304/100*Funding!AL56</f>
        <v/>
      </c>
      <c r="AM58" s="14">
        <f>Inputs!$F$304/100*Funding!AM56</f>
        <v/>
      </c>
      <c r="AN58" s="14">
        <f>Inputs!$F$304/100*Funding!AN56</f>
        <v/>
      </c>
      <c r="AO58" s="14">
        <f>Inputs!$F$304/100*Funding!AO56</f>
        <v/>
      </c>
      <c r="AP58" s="14">
        <f>Inputs!$F$304/100*Funding!AP56</f>
        <v/>
      </c>
      <c r="AQ58" s="14">
        <f>Inputs!$F$304/100*Funding!AQ56</f>
        <v/>
      </c>
      <c r="AR58" s="14">
        <f>Inputs!$F$304/100*Funding!AR56</f>
        <v/>
      </c>
      <c r="AS58" s="14">
        <f>Inputs!$F$304/100*Funding!AS56</f>
        <v/>
      </c>
      <c r="AT58" s="14">
        <f>Inputs!$F$304/100*Funding!AT56</f>
        <v/>
      </c>
      <c r="AU58" s="14">
        <f>Inputs!$F$304/100*Funding!AU56</f>
        <v/>
      </c>
    </row>
    <row r="59">
      <c r="D59" t="inlineStr">
        <is>
          <t>Scheduled balance per unit of face</t>
        </is>
      </c>
      <c r="E59" t="inlineStr">
        <is>
          <t>factor</t>
        </is>
      </c>
      <c r="J59" s="14">
        <f>IF(Time!J$4=Inputs!$F$23,1,I59-I58)</f>
        <v/>
      </c>
      <c r="K59" s="14">
        <f>IF(Time!K$4=Inputs!$F$23,1,J59-J58)</f>
        <v/>
      </c>
      <c r="L59" s="14">
        <f>IF(Time!L$4=Inputs!$F$23,1,K59-K58)</f>
        <v/>
      </c>
      <c r="M59" s="14">
        <f>IF(Time!M$4=Inputs!$F$23,1,L59-L58)</f>
        <v/>
      </c>
      <c r="N59" s="14">
        <f>IF(Time!N$4=Inputs!$F$23,1,M59-M58)</f>
        <v/>
      </c>
      <c r="O59" s="14">
        <f>IF(Time!O$4=Inputs!$F$23,1,N59-N58)</f>
        <v/>
      </c>
      <c r="P59" s="14">
        <f>IF(Time!P$4=Inputs!$F$23,1,O59-O58)</f>
        <v/>
      </c>
      <c r="Q59" s="14">
        <f>IF(Time!Q$4=Inputs!$F$23,1,P59-P58)</f>
        <v/>
      </c>
      <c r="R59" s="14">
        <f>IF(Time!R$4=Inputs!$F$23,1,Q59-Q58)</f>
        <v/>
      </c>
      <c r="S59" s="14">
        <f>IF(Time!S$4=Inputs!$F$23,1,R59-R58)</f>
        <v/>
      </c>
      <c r="T59" s="14">
        <f>IF(Time!T$4=Inputs!$F$23,1,S59-S58)</f>
        <v/>
      </c>
      <c r="U59" s="14">
        <f>IF(Time!U$4=Inputs!$F$23,1,T59-T58)</f>
        <v/>
      </c>
      <c r="V59" s="14">
        <f>IF(Time!V$4=Inputs!$F$23,1,U59-U58)</f>
        <v/>
      </c>
      <c r="W59" s="14">
        <f>IF(Time!W$4=Inputs!$F$23,1,V59-V58)</f>
        <v/>
      </c>
      <c r="X59" s="14">
        <f>IF(Time!X$4=Inputs!$F$23,1,W59-W58)</f>
        <v/>
      </c>
      <c r="Y59" s="14">
        <f>IF(Time!Y$4=Inputs!$F$23,1,X59-X58)</f>
        <v/>
      </c>
      <c r="Z59" s="14">
        <f>IF(Time!Z$4=Inputs!$F$23,1,Y59-Y58)</f>
        <v/>
      </c>
      <c r="AA59" s="14">
        <f>IF(Time!AA$4=Inputs!$F$23,1,Z59-Z58)</f>
        <v/>
      </c>
      <c r="AB59" s="14">
        <f>IF(Time!AB$4=Inputs!$F$23,1,AA59-AA58)</f>
        <v/>
      </c>
      <c r="AC59" s="14">
        <f>IF(Time!AC$4=Inputs!$F$23,1,AB59-AB58)</f>
        <v/>
      </c>
      <c r="AD59" s="14">
        <f>IF(Time!AD$4=Inputs!$F$23,1,AC59-AC58)</f>
        <v/>
      </c>
      <c r="AE59" s="14">
        <f>IF(Time!AE$4=Inputs!$F$23,1,AD59-AD58)</f>
        <v/>
      </c>
      <c r="AF59" s="14">
        <f>IF(Time!AF$4=Inputs!$F$23,1,AE59-AE58)</f>
        <v/>
      </c>
      <c r="AG59" s="14">
        <f>IF(Time!AG$4=Inputs!$F$23,1,AF59-AF58)</f>
        <v/>
      </c>
      <c r="AH59" s="14">
        <f>IF(Time!AH$4=Inputs!$F$23,1,AG59-AG58)</f>
        <v/>
      </c>
      <c r="AI59" s="14">
        <f>IF(Time!AI$4=Inputs!$F$23,1,AH59-AH58)</f>
        <v/>
      </c>
      <c r="AJ59" s="14">
        <f>IF(Time!AJ$4=Inputs!$F$23,1,AI59-AI58)</f>
        <v/>
      </c>
      <c r="AK59" s="14">
        <f>IF(Time!AK$4=Inputs!$F$23,1,AJ59-AJ58)</f>
        <v/>
      </c>
      <c r="AL59" s="14">
        <f>IF(Time!AL$4=Inputs!$F$23,1,AK59-AK58)</f>
        <v/>
      </c>
      <c r="AM59" s="14">
        <f>IF(Time!AM$4=Inputs!$F$23,1,AL59-AL58)</f>
        <v/>
      </c>
      <c r="AN59" s="14">
        <f>IF(Time!AN$4=Inputs!$F$23,1,AM59-AM58)</f>
        <v/>
      </c>
      <c r="AO59" s="14">
        <f>IF(Time!AO$4=Inputs!$F$23,1,AN59-AN58)</f>
        <v/>
      </c>
      <c r="AP59" s="14">
        <f>IF(Time!AP$4=Inputs!$F$23,1,AO59-AO58)</f>
        <v/>
      </c>
      <c r="AQ59" s="14">
        <f>IF(Time!AQ$4=Inputs!$F$23,1,AP59-AP58)</f>
        <v/>
      </c>
      <c r="AR59" s="14">
        <f>IF(Time!AR$4=Inputs!$F$23,1,AQ59-AQ58)</f>
        <v/>
      </c>
      <c r="AS59" s="14">
        <f>IF(Time!AS$4=Inputs!$F$23,1,AR59-AR58)</f>
        <v/>
      </c>
      <c r="AT59" s="14">
        <f>IF(Time!AT$4=Inputs!$F$23,1,AS59-AS58)</f>
        <v/>
      </c>
      <c r="AU59" s="14">
        <f>IF(Time!AU$4=Inputs!$F$23,1,AT59-AT58)</f>
        <v/>
      </c>
    </row>
    <row r="60">
      <c r="D60" t="inlineStr">
        <is>
          <t>Debt service per unit of face</t>
        </is>
      </c>
      <c r="E60" t="inlineStr">
        <is>
          <t>factor</t>
        </is>
      </c>
      <c r="J60" s="14">
        <f>Funding!J59*Funding!J57/100*Funding!J56+Funding!J58</f>
        <v/>
      </c>
      <c r="K60" s="14">
        <f>Funding!K59*Funding!K57/100*Funding!K56+Funding!K58</f>
        <v/>
      </c>
      <c r="L60" s="14">
        <f>Funding!L59*Funding!L57/100*Funding!L56+Funding!L58</f>
        <v/>
      </c>
      <c r="M60" s="14">
        <f>Funding!M59*Funding!M57/100*Funding!M56+Funding!M58</f>
        <v/>
      </c>
      <c r="N60" s="14">
        <f>Funding!N59*Funding!N57/100*Funding!N56+Funding!N58</f>
        <v/>
      </c>
      <c r="O60" s="14">
        <f>Funding!O59*Funding!O57/100*Funding!O56+Funding!O58</f>
        <v/>
      </c>
      <c r="P60" s="14">
        <f>Funding!P59*Funding!P57/100*Funding!P56+Funding!P58</f>
        <v/>
      </c>
      <c r="Q60" s="14">
        <f>Funding!Q59*Funding!Q57/100*Funding!Q56+Funding!Q58</f>
        <v/>
      </c>
      <c r="R60" s="14">
        <f>Funding!R59*Funding!R57/100*Funding!R56+Funding!R58</f>
        <v/>
      </c>
      <c r="S60" s="14">
        <f>Funding!S59*Funding!S57/100*Funding!S56+Funding!S58</f>
        <v/>
      </c>
      <c r="T60" s="14">
        <f>Funding!T59*Funding!T57/100*Funding!T56+Funding!T58</f>
        <v/>
      </c>
      <c r="U60" s="14">
        <f>Funding!U59*Funding!U57/100*Funding!U56+Funding!U58</f>
        <v/>
      </c>
      <c r="V60" s="14">
        <f>Funding!V59*Funding!V57/100*Funding!V56+Funding!V58</f>
        <v/>
      </c>
      <c r="W60" s="14">
        <f>Funding!W59*Funding!W57/100*Funding!W56+Funding!W58</f>
        <v/>
      </c>
      <c r="X60" s="14">
        <f>Funding!X59*Funding!X57/100*Funding!X56+Funding!X58</f>
        <v/>
      </c>
      <c r="Y60" s="14">
        <f>Funding!Y59*Funding!Y57/100*Funding!Y56+Funding!Y58</f>
        <v/>
      </c>
      <c r="Z60" s="14">
        <f>Funding!Z59*Funding!Z57/100*Funding!Z56+Funding!Z58</f>
        <v/>
      </c>
      <c r="AA60" s="14">
        <f>Funding!AA59*Funding!AA57/100*Funding!AA56+Funding!AA58</f>
        <v/>
      </c>
      <c r="AB60" s="14">
        <f>Funding!AB59*Funding!AB57/100*Funding!AB56+Funding!AB58</f>
        <v/>
      </c>
      <c r="AC60" s="14">
        <f>Funding!AC59*Funding!AC57/100*Funding!AC56+Funding!AC58</f>
        <v/>
      </c>
      <c r="AD60" s="14">
        <f>Funding!AD59*Funding!AD57/100*Funding!AD56+Funding!AD58</f>
        <v/>
      </c>
      <c r="AE60" s="14">
        <f>Funding!AE59*Funding!AE57/100*Funding!AE56+Funding!AE58</f>
        <v/>
      </c>
      <c r="AF60" s="14">
        <f>Funding!AF59*Funding!AF57/100*Funding!AF56+Funding!AF58</f>
        <v/>
      </c>
      <c r="AG60" s="14">
        <f>Funding!AG59*Funding!AG57/100*Funding!AG56+Funding!AG58</f>
        <v/>
      </c>
      <c r="AH60" s="14">
        <f>Funding!AH59*Funding!AH57/100*Funding!AH56+Funding!AH58</f>
        <v/>
      </c>
      <c r="AI60" s="14">
        <f>Funding!AI59*Funding!AI57/100*Funding!AI56+Funding!AI58</f>
        <v/>
      </c>
      <c r="AJ60" s="14">
        <f>Funding!AJ59*Funding!AJ57/100*Funding!AJ56+Funding!AJ58</f>
        <v/>
      </c>
      <c r="AK60" s="14">
        <f>Funding!AK59*Funding!AK57/100*Funding!AK56+Funding!AK58</f>
        <v/>
      </c>
      <c r="AL60" s="14">
        <f>Funding!AL59*Funding!AL57/100*Funding!AL56+Funding!AL58</f>
        <v/>
      </c>
      <c r="AM60" s="14">
        <f>Funding!AM59*Funding!AM57/100*Funding!AM56+Funding!AM58</f>
        <v/>
      </c>
      <c r="AN60" s="14">
        <f>Funding!AN59*Funding!AN57/100*Funding!AN56+Funding!AN58</f>
        <v/>
      </c>
      <c r="AO60" s="14">
        <f>Funding!AO59*Funding!AO57/100*Funding!AO56+Funding!AO58</f>
        <v/>
      </c>
      <c r="AP60" s="14">
        <f>Funding!AP59*Funding!AP57/100*Funding!AP56+Funding!AP58</f>
        <v/>
      </c>
      <c r="AQ60" s="14">
        <f>Funding!AQ59*Funding!AQ57/100*Funding!AQ56+Funding!AQ58</f>
        <v/>
      </c>
      <c r="AR60" s="14">
        <f>Funding!AR59*Funding!AR57/100*Funding!AR56+Funding!AR58</f>
        <v/>
      </c>
      <c r="AS60" s="14">
        <f>Funding!AS59*Funding!AS57/100*Funding!AS56+Funding!AS58</f>
        <v/>
      </c>
      <c r="AT60" s="14">
        <f>Funding!AT59*Funding!AT57/100*Funding!AT56+Funding!AT58</f>
        <v/>
      </c>
      <c r="AU60" s="14">
        <f>Funding!AU59*Funding!AU57/100*Funding!AU56+Funding!AU58</f>
        <v/>
      </c>
    </row>
    <row r="61">
      <c r="D61" t="inlineStr">
        <is>
          <t>Coverage test year flag</t>
        </is>
      </c>
      <c r="E61" t="inlineStr">
        <is>
          <t>flag</t>
        </is>
      </c>
      <c r="J61" s="12">
        <f>(Time!J$4&gt;=Inputs!$F$305)*(Time!J$4&lt;=Inputs!$F$306)</f>
        <v/>
      </c>
      <c r="K61" s="12">
        <f>(Time!K$4&gt;=Inputs!$F$305)*(Time!K$4&lt;=Inputs!$F$306)</f>
        <v/>
      </c>
      <c r="L61" s="12">
        <f>(Time!L$4&gt;=Inputs!$F$305)*(Time!L$4&lt;=Inputs!$F$306)</f>
        <v/>
      </c>
      <c r="M61" s="12">
        <f>(Time!M$4&gt;=Inputs!$F$305)*(Time!M$4&lt;=Inputs!$F$306)</f>
        <v/>
      </c>
      <c r="N61" s="12">
        <f>(Time!N$4&gt;=Inputs!$F$305)*(Time!N$4&lt;=Inputs!$F$306)</f>
        <v/>
      </c>
      <c r="O61" s="12">
        <f>(Time!O$4&gt;=Inputs!$F$305)*(Time!O$4&lt;=Inputs!$F$306)</f>
        <v/>
      </c>
      <c r="P61" s="12">
        <f>(Time!P$4&gt;=Inputs!$F$305)*(Time!P$4&lt;=Inputs!$F$306)</f>
        <v/>
      </c>
      <c r="Q61" s="12">
        <f>(Time!Q$4&gt;=Inputs!$F$305)*(Time!Q$4&lt;=Inputs!$F$306)</f>
        <v/>
      </c>
      <c r="R61" s="12">
        <f>(Time!R$4&gt;=Inputs!$F$305)*(Time!R$4&lt;=Inputs!$F$306)</f>
        <v/>
      </c>
      <c r="S61" s="12">
        <f>(Time!S$4&gt;=Inputs!$F$305)*(Time!S$4&lt;=Inputs!$F$306)</f>
        <v/>
      </c>
      <c r="T61" s="12">
        <f>(Time!T$4&gt;=Inputs!$F$305)*(Time!T$4&lt;=Inputs!$F$306)</f>
        <v/>
      </c>
      <c r="U61" s="12">
        <f>(Time!U$4&gt;=Inputs!$F$305)*(Time!U$4&lt;=Inputs!$F$306)</f>
        <v/>
      </c>
      <c r="V61" s="12">
        <f>(Time!V$4&gt;=Inputs!$F$305)*(Time!V$4&lt;=Inputs!$F$306)</f>
        <v/>
      </c>
      <c r="W61" s="12">
        <f>(Time!W$4&gt;=Inputs!$F$305)*(Time!W$4&lt;=Inputs!$F$306)</f>
        <v/>
      </c>
      <c r="X61" s="12">
        <f>(Time!X$4&gt;=Inputs!$F$305)*(Time!X$4&lt;=Inputs!$F$306)</f>
        <v/>
      </c>
      <c r="Y61" s="12">
        <f>(Time!Y$4&gt;=Inputs!$F$305)*(Time!Y$4&lt;=Inputs!$F$306)</f>
        <v/>
      </c>
      <c r="Z61" s="12">
        <f>(Time!Z$4&gt;=Inputs!$F$305)*(Time!Z$4&lt;=Inputs!$F$306)</f>
        <v/>
      </c>
      <c r="AA61" s="12">
        <f>(Time!AA$4&gt;=Inputs!$F$305)*(Time!AA$4&lt;=Inputs!$F$306)</f>
        <v/>
      </c>
      <c r="AB61" s="12">
        <f>(Time!AB$4&gt;=Inputs!$F$305)*(Time!AB$4&lt;=Inputs!$F$306)</f>
        <v/>
      </c>
      <c r="AC61" s="12">
        <f>(Time!AC$4&gt;=Inputs!$F$305)*(Time!AC$4&lt;=Inputs!$F$306)</f>
        <v/>
      </c>
      <c r="AD61" s="12">
        <f>(Time!AD$4&gt;=Inputs!$F$305)*(Time!AD$4&lt;=Inputs!$F$306)</f>
        <v/>
      </c>
      <c r="AE61" s="12">
        <f>(Time!AE$4&gt;=Inputs!$F$305)*(Time!AE$4&lt;=Inputs!$F$306)</f>
        <v/>
      </c>
      <c r="AF61" s="12">
        <f>(Time!AF$4&gt;=Inputs!$F$305)*(Time!AF$4&lt;=Inputs!$F$306)</f>
        <v/>
      </c>
      <c r="AG61" s="12">
        <f>(Time!AG$4&gt;=Inputs!$F$305)*(Time!AG$4&lt;=Inputs!$F$306)</f>
        <v/>
      </c>
      <c r="AH61" s="12">
        <f>(Time!AH$4&gt;=Inputs!$F$305)*(Time!AH$4&lt;=Inputs!$F$306)</f>
        <v/>
      </c>
      <c r="AI61" s="12">
        <f>(Time!AI$4&gt;=Inputs!$F$305)*(Time!AI$4&lt;=Inputs!$F$306)</f>
        <v/>
      </c>
      <c r="AJ61" s="12">
        <f>(Time!AJ$4&gt;=Inputs!$F$305)*(Time!AJ$4&lt;=Inputs!$F$306)</f>
        <v/>
      </c>
      <c r="AK61" s="12">
        <f>(Time!AK$4&gt;=Inputs!$F$305)*(Time!AK$4&lt;=Inputs!$F$306)</f>
        <v/>
      </c>
      <c r="AL61" s="12">
        <f>(Time!AL$4&gt;=Inputs!$F$305)*(Time!AL$4&lt;=Inputs!$F$306)</f>
        <v/>
      </c>
      <c r="AM61" s="12">
        <f>(Time!AM$4&gt;=Inputs!$F$305)*(Time!AM$4&lt;=Inputs!$F$306)</f>
        <v/>
      </c>
      <c r="AN61" s="12">
        <f>(Time!AN$4&gt;=Inputs!$F$305)*(Time!AN$4&lt;=Inputs!$F$306)</f>
        <v/>
      </c>
      <c r="AO61" s="12">
        <f>(Time!AO$4&gt;=Inputs!$F$305)*(Time!AO$4&lt;=Inputs!$F$306)</f>
        <v/>
      </c>
      <c r="AP61" s="12">
        <f>(Time!AP$4&gt;=Inputs!$F$305)*(Time!AP$4&lt;=Inputs!$F$306)</f>
        <v/>
      </c>
      <c r="AQ61" s="12">
        <f>(Time!AQ$4&gt;=Inputs!$F$305)*(Time!AQ$4&lt;=Inputs!$F$306)</f>
        <v/>
      </c>
      <c r="AR61" s="12">
        <f>(Time!AR$4&gt;=Inputs!$F$305)*(Time!AR$4&lt;=Inputs!$F$306)</f>
        <v/>
      </c>
      <c r="AS61" s="12">
        <f>(Time!AS$4&gt;=Inputs!$F$305)*(Time!AS$4&lt;=Inputs!$F$306)</f>
        <v/>
      </c>
      <c r="AT61" s="12">
        <f>(Time!AT$4&gt;=Inputs!$F$305)*(Time!AT$4&lt;=Inputs!$F$306)</f>
        <v/>
      </c>
      <c r="AU61" s="12">
        <f>(Time!AU$4&gt;=Inputs!$F$305)*(Time!AU$4&lt;=Inputs!$F$306)</f>
        <v/>
      </c>
    </row>
    <row r="62">
      <c r="D62" t="inlineStr">
        <is>
          <t>Face supported at 1.75x on R7 and R8 distributions</t>
        </is>
      </c>
      <c r="E62" t="inlineStr">
        <is>
          <t>USD m</t>
        </is>
      </c>
      <c r="J62" s="20">
        <f>IF(Funding!J61&gt;0,Operations!J773/(Inputs!$F$289*IF(Funding!J60&gt;0,Funding!J60,1)),Inputs!$F$28)</f>
        <v/>
      </c>
      <c r="K62" s="20">
        <f>IF(Funding!K61&gt;0,Operations!K773/(Inputs!$F$289*IF(Funding!K60&gt;0,Funding!K60,1)),Inputs!$F$28)</f>
        <v/>
      </c>
      <c r="L62" s="20">
        <f>IF(Funding!L61&gt;0,Operations!L773/(Inputs!$F$289*IF(Funding!L60&gt;0,Funding!L60,1)),Inputs!$F$28)</f>
        <v/>
      </c>
      <c r="M62" s="20">
        <f>IF(Funding!M61&gt;0,Operations!M773/(Inputs!$F$289*IF(Funding!M60&gt;0,Funding!M60,1)),Inputs!$F$28)</f>
        <v/>
      </c>
      <c r="N62" s="20">
        <f>IF(Funding!N61&gt;0,Operations!N773/(Inputs!$F$289*IF(Funding!N60&gt;0,Funding!N60,1)),Inputs!$F$28)</f>
        <v/>
      </c>
      <c r="O62" s="20">
        <f>IF(Funding!O61&gt;0,Operations!O773/(Inputs!$F$289*IF(Funding!O60&gt;0,Funding!O60,1)),Inputs!$F$28)</f>
        <v/>
      </c>
      <c r="P62" s="20">
        <f>IF(Funding!P61&gt;0,Operations!P773/(Inputs!$F$289*IF(Funding!P60&gt;0,Funding!P60,1)),Inputs!$F$28)</f>
        <v/>
      </c>
      <c r="Q62" s="20">
        <f>IF(Funding!Q61&gt;0,Operations!Q773/(Inputs!$F$289*IF(Funding!Q60&gt;0,Funding!Q60,1)),Inputs!$F$28)</f>
        <v/>
      </c>
      <c r="R62" s="20">
        <f>IF(Funding!R61&gt;0,Operations!R773/(Inputs!$F$289*IF(Funding!R60&gt;0,Funding!R60,1)),Inputs!$F$28)</f>
        <v/>
      </c>
      <c r="S62" s="20">
        <f>IF(Funding!S61&gt;0,Operations!S773/(Inputs!$F$289*IF(Funding!S60&gt;0,Funding!S60,1)),Inputs!$F$28)</f>
        <v/>
      </c>
      <c r="T62" s="20">
        <f>IF(Funding!T61&gt;0,Operations!T773/(Inputs!$F$289*IF(Funding!T60&gt;0,Funding!T60,1)),Inputs!$F$28)</f>
        <v/>
      </c>
      <c r="U62" s="20">
        <f>IF(Funding!U61&gt;0,Operations!U773/(Inputs!$F$289*IF(Funding!U60&gt;0,Funding!U60,1)),Inputs!$F$28)</f>
        <v/>
      </c>
      <c r="V62" s="20">
        <f>IF(Funding!V61&gt;0,Operations!V773/(Inputs!$F$289*IF(Funding!V60&gt;0,Funding!V60,1)),Inputs!$F$28)</f>
        <v/>
      </c>
      <c r="W62" s="20">
        <f>IF(Funding!W61&gt;0,Operations!W773/(Inputs!$F$289*IF(Funding!W60&gt;0,Funding!W60,1)),Inputs!$F$28)</f>
        <v/>
      </c>
      <c r="X62" s="20">
        <f>IF(Funding!X61&gt;0,Operations!X773/(Inputs!$F$289*IF(Funding!X60&gt;0,Funding!X60,1)),Inputs!$F$28)</f>
        <v/>
      </c>
      <c r="Y62" s="20">
        <f>IF(Funding!Y61&gt;0,Operations!Y773/(Inputs!$F$289*IF(Funding!Y60&gt;0,Funding!Y60,1)),Inputs!$F$28)</f>
        <v/>
      </c>
      <c r="Z62" s="20">
        <f>IF(Funding!Z61&gt;0,Operations!Z773/(Inputs!$F$289*IF(Funding!Z60&gt;0,Funding!Z60,1)),Inputs!$F$28)</f>
        <v/>
      </c>
      <c r="AA62" s="20">
        <f>IF(Funding!AA61&gt;0,Operations!AA773/(Inputs!$F$289*IF(Funding!AA60&gt;0,Funding!AA60,1)),Inputs!$F$28)</f>
        <v/>
      </c>
      <c r="AB62" s="20">
        <f>IF(Funding!AB61&gt;0,Operations!AB773/(Inputs!$F$289*IF(Funding!AB60&gt;0,Funding!AB60,1)),Inputs!$F$28)</f>
        <v/>
      </c>
      <c r="AC62" s="20">
        <f>IF(Funding!AC61&gt;0,Operations!AC773/(Inputs!$F$289*IF(Funding!AC60&gt;0,Funding!AC60,1)),Inputs!$F$28)</f>
        <v/>
      </c>
      <c r="AD62" s="20">
        <f>IF(Funding!AD61&gt;0,Operations!AD773/(Inputs!$F$289*IF(Funding!AD60&gt;0,Funding!AD60,1)),Inputs!$F$28)</f>
        <v/>
      </c>
      <c r="AE62" s="20">
        <f>IF(Funding!AE61&gt;0,Operations!AE773/(Inputs!$F$289*IF(Funding!AE60&gt;0,Funding!AE60,1)),Inputs!$F$28)</f>
        <v/>
      </c>
      <c r="AF62" s="20">
        <f>IF(Funding!AF61&gt;0,Operations!AF773/(Inputs!$F$289*IF(Funding!AF60&gt;0,Funding!AF60,1)),Inputs!$F$28)</f>
        <v/>
      </c>
      <c r="AG62" s="20">
        <f>IF(Funding!AG61&gt;0,Operations!AG773/(Inputs!$F$289*IF(Funding!AG60&gt;0,Funding!AG60,1)),Inputs!$F$28)</f>
        <v/>
      </c>
      <c r="AH62" s="20">
        <f>IF(Funding!AH61&gt;0,Operations!AH773/(Inputs!$F$289*IF(Funding!AH60&gt;0,Funding!AH60,1)),Inputs!$F$28)</f>
        <v/>
      </c>
      <c r="AI62" s="20">
        <f>IF(Funding!AI61&gt;0,Operations!AI773/(Inputs!$F$289*IF(Funding!AI60&gt;0,Funding!AI60,1)),Inputs!$F$28)</f>
        <v/>
      </c>
      <c r="AJ62" s="20">
        <f>IF(Funding!AJ61&gt;0,Operations!AJ773/(Inputs!$F$289*IF(Funding!AJ60&gt;0,Funding!AJ60,1)),Inputs!$F$28)</f>
        <v/>
      </c>
      <c r="AK62" s="20">
        <f>IF(Funding!AK61&gt;0,Operations!AK773/(Inputs!$F$289*IF(Funding!AK60&gt;0,Funding!AK60,1)),Inputs!$F$28)</f>
        <v/>
      </c>
      <c r="AL62" s="20">
        <f>IF(Funding!AL61&gt;0,Operations!AL773/(Inputs!$F$289*IF(Funding!AL60&gt;0,Funding!AL60,1)),Inputs!$F$28)</f>
        <v/>
      </c>
      <c r="AM62" s="20">
        <f>IF(Funding!AM61&gt;0,Operations!AM773/(Inputs!$F$289*IF(Funding!AM60&gt;0,Funding!AM60,1)),Inputs!$F$28)</f>
        <v/>
      </c>
      <c r="AN62" s="20">
        <f>IF(Funding!AN61&gt;0,Operations!AN773/(Inputs!$F$289*IF(Funding!AN60&gt;0,Funding!AN60,1)),Inputs!$F$28)</f>
        <v/>
      </c>
      <c r="AO62" s="20">
        <f>IF(Funding!AO61&gt;0,Operations!AO773/(Inputs!$F$289*IF(Funding!AO60&gt;0,Funding!AO60,1)),Inputs!$F$28)</f>
        <v/>
      </c>
      <c r="AP62" s="20">
        <f>IF(Funding!AP61&gt;0,Operations!AP773/(Inputs!$F$289*IF(Funding!AP60&gt;0,Funding!AP60,1)),Inputs!$F$28)</f>
        <v/>
      </c>
      <c r="AQ62" s="20">
        <f>IF(Funding!AQ61&gt;0,Operations!AQ773/(Inputs!$F$289*IF(Funding!AQ60&gt;0,Funding!AQ60,1)),Inputs!$F$28)</f>
        <v/>
      </c>
      <c r="AR62" s="20">
        <f>IF(Funding!AR61&gt;0,Operations!AR773/(Inputs!$F$289*IF(Funding!AR60&gt;0,Funding!AR60,1)),Inputs!$F$28)</f>
        <v/>
      </c>
      <c r="AS62" s="20">
        <f>IF(Funding!AS61&gt;0,Operations!AS773/(Inputs!$F$289*IF(Funding!AS60&gt;0,Funding!AS60,1)),Inputs!$F$28)</f>
        <v/>
      </c>
      <c r="AT62" s="20">
        <f>IF(Funding!AT61&gt;0,Operations!AT773/(Inputs!$F$289*IF(Funding!AT60&gt;0,Funding!AT60,1)),Inputs!$F$28)</f>
        <v/>
      </c>
      <c r="AU62" s="20">
        <f>IF(Funding!AU61&gt;0,Operations!AU773/(Inputs!$F$289*IF(Funding!AU60&gt;0,Funding!AU60,1)),Inputs!$F$28)</f>
        <v/>
      </c>
    </row>
    <row r="63">
      <c r="D63" t="inlineStr">
        <is>
          <t>Holdco incremental face</t>
        </is>
      </c>
      <c r="E63" t="inlineStr">
        <is>
          <t>USD m</t>
        </is>
      </c>
      <c r="F63" s="20">
        <f>MIN(Funding!$J$62:$AU$62)</f>
        <v/>
      </c>
    </row>
    <row r="65">
      <c r="A65" s="4" t="inlineStr">
        <is>
          <t>2025 refinancing: USPP senior secured notes (sized on base P50 and P99 blocks)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</row>
    <row r="66">
      <c r="D66" t="inlineStr">
        <is>
          <t>Series A amortization years</t>
        </is>
      </c>
      <c r="E66" t="inlineStr">
        <is>
          <t>flag</t>
        </is>
      </c>
      <c r="J66" s="12">
        <f>(Time!J$4&gt;=Inputs!$F$309)*(Time!J$4&lt;=Inputs!$F$309+Inputs!$F$310-1)</f>
        <v/>
      </c>
      <c r="K66" s="12">
        <f>(Time!K$4&gt;=Inputs!$F$309)*(Time!K$4&lt;=Inputs!$F$309+Inputs!$F$310-1)</f>
        <v/>
      </c>
      <c r="L66" s="12">
        <f>(Time!L$4&gt;=Inputs!$F$309)*(Time!L$4&lt;=Inputs!$F$309+Inputs!$F$310-1)</f>
        <v/>
      </c>
      <c r="M66" s="12">
        <f>(Time!M$4&gt;=Inputs!$F$309)*(Time!M$4&lt;=Inputs!$F$309+Inputs!$F$310-1)</f>
        <v/>
      </c>
      <c r="N66" s="12">
        <f>(Time!N$4&gt;=Inputs!$F$309)*(Time!N$4&lt;=Inputs!$F$309+Inputs!$F$310-1)</f>
        <v/>
      </c>
      <c r="O66" s="12">
        <f>(Time!O$4&gt;=Inputs!$F$309)*(Time!O$4&lt;=Inputs!$F$309+Inputs!$F$310-1)</f>
        <v/>
      </c>
      <c r="P66" s="12">
        <f>(Time!P$4&gt;=Inputs!$F$309)*(Time!P$4&lt;=Inputs!$F$309+Inputs!$F$310-1)</f>
        <v/>
      </c>
      <c r="Q66" s="12">
        <f>(Time!Q$4&gt;=Inputs!$F$309)*(Time!Q$4&lt;=Inputs!$F$309+Inputs!$F$310-1)</f>
        <v/>
      </c>
      <c r="R66" s="12">
        <f>(Time!R$4&gt;=Inputs!$F$309)*(Time!R$4&lt;=Inputs!$F$309+Inputs!$F$310-1)</f>
        <v/>
      </c>
      <c r="S66" s="12">
        <f>(Time!S$4&gt;=Inputs!$F$309)*(Time!S$4&lt;=Inputs!$F$309+Inputs!$F$310-1)</f>
        <v/>
      </c>
      <c r="T66" s="12">
        <f>(Time!T$4&gt;=Inputs!$F$309)*(Time!T$4&lt;=Inputs!$F$309+Inputs!$F$310-1)</f>
        <v/>
      </c>
      <c r="U66" s="12">
        <f>(Time!U$4&gt;=Inputs!$F$309)*(Time!U$4&lt;=Inputs!$F$309+Inputs!$F$310-1)</f>
        <v/>
      </c>
      <c r="V66" s="12">
        <f>(Time!V$4&gt;=Inputs!$F$309)*(Time!V$4&lt;=Inputs!$F$309+Inputs!$F$310-1)</f>
        <v/>
      </c>
      <c r="W66" s="12">
        <f>(Time!W$4&gt;=Inputs!$F$309)*(Time!W$4&lt;=Inputs!$F$309+Inputs!$F$310-1)</f>
        <v/>
      </c>
      <c r="X66" s="12">
        <f>(Time!X$4&gt;=Inputs!$F$309)*(Time!X$4&lt;=Inputs!$F$309+Inputs!$F$310-1)</f>
        <v/>
      </c>
      <c r="Y66" s="12">
        <f>(Time!Y$4&gt;=Inputs!$F$309)*(Time!Y$4&lt;=Inputs!$F$309+Inputs!$F$310-1)</f>
        <v/>
      </c>
      <c r="Z66" s="12">
        <f>(Time!Z$4&gt;=Inputs!$F$309)*(Time!Z$4&lt;=Inputs!$F$309+Inputs!$F$310-1)</f>
        <v/>
      </c>
      <c r="AA66" s="12">
        <f>(Time!AA$4&gt;=Inputs!$F$309)*(Time!AA$4&lt;=Inputs!$F$309+Inputs!$F$310-1)</f>
        <v/>
      </c>
      <c r="AB66" s="12">
        <f>(Time!AB$4&gt;=Inputs!$F$309)*(Time!AB$4&lt;=Inputs!$F$309+Inputs!$F$310-1)</f>
        <v/>
      </c>
      <c r="AC66" s="12">
        <f>(Time!AC$4&gt;=Inputs!$F$309)*(Time!AC$4&lt;=Inputs!$F$309+Inputs!$F$310-1)</f>
        <v/>
      </c>
      <c r="AD66" s="12">
        <f>(Time!AD$4&gt;=Inputs!$F$309)*(Time!AD$4&lt;=Inputs!$F$309+Inputs!$F$310-1)</f>
        <v/>
      </c>
      <c r="AE66" s="12">
        <f>(Time!AE$4&gt;=Inputs!$F$309)*(Time!AE$4&lt;=Inputs!$F$309+Inputs!$F$310-1)</f>
        <v/>
      </c>
      <c r="AF66" s="12">
        <f>(Time!AF$4&gt;=Inputs!$F$309)*(Time!AF$4&lt;=Inputs!$F$309+Inputs!$F$310-1)</f>
        <v/>
      </c>
      <c r="AG66" s="12">
        <f>(Time!AG$4&gt;=Inputs!$F$309)*(Time!AG$4&lt;=Inputs!$F$309+Inputs!$F$310-1)</f>
        <v/>
      </c>
      <c r="AH66" s="12">
        <f>(Time!AH$4&gt;=Inputs!$F$309)*(Time!AH$4&lt;=Inputs!$F$309+Inputs!$F$310-1)</f>
        <v/>
      </c>
      <c r="AI66" s="12">
        <f>(Time!AI$4&gt;=Inputs!$F$309)*(Time!AI$4&lt;=Inputs!$F$309+Inputs!$F$310-1)</f>
        <v/>
      </c>
      <c r="AJ66" s="12">
        <f>(Time!AJ$4&gt;=Inputs!$F$309)*(Time!AJ$4&lt;=Inputs!$F$309+Inputs!$F$310-1)</f>
        <v/>
      </c>
      <c r="AK66" s="12">
        <f>(Time!AK$4&gt;=Inputs!$F$309)*(Time!AK$4&lt;=Inputs!$F$309+Inputs!$F$310-1)</f>
        <v/>
      </c>
      <c r="AL66" s="12">
        <f>(Time!AL$4&gt;=Inputs!$F$309)*(Time!AL$4&lt;=Inputs!$F$309+Inputs!$F$310-1)</f>
        <v/>
      </c>
      <c r="AM66" s="12">
        <f>(Time!AM$4&gt;=Inputs!$F$309)*(Time!AM$4&lt;=Inputs!$F$309+Inputs!$F$310-1)</f>
        <v/>
      </c>
      <c r="AN66" s="12">
        <f>(Time!AN$4&gt;=Inputs!$F$309)*(Time!AN$4&lt;=Inputs!$F$309+Inputs!$F$310-1)</f>
        <v/>
      </c>
      <c r="AO66" s="12">
        <f>(Time!AO$4&gt;=Inputs!$F$309)*(Time!AO$4&lt;=Inputs!$F$309+Inputs!$F$310-1)</f>
        <v/>
      </c>
      <c r="AP66" s="12">
        <f>(Time!AP$4&gt;=Inputs!$F$309)*(Time!AP$4&lt;=Inputs!$F$309+Inputs!$F$310-1)</f>
        <v/>
      </c>
      <c r="AQ66" s="12">
        <f>(Time!AQ$4&gt;=Inputs!$F$309)*(Time!AQ$4&lt;=Inputs!$F$309+Inputs!$F$310-1)</f>
        <v/>
      </c>
      <c r="AR66" s="12">
        <f>(Time!AR$4&gt;=Inputs!$F$309)*(Time!AR$4&lt;=Inputs!$F$309+Inputs!$F$310-1)</f>
        <v/>
      </c>
      <c r="AS66" s="12">
        <f>(Time!AS$4&gt;=Inputs!$F$309)*(Time!AS$4&lt;=Inputs!$F$309+Inputs!$F$310-1)</f>
        <v/>
      </c>
      <c r="AT66" s="12">
        <f>(Time!AT$4&gt;=Inputs!$F$309)*(Time!AT$4&lt;=Inputs!$F$309+Inputs!$F$310-1)</f>
        <v/>
      </c>
      <c r="AU66" s="12">
        <f>(Time!AU$4&gt;=Inputs!$F$309)*(Time!AU$4&lt;=Inputs!$F$309+Inputs!$F$310-1)</f>
        <v/>
      </c>
    </row>
    <row r="67">
      <c r="D67" t="inlineStr">
        <is>
          <t>Series B amortization years</t>
        </is>
      </c>
      <c r="E67" t="inlineStr">
        <is>
          <t>flag</t>
        </is>
      </c>
      <c r="J67" s="12">
        <f>(Time!J$4&gt;=Inputs!$F$309+Inputs!$F$310)*(Time!J$4&lt;=Inputs!$F$309+Inputs!$F$312-1)</f>
        <v/>
      </c>
      <c r="K67" s="12">
        <f>(Time!K$4&gt;=Inputs!$F$309+Inputs!$F$310)*(Time!K$4&lt;=Inputs!$F$309+Inputs!$F$312-1)</f>
        <v/>
      </c>
      <c r="L67" s="12">
        <f>(Time!L$4&gt;=Inputs!$F$309+Inputs!$F$310)*(Time!L$4&lt;=Inputs!$F$309+Inputs!$F$312-1)</f>
        <v/>
      </c>
      <c r="M67" s="12">
        <f>(Time!M$4&gt;=Inputs!$F$309+Inputs!$F$310)*(Time!M$4&lt;=Inputs!$F$309+Inputs!$F$312-1)</f>
        <v/>
      </c>
      <c r="N67" s="12">
        <f>(Time!N$4&gt;=Inputs!$F$309+Inputs!$F$310)*(Time!N$4&lt;=Inputs!$F$309+Inputs!$F$312-1)</f>
        <v/>
      </c>
      <c r="O67" s="12">
        <f>(Time!O$4&gt;=Inputs!$F$309+Inputs!$F$310)*(Time!O$4&lt;=Inputs!$F$309+Inputs!$F$312-1)</f>
        <v/>
      </c>
      <c r="P67" s="12">
        <f>(Time!P$4&gt;=Inputs!$F$309+Inputs!$F$310)*(Time!P$4&lt;=Inputs!$F$309+Inputs!$F$312-1)</f>
        <v/>
      </c>
      <c r="Q67" s="12">
        <f>(Time!Q$4&gt;=Inputs!$F$309+Inputs!$F$310)*(Time!Q$4&lt;=Inputs!$F$309+Inputs!$F$312-1)</f>
        <v/>
      </c>
      <c r="R67" s="12">
        <f>(Time!R$4&gt;=Inputs!$F$309+Inputs!$F$310)*(Time!R$4&lt;=Inputs!$F$309+Inputs!$F$312-1)</f>
        <v/>
      </c>
      <c r="S67" s="12">
        <f>(Time!S$4&gt;=Inputs!$F$309+Inputs!$F$310)*(Time!S$4&lt;=Inputs!$F$309+Inputs!$F$312-1)</f>
        <v/>
      </c>
      <c r="T67" s="12">
        <f>(Time!T$4&gt;=Inputs!$F$309+Inputs!$F$310)*(Time!T$4&lt;=Inputs!$F$309+Inputs!$F$312-1)</f>
        <v/>
      </c>
      <c r="U67" s="12">
        <f>(Time!U$4&gt;=Inputs!$F$309+Inputs!$F$310)*(Time!U$4&lt;=Inputs!$F$309+Inputs!$F$312-1)</f>
        <v/>
      </c>
      <c r="V67" s="12">
        <f>(Time!V$4&gt;=Inputs!$F$309+Inputs!$F$310)*(Time!V$4&lt;=Inputs!$F$309+Inputs!$F$312-1)</f>
        <v/>
      </c>
      <c r="W67" s="12">
        <f>(Time!W$4&gt;=Inputs!$F$309+Inputs!$F$310)*(Time!W$4&lt;=Inputs!$F$309+Inputs!$F$312-1)</f>
        <v/>
      </c>
      <c r="X67" s="12">
        <f>(Time!X$4&gt;=Inputs!$F$309+Inputs!$F$310)*(Time!X$4&lt;=Inputs!$F$309+Inputs!$F$312-1)</f>
        <v/>
      </c>
      <c r="Y67" s="12">
        <f>(Time!Y$4&gt;=Inputs!$F$309+Inputs!$F$310)*(Time!Y$4&lt;=Inputs!$F$309+Inputs!$F$312-1)</f>
        <v/>
      </c>
      <c r="Z67" s="12">
        <f>(Time!Z$4&gt;=Inputs!$F$309+Inputs!$F$310)*(Time!Z$4&lt;=Inputs!$F$309+Inputs!$F$312-1)</f>
        <v/>
      </c>
      <c r="AA67" s="12">
        <f>(Time!AA$4&gt;=Inputs!$F$309+Inputs!$F$310)*(Time!AA$4&lt;=Inputs!$F$309+Inputs!$F$312-1)</f>
        <v/>
      </c>
      <c r="AB67" s="12">
        <f>(Time!AB$4&gt;=Inputs!$F$309+Inputs!$F$310)*(Time!AB$4&lt;=Inputs!$F$309+Inputs!$F$312-1)</f>
        <v/>
      </c>
      <c r="AC67" s="12">
        <f>(Time!AC$4&gt;=Inputs!$F$309+Inputs!$F$310)*(Time!AC$4&lt;=Inputs!$F$309+Inputs!$F$312-1)</f>
        <v/>
      </c>
      <c r="AD67" s="12">
        <f>(Time!AD$4&gt;=Inputs!$F$309+Inputs!$F$310)*(Time!AD$4&lt;=Inputs!$F$309+Inputs!$F$312-1)</f>
        <v/>
      </c>
      <c r="AE67" s="12">
        <f>(Time!AE$4&gt;=Inputs!$F$309+Inputs!$F$310)*(Time!AE$4&lt;=Inputs!$F$309+Inputs!$F$312-1)</f>
        <v/>
      </c>
      <c r="AF67" s="12">
        <f>(Time!AF$4&gt;=Inputs!$F$309+Inputs!$F$310)*(Time!AF$4&lt;=Inputs!$F$309+Inputs!$F$312-1)</f>
        <v/>
      </c>
      <c r="AG67" s="12">
        <f>(Time!AG$4&gt;=Inputs!$F$309+Inputs!$F$310)*(Time!AG$4&lt;=Inputs!$F$309+Inputs!$F$312-1)</f>
        <v/>
      </c>
      <c r="AH67" s="12">
        <f>(Time!AH$4&gt;=Inputs!$F$309+Inputs!$F$310)*(Time!AH$4&lt;=Inputs!$F$309+Inputs!$F$312-1)</f>
        <v/>
      </c>
      <c r="AI67" s="12">
        <f>(Time!AI$4&gt;=Inputs!$F$309+Inputs!$F$310)*(Time!AI$4&lt;=Inputs!$F$309+Inputs!$F$312-1)</f>
        <v/>
      </c>
      <c r="AJ67" s="12">
        <f>(Time!AJ$4&gt;=Inputs!$F$309+Inputs!$F$310)*(Time!AJ$4&lt;=Inputs!$F$309+Inputs!$F$312-1)</f>
        <v/>
      </c>
      <c r="AK67" s="12">
        <f>(Time!AK$4&gt;=Inputs!$F$309+Inputs!$F$310)*(Time!AK$4&lt;=Inputs!$F$309+Inputs!$F$312-1)</f>
        <v/>
      </c>
      <c r="AL67" s="12">
        <f>(Time!AL$4&gt;=Inputs!$F$309+Inputs!$F$310)*(Time!AL$4&lt;=Inputs!$F$309+Inputs!$F$312-1)</f>
        <v/>
      </c>
      <c r="AM67" s="12">
        <f>(Time!AM$4&gt;=Inputs!$F$309+Inputs!$F$310)*(Time!AM$4&lt;=Inputs!$F$309+Inputs!$F$312-1)</f>
        <v/>
      </c>
      <c r="AN67" s="12">
        <f>(Time!AN$4&gt;=Inputs!$F$309+Inputs!$F$310)*(Time!AN$4&lt;=Inputs!$F$309+Inputs!$F$312-1)</f>
        <v/>
      </c>
      <c r="AO67" s="12">
        <f>(Time!AO$4&gt;=Inputs!$F$309+Inputs!$F$310)*(Time!AO$4&lt;=Inputs!$F$309+Inputs!$F$312-1)</f>
        <v/>
      </c>
      <c r="AP67" s="12">
        <f>(Time!AP$4&gt;=Inputs!$F$309+Inputs!$F$310)*(Time!AP$4&lt;=Inputs!$F$309+Inputs!$F$312-1)</f>
        <v/>
      </c>
      <c r="AQ67" s="12">
        <f>(Time!AQ$4&gt;=Inputs!$F$309+Inputs!$F$310)*(Time!AQ$4&lt;=Inputs!$F$309+Inputs!$F$312-1)</f>
        <v/>
      </c>
      <c r="AR67" s="12">
        <f>(Time!AR$4&gt;=Inputs!$F$309+Inputs!$F$310)*(Time!AR$4&lt;=Inputs!$F$309+Inputs!$F$312-1)</f>
        <v/>
      </c>
      <c r="AS67" s="12">
        <f>(Time!AS$4&gt;=Inputs!$F$309+Inputs!$F$310)*(Time!AS$4&lt;=Inputs!$F$309+Inputs!$F$312-1)</f>
        <v/>
      </c>
      <c r="AT67" s="12">
        <f>(Time!AT$4&gt;=Inputs!$F$309+Inputs!$F$310)*(Time!AT$4&lt;=Inputs!$F$309+Inputs!$F$312-1)</f>
        <v/>
      </c>
      <c r="AU67" s="12">
        <f>(Time!AU$4&gt;=Inputs!$F$309+Inputs!$F$310)*(Time!AU$4&lt;=Inputs!$F$309+Inputs!$F$312-1)</f>
        <v/>
      </c>
    </row>
    <row r="68">
      <c r="D68" t="inlineStr">
        <is>
          <t>Series C amortization years</t>
        </is>
      </c>
      <c r="E68" t="inlineStr">
        <is>
          <t>flag</t>
        </is>
      </c>
      <c r="J68" s="12">
        <f>(Time!J$4&gt;=Inputs!$F$309+Inputs!$F$312)*(Time!J$4&lt;=Inputs!$F$309+Inputs!$F$314-1)</f>
        <v/>
      </c>
      <c r="K68" s="12">
        <f>(Time!K$4&gt;=Inputs!$F$309+Inputs!$F$312)*(Time!K$4&lt;=Inputs!$F$309+Inputs!$F$314-1)</f>
        <v/>
      </c>
      <c r="L68" s="12">
        <f>(Time!L$4&gt;=Inputs!$F$309+Inputs!$F$312)*(Time!L$4&lt;=Inputs!$F$309+Inputs!$F$314-1)</f>
        <v/>
      </c>
      <c r="M68" s="12">
        <f>(Time!M$4&gt;=Inputs!$F$309+Inputs!$F$312)*(Time!M$4&lt;=Inputs!$F$309+Inputs!$F$314-1)</f>
        <v/>
      </c>
      <c r="N68" s="12">
        <f>(Time!N$4&gt;=Inputs!$F$309+Inputs!$F$312)*(Time!N$4&lt;=Inputs!$F$309+Inputs!$F$314-1)</f>
        <v/>
      </c>
      <c r="O68" s="12">
        <f>(Time!O$4&gt;=Inputs!$F$309+Inputs!$F$312)*(Time!O$4&lt;=Inputs!$F$309+Inputs!$F$314-1)</f>
        <v/>
      </c>
      <c r="P68" s="12">
        <f>(Time!P$4&gt;=Inputs!$F$309+Inputs!$F$312)*(Time!P$4&lt;=Inputs!$F$309+Inputs!$F$314-1)</f>
        <v/>
      </c>
      <c r="Q68" s="12">
        <f>(Time!Q$4&gt;=Inputs!$F$309+Inputs!$F$312)*(Time!Q$4&lt;=Inputs!$F$309+Inputs!$F$314-1)</f>
        <v/>
      </c>
      <c r="R68" s="12">
        <f>(Time!R$4&gt;=Inputs!$F$309+Inputs!$F$312)*(Time!R$4&lt;=Inputs!$F$309+Inputs!$F$314-1)</f>
        <v/>
      </c>
      <c r="S68" s="12">
        <f>(Time!S$4&gt;=Inputs!$F$309+Inputs!$F$312)*(Time!S$4&lt;=Inputs!$F$309+Inputs!$F$314-1)</f>
        <v/>
      </c>
      <c r="T68" s="12">
        <f>(Time!T$4&gt;=Inputs!$F$309+Inputs!$F$312)*(Time!T$4&lt;=Inputs!$F$309+Inputs!$F$314-1)</f>
        <v/>
      </c>
      <c r="U68" s="12">
        <f>(Time!U$4&gt;=Inputs!$F$309+Inputs!$F$312)*(Time!U$4&lt;=Inputs!$F$309+Inputs!$F$314-1)</f>
        <v/>
      </c>
      <c r="V68" s="12">
        <f>(Time!V$4&gt;=Inputs!$F$309+Inputs!$F$312)*(Time!V$4&lt;=Inputs!$F$309+Inputs!$F$314-1)</f>
        <v/>
      </c>
      <c r="W68" s="12">
        <f>(Time!W$4&gt;=Inputs!$F$309+Inputs!$F$312)*(Time!W$4&lt;=Inputs!$F$309+Inputs!$F$314-1)</f>
        <v/>
      </c>
      <c r="X68" s="12">
        <f>(Time!X$4&gt;=Inputs!$F$309+Inputs!$F$312)*(Time!X$4&lt;=Inputs!$F$309+Inputs!$F$314-1)</f>
        <v/>
      </c>
      <c r="Y68" s="12">
        <f>(Time!Y$4&gt;=Inputs!$F$309+Inputs!$F$312)*(Time!Y$4&lt;=Inputs!$F$309+Inputs!$F$314-1)</f>
        <v/>
      </c>
      <c r="Z68" s="12">
        <f>(Time!Z$4&gt;=Inputs!$F$309+Inputs!$F$312)*(Time!Z$4&lt;=Inputs!$F$309+Inputs!$F$314-1)</f>
        <v/>
      </c>
      <c r="AA68" s="12">
        <f>(Time!AA$4&gt;=Inputs!$F$309+Inputs!$F$312)*(Time!AA$4&lt;=Inputs!$F$309+Inputs!$F$314-1)</f>
        <v/>
      </c>
      <c r="AB68" s="12">
        <f>(Time!AB$4&gt;=Inputs!$F$309+Inputs!$F$312)*(Time!AB$4&lt;=Inputs!$F$309+Inputs!$F$314-1)</f>
        <v/>
      </c>
      <c r="AC68" s="12">
        <f>(Time!AC$4&gt;=Inputs!$F$309+Inputs!$F$312)*(Time!AC$4&lt;=Inputs!$F$309+Inputs!$F$314-1)</f>
        <v/>
      </c>
      <c r="AD68" s="12">
        <f>(Time!AD$4&gt;=Inputs!$F$309+Inputs!$F$312)*(Time!AD$4&lt;=Inputs!$F$309+Inputs!$F$314-1)</f>
        <v/>
      </c>
      <c r="AE68" s="12">
        <f>(Time!AE$4&gt;=Inputs!$F$309+Inputs!$F$312)*(Time!AE$4&lt;=Inputs!$F$309+Inputs!$F$314-1)</f>
        <v/>
      </c>
      <c r="AF68" s="12">
        <f>(Time!AF$4&gt;=Inputs!$F$309+Inputs!$F$312)*(Time!AF$4&lt;=Inputs!$F$309+Inputs!$F$314-1)</f>
        <v/>
      </c>
      <c r="AG68" s="12">
        <f>(Time!AG$4&gt;=Inputs!$F$309+Inputs!$F$312)*(Time!AG$4&lt;=Inputs!$F$309+Inputs!$F$314-1)</f>
        <v/>
      </c>
      <c r="AH68" s="12">
        <f>(Time!AH$4&gt;=Inputs!$F$309+Inputs!$F$312)*(Time!AH$4&lt;=Inputs!$F$309+Inputs!$F$314-1)</f>
        <v/>
      </c>
      <c r="AI68" s="12">
        <f>(Time!AI$4&gt;=Inputs!$F$309+Inputs!$F$312)*(Time!AI$4&lt;=Inputs!$F$309+Inputs!$F$314-1)</f>
        <v/>
      </c>
      <c r="AJ68" s="12">
        <f>(Time!AJ$4&gt;=Inputs!$F$309+Inputs!$F$312)*(Time!AJ$4&lt;=Inputs!$F$309+Inputs!$F$314-1)</f>
        <v/>
      </c>
      <c r="AK68" s="12">
        <f>(Time!AK$4&gt;=Inputs!$F$309+Inputs!$F$312)*(Time!AK$4&lt;=Inputs!$F$309+Inputs!$F$314-1)</f>
        <v/>
      </c>
      <c r="AL68" s="12">
        <f>(Time!AL$4&gt;=Inputs!$F$309+Inputs!$F$312)*(Time!AL$4&lt;=Inputs!$F$309+Inputs!$F$314-1)</f>
        <v/>
      </c>
      <c r="AM68" s="12">
        <f>(Time!AM$4&gt;=Inputs!$F$309+Inputs!$F$312)*(Time!AM$4&lt;=Inputs!$F$309+Inputs!$F$314-1)</f>
        <v/>
      </c>
      <c r="AN68" s="12">
        <f>(Time!AN$4&gt;=Inputs!$F$309+Inputs!$F$312)*(Time!AN$4&lt;=Inputs!$F$309+Inputs!$F$314-1)</f>
        <v/>
      </c>
      <c r="AO68" s="12">
        <f>(Time!AO$4&gt;=Inputs!$F$309+Inputs!$F$312)*(Time!AO$4&lt;=Inputs!$F$309+Inputs!$F$314-1)</f>
        <v/>
      </c>
      <c r="AP68" s="12">
        <f>(Time!AP$4&gt;=Inputs!$F$309+Inputs!$F$312)*(Time!AP$4&lt;=Inputs!$F$309+Inputs!$F$314-1)</f>
        <v/>
      </c>
      <c r="AQ68" s="12">
        <f>(Time!AQ$4&gt;=Inputs!$F$309+Inputs!$F$312)*(Time!AQ$4&lt;=Inputs!$F$309+Inputs!$F$314-1)</f>
        <v/>
      </c>
      <c r="AR68" s="12">
        <f>(Time!AR$4&gt;=Inputs!$F$309+Inputs!$F$312)*(Time!AR$4&lt;=Inputs!$F$309+Inputs!$F$314-1)</f>
        <v/>
      </c>
      <c r="AS68" s="12">
        <f>(Time!AS$4&gt;=Inputs!$F$309+Inputs!$F$312)*(Time!AS$4&lt;=Inputs!$F$309+Inputs!$F$314-1)</f>
        <v/>
      </c>
      <c r="AT68" s="12">
        <f>(Time!AT$4&gt;=Inputs!$F$309+Inputs!$F$312)*(Time!AT$4&lt;=Inputs!$F$309+Inputs!$F$314-1)</f>
        <v/>
      </c>
      <c r="AU68" s="12">
        <f>(Time!AU$4&gt;=Inputs!$F$309+Inputs!$F$312)*(Time!AU$4&lt;=Inputs!$F$309+Inputs!$F$314-1)</f>
        <v/>
      </c>
    </row>
    <row r="69">
      <c r="D69" t="inlineStr">
        <is>
          <t>Notes outstanding flag</t>
        </is>
      </c>
      <c r="E69" t="inlineStr">
        <is>
          <t>flag</t>
        </is>
      </c>
      <c r="J69" s="12">
        <f>Funding!J66+Funding!J67+Funding!J68</f>
        <v/>
      </c>
      <c r="K69" s="12">
        <f>Funding!K66+Funding!K67+Funding!K68</f>
        <v/>
      </c>
      <c r="L69" s="12">
        <f>Funding!L66+Funding!L67+Funding!L68</f>
        <v/>
      </c>
      <c r="M69" s="12">
        <f>Funding!M66+Funding!M67+Funding!M68</f>
        <v/>
      </c>
      <c r="N69" s="12">
        <f>Funding!N66+Funding!N67+Funding!N68</f>
        <v/>
      </c>
      <c r="O69" s="12">
        <f>Funding!O66+Funding!O67+Funding!O68</f>
        <v/>
      </c>
      <c r="P69" s="12">
        <f>Funding!P66+Funding!P67+Funding!P68</f>
        <v/>
      </c>
      <c r="Q69" s="12">
        <f>Funding!Q66+Funding!Q67+Funding!Q68</f>
        <v/>
      </c>
      <c r="R69" s="12">
        <f>Funding!R66+Funding!R67+Funding!R68</f>
        <v/>
      </c>
      <c r="S69" s="12">
        <f>Funding!S66+Funding!S67+Funding!S68</f>
        <v/>
      </c>
      <c r="T69" s="12">
        <f>Funding!T66+Funding!T67+Funding!T68</f>
        <v/>
      </c>
      <c r="U69" s="12">
        <f>Funding!U66+Funding!U67+Funding!U68</f>
        <v/>
      </c>
      <c r="V69" s="12">
        <f>Funding!V66+Funding!V67+Funding!V68</f>
        <v/>
      </c>
      <c r="W69" s="12">
        <f>Funding!W66+Funding!W67+Funding!W68</f>
        <v/>
      </c>
      <c r="X69" s="12">
        <f>Funding!X66+Funding!X67+Funding!X68</f>
        <v/>
      </c>
      <c r="Y69" s="12">
        <f>Funding!Y66+Funding!Y67+Funding!Y68</f>
        <v/>
      </c>
      <c r="Z69" s="12">
        <f>Funding!Z66+Funding!Z67+Funding!Z68</f>
        <v/>
      </c>
      <c r="AA69" s="12">
        <f>Funding!AA66+Funding!AA67+Funding!AA68</f>
        <v/>
      </c>
      <c r="AB69" s="12">
        <f>Funding!AB66+Funding!AB67+Funding!AB68</f>
        <v/>
      </c>
      <c r="AC69" s="12">
        <f>Funding!AC66+Funding!AC67+Funding!AC68</f>
        <v/>
      </c>
      <c r="AD69" s="12">
        <f>Funding!AD66+Funding!AD67+Funding!AD68</f>
        <v/>
      </c>
      <c r="AE69" s="12">
        <f>Funding!AE66+Funding!AE67+Funding!AE68</f>
        <v/>
      </c>
      <c r="AF69" s="12">
        <f>Funding!AF66+Funding!AF67+Funding!AF68</f>
        <v/>
      </c>
      <c r="AG69" s="12">
        <f>Funding!AG66+Funding!AG67+Funding!AG68</f>
        <v/>
      </c>
      <c r="AH69" s="12">
        <f>Funding!AH66+Funding!AH67+Funding!AH68</f>
        <v/>
      </c>
      <c r="AI69" s="12">
        <f>Funding!AI66+Funding!AI67+Funding!AI68</f>
        <v/>
      </c>
      <c r="AJ69" s="12">
        <f>Funding!AJ66+Funding!AJ67+Funding!AJ68</f>
        <v/>
      </c>
      <c r="AK69" s="12">
        <f>Funding!AK66+Funding!AK67+Funding!AK68</f>
        <v/>
      </c>
      <c r="AL69" s="12">
        <f>Funding!AL66+Funding!AL67+Funding!AL68</f>
        <v/>
      </c>
      <c r="AM69" s="12">
        <f>Funding!AM66+Funding!AM67+Funding!AM68</f>
        <v/>
      </c>
      <c r="AN69" s="12">
        <f>Funding!AN66+Funding!AN67+Funding!AN68</f>
        <v/>
      </c>
      <c r="AO69" s="12">
        <f>Funding!AO66+Funding!AO67+Funding!AO68</f>
        <v/>
      </c>
      <c r="AP69" s="12">
        <f>Funding!AP66+Funding!AP67+Funding!AP68</f>
        <v/>
      </c>
      <c r="AQ69" s="12">
        <f>Funding!AQ66+Funding!AQ67+Funding!AQ68</f>
        <v/>
      </c>
      <c r="AR69" s="12">
        <f>Funding!AR66+Funding!AR67+Funding!AR68</f>
        <v/>
      </c>
      <c r="AS69" s="12">
        <f>Funding!AS66+Funding!AS67+Funding!AS68</f>
        <v/>
      </c>
      <c r="AT69" s="12">
        <f>Funding!AT66+Funding!AT67+Funding!AT68</f>
        <v/>
      </c>
      <c r="AU69" s="12">
        <f>Funding!AU66+Funding!AU67+Funding!AU68</f>
        <v/>
      </c>
    </row>
    <row r="70">
      <c r="D70" t="inlineStr">
        <is>
          <t>Coupon of the series amortizing in the year</t>
        </is>
      </c>
      <c r="E70" t="inlineStr">
        <is>
          <t>%</t>
        </is>
      </c>
      <c r="J70" s="15">
        <f>Funding!J66*Inputs!$F$311+Funding!J67*Inputs!$F$313+Funding!J68*Inputs!$F$315</f>
        <v/>
      </c>
      <c r="K70" s="15">
        <f>Funding!K66*Inputs!$F$311+Funding!K67*Inputs!$F$313+Funding!K68*Inputs!$F$315</f>
        <v/>
      </c>
      <c r="L70" s="15">
        <f>Funding!L66*Inputs!$F$311+Funding!L67*Inputs!$F$313+Funding!L68*Inputs!$F$315</f>
        <v/>
      </c>
      <c r="M70" s="15">
        <f>Funding!M66*Inputs!$F$311+Funding!M67*Inputs!$F$313+Funding!M68*Inputs!$F$315</f>
        <v/>
      </c>
      <c r="N70" s="15">
        <f>Funding!N66*Inputs!$F$311+Funding!N67*Inputs!$F$313+Funding!N68*Inputs!$F$315</f>
        <v/>
      </c>
      <c r="O70" s="15">
        <f>Funding!O66*Inputs!$F$311+Funding!O67*Inputs!$F$313+Funding!O68*Inputs!$F$315</f>
        <v/>
      </c>
      <c r="P70" s="15">
        <f>Funding!P66*Inputs!$F$311+Funding!P67*Inputs!$F$313+Funding!P68*Inputs!$F$315</f>
        <v/>
      </c>
      <c r="Q70" s="15">
        <f>Funding!Q66*Inputs!$F$311+Funding!Q67*Inputs!$F$313+Funding!Q68*Inputs!$F$315</f>
        <v/>
      </c>
      <c r="R70" s="15">
        <f>Funding!R66*Inputs!$F$311+Funding!R67*Inputs!$F$313+Funding!R68*Inputs!$F$315</f>
        <v/>
      </c>
      <c r="S70" s="15">
        <f>Funding!S66*Inputs!$F$311+Funding!S67*Inputs!$F$313+Funding!S68*Inputs!$F$315</f>
        <v/>
      </c>
      <c r="T70" s="15">
        <f>Funding!T66*Inputs!$F$311+Funding!T67*Inputs!$F$313+Funding!T68*Inputs!$F$315</f>
        <v/>
      </c>
      <c r="U70" s="15">
        <f>Funding!U66*Inputs!$F$311+Funding!U67*Inputs!$F$313+Funding!U68*Inputs!$F$315</f>
        <v/>
      </c>
      <c r="V70" s="15">
        <f>Funding!V66*Inputs!$F$311+Funding!V67*Inputs!$F$313+Funding!V68*Inputs!$F$315</f>
        <v/>
      </c>
      <c r="W70" s="15">
        <f>Funding!W66*Inputs!$F$311+Funding!W67*Inputs!$F$313+Funding!W68*Inputs!$F$315</f>
        <v/>
      </c>
      <c r="X70" s="15">
        <f>Funding!X66*Inputs!$F$311+Funding!X67*Inputs!$F$313+Funding!X68*Inputs!$F$315</f>
        <v/>
      </c>
      <c r="Y70" s="15">
        <f>Funding!Y66*Inputs!$F$311+Funding!Y67*Inputs!$F$313+Funding!Y68*Inputs!$F$315</f>
        <v/>
      </c>
      <c r="Z70" s="15">
        <f>Funding!Z66*Inputs!$F$311+Funding!Z67*Inputs!$F$313+Funding!Z68*Inputs!$F$315</f>
        <v/>
      </c>
      <c r="AA70" s="15">
        <f>Funding!AA66*Inputs!$F$311+Funding!AA67*Inputs!$F$313+Funding!AA68*Inputs!$F$315</f>
        <v/>
      </c>
      <c r="AB70" s="15">
        <f>Funding!AB66*Inputs!$F$311+Funding!AB67*Inputs!$F$313+Funding!AB68*Inputs!$F$315</f>
        <v/>
      </c>
      <c r="AC70" s="15">
        <f>Funding!AC66*Inputs!$F$311+Funding!AC67*Inputs!$F$313+Funding!AC68*Inputs!$F$315</f>
        <v/>
      </c>
      <c r="AD70" s="15">
        <f>Funding!AD66*Inputs!$F$311+Funding!AD67*Inputs!$F$313+Funding!AD68*Inputs!$F$315</f>
        <v/>
      </c>
      <c r="AE70" s="15">
        <f>Funding!AE66*Inputs!$F$311+Funding!AE67*Inputs!$F$313+Funding!AE68*Inputs!$F$315</f>
        <v/>
      </c>
      <c r="AF70" s="15">
        <f>Funding!AF66*Inputs!$F$311+Funding!AF67*Inputs!$F$313+Funding!AF68*Inputs!$F$315</f>
        <v/>
      </c>
      <c r="AG70" s="15">
        <f>Funding!AG66*Inputs!$F$311+Funding!AG67*Inputs!$F$313+Funding!AG68*Inputs!$F$315</f>
        <v/>
      </c>
      <c r="AH70" s="15">
        <f>Funding!AH66*Inputs!$F$311+Funding!AH67*Inputs!$F$313+Funding!AH68*Inputs!$F$315</f>
        <v/>
      </c>
      <c r="AI70" s="15">
        <f>Funding!AI66*Inputs!$F$311+Funding!AI67*Inputs!$F$313+Funding!AI68*Inputs!$F$315</f>
        <v/>
      </c>
      <c r="AJ70" s="15">
        <f>Funding!AJ66*Inputs!$F$311+Funding!AJ67*Inputs!$F$313+Funding!AJ68*Inputs!$F$315</f>
        <v/>
      </c>
      <c r="AK70" s="15">
        <f>Funding!AK66*Inputs!$F$311+Funding!AK67*Inputs!$F$313+Funding!AK68*Inputs!$F$315</f>
        <v/>
      </c>
      <c r="AL70" s="15">
        <f>Funding!AL66*Inputs!$F$311+Funding!AL67*Inputs!$F$313+Funding!AL68*Inputs!$F$315</f>
        <v/>
      </c>
      <c r="AM70" s="15">
        <f>Funding!AM66*Inputs!$F$311+Funding!AM67*Inputs!$F$313+Funding!AM68*Inputs!$F$315</f>
        <v/>
      </c>
      <c r="AN70" s="15">
        <f>Funding!AN66*Inputs!$F$311+Funding!AN67*Inputs!$F$313+Funding!AN68*Inputs!$F$315</f>
        <v/>
      </c>
      <c r="AO70" s="15">
        <f>Funding!AO66*Inputs!$F$311+Funding!AO67*Inputs!$F$313+Funding!AO68*Inputs!$F$315</f>
        <v/>
      </c>
      <c r="AP70" s="15">
        <f>Funding!AP66*Inputs!$F$311+Funding!AP67*Inputs!$F$313+Funding!AP68*Inputs!$F$315</f>
        <v/>
      </c>
      <c r="AQ70" s="15">
        <f>Funding!AQ66*Inputs!$F$311+Funding!AQ67*Inputs!$F$313+Funding!AQ68*Inputs!$F$315</f>
        <v/>
      </c>
      <c r="AR70" s="15">
        <f>Funding!AR66*Inputs!$F$311+Funding!AR67*Inputs!$F$313+Funding!AR68*Inputs!$F$315</f>
        <v/>
      </c>
      <c r="AS70" s="15">
        <f>Funding!AS66*Inputs!$F$311+Funding!AS67*Inputs!$F$313+Funding!AS68*Inputs!$F$315</f>
        <v/>
      </c>
      <c r="AT70" s="15">
        <f>Funding!AT66*Inputs!$F$311+Funding!AT67*Inputs!$F$313+Funding!AT68*Inputs!$F$315</f>
        <v/>
      </c>
      <c r="AU70" s="15">
        <f>Funding!AU66*Inputs!$F$311+Funding!AU67*Inputs!$F$313+Funding!AU68*Inputs!$F$315</f>
        <v/>
      </c>
    </row>
    <row r="71">
      <c r="D71" t="inlineStr">
        <is>
          <t>Debt-service capacity by bucket</t>
        </is>
      </c>
      <c r="E71" t="inlineStr">
        <is>
          <t>USD m</t>
        </is>
      </c>
      <c r="J71" s="20">
        <f>Operations!J783/Inputs!$F$316+Operations!J784/Inputs!$F$317+Operations!J785/Inputs!$F$318</f>
        <v/>
      </c>
      <c r="K71" s="20">
        <f>Operations!K783/Inputs!$F$316+Operations!K784/Inputs!$F$317+Operations!K785/Inputs!$F$318</f>
        <v/>
      </c>
      <c r="L71" s="20">
        <f>Operations!L783/Inputs!$F$316+Operations!L784/Inputs!$F$317+Operations!L785/Inputs!$F$318</f>
        <v/>
      </c>
      <c r="M71" s="20">
        <f>Operations!M783/Inputs!$F$316+Operations!M784/Inputs!$F$317+Operations!M785/Inputs!$F$318</f>
        <v/>
      </c>
      <c r="N71" s="20">
        <f>Operations!N783/Inputs!$F$316+Operations!N784/Inputs!$F$317+Operations!N785/Inputs!$F$318</f>
        <v/>
      </c>
      <c r="O71" s="20">
        <f>Operations!O783/Inputs!$F$316+Operations!O784/Inputs!$F$317+Operations!O785/Inputs!$F$318</f>
        <v/>
      </c>
      <c r="P71" s="20">
        <f>Operations!P783/Inputs!$F$316+Operations!P784/Inputs!$F$317+Operations!P785/Inputs!$F$318</f>
        <v/>
      </c>
      <c r="Q71" s="20">
        <f>Operations!Q783/Inputs!$F$316+Operations!Q784/Inputs!$F$317+Operations!Q785/Inputs!$F$318</f>
        <v/>
      </c>
      <c r="R71" s="20">
        <f>Operations!R783/Inputs!$F$316+Operations!R784/Inputs!$F$317+Operations!R785/Inputs!$F$318</f>
        <v/>
      </c>
      <c r="S71" s="20">
        <f>Operations!S783/Inputs!$F$316+Operations!S784/Inputs!$F$317+Operations!S785/Inputs!$F$318</f>
        <v/>
      </c>
      <c r="T71" s="20">
        <f>Operations!T783/Inputs!$F$316+Operations!T784/Inputs!$F$317+Operations!T785/Inputs!$F$318</f>
        <v/>
      </c>
      <c r="U71" s="20">
        <f>Operations!U783/Inputs!$F$316+Operations!U784/Inputs!$F$317+Operations!U785/Inputs!$F$318</f>
        <v/>
      </c>
      <c r="V71" s="20">
        <f>Operations!V783/Inputs!$F$316+Operations!V784/Inputs!$F$317+Operations!V785/Inputs!$F$318</f>
        <v/>
      </c>
      <c r="W71" s="20">
        <f>Operations!W783/Inputs!$F$316+Operations!W784/Inputs!$F$317+Operations!W785/Inputs!$F$318</f>
        <v/>
      </c>
      <c r="X71" s="20">
        <f>Operations!X783/Inputs!$F$316+Operations!X784/Inputs!$F$317+Operations!X785/Inputs!$F$318</f>
        <v/>
      </c>
      <c r="Y71" s="20">
        <f>Operations!Y783/Inputs!$F$316+Operations!Y784/Inputs!$F$317+Operations!Y785/Inputs!$F$318</f>
        <v/>
      </c>
      <c r="Z71" s="20">
        <f>Operations!Z783/Inputs!$F$316+Operations!Z784/Inputs!$F$317+Operations!Z785/Inputs!$F$318</f>
        <v/>
      </c>
      <c r="AA71" s="20">
        <f>Operations!AA783/Inputs!$F$316+Operations!AA784/Inputs!$F$317+Operations!AA785/Inputs!$F$318</f>
        <v/>
      </c>
      <c r="AB71" s="20">
        <f>Operations!AB783/Inputs!$F$316+Operations!AB784/Inputs!$F$317+Operations!AB785/Inputs!$F$318</f>
        <v/>
      </c>
      <c r="AC71" s="20">
        <f>Operations!AC783/Inputs!$F$316+Operations!AC784/Inputs!$F$317+Operations!AC785/Inputs!$F$318</f>
        <v/>
      </c>
      <c r="AD71" s="20">
        <f>Operations!AD783/Inputs!$F$316+Operations!AD784/Inputs!$F$317+Operations!AD785/Inputs!$F$318</f>
        <v/>
      </c>
      <c r="AE71" s="20">
        <f>Operations!AE783/Inputs!$F$316+Operations!AE784/Inputs!$F$317+Operations!AE785/Inputs!$F$318</f>
        <v/>
      </c>
      <c r="AF71" s="20">
        <f>Operations!AF783/Inputs!$F$316+Operations!AF784/Inputs!$F$317+Operations!AF785/Inputs!$F$318</f>
        <v/>
      </c>
      <c r="AG71" s="20">
        <f>Operations!AG783/Inputs!$F$316+Operations!AG784/Inputs!$F$317+Operations!AG785/Inputs!$F$318</f>
        <v/>
      </c>
      <c r="AH71" s="20">
        <f>Operations!AH783/Inputs!$F$316+Operations!AH784/Inputs!$F$317+Operations!AH785/Inputs!$F$318</f>
        <v/>
      </c>
      <c r="AI71" s="20">
        <f>Operations!AI783/Inputs!$F$316+Operations!AI784/Inputs!$F$317+Operations!AI785/Inputs!$F$318</f>
        <v/>
      </c>
      <c r="AJ71" s="20">
        <f>Operations!AJ783/Inputs!$F$316+Operations!AJ784/Inputs!$F$317+Operations!AJ785/Inputs!$F$318</f>
        <v/>
      </c>
      <c r="AK71" s="20">
        <f>Operations!AK783/Inputs!$F$316+Operations!AK784/Inputs!$F$317+Operations!AK785/Inputs!$F$318</f>
        <v/>
      </c>
      <c r="AL71" s="20">
        <f>Operations!AL783/Inputs!$F$316+Operations!AL784/Inputs!$F$317+Operations!AL785/Inputs!$F$318</f>
        <v/>
      </c>
      <c r="AM71" s="20">
        <f>Operations!AM783/Inputs!$F$316+Operations!AM784/Inputs!$F$317+Operations!AM785/Inputs!$F$318</f>
        <v/>
      </c>
      <c r="AN71" s="20">
        <f>Operations!AN783/Inputs!$F$316+Operations!AN784/Inputs!$F$317+Operations!AN785/Inputs!$F$318</f>
        <v/>
      </c>
      <c r="AO71" s="20">
        <f>Operations!AO783/Inputs!$F$316+Operations!AO784/Inputs!$F$317+Operations!AO785/Inputs!$F$318</f>
        <v/>
      </c>
      <c r="AP71" s="20">
        <f>Operations!AP783/Inputs!$F$316+Operations!AP784/Inputs!$F$317+Operations!AP785/Inputs!$F$318</f>
        <v/>
      </c>
      <c r="AQ71" s="20">
        <f>Operations!AQ783/Inputs!$F$316+Operations!AQ784/Inputs!$F$317+Operations!AQ785/Inputs!$F$318</f>
        <v/>
      </c>
      <c r="AR71" s="20">
        <f>Operations!AR783/Inputs!$F$316+Operations!AR784/Inputs!$F$317+Operations!AR785/Inputs!$F$318</f>
        <v/>
      </c>
      <c r="AS71" s="20">
        <f>Operations!AS783/Inputs!$F$316+Operations!AS784/Inputs!$F$317+Operations!AS785/Inputs!$F$318</f>
        <v/>
      </c>
      <c r="AT71" s="20">
        <f>Operations!AT783/Inputs!$F$316+Operations!AT784/Inputs!$F$317+Operations!AT785/Inputs!$F$318</f>
        <v/>
      </c>
      <c r="AU71" s="20">
        <f>Operations!AU783/Inputs!$F$316+Operations!AU784/Inputs!$F$317+Operations!AU785/Inputs!$F$318</f>
        <v/>
      </c>
    </row>
    <row r="72">
      <c r="D72" t="inlineStr">
        <is>
          <t>Debt-service capacity at P99 (1.05x)</t>
        </is>
      </c>
      <c r="E72" t="inlineStr">
        <is>
          <t>USD m</t>
        </is>
      </c>
      <c r="J72" s="20">
        <f>Operations!J1143/Inputs!$F$319</f>
        <v/>
      </c>
      <c r="K72" s="20">
        <f>Operations!K1143/Inputs!$F$319</f>
        <v/>
      </c>
      <c r="L72" s="20">
        <f>Operations!L1143/Inputs!$F$319</f>
        <v/>
      </c>
      <c r="M72" s="20">
        <f>Operations!M1143/Inputs!$F$319</f>
        <v/>
      </c>
      <c r="N72" s="20">
        <f>Operations!N1143/Inputs!$F$319</f>
        <v/>
      </c>
      <c r="O72" s="20">
        <f>Operations!O1143/Inputs!$F$319</f>
        <v/>
      </c>
      <c r="P72" s="20">
        <f>Operations!P1143/Inputs!$F$319</f>
        <v/>
      </c>
      <c r="Q72" s="20">
        <f>Operations!Q1143/Inputs!$F$319</f>
        <v/>
      </c>
      <c r="R72" s="20">
        <f>Operations!R1143/Inputs!$F$319</f>
        <v/>
      </c>
      <c r="S72" s="20">
        <f>Operations!S1143/Inputs!$F$319</f>
        <v/>
      </c>
      <c r="T72" s="20">
        <f>Operations!T1143/Inputs!$F$319</f>
        <v/>
      </c>
      <c r="U72" s="20">
        <f>Operations!U1143/Inputs!$F$319</f>
        <v/>
      </c>
      <c r="V72" s="20">
        <f>Operations!V1143/Inputs!$F$319</f>
        <v/>
      </c>
      <c r="W72" s="20">
        <f>Operations!W1143/Inputs!$F$319</f>
        <v/>
      </c>
      <c r="X72" s="20">
        <f>Operations!X1143/Inputs!$F$319</f>
        <v/>
      </c>
      <c r="Y72" s="20">
        <f>Operations!Y1143/Inputs!$F$319</f>
        <v/>
      </c>
      <c r="Z72" s="20">
        <f>Operations!Z1143/Inputs!$F$319</f>
        <v/>
      </c>
      <c r="AA72" s="20">
        <f>Operations!AA1143/Inputs!$F$319</f>
        <v/>
      </c>
      <c r="AB72" s="20">
        <f>Operations!AB1143/Inputs!$F$319</f>
        <v/>
      </c>
      <c r="AC72" s="20">
        <f>Operations!AC1143/Inputs!$F$319</f>
        <v/>
      </c>
      <c r="AD72" s="20">
        <f>Operations!AD1143/Inputs!$F$319</f>
        <v/>
      </c>
      <c r="AE72" s="20">
        <f>Operations!AE1143/Inputs!$F$319</f>
        <v/>
      </c>
      <c r="AF72" s="20">
        <f>Operations!AF1143/Inputs!$F$319</f>
        <v/>
      </c>
      <c r="AG72" s="20">
        <f>Operations!AG1143/Inputs!$F$319</f>
        <v/>
      </c>
      <c r="AH72" s="20">
        <f>Operations!AH1143/Inputs!$F$319</f>
        <v/>
      </c>
      <c r="AI72" s="20">
        <f>Operations!AI1143/Inputs!$F$319</f>
        <v/>
      </c>
      <c r="AJ72" s="20">
        <f>Operations!AJ1143/Inputs!$F$319</f>
        <v/>
      </c>
      <c r="AK72" s="20">
        <f>Operations!AK1143/Inputs!$F$319</f>
        <v/>
      </c>
      <c r="AL72" s="20">
        <f>Operations!AL1143/Inputs!$F$319</f>
        <v/>
      </c>
      <c r="AM72" s="20">
        <f>Operations!AM1143/Inputs!$F$319</f>
        <v/>
      </c>
      <c r="AN72" s="20">
        <f>Operations!AN1143/Inputs!$F$319</f>
        <v/>
      </c>
      <c r="AO72" s="20">
        <f>Operations!AO1143/Inputs!$F$319</f>
        <v/>
      </c>
      <c r="AP72" s="20">
        <f>Operations!AP1143/Inputs!$F$319</f>
        <v/>
      </c>
      <c r="AQ72" s="20">
        <f>Operations!AQ1143/Inputs!$F$319</f>
        <v/>
      </c>
      <c r="AR72" s="20">
        <f>Operations!AR1143/Inputs!$F$319</f>
        <v/>
      </c>
      <c r="AS72" s="20">
        <f>Operations!AS1143/Inputs!$F$319</f>
        <v/>
      </c>
      <c r="AT72" s="20">
        <f>Operations!AT1143/Inputs!$F$319</f>
        <v/>
      </c>
      <c r="AU72" s="20">
        <f>Operations!AU1143/Inputs!$F$319</f>
        <v/>
      </c>
    </row>
    <row r="73">
      <c r="D73" t="inlineStr">
        <is>
          <t>Sculpted debt service</t>
        </is>
      </c>
      <c r="E73" t="inlineStr">
        <is>
          <t>USD m</t>
        </is>
      </c>
      <c r="G73" s="20">
        <f>SUM(J73:AU73)</f>
        <v/>
      </c>
      <c r="J73" s="20">
        <f>IF(Funding!J69&gt;0,MAX(0,MIN(Funding!J71,Funding!J72)),0)</f>
        <v/>
      </c>
      <c r="K73" s="20">
        <f>IF(Funding!K69&gt;0,MAX(0,MIN(Funding!K71,Funding!K72)),0)</f>
        <v/>
      </c>
      <c r="L73" s="20">
        <f>IF(Funding!L69&gt;0,MAX(0,MIN(Funding!L71,Funding!L72)),0)</f>
        <v/>
      </c>
      <c r="M73" s="20">
        <f>IF(Funding!M69&gt;0,MAX(0,MIN(Funding!M71,Funding!M72)),0)</f>
        <v/>
      </c>
      <c r="N73" s="20">
        <f>IF(Funding!N69&gt;0,MAX(0,MIN(Funding!N71,Funding!N72)),0)</f>
        <v/>
      </c>
      <c r="O73" s="20">
        <f>IF(Funding!O69&gt;0,MAX(0,MIN(Funding!O71,Funding!O72)),0)</f>
        <v/>
      </c>
      <c r="P73" s="20">
        <f>IF(Funding!P69&gt;0,MAX(0,MIN(Funding!P71,Funding!P72)),0)</f>
        <v/>
      </c>
      <c r="Q73" s="20">
        <f>IF(Funding!Q69&gt;0,MAX(0,MIN(Funding!Q71,Funding!Q72)),0)</f>
        <v/>
      </c>
      <c r="R73" s="20">
        <f>IF(Funding!R69&gt;0,MAX(0,MIN(Funding!R71,Funding!R72)),0)</f>
        <v/>
      </c>
      <c r="S73" s="20">
        <f>IF(Funding!S69&gt;0,MAX(0,MIN(Funding!S71,Funding!S72)),0)</f>
        <v/>
      </c>
      <c r="T73" s="20">
        <f>IF(Funding!T69&gt;0,MAX(0,MIN(Funding!T71,Funding!T72)),0)</f>
        <v/>
      </c>
      <c r="U73" s="20">
        <f>IF(Funding!U69&gt;0,MAX(0,MIN(Funding!U71,Funding!U72)),0)</f>
        <v/>
      </c>
      <c r="V73" s="20">
        <f>IF(Funding!V69&gt;0,MAX(0,MIN(Funding!V71,Funding!V72)),0)</f>
        <v/>
      </c>
      <c r="W73" s="20">
        <f>IF(Funding!W69&gt;0,MAX(0,MIN(Funding!W71,Funding!W72)),0)</f>
        <v/>
      </c>
      <c r="X73" s="20">
        <f>IF(Funding!X69&gt;0,MAX(0,MIN(Funding!X71,Funding!X72)),0)</f>
        <v/>
      </c>
      <c r="Y73" s="20">
        <f>IF(Funding!Y69&gt;0,MAX(0,MIN(Funding!Y71,Funding!Y72)),0)</f>
        <v/>
      </c>
      <c r="Z73" s="20">
        <f>IF(Funding!Z69&gt;0,MAX(0,MIN(Funding!Z71,Funding!Z72)),0)</f>
        <v/>
      </c>
      <c r="AA73" s="20">
        <f>IF(Funding!AA69&gt;0,MAX(0,MIN(Funding!AA71,Funding!AA72)),0)</f>
        <v/>
      </c>
      <c r="AB73" s="20">
        <f>IF(Funding!AB69&gt;0,MAX(0,MIN(Funding!AB71,Funding!AB72)),0)</f>
        <v/>
      </c>
      <c r="AC73" s="20">
        <f>IF(Funding!AC69&gt;0,MAX(0,MIN(Funding!AC71,Funding!AC72)),0)</f>
        <v/>
      </c>
      <c r="AD73" s="20">
        <f>IF(Funding!AD69&gt;0,MAX(0,MIN(Funding!AD71,Funding!AD72)),0)</f>
        <v/>
      </c>
      <c r="AE73" s="20">
        <f>IF(Funding!AE69&gt;0,MAX(0,MIN(Funding!AE71,Funding!AE72)),0)</f>
        <v/>
      </c>
      <c r="AF73" s="20">
        <f>IF(Funding!AF69&gt;0,MAX(0,MIN(Funding!AF71,Funding!AF72)),0)</f>
        <v/>
      </c>
      <c r="AG73" s="20">
        <f>IF(Funding!AG69&gt;0,MAX(0,MIN(Funding!AG71,Funding!AG72)),0)</f>
        <v/>
      </c>
      <c r="AH73" s="20">
        <f>IF(Funding!AH69&gt;0,MAX(0,MIN(Funding!AH71,Funding!AH72)),0)</f>
        <v/>
      </c>
      <c r="AI73" s="20">
        <f>IF(Funding!AI69&gt;0,MAX(0,MIN(Funding!AI71,Funding!AI72)),0)</f>
        <v/>
      </c>
      <c r="AJ73" s="20">
        <f>IF(Funding!AJ69&gt;0,MAX(0,MIN(Funding!AJ71,Funding!AJ72)),0)</f>
        <v/>
      </c>
      <c r="AK73" s="20">
        <f>IF(Funding!AK69&gt;0,MAX(0,MIN(Funding!AK71,Funding!AK72)),0)</f>
        <v/>
      </c>
      <c r="AL73" s="20">
        <f>IF(Funding!AL69&gt;0,MAX(0,MIN(Funding!AL71,Funding!AL72)),0)</f>
        <v/>
      </c>
      <c r="AM73" s="20">
        <f>IF(Funding!AM69&gt;0,MAX(0,MIN(Funding!AM71,Funding!AM72)),0)</f>
        <v/>
      </c>
      <c r="AN73" s="20">
        <f>IF(Funding!AN69&gt;0,MAX(0,MIN(Funding!AN71,Funding!AN72)),0)</f>
        <v/>
      </c>
      <c r="AO73" s="20">
        <f>IF(Funding!AO69&gt;0,MAX(0,MIN(Funding!AO71,Funding!AO72)),0)</f>
        <v/>
      </c>
      <c r="AP73" s="20">
        <f>IF(Funding!AP69&gt;0,MAX(0,MIN(Funding!AP71,Funding!AP72)),0)</f>
        <v/>
      </c>
      <c r="AQ73" s="20">
        <f>IF(Funding!AQ69&gt;0,MAX(0,MIN(Funding!AQ71,Funding!AQ72)),0)</f>
        <v/>
      </c>
      <c r="AR73" s="20">
        <f>IF(Funding!AR69&gt;0,MAX(0,MIN(Funding!AR71,Funding!AR72)),0)</f>
        <v/>
      </c>
      <c r="AS73" s="20">
        <f>IF(Funding!AS69&gt;0,MAX(0,MIN(Funding!AS71,Funding!AS72)),0)</f>
        <v/>
      </c>
      <c r="AT73" s="20">
        <f>IF(Funding!AT69&gt;0,MAX(0,MIN(Funding!AT71,Funding!AT72)),0)</f>
        <v/>
      </c>
      <c r="AU73" s="20">
        <f>IF(Funding!AU69&gt;0,MAX(0,MIN(Funding!AU71,Funding!AU72)),0)</f>
        <v/>
      </c>
    </row>
    <row r="74">
      <c r="D74" t="inlineStr">
        <is>
          <t>Principal, solved backward: (DS - sum of coupons x next-year opening balances) / (1 + coupon of amortizing series)</t>
        </is>
      </c>
      <c r="E74" t="inlineStr">
        <is>
          <t>USD m</t>
        </is>
      </c>
      <c r="G74" s="20">
        <f>SUM(J74:AU74)</f>
        <v/>
      </c>
      <c r="J74" s="20">
        <f>IF(Funding!J69&gt;0,(Funding!J73-Inputs!$F$311/100*K75-Inputs!$F$313/100*K76-Inputs!$F$315/100*K77)/(1+Funding!J70/100),0)</f>
        <v/>
      </c>
      <c r="K74" s="20">
        <f>IF(Funding!K69&gt;0,(Funding!K73-Inputs!$F$311/100*L75-Inputs!$F$313/100*L76-Inputs!$F$315/100*L77)/(1+Funding!K70/100),0)</f>
        <v/>
      </c>
      <c r="L74" s="20">
        <f>IF(Funding!L69&gt;0,(Funding!L73-Inputs!$F$311/100*M75-Inputs!$F$313/100*M76-Inputs!$F$315/100*M77)/(1+Funding!L70/100),0)</f>
        <v/>
      </c>
      <c r="M74" s="20">
        <f>IF(Funding!M69&gt;0,(Funding!M73-Inputs!$F$311/100*N75-Inputs!$F$313/100*N76-Inputs!$F$315/100*N77)/(1+Funding!M70/100),0)</f>
        <v/>
      </c>
      <c r="N74" s="20">
        <f>IF(Funding!N69&gt;0,(Funding!N73-Inputs!$F$311/100*O75-Inputs!$F$313/100*O76-Inputs!$F$315/100*O77)/(1+Funding!N70/100),0)</f>
        <v/>
      </c>
      <c r="O74" s="20">
        <f>IF(Funding!O69&gt;0,(Funding!O73-Inputs!$F$311/100*P75-Inputs!$F$313/100*P76-Inputs!$F$315/100*P77)/(1+Funding!O70/100),0)</f>
        <v/>
      </c>
      <c r="P74" s="20">
        <f>IF(Funding!P69&gt;0,(Funding!P73-Inputs!$F$311/100*Q75-Inputs!$F$313/100*Q76-Inputs!$F$315/100*Q77)/(1+Funding!P70/100),0)</f>
        <v/>
      </c>
      <c r="Q74" s="20">
        <f>IF(Funding!Q69&gt;0,(Funding!Q73-Inputs!$F$311/100*R75-Inputs!$F$313/100*R76-Inputs!$F$315/100*R77)/(1+Funding!Q70/100),0)</f>
        <v/>
      </c>
      <c r="R74" s="20">
        <f>IF(Funding!R69&gt;0,(Funding!R73-Inputs!$F$311/100*S75-Inputs!$F$313/100*S76-Inputs!$F$315/100*S77)/(1+Funding!R70/100),0)</f>
        <v/>
      </c>
      <c r="S74" s="20">
        <f>IF(Funding!S69&gt;0,(Funding!S73-Inputs!$F$311/100*T75-Inputs!$F$313/100*T76-Inputs!$F$315/100*T77)/(1+Funding!S70/100),0)</f>
        <v/>
      </c>
      <c r="T74" s="20">
        <f>IF(Funding!T69&gt;0,(Funding!T73-Inputs!$F$311/100*U75-Inputs!$F$313/100*U76-Inputs!$F$315/100*U77)/(1+Funding!T70/100),0)</f>
        <v/>
      </c>
      <c r="U74" s="20">
        <f>IF(Funding!U69&gt;0,(Funding!U73-Inputs!$F$311/100*V75-Inputs!$F$313/100*V76-Inputs!$F$315/100*V77)/(1+Funding!U70/100),0)</f>
        <v/>
      </c>
      <c r="V74" s="20">
        <f>IF(Funding!V69&gt;0,(Funding!V73-Inputs!$F$311/100*W75-Inputs!$F$313/100*W76-Inputs!$F$315/100*W77)/(1+Funding!V70/100),0)</f>
        <v/>
      </c>
      <c r="W74" s="20">
        <f>IF(Funding!W69&gt;0,(Funding!W73-Inputs!$F$311/100*X75-Inputs!$F$313/100*X76-Inputs!$F$315/100*X77)/(1+Funding!W70/100),0)</f>
        <v/>
      </c>
      <c r="X74" s="20">
        <f>IF(Funding!X69&gt;0,(Funding!X73-Inputs!$F$311/100*Y75-Inputs!$F$313/100*Y76-Inputs!$F$315/100*Y77)/(1+Funding!X70/100),0)</f>
        <v/>
      </c>
      <c r="Y74" s="20">
        <f>IF(Funding!Y69&gt;0,(Funding!Y73-Inputs!$F$311/100*Z75-Inputs!$F$313/100*Z76-Inputs!$F$315/100*Z77)/(1+Funding!Y70/100),0)</f>
        <v/>
      </c>
      <c r="Z74" s="20">
        <f>IF(Funding!Z69&gt;0,(Funding!Z73-Inputs!$F$311/100*AA75-Inputs!$F$313/100*AA76-Inputs!$F$315/100*AA77)/(1+Funding!Z70/100),0)</f>
        <v/>
      </c>
      <c r="AA74" s="20">
        <f>IF(Funding!AA69&gt;0,(Funding!AA73-Inputs!$F$311/100*AB75-Inputs!$F$313/100*AB76-Inputs!$F$315/100*AB77)/(1+Funding!AA70/100),0)</f>
        <v/>
      </c>
      <c r="AB74" s="20">
        <f>IF(Funding!AB69&gt;0,(Funding!AB73-Inputs!$F$311/100*AC75-Inputs!$F$313/100*AC76-Inputs!$F$315/100*AC77)/(1+Funding!AB70/100),0)</f>
        <v/>
      </c>
      <c r="AC74" s="20">
        <f>IF(Funding!AC69&gt;0,(Funding!AC73-Inputs!$F$311/100*AD75-Inputs!$F$313/100*AD76-Inputs!$F$315/100*AD77)/(1+Funding!AC70/100),0)</f>
        <v/>
      </c>
      <c r="AD74" s="20">
        <f>IF(Funding!AD69&gt;0,(Funding!AD73-Inputs!$F$311/100*AE75-Inputs!$F$313/100*AE76-Inputs!$F$315/100*AE77)/(1+Funding!AD70/100),0)</f>
        <v/>
      </c>
      <c r="AE74" s="20">
        <f>IF(Funding!AE69&gt;0,(Funding!AE73-Inputs!$F$311/100*AF75-Inputs!$F$313/100*AF76-Inputs!$F$315/100*AF77)/(1+Funding!AE70/100),0)</f>
        <v/>
      </c>
      <c r="AF74" s="20">
        <f>IF(Funding!AF69&gt;0,(Funding!AF73-Inputs!$F$311/100*AG75-Inputs!$F$313/100*AG76-Inputs!$F$315/100*AG77)/(1+Funding!AF70/100),0)</f>
        <v/>
      </c>
      <c r="AG74" s="20">
        <f>IF(Funding!AG69&gt;0,(Funding!AG73-Inputs!$F$311/100*AH75-Inputs!$F$313/100*AH76-Inputs!$F$315/100*AH77)/(1+Funding!AG70/100),0)</f>
        <v/>
      </c>
      <c r="AH74" s="20">
        <f>IF(Funding!AH69&gt;0,(Funding!AH73-Inputs!$F$311/100*AI75-Inputs!$F$313/100*AI76-Inputs!$F$315/100*AI77)/(1+Funding!AH70/100),0)</f>
        <v/>
      </c>
      <c r="AI74" s="20">
        <f>IF(Funding!AI69&gt;0,(Funding!AI73-Inputs!$F$311/100*AJ75-Inputs!$F$313/100*AJ76-Inputs!$F$315/100*AJ77)/(1+Funding!AI70/100),0)</f>
        <v/>
      </c>
      <c r="AJ74" s="20">
        <f>IF(Funding!AJ69&gt;0,(Funding!AJ73-Inputs!$F$311/100*AK75-Inputs!$F$313/100*AK76-Inputs!$F$315/100*AK77)/(1+Funding!AJ70/100),0)</f>
        <v/>
      </c>
      <c r="AK74" s="20">
        <f>IF(Funding!AK69&gt;0,(Funding!AK73-Inputs!$F$311/100*AL75-Inputs!$F$313/100*AL76-Inputs!$F$315/100*AL77)/(1+Funding!AK70/100),0)</f>
        <v/>
      </c>
      <c r="AL74" s="20">
        <f>IF(Funding!AL69&gt;0,(Funding!AL73-Inputs!$F$311/100*AM75-Inputs!$F$313/100*AM76-Inputs!$F$315/100*AM77)/(1+Funding!AL70/100),0)</f>
        <v/>
      </c>
      <c r="AM74" s="20">
        <f>IF(Funding!AM69&gt;0,(Funding!AM73-Inputs!$F$311/100*AN75-Inputs!$F$313/100*AN76-Inputs!$F$315/100*AN77)/(1+Funding!AM70/100),0)</f>
        <v/>
      </c>
      <c r="AN74" s="20">
        <f>IF(Funding!AN69&gt;0,(Funding!AN73-Inputs!$F$311/100*AO75-Inputs!$F$313/100*AO76-Inputs!$F$315/100*AO77)/(1+Funding!AN70/100),0)</f>
        <v/>
      </c>
      <c r="AO74" s="20">
        <f>IF(Funding!AO69&gt;0,(Funding!AO73-Inputs!$F$311/100*AP75-Inputs!$F$313/100*AP76-Inputs!$F$315/100*AP77)/(1+Funding!AO70/100),0)</f>
        <v/>
      </c>
      <c r="AP74" s="20">
        <f>IF(Funding!AP69&gt;0,(Funding!AP73-Inputs!$F$311/100*AQ75-Inputs!$F$313/100*AQ76-Inputs!$F$315/100*AQ77)/(1+Funding!AP70/100),0)</f>
        <v/>
      </c>
      <c r="AQ74" s="20">
        <f>IF(Funding!AQ69&gt;0,(Funding!AQ73-Inputs!$F$311/100*AR75-Inputs!$F$313/100*AR76-Inputs!$F$315/100*AR77)/(1+Funding!AQ70/100),0)</f>
        <v/>
      </c>
      <c r="AR74" s="20">
        <f>IF(Funding!AR69&gt;0,(Funding!AR73-Inputs!$F$311/100*AS75-Inputs!$F$313/100*AS76-Inputs!$F$315/100*AS77)/(1+Funding!AR70/100),0)</f>
        <v/>
      </c>
      <c r="AS74" s="20">
        <f>IF(Funding!AS69&gt;0,(Funding!AS73-Inputs!$F$311/100*AT75-Inputs!$F$313/100*AT76-Inputs!$F$315/100*AT77)/(1+Funding!AS70/100),0)</f>
        <v/>
      </c>
      <c r="AT74" s="20">
        <f>IF(Funding!AT69&gt;0,(Funding!AT73-Inputs!$F$311/100*AU75-Inputs!$F$313/100*AU76-Inputs!$F$315/100*AU77)/(1+Funding!AT70/100),0)</f>
        <v/>
      </c>
      <c r="AU74" s="20">
        <f>IF(Funding!AU69&gt;0,(Funding!AU73-Inputs!$F$311/100*AV75-Inputs!$F$313/100*AV76-Inputs!$F$315/100*AV77)/(1+Funding!AU70/100),0)</f>
        <v/>
      </c>
    </row>
    <row r="75">
      <c r="D75" t="inlineStr">
        <is>
          <t>Series A opening balance</t>
        </is>
      </c>
      <c r="E75" t="inlineStr">
        <is>
          <t>USD m</t>
        </is>
      </c>
      <c r="J75" s="20">
        <f>K75+Funding!J74*Funding!J66</f>
        <v/>
      </c>
      <c r="K75" s="20">
        <f>L75+Funding!K74*Funding!K66</f>
        <v/>
      </c>
      <c r="L75" s="20">
        <f>M75+Funding!L74*Funding!L66</f>
        <v/>
      </c>
      <c r="M75" s="20">
        <f>N75+Funding!M74*Funding!M66</f>
        <v/>
      </c>
      <c r="N75" s="20">
        <f>O75+Funding!N74*Funding!N66</f>
        <v/>
      </c>
      <c r="O75" s="20">
        <f>P75+Funding!O74*Funding!O66</f>
        <v/>
      </c>
      <c r="P75" s="20">
        <f>Q75+Funding!P74*Funding!P66</f>
        <v/>
      </c>
      <c r="Q75" s="20">
        <f>R75+Funding!Q74*Funding!Q66</f>
        <v/>
      </c>
      <c r="R75" s="20">
        <f>S75+Funding!R74*Funding!R66</f>
        <v/>
      </c>
      <c r="S75" s="20">
        <f>T75+Funding!S74*Funding!S66</f>
        <v/>
      </c>
      <c r="T75" s="20">
        <f>U75+Funding!T74*Funding!T66</f>
        <v/>
      </c>
      <c r="U75" s="20">
        <f>V75+Funding!U74*Funding!U66</f>
        <v/>
      </c>
      <c r="V75" s="20">
        <f>W75+Funding!V74*Funding!V66</f>
        <v/>
      </c>
      <c r="W75" s="20">
        <f>X75+Funding!W74*Funding!W66</f>
        <v/>
      </c>
      <c r="X75" s="20">
        <f>Y75+Funding!X74*Funding!X66</f>
        <v/>
      </c>
      <c r="Y75" s="20">
        <f>Z75+Funding!Y74*Funding!Y66</f>
        <v/>
      </c>
      <c r="Z75" s="20">
        <f>AA75+Funding!Z74*Funding!Z66</f>
        <v/>
      </c>
      <c r="AA75" s="20">
        <f>AB75+Funding!AA74*Funding!AA66</f>
        <v/>
      </c>
      <c r="AB75" s="20">
        <f>AC75+Funding!AB74*Funding!AB66</f>
        <v/>
      </c>
      <c r="AC75" s="20">
        <f>AD75+Funding!AC74*Funding!AC66</f>
        <v/>
      </c>
      <c r="AD75" s="20">
        <f>AE75+Funding!AD74*Funding!AD66</f>
        <v/>
      </c>
      <c r="AE75" s="20">
        <f>AF75+Funding!AE74*Funding!AE66</f>
        <v/>
      </c>
      <c r="AF75" s="20">
        <f>AG75+Funding!AF74*Funding!AF66</f>
        <v/>
      </c>
      <c r="AG75" s="20">
        <f>AH75+Funding!AG74*Funding!AG66</f>
        <v/>
      </c>
      <c r="AH75" s="20">
        <f>AI75+Funding!AH74*Funding!AH66</f>
        <v/>
      </c>
      <c r="AI75" s="20">
        <f>AJ75+Funding!AI74*Funding!AI66</f>
        <v/>
      </c>
      <c r="AJ75" s="20">
        <f>AK75+Funding!AJ74*Funding!AJ66</f>
        <v/>
      </c>
      <c r="AK75" s="20">
        <f>AL75+Funding!AK74*Funding!AK66</f>
        <v/>
      </c>
      <c r="AL75" s="20">
        <f>AM75+Funding!AL74*Funding!AL66</f>
        <v/>
      </c>
      <c r="AM75" s="20">
        <f>AN75+Funding!AM74*Funding!AM66</f>
        <v/>
      </c>
      <c r="AN75" s="20">
        <f>AO75+Funding!AN74*Funding!AN66</f>
        <v/>
      </c>
      <c r="AO75" s="20">
        <f>AP75+Funding!AO74*Funding!AO66</f>
        <v/>
      </c>
      <c r="AP75" s="20">
        <f>AQ75+Funding!AP74*Funding!AP66</f>
        <v/>
      </c>
      <c r="AQ75" s="20">
        <f>AR75+Funding!AQ74*Funding!AQ66</f>
        <v/>
      </c>
      <c r="AR75" s="20">
        <f>AS75+Funding!AR74*Funding!AR66</f>
        <v/>
      </c>
      <c r="AS75" s="20">
        <f>AT75+Funding!AS74*Funding!AS66</f>
        <v/>
      </c>
      <c r="AT75" s="20">
        <f>AU75+Funding!AT74*Funding!AT66</f>
        <v/>
      </c>
      <c r="AU75" s="20">
        <f>AV75+Funding!AU74*Funding!AU66</f>
        <v/>
      </c>
    </row>
    <row r="76">
      <c r="D76" t="inlineStr">
        <is>
          <t>Series B opening balance</t>
        </is>
      </c>
      <c r="E76" t="inlineStr">
        <is>
          <t>USD m</t>
        </is>
      </c>
      <c r="J76" s="20">
        <f>K76+Funding!J74*Funding!J67</f>
        <v/>
      </c>
      <c r="K76" s="20">
        <f>L76+Funding!K74*Funding!K67</f>
        <v/>
      </c>
      <c r="L76" s="20">
        <f>M76+Funding!L74*Funding!L67</f>
        <v/>
      </c>
      <c r="M76" s="20">
        <f>N76+Funding!M74*Funding!M67</f>
        <v/>
      </c>
      <c r="N76" s="20">
        <f>O76+Funding!N74*Funding!N67</f>
        <v/>
      </c>
      <c r="O76" s="20">
        <f>P76+Funding!O74*Funding!O67</f>
        <v/>
      </c>
      <c r="P76" s="20">
        <f>Q76+Funding!P74*Funding!P67</f>
        <v/>
      </c>
      <c r="Q76" s="20">
        <f>R76+Funding!Q74*Funding!Q67</f>
        <v/>
      </c>
      <c r="R76" s="20">
        <f>S76+Funding!R74*Funding!R67</f>
        <v/>
      </c>
      <c r="S76" s="20">
        <f>T76+Funding!S74*Funding!S67</f>
        <v/>
      </c>
      <c r="T76" s="20">
        <f>U76+Funding!T74*Funding!T67</f>
        <v/>
      </c>
      <c r="U76" s="20">
        <f>V76+Funding!U74*Funding!U67</f>
        <v/>
      </c>
      <c r="V76" s="20">
        <f>W76+Funding!V74*Funding!V67</f>
        <v/>
      </c>
      <c r="W76" s="20">
        <f>X76+Funding!W74*Funding!W67</f>
        <v/>
      </c>
      <c r="X76" s="20">
        <f>Y76+Funding!X74*Funding!X67</f>
        <v/>
      </c>
      <c r="Y76" s="20">
        <f>Z76+Funding!Y74*Funding!Y67</f>
        <v/>
      </c>
      <c r="Z76" s="20">
        <f>AA76+Funding!Z74*Funding!Z67</f>
        <v/>
      </c>
      <c r="AA76" s="20">
        <f>AB76+Funding!AA74*Funding!AA67</f>
        <v/>
      </c>
      <c r="AB76" s="20">
        <f>AC76+Funding!AB74*Funding!AB67</f>
        <v/>
      </c>
      <c r="AC76" s="20">
        <f>AD76+Funding!AC74*Funding!AC67</f>
        <v/>
      </c>
      <c r="AD76" s="20">
        <f>AE76+Funding!AD74*Funding!AD67</f>
        <v/>
      </c>
      <c r="AE76" s="20">
        <f>AF76+Funding!AE74*Funding!AE67</f>
        <v/>
      </c>
      <c r="AF76" s="20">
        <f>AG76+Funding!AF74*Funding!AF67</f>
        <v/>
      </c>
      <c r="AG76" s="20">
        <f>AH76+Funding!AG74*Funding!AG67</f>
        <v/>
      </c>
      <c r="AH76" s="20">
        <f>AI76+Funding!AH74*Funding!AH67</f>
        <v/>
      </c>
      <c r="AI76" s="20">
        <f>AJ76+Funding!AI74*Funding!AI67</f>
        <v/>
      </c>
      <c r="AJ76" s="20">
        <f>AK76+Funding!AJ74*Funding!AJ67</f>
        <v/>
      </c>
      <c r="AK76" s="20">
        <f>AL76+Funding!AK74*Funding!AK67</f>
        <v/>
      </c>
      <c r="AL76" s="20">
        <f>AM76+Funding!AL74*Funding!AL67</f>
        <v/>
      </c>
      <c r="AM76" s="20">
        <f>AN76+Funding!AM74*Funding!AM67</f>
        <v/>
      </c>
      <c r="AN76" s="20">
        <f>AO76+Funding!AN74*Funding!AN67</f>
        <v/>
      </c>
      <c r="AO76" s="20">
        <f>AP76+Funding!AO74*Funding!AO67</f>
        <v/>
      </c>
      <c r="AP76" s="20">
        <f>AQ76+Funding!AP74*Funding!AP67</f>
        <v/>
      </c>
      <c r="AQ76" s="20">
        <f>AR76+Funding!AQ74*Funding!AQ67</f>
        <v/>
      </c>
      <c r="AR76" s="20">
        <f>AS76+Funding!AR74*Funding!AR67</f>
        <v/>
      </c>
      <c r="AS76" s="20">
        <f>AT76+Funding!AS74*Funding!AS67</f>
        <v/>
      </c>
      <c r="AT76" s="20">
        <f>AU76+Funding!AT74*Funding!AT67</f>
        <v/>
      </c>
      <c r="AU76" s="20">
        <f>AV76+Funding!AU74*Funding!AU67</f>
        <v/>
      </c>
    </row>
    <row r="77">
      <c r="D77" t="inlineStr">
        <is>
          <t>Series C opening balance</t>
        </is>
      </c>
      <c r="E77" t="inlineStr">
        <is>
          <t>USD m</t>
        </is>
      </c>
      <c r="J77" s="20">
        <f>K77+Funding!J74*Funding!J68</f>
        <v/>
      </c>
      <c r="K77" s="20">
        <f>L77+Funding!K74*Funding!K68</f>
        <v/>
      </c>
      <c r="L77" s="20">
        <f>M77+Funding!L74*Funding!L68</f>
        <v/>
      </c>
      <c r="M77" s="20">
        <f>N77+Funding!M74*Funding!M68</f>
        <v/>
      </c>
      <c r="N77" s="20">
        <f>O77+Funding!N74*Funding!N68</f>
        <v/>
      </c>
      <c r="O77" s="20">
        <f>P77+Funding!O74*Funding!O68</f>
        <v/>
      </c>
      <c r="P77" s="20">
        <f>Q77+Funding!P74*Funding!P68</f>
        <v/>
      </c>
      <c r="Q77" s="20">
        <f>R77+Funding!Q74*Funding!Q68</f>
        <v/>
      </c>
      <c r="R77" s="20">
        <f>S77+Funding!R74*Funding!R68</f>
        <v/>
      </c>
      <c r="S77" s="20">
        <f>T77+Funding!S74*Funding!S68</f>
        <v/>
      </c>
      <c r="T77" s="20">
        <f>U77+Funding!T74*Funding!T68</f>
        <v/>
      </c>
      <c r="U77" s="20">
        <f>V77+Funding!U74*Funding!U68</f>
        <v/>
      </c>
      <c r="V77" s="20">
        <f>W77+Funding!V74*Funding!V68</f>
        <v/>
      </c>
      <c r="W77" s="20">
        <f>X77+Funding!W74*Funding!W68</f>
        <v/>
      </c>
      <c r="X77" s="20">
        <f>Y77+Funding!X74*Funding!X68</f>
        <v/>
      </c>
      <c r="Y77" s="20">
        <f>Z77+Funding!Y74*Funding!Y68</f>
        <v/>
      </c>
      <c r="Z77" s="20">
        <f>AA77+Funding!Z74*Funding!Z68</f>
        <v/>
      </c>
      <c r="AA77" s="20">
        <f>AB77+Funding!AA74*Funding!AA68</f>
        <v/>
      </c>
      <c r="AB77" s="20">
        <f>AC77+Funding!AB74*Funding!AB68</f>
        <v/>
      </c>
      <c r="AC77" s="20">
        <f>AD77+Funding!AC74*Funding!AC68</f>
        <v/>
      </c>
      <c r="AD77" s="20">
        <f>AE77+Funding!AD74*Funding!AD68</f>
        <v/>
      </c>
      <c r="AE77" s="20">
        <f>AF77+Funding!AE74*Funding!AE68</f>
        <v/>
      </c>
      <c r="AF77" s="20">
        <f>AG77+Funding!AF74*Funding!AF68</f>
        <v/>
      </c>
      <c r="AG77" s="20">
        <f>AH77+Funding!AG74*Funding!AG68</f>
        <v/>
      </c>
      <c r="AH77" s="20">
        <f>AI77+Funding!AH74*Funding!AH68</f>
        <v/>
      </c>
      <c r="AI77" s="20">
        <f>AJ77+Funding!AI74*Funding!AI68</f>
        <v/>
      </c>
      <c r="AJ77" s="20">
        <f>AK77+Funding!AJ74*Funding!AJ68</f>
        <v/>
      </c>
      <c r="AK77" s="20">
        <f>AL77+Funding!AK74*Funding!AK68</f>
        <v/>
      </c>
      <c r="AL77" s="20">
        <f>AM77+Funding!AL74*Funding!AL68</f>
        <v/>
      </c>
      <c r="AM77" s="20">
        <f>AN77+Funding!AM74*Funding!AM68</f>
        <v/>
      </c>
      <c r="AN77" s="20">
        <f>AO77+Funding!AN74*Funding!AN68</f>
        <v/>
      </c>
      <c r="AO77" s="20">
        <f>AP77+Funding!AO74*Funding!AO68</f>
        <v/>
      </c>
      <c r="AP77" s="20">
        <f>AQ77+Funding!AP74*Funding!AP68</f>
        <v/>
      </c>
      <c r="AQ77" s="20">
        <f>AR77+Funding!AQ74*Funding!AQ68</f>
        <v/>
      </c>
      <c r="AR77" s="20">
        <f>AS77+Funding!AR74*Funding!AR68</f>
        <v/>
      </c>
      <c r="AS77" s="20">
        <f>AT77+Funding!AS74*Funding!AS68</f>
        <v/>
      </c>
      <c r="AT77" s="20">
        <f>AU77+Funding!AT74*Funding!AT68</f>
        <v/>
      </c>
      <c r="AU77" s="20">
        <f>AV77+Funding!AU74*Funding!AU68</f>
        <v/>
      </c>
    </row>
    <row r="78">
      <c r="D78" t="inlineStr">
        <is>
          <t>Notes opening balance</t>
        </is>
      </c>
      <c r="E78" t="inlineStr">
        <is>
          <t>USD m</t>
        </is>
      </c>
      <c r="J78" s="20">
        <f>(Funding!J75+Funding!J76+Funding!J77)*Funding!J69</f>
        <v/>
      </c>
      <c r="K78" s="20">
        <f>(Funding!K75+Funding!K76+Funding!K77)*Funding!K69</f>
        <v/>
      </c>
      <c r="L78" s="20">
        <f>(Funding!L75+Funding!L76+Funding!L77)*Funding!L69</f>
        <v/>
      </c>
      <c r="M78" s="20">
        <f>(Funding!M75+Funding!M76+Funding!M77)*Funding!M69</f>
        <v/>
      </c>
      <c r="N78" s="20">
        <f>(Funding!N75+Funding!N76+Funding!N77)*Funding!N69</f>
        <v/>
      </c>
      <c r="O78" s="20">
        <f>(Funding!O75+Funding!O76+Funding!O77)*Funding!O69</f>
        <v/>
      </c>
      <c r="P78" s="20">
        <f>(Funding!P75+Funding!P76+Funding!P77)*Funding!P69</f>
        <v/>
      </c>
      <c r="Q78" s="20">
        <f>(Funding!Q75+Funding!Q76+Funding!Q77)*Funding!Q69</f>
        <v/>
      </c>
      <c r="R78" s="20">
        <f>(Funding!R75+Funding!R76+Funding!R77)*Funding!R69</f>
        <v/>
      </c>
      <c r="S78" s="20">
        <f>(Funding!S75+Funding!S76+Funding!S77)*Funding!S69</f>
        <v/>
      </c>
      <c r="T78" s="20">
        <f>(Funding!T75+Funding!T76+Funding!T77)*Funding!T69</f>
        <v/>
      </c>
      <c r="U78" s="20">
        <f>(Funding!U75+Funding!U76+Funding!U77)*Funding!U69</f>
        <v/>
      </c>
      <c r="V78" s="20">
        <f>(Funding!V75+Funding!V76+Funding!V77)*Funding!V69</f>
        <v/>
      </c>
      <c r="W78" s="20">
        <f>(Funding!W75+Funding!W76+Funding!W77)*Funding!W69</f>
        <v/>
      </c>
      <c r="X78" s="20">
        <f>(Funding!X75+Funding!X76+Funding!X77)*Funding!X69</f>
        <v/>
      </c>
      <c r="Y78" s="20">
        <f>(Funding!Y75+Funding!Y76+Funding!Y77)*Funding!Y69</f>
        <v/>
      </c>
      <c r="Z78" s="20">
        <f>(Funding!Z75+Funding!Z76+Funding!Z77)*Funding!Z69</f>
        <v/>
      </c>
      <c r="AA78" s="20">
        <f>(Funding!AA75+Funding!AA76+Funding!AA77)*Funding!AA69</f>
        <v/>
      </c>
      <c r="AB78" s="20">
        <f>(Funding!AB75+Funding!AB76+Funding!AB77)*Funding!AB69</f>
        <v/>
      </c>
      <c r="AC78" s="20">
        <f>(Funding!AC75+Funding!AC76+Funding!AC77)*Funding!AC69</f>
        <v/>
      </c>
      <c r="AD78" s="20">
        <f>(Funding!AD75+Funding!AD76+Funding!AD77)*Funding!AD69</f>
        <v/>
      </c>
      <c r="AE78" s="20">
        <f>(Funding!AE75+Funding!AE76+Funding!AE77)*Funding!AE69</f>
        <v/>
      </c>
      <c r="AF78" s="20">
        <f>(Funding!AF75+Funding!AF76+Funding!AF77)*Funding!AF69</f>
        <v/>
      </c>
      <c r="AG78" s="20">
        <f>(Funding!AG75+Funding!AG76+Funding!AG77)*Funding!AG69</f>
        <v/>
      </c>
      <c r="AH78" s="20">
        <f>(Funding!AH75+Funding!AH76+Funding!AH77)*Funding!AH69</f>
        <v/>
      </c>
      <c r="AI78" s="20">
        <f>(Funding!AI75+Funding!AI76+Funding!AI77)*Funding!AI69</f>
        <v/>
      </c>
      <c r="AJ78" s="20">
        <f>(Funding!AJ75+Funding!AJ76+Funding!AJ77)*Funding!AJ69</f>
        <v/>
      </c>
      <c r="AK78" s="20">
        <f>(Funding!AK75+Funding!AK76+Funding!AK77)*Funding!AK69</f>
        <v/>
      </c>
      <c r="AL78" s="20">
        <f>(Funding!AL75+Funding!AL76+Funding!AL77)*Funding!AL69</f>
        <v/>
      </c>
      <c r="AM78" s="20">
        <f>(Funding!AM75+Funding!AM76+Funding!AM77)*Funding!AM69</f>
        <v/>
      </c>
      <c r="AN78" s="20">
        <f>(Funding!AN75+Funding!AN76+Funding!AN77)*Funding!AN69</f>
        <v/>
      </c>
      <c r="AO78" s="20">
        <f>(Funding!AO75+Funding!AO76+Funding!AO77)*Funding!AO69</f>
        <v/>
      </c>
      <c r="AP78" s="20">
        <f>(Funding!AP75+Funding!AP76+Funding!AP77)*Funding!AP69</f>
        <v/>
      </c>
      <c r="AQ78" s="20">
        <f>(Funding!AQ75+Funding!AQ76+Funding!AQ77)*Funding!AQ69</f>
        <v/>
      </c>
      <c r="AR78" s="20">
        <f>(Funding!AR75+Funding!AR76+Funding!AR77)*Funding!AR69</f>
        <v/>
      </c>
      <c r="AS78" s="20">
        <f>(Funding!AS75+Funding!AS76+Funding!AS77)*Funding!AS69</f>
        <v/>
      </c>
      <c r="AT78" s="20">
        <f>(Funding!AT75+Funding!AT76+Funding!AT77)*Funding!AT69</f>
        <v/>
      </c>
      <c r="AU78" s="20">
        <f>(Funding!AU75+Funding!AU76+Funding!AU77)*Funding!AU69</f>
        <v/>
      </c>
    </row>
    <row r="79">
      <c r="D79" t="inlineStr">
        <is>
          <t>Notes interest</t>
        </is>
      </c>
      <c r="E79" t="inlineStr">
        <is>
          <t>USD m</t>
        </is>
      </c>
      <c r="G79" s="20">
        <f>SUM(J79:AU79)</f>
        <v/>
      </c>
      <c r="J79" s="20">
        <f>(Inputs!$F$311/100*Funding!J75+Inputs!$F$313/100*Funding!J76+Inputs!$F$315/100*Funding!J77)*Funding!J69</f>
        <v/>
      </c>
      <c r="K79" s="20">
        <f>(Inputs!$F$311/100*Funding!K75+Inputs!$F$313/100*Funding!K76+Inputs!$F$315/100*Funding!K77)*Funding!K69</f>
        <v/>
      </c>
      <c r="L79" s="20">
        <f>(Inputs!$F$311/100*Funding!L75+Inputs!$F$313/100*Funding!L76+Inputs!$F$315/100*Funding!L77)*Funding!L69</f>
        <v/>
      </c>
      <c r="M79" s="20">
        <f>(Inputs!$F$311/100*Funding!M75+Inputs!$F$313/100*Funding!M76+Inputs!$F$315/100*Funding!M77)*Funding!M69</f>
        <v/>
      </c>
      <c r="N79" s="20">
        <f>(Inputs!$F$311/100*Funding!N75+Inputs!$F$313/100*Funding!N76+Inputs!$F$315/100*Funding!N77)*Funding!N69</f>
        <v/>
      </c>
      <c r="O79" s="20">
        <f>(Inputs!$F$311/100*Funding!O75+Inputs!$F$313/100*Funding!O76+Inputs!$F$315/100*Funding!O77)*Funding!O69</f>
        <v/>
      </c>
      <c r="P79" s="20">
        <f>(Inputs!$F$311/100*Funding!P75+Inputs!$F$313/100*Funding!P76+Inputs!$F$315/100*Funding!P77)*Funding!P69</f>
        <v/>
      </c>
      <c r="Q79" s="20">
        <f>(Inputs!$F$311/100*Funding!Q75+Inputs!$F$313/100*Funding!Q76+Inputs!$F$315/100*Funding!Q77)*Funding!Q69</f>
        <v/>
      </c>
      <c r="R79" s="20">
        <f>(Inputs!$F$311/100*Funding!R75+Inputs!$F$313/100*Funding!R76+Inputs!$F$315/100*Funding!R77)*Funding!R69</f>
        <v/>
      </c>
      <c r="S79" s="20">
        <f>(Inputs!$F$311/100*Funding!S75+Inputs!$F$313/100*Funding!S76+Inputs!$F$315/100*Funding!S77)*Funding!S69</f>
        <v/>
      </c>
      <c r="T79" s="20">
        <f>(Inputs!$F$311/100*Funding!T75+Inputs!$F$313/100*Funding!T76+Inputs!$F$315/100*Funding!T77)*Funding!T69</f>
        <v/>
      </c>
      <c r="U79" s="20">
        <f>(Inputs!$F$311/100*Funding!U75+Inputs!$F$313/100*Funding!U76+Inputs!$F$315/100*Funding!U77)*Funding!U69</f>
        <v/>
      </c>
      <c r="V79" s="20">
        <f>(Inputs!$F$311/100*Funding!V75+Inputs!$F$313/100*Funding!V76+Inputs!$F$315/100*Funding!V77)*Funding!V69</f>
        <v/>
      </c>
      <c r="W79" s="20">
        <f>(Inputs!$F$311/100*Funding!W75+Inputs!$F$313/100*Funding!W76+Inputs!$F$315/100*Funding!W77)*Funding!W69</f>
        <v/>
      </c>
      <c r="X79" s="20">
        <f>(Inputs!$F$311/100*Funding!X75+Inputs!$F$313/100*Funding!X76+Inputs!$F$315/100*Funding!X77)*Funding!X69</f>
        <v/>
      </c>
      <c r="Y79" s="20">
        <f>(Inputs!$F$311/100*Funding!Y75+Inputs!$F$313/100*Funding!Y76+Inputs!$F$315/100*Funding!Y77)*Funding!Y69</f>
        <v/>
      </c>
      <c r="Z79" s="20">
        <f>(Inputs!$F$311/100*Funding!Z75+Inputs!$F$313/100*Funding!Z76+Inputs!$F$315/100*Funding!Z77)*Funding!Z69</f>
        <v/>
      </c>
      <c r="AA79" s="20">
        <f>(Inputs!$F$311/100*Funding!AA75+Inputs!$F$313/100*Funding!AA76+Inputs!$F$315/100*Funding!AA77)*Funding!AA69</f>
        <v/>
      </c>
      <c r="AB79" s="20">
        <f>(Inputs!$F$311/100*Funding!AB75+Inputs!$F$313/100*Funding!AB76+Inputs!$F$315/100*Funding!AB77)*Funding!AB69</f>
        <v/>
      </c>
      <c r="AC79" s="20">
        <f>(Inputs!$F$311/100*Funding!AC75+Inputs!$F$313/100*Funding!AC76+Inputs!$F$315/100*Funding!AC77)*Funding!AC69</f>
        <v/>
      </c>
      <c r="AD79" s="20">
        <f>(Inputs!$F$311/100*Funding!AD75+Inputs!$F$313/100*Funding!AD76+Inputs!$F$315/100*Funding!AD77)*Funding!AD69</f>
        <v/>
      </c>
      <c r="AE79" s="20">
        <f>(Inputs!$F$311/100*Funding!AE75+Inputs!$F$313/100*Funding!AE76+Inputs!$F$315/100*Funding!AE77)*Funding!AE69</f>
        <v/>
      </c>
      <c r="AF79" s="20">
        <f>(Inputs!$F$311/100*Funding!AF75+Inputs!$F$313/100*Funding!AF76+Inputs!$F$315/100*Funding!AF77)*Funding!AF69</f>
        <v/>
      </c>
      <c r="AG79" s="20">
        <f>(Inputs!$F$311/100*Funding!AG75+Inputs!$F$313/100*Funding!AG76+Inputs!$F$315/100*Funding!AG77)*Funding!AG69</f>
        <v/>
      </c>
      <c r="AH79" s="20">
        <f>(Inputs!$F$311/100*Funding!AH75+Inputs!$F$313/100*Funding!AH76+Inputs!$F$315/100*Funding!AH77)*Funding!AH69</f>
        <v/>
      </c>
      <c r="AI79" s="20">
        <f>(Inputs!$F$311/100*Funding!AI75+Inputs!$F$313/100*Funding!AI76+Inputs!$F$315/100*Funding!AI77)*Funding!AI69</f>
        <v/>
      </c>
      <c r="AJ79" s="20">
        <f>(Inputs!$F$311/100*Funding!AJ75+Inputs!$F$313/100*Funding!AJ76+Inputs!$F$315/100*Funding!AJ77)*Funding!AJ69</f>
        <v/>
      </c>
      <c r="AK79" s="20">
        <f>(Inputs!$F$311/100*Funding!AK75+Inputs!$F$313/100*Funding!AK76+Inputs!$F$315/100*Funding!AK77)*Funding!AK69</f>
        <v/>
      </c>
      <c r="AL79" s="20">
        <f>(Inputs!$F$311/100*Funding!AL75+Inputs!$F$313/100*Funding!AL76+Inputs!$F$315/100*Funding!AL77)*Funding!AL69</f>
        <v/>
      </c>
      <c r="AM79" s="20">
        <f>(Inputs!$F$311/100*Funding!AM75+Inputs!$F$313/100*Funding!AM76+Inputs!$F$315/100*Funding!AM77)*Funding!AM69</f>
        <v/>
      </c>
      <c r="AN79" s="20">
        <f>(Inputs!$F$311/100*Funding!AN75+Inputs!$F$313/100*Funding!AN76+Inputs!$F$315/100*Funding!AN77)*Funding!AN69</f>
        <v/>
      </c>
      <c r="AO79" s="20">
        <f>(Inputs!$F$311/100*Funding!AO75+Inputs!$F$313/100*Funding!AO76+Inputs!$F$315/100*Funding!AO77)*Funding!AO69</f>
        <v/>
      </c>
      <c r="AP79" s="20">
        <f>(Inputs!$F$311/100*Funding!AP75+Inputs!$F$313/100*Funding!AP76+Inputs!$F$315/100*Funding!AP77)*Funding!AP69</f>
        <v/>
      </c>
      <c r="AQ79" s="20">
        <f>(Inputs!$F$311/100*Funding!AQ75+Inputs!$F$313/100*Funding!AQ76+Inputs!$F$315/100*Funding!AQ77)*Funding!AQ69</f>
        <v/>
      </c>
      <c r="AR79" s="20">
        <f>(Inputs!$F$311/100*Funding!AR75+Inputs!$F$313/100*Funding!AR76+Inputs!$F$315/100*Funding!AR77)*Funding!AR69</f>
        <v/>
      </c>
      <c r="AS79" s="20">
        <f>(Inputs!$F$311/100*Funding!AS75+Inputs!$F$313/100*Funding!AS76+Inputs!$F$315/100*Funding!AS77)*Funding!AS69</f>
        <v/>
      </c>
      <c r="AT79" s="20">
        <f>(Inputs!$F$311/100*Funding!AT75+Inputs!$F$313/100*Funding!AT76+Inputs!$F$315/100*Funding!AT77)*Funding!AT69</f>
        <v/>
      </c>
      <c r="AU79" s="20">
        <f>(Inputs!$F$311/100*Funding!AU75+Inputs!$F$313/100*Funding!AU76+Inputs!$F$315/100*Funding!AU77)*Funding!AU69</f>
        <v/>
      </c>
    </row>
    <row r="80">
      <c r="D80" t="inlineStr">
        <is>
          <t>Series A size</t>
        </is>
      </c>
      <c r="E80" t="inlineStr">
        <is>
          <t>USD m</t>
        </is>
      </c>
      <c r="F80" s="20">
        <f>SUMIF(Time!$J$4:$AU$4,Inputs!$F$309,Funding!$J$75:$AU$75)</f>
        <v/>
      </c>
    </row>
    <row r="81">
      <c r="D81" t="inlineStr">
        <is>
          <t>Series B size</t>
        </is>
      </c>
      <c r="E81" t="inlineStr">
        <is>
          <t>USD m</t>
        </is>
      </c>
      <c r="F81" s="20">
        <f>SUMIF(Time!$J$4:$AU$4,Inputs!$F$309,Funding!$J$76:$AU$76)</f>
        <v/>
      </c>
    </row>
    <row r="82">
      <c r="D82" t="inlineStr">
        <is>
          <t>Series C size</t>
        </is>
      </c>
      <c r="E82" t="inlineStr">
        <is>
          <t>USD m</t>
        </is>
      </c>
      <c r="F82" s="20">
        <f>SUMIF(Time!$J$4:$AU$4,Inputs!$F$309,Funding!$J$77:$AU$77)</f>
        <v/>
      </c>
    </row>
    <row r="83">
      <c r="D83" t="inlineStr">
        <is>
          <t>USPP notes total</t>
        </is>
      </c>
      <c r="E83" t="inlineStr">
        <is>
          <t>USD m</t>
        </is>
      </c>
      <c r="F83" s="20">
        <f>Funding!$F$80+Funding!$F$81+Funding!$F$82</f>
        <v/>
      </c>
    </row>
    <row r="84">
      <c r="D84" t="inlineStr">
        <is>
          <t>Series A share</t>
        </is>
      </c>
      <c r="E84" t="inlineStr">
        <is>
          <t>%</t>
        </is>
      </c>
      <c r="F84" s="15">
        <f>100*Funding!$F$80/Funding!$F$83</f>
        <v/>
      </c>
    </row>
    <row r="85">
      <c r="D85" t="inlineStr">
        <is>
          <t>Series B share</t>
        </is>
      </c>
      <c r="E85" t="inlineStr">
        <is>
          <t>%</t>
        </is>
      </c>
      <c r="F85" s="15">
        <f>100*Funding!$F$81/Funding!$F$83</f>
        <v/>
      </c>
    </row>
    <row r="86">
      <c r="D86" t="inlineStr">
        <is>
          <t>Series C share</t>
        </is>
      </c>
      <c r="E86" t="inlineStr">
        <is>
          <t>%</t>
        </is>
      </c>
      <c r="F86" s="15">
        <f>100*Funding!$F$82/Funding!$F$83</f>
        <v/>
      </c>
    </row>
    <row r="87">
      <c r="D87" t="inlineStr">
        <is>
          <t>Issue-weighted blended coupon</t>
        </is>
      </c>
      <c r="E87" t="inlineStr">
        <is>
          <t>%</t>
        </is>
      </c>
      <c r="F87" s="15">
        <f>(Funding!$F$80*Inputs!$F$311+Funding!$F$81*Inputs!$F$313+Funding!$F$82*Inputs!$F$315)/Funding!$F$83</f>
        <v/>
      </c>
    </row>
    <row r="88">
      <c r="D88" t="inlineStr">
        <is>
          <t>Discount factor at blended coupon (bucket exhibit)</t>
        </is>
      </c>
      <c r="E88" t="inlineStr">
        <is>
          <t>factor</t>
        </is>
      </c>
      <c r="J88" s="14">
        <f>(1+Funding!$F$87/100)^(-(Time!J$4-Inputs!$F$307))*Funding!J69</f>
        <v/>
      </c>
      <c r="K88" s="14">
        <f>(1+Funding!$F$87/100)^(-(Time!K$4-Inputs!$F$307))*Funding!K69</f>
        <v/>
      </c>
      <c r="L88" s="14">
        <f>(1+Funding!$F$87/100)^(-(Time!L$4-Inputs!$F$307))*Funding!L69</f>
        <v/>
      </c>
      <c r="M88" s="14">
        <f>(1+Funding!$F$87/100)^(-(Time!M$4-Inputs!$F$307))*Funding!M69</f>
        <v/>
      </c>
      <c r="N88" s="14">
        <f>(1+Funding!$F$87/100)^(-(Time!N$4-Inputs!$F$307))*Funding!N69</f>
        <v/>
      </c>
      <c r="O88" s="14">
        <f>(1+Funding!$F$87/100)^(-(Time!O$4-Inputs!$F$307))*Funding!O69</f>
        <v/>
      </c>
      <c r="P88" s="14">
        <f>(1+Funding!$F$87/100)^(-(Time!P$4-Inputs!$F$307))*Funding!P69</f>
        <v/>
      </c>
      <c r="Q88" s="14">
        <f>(1+Funding!$F$87/100)^(-(Time!Q$4-Inputs!$F$307))*Funding!Q69</f>
        <v/>
      </c>
      <c r="R88" s="14">
        <f>(1+Funding!$F$87/100)^(-(Time!R$4-Inputs!$F$307))*Funding!R69</f>
        <v/>
      </c>
      <c r="S88" s="14">
        <f>(1+Funding!$F$87/100)^(-(Time!S$4-Inputs!$F$307))*Funding!S69</f>
        <v/>
      </c>
      <c r="T88" s="14">
        <f>(1+Funding!$F$87/100)^(-(Time!T$4-Inputs!$F$307))*Funding!T69</f>
        <v/>
      </c>
      <c r="U88" s="14">
        <f>(1+Funding!$F$87/100)^(-(Time!U$4-Inputs!$F$307))*Funding!U69</f>
        <v/>
      </c>
      <c r="V88" s="14">
        <f>(1+Funding!$F$87/100)^(-(Time!V$4-Inputs!$F$307))*Funding!V69</f>
        <v/>
      </c>
      <c r="W88" s="14">
        <f>(1+Funding!$F$87/100)^(-(Time!W$4-Inputs!$F$307))*Funding!W69</f>
        <v/>
      </c>
      <c r="X88" s="14">
        <f>(1+Funding!$F$87/100)^(-(Time!X$4-Inputs!$F$307))*Funding!X69</f>
        <v/>
      </c>
      <c r="Y88" s="14">
        <f>(1+Funding!$F$87/100)^(-(Time!Y$4-Inputs!$F$307))*Funding!Y69</f>
        <v/>
      </c>
      <c r="Z88" s="14">
        <f>(1+Funding!$F$87/100)^(-(Time!Z$4-Inputs!$F$307))*Funding!Z69</f>
        <v/>
      </c>
      <c r="AA88" s="14">
        <f>(1+Funding!$F$87/100)^(-(Time!AA$4-Inputs!$F$307))*Funding!AA69</f>
        <v/>
      </c>
      <c r="AB88" s="14">
        <f>(1+Funding!$F$87/100)^(-(Time!AB$4-Inputs!$F$307))*Funding!AB69</f>
        <v/>
      </c>
      <c r="AC88" s="14">
        <f>(1+Funding!$F$87/100)^(-(Time!AC$4-Inputs!$F$307))*Funding!AC69</f>
        <v/>
      </c>
      <c r="AD88" s="14">
        <f>(1+Funding!$F$87/100)^(-(Time!AD$4-Inputs!$F$307))*Funding!AD69</f>
        <v/>
      </c>
      <c r="AE88" s="14">
        <f>(1+Funding!$F$87/100)^(-(Time!AE$4-Inputs!$F$307))*Funding!AE69</f>
        <v/>
      </c>
      <c r="AF88" s="14">
        <f>(1+Funding!$F$87/100)^(-(Time!AF$4-Inputs!$F$307))*Funding!AF69</f>
        <v/>
      </c>
      <c r="AG88" s="14">
        <f>(1+Funding!$F$87/100)^(-(Time!AG$4-Inputs!$F$307))*Funding!AG69</f>
        <v/>
      </c>
      <c r="AH88" s="14">
        <f>(1+Funding!$F$87/100)^(-(Time!AH$4-Inputs!$F$307))*Funding!AH69</f>
        <v/>
      </c>
      <c r="AI88" s="14">
        <f>(1+Funding!$F$87/100)^(-(Time!AI$4-Inputs!$F$307))*Funding!AI69</f>
        <v/>
      </c>
      <c r="AJ88" s="14">
        <f>(1+Funding!$F$87/100)^(-(Time!AJ$4-Inputs!$F$307))*Funding!AJ69</f>
        <v/>
      </c>
      <c r="AK88" s="14">
        <f>(1+Funding!$F$87/100)^(-(Time!AK$4-Inputs!$F$307))*Funding!AK69</f>
        <v/>
      </c>
      <c r="AL88" s="14">
        <f>(1+Funding!$F$87/100)^(-(Time!AL$4-Inputs!$F$307))*Funding!AL69</f>
        <v/>
      </c>
      <c r="AM88" s="14">
        <f>(1+Funding!$F$87/100)^(-(Time!AM$4-Inputs!$F$307))*Funding!AM69</f>
        <v/>
      </c>
      <c r="AN88" s="14">
        <f>(1+Funding!$F$87/100)^(-(Time!AN$4-Inputs!$F$307))*Funding!AN69</f>
        <v/>
      </c>
      <c r="AO88" s="14">
        <f>(1+Funding!$F$87/100)^(-(Time!AO$4-Inputs!$F$307))*Funding!AO69</f>
        <v/>
      </c>
      <c r="AP88" s="14">
        <f>(1+Funding!$F$87/100)^(-(Time!AP$4-Inputs!$F$307))*Funding!AP69</f>
        <v/>
      </c>
      <c r="AQ88" s="14">
        <f>(1+Funding!$F$87/100)^(-(Time!AQ$4-Inputs!$F$307))*Funding!AQ69</f>
        <v/>
      </c>
      <c r="AR88" s="14">
        <f>(1+Funding!$F$87/100)^(-(Time!AR$4-Inputs!$F$307))*Funding!AR69</f>
        <v/>
      </c>
      <c r="AS88" s="14">
        <f>(1+Funding!$F$87/100)^(-(Time!AS$4-Inputs!$F$307))*Funding!AS69</f>
        <v/>
      </c>
      <c r="AT88" s="14">
        <f>(1+Funding!$F$87/100)^(-(Time!AT$4-Inputs!$F$307))*Funding!AT69</f>
        <v/>
      </c>
      <c r="AU88" s="14">
        <f>(1+Funding!$F$87/100)^(-(Time!AU$4-Inputs!$F$307))*Funding!AU69</f>
        <v/>
      </c>
    </row>
    <row r="89">
      <c r="D89" t="inlineStr">
        <is>
          <t>PV of contracted capacity at blended coupon</t>
        </is>
      </c>
      <c r="E89" t="inlineStr">
        <is>
          <t>USD m</t>
        </is>
      </c>
      <c r="F89" s="20">
        <f>SUMPRODUCT(Operations!$J$783:$AU$783/Inputs!$F$316,Funding!$J$88:$AU$88)</f>
        <v/>
      </c>
    </row>
    <row r="90">
      <c r="D90" t="inlineStr">
        <is>
          <t>PV of hedged capacity at blended coupon</t>
        </is>
      </c>
      <c r="E90" t="inlineStr">
        <is>
          <t>USD m</t>
        </is>
      </c>
      <c r="F90" s="20">
        <f>SUMPRODUCT(Operations!$J$784:$AU$784/Inputs!$F$317,Funding!$J$88:$AU$88)</f>
        <v/>
      </c>
    </row>
    <row r="91">
      <c r="D91" t="inlineStr">
        <is>
          <t>PV of merchant capacity at blended coupon</t>
        </is>
      </c>
      <c r="E91" t="inlineStr">
        <is>
          <t>USD m</t>
        </is>
      </c>
      <c r="F91" s="20">
        <f>SUMPRODUCT(Operations!$J$785:$AU$785/Inputs!$F$318,Funding!$J$88:$AU$88)</f>
        <v/>
      </c>
    </row>
    <row r="92">
      <c r="D92" t="inlineStr">
        <is>
          <t>Years in which the P99 test binds</t>
        </is>
      </c>
      <c r="E92" t="inlineStr">
        <is>
          <t>years</t>
        </is>
      </c>
      <c r="F92" s="12">
        <f>SUMPRODUCT(--(Funding!$J$72:$AU$72&lt;Funding!$J$71:$AU$71),--(Funding!$J$69:$AU$69&gt;0))</f>
        <v/>
      </c>
    </row>
    <row r="94">
      <c r="A94" s="4" t="inlineStr">
        <is>
          <t>2025 holdco repricing (sized on post-refinancing base distributions)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</row>
    <row r="95">
      <c r="D95" t="inlineStr">
        <is>
          <t>Interest period fraction</t>
        </is>
      </c>
      <c r="E95" t="inlineStr">
        <is>
          <t>fraction</t>
        </is>
      </c>
      <c r="J95" s="14">
        <f>MAX(0,MIN(Inputs!$F$323,Time!J$6)-MAX(Inputs!$F$308,Time!J$5))/Time!J$7</f>
        <v/>
      </c>
      <c r="K95" s="14">
        <f>MAX(0,MIN(Inputs!$F$323,Time!K$6)-MAX(Inputs!$F$308,Time!K$5))/Time!K$7</f>
        <v/>
      </c>
      <c r="L95" s="14">
        <f>MAX(0,MIN(Inputs!$F$323,Time!L$6)-MAX(Inputs!$F$308,Time!L$5))/Time!L$7</f>
        <v/>
      </c>
      <c r="M95" s="14">
        <f>MAX(0,MIN(Inputs!$F$323,Time!M$6)-MAX(Inputs!$F$308,Time!M$5))/Time!M$7</f>
        <v/>
      </c>
      <c r="N95" s="14">
        <f>MAX(0,MIN(Inputs!$F$323,Time!N$6)-MAX(Inputs!$F$308,Time!N$5))/Time!N$7</f>
        <v/>
      </c>
      <c r="O95" s="14">
        <f>MAX(0,MIN(Inputs!$F$323,Time!O$6)-MAX(Inputs!$F$308,Time!O$5))/Time!O$7</f>
        <v/>
      </c>
      <c r="P95" s="14">
        <f>MAX(0,MIN(Inputs!$F$323,Time!P$6)-MAX(Inputs!$F$308,Time!P$5))/Time!P$7</f>
        <v/>
      </c>
      <c r="Q95" s="14">
        <f>MAX(0,MIN(Inputs!$F$323,Time!Q$6)-MAX(Inputs!$F$308,Time!Q$5))/Time!Q$7</f>
        <v/>
      </c>
      <c r="R95" s="14">
        <f>MAX(0,MIN(Inputs!$F$323,Time!R$6)-MAX(Inputs!$F$308,Time!R$5))/Time!R$7</f>
        <v/>
      </c>
      <c r="S95" s="14">
        <f>MAX(0,MIN(Inputs!$F$323,Time!S$6)-MAX(Inputs!$F$308,Time!S$5))/Time!S$7</f>
        <v/>
      </c>
      <c r="T95" s="14">
        <f>MAX(0,MIN(Inputs!$F$323,Time!T$6)-MAX(Inputs!$F$308,Time!T$5))/Time!T$7</f>
        <v/>
      </c>
      <c r="U95" s="14">
        <f>MAX(0,MIN(Inputs!$F$323,Time!U$6)-MAX(Inputs!$F$308,Time!U$5))/Time!U$7</f>
        <v/>
      </c>
      <c r="V95" s="14">
        <f>MAX(0,MIN(Inputs!$F$323,Time!V$6)-MAX(Inputs!$F$308,Time!V$5))/Time!V$7</f>
        <v/>
      </c>
      <c r="W95" s="14">
        <f>MAX(0,MIN(Inputs!$F$323,Time!W$6)-MAX(Inputs!$F$308,Time!W$5))/Time!W$7</f>
        <v/>
      </c>
      <c r="X95" s="14">
        <f>MAX(0,MIN(Inputs!$F$323,Time!X$6)-MAX(Inputs!$F$308,Time!X$5))/Time!X$7</f>
        <v/>
      </c>
      <c r="Y95" s="14">
        <f>MAX(0,MIN(Inputs!$F$323,Time!Y$6)-MAX(Inputs!$F$308,Time!Y$5))/Time!Y$7</f>
        <v/>
      </c>
      <c r="Z95" s="14">
        <f>MAX(0,MIN(Inputs!$F$323,Time!Z$6)-MAX(Inputs!$F$308,Time!Z$5))/Time!Z$7</f>
        <v/>
      </c>
      <c r="AA95" s="14">
        <f>MAX(0,MIN(Inputs!$F$323,Time!AA$6)-MAX(Inputs!$F$308,Time!AA$5))/Time!AA$7</f>
        <v/>
      </c>
      <c r="AB95" s="14">
        <f>MAX(0,MIN(Inputs!$F$323,Time!AB$6)-MAX(Inputs!$F$308,Time!AB$5))/Time!AB$7</f>
        <v/>
      </c>
      <c r="AC95" s="14">
        <f>MAX(0,MIN(Inputs!$F$323,Time!AC$6)-MAX(Inputs!$F$308,Time!AC$5))/Time!AC$7</f>
        <v/>
      </c>
      <c r="AD95" s="14">
        <f>MAX(0,MIN(Inputs!$F$323,Time!AD$6)-MAX(Inputs!$F$308,Time!AD$5))/Time!AD$7</f>
        <v/>
      </c>
      <c r="AE95" s="14">
        <f>MAX(0,MIN(Inputs!$F$323,Time!AE$6)-MAX(Inputs!$F$308,Time!AE$5))/Time!AE$7</f>
        <v/>
      </c>
      <c r="AF95" s="14">
        <f>MAX(0,MIN(Inputs!$F$323,Time!AF$6)-MAX(Inputs!$F$308,Time!AF$5))/Time!AF$7</f>
        <v/>
      </c>
      <c r="AG95" s="14">
        <f>MAX(0,MIN(Inputs!$F$323,Time!AG$6)-MAX(Inputs!$F$308,Time!AG$5))/Time!AG$7</f>
        <v/>
      </c>
      <c r="AH95" s="14">
        <f>MAX(0,MIN(Inputs!$F$323,Time!AH$6)-MAX(Inputs!$F$308,Time!AH$5))/Time!AH$7</f>
        <v/>
      </c>
      <c r="AI95" s="14">
        <f>MAX(0,MIN(Inputs!$F$323,Time!AI$6)-MAX(Inputs!$F$308,Time!AI$5))/Time!AI$7</f>
        <v/>
      </c>
      <c r="AJ95" s="14">
        <f>MAX(0,MIN(Inputs!$F$323,Time!AJ$6)-MAX(Inputs!$F$308,Time!AJ$5))/Time!AJ$7</f>
        <v/>
      </c>
      <c r="AK95" s="14">
        <f>MAX(0,MIN(Inputs!$F$323,Time!AK$6)-MAX(Inputs!$F$308,Time!AK$5))/Time!AK$7</f>
        <v/>
      </c>
      <c r="AL95" s="14">
        <f>MAX(0,MIN(Inputs!$F$323,Time!AL$6)-MAX(Inputs!$F$308,Time!AL$5))/Time!AL$7</f>
        <v/>
      </c>
      <c r="AM95" s="14">
        <f>MAX(0,MIN(Inputs!$F$323,Time!AM$6)-MAX(Inputs!$F$308,Time!AM$5))/Time!AM$7</f>
        <v/>
      </c>
      <c r="AN95" s="14">
        <f>MAX(0,MIN(Inputs!$F$323,Time!AN$6)-MAX(Inputs!$F$308,Time!AN$5))/Time!AN$7</f>
        <v/>
      </c>
      <c r="AO95" s="14">
        <f>MAX(0,MIN(Inputs!$F$323,Time!AO$6)-MAX(Inputs!$F$308,Time!AO$5))/Time!AO$7</f>
        <v/>
      </c>
      <c r="AP95" s="14">
        <f>MAX(0,MIN(Inputs!$F$323,Time!AP$6)-MAX(Inputs!$F$308,Time!AP$5))/Time!AP$7</f>
        <v/>
      </c>
      <c r="AQ95" s="14">
        <f>MAX(0,MIN(Inputs!$F$323,Time!AQ$6)-MAX(Inputs!$F$308,Time!AQ$5))/Time!AQ$7</f>
        <v/>
      </c>
      <c r="AR95" s="14">
        <f>MAX(0,MIN(Inputs!$F$323,Time!AR$6)-MAX(Inputs!$F$308,Time!AR$5))/Time!AR$7</f>
        <v/>
      </c>
      <c r="AS95" s="14">
        <f>MAX(0,MIN(Inputs!$F$323,Time!AS$6)-MAX(Inputs!$F$308,Time!AS$5))/Time!AS$7</f>
        <v/>
      </c>
      <c r="AT95" s="14">
        <f>MAX(0,MIN(Inputs!$F$323,Time!AT$6)-MAX(Inputs!$F$308,Time!AT$5))/Time!AT$7</f>
        <v/>
      </c>
      <c r="AU95" s="14">
        <f>MAX(0,MIN(Inputs!$F$323,Time!AU$6)-MAX(Inputs!$F$308,Time!AU$5))/Time!AU$7</f>
        <v/>
      </c>
    </row>
    <row r="96">
      <c r="D96" t="inlineStr">
        <is>
          <t>Rate (SOFR floored + margin)</t>
        </is>
      </c>
      <c r="E96" t="inlineStr">
        <is>
          <t>%</t>
        </is>
      </c>
      <c r="J96" s="15">
        <f>MAX(Inputs!J80,Inputs!$F$285)+Inputs!$F$322</f>
        <v/>
      </c>
      <c r="K96" s="15">
        <f>MAX(Inputs!K80,Inputs!$F$285)+Inputs!$F$322</f>
        <v/>
      </c>
      <c r="L96" s="15">
        <f>MAX(Inputs!L80,Inputs!$F$285)+Inputs!$F$322</f>
        <v/>
      </c>
      <c r="M96" s="15">
        <f>MAX(Inputs!M80,Inputs!$F$285)+Inputs!$F$322</f>
        <v/>
      </c>
      <c r="N96" s="15">
        <f>MAX(Inputs!N80,Inputs!$F$285)+Inputs!$F$322</f>
        <v/>
      </c>
      <c r="O96" s="15">
        <f>MAX(Inputs!O80,Inputs!$F$285)+Inputs!$F$322</f>
        <v/>
      </c>
      <c r="P96" s="15">
        <f>MAX(Inputs!P80,Inputs!$F$285)+Inputs!$F$322</f>
        <v/>
      </c>
      <c r="Q96" s="15">
        <f>MAX(Inputs!Q80,Inputs!$F$285)+Inputs!$F$322</f>
        <v/>
      </c>
      <c r="R96" s="15">
        <f>MAX(Inputs!R80,Inputs!$F$285)+Inputs!$F$322</f>
        <v/>
      </c>
      <c r="S96" s="15">
        <f>MAX(Inputs!S80,Inputs!$F$285)+Inputs!$F$322</f>
        <v/>
      </c>
      <c r="T96" s="15">
        <f>MAX(Inputs!T80,Inputs!$F$285)+Inputs!$F$322</f>
        <v/>
      </c>
      <c r="U96" s="15">
        <f>MAX(Inputs!U80,Inputs!$F$285)+Inputs!$F$322</f>
        <v/>
      </c>
      <c r="V96" s="15">
        <f>MAX(Inputs!V80,Inputs!$F$285)+Inputs!$F$322</f>
        <v/>
      </c>
      <c r="W96" s="15">
        <f>MAX(Inputs!W80,Inputs!$F$285)+Inputs!$F$322</f>
        <v/>
      </c>
      <c r="X96" s="15">
        <f>MAX(Inputs!X80,Inputs!$F$285)+Inputs!$F$322</f>
        <v/>
      </c>
      <c r="Y96" s="15">
        <f>MAX(Inputs!Y80,Inputs!$F$285)+Inputs!$F$322</f>
        <v/>
      </c>
      <c r="Z96" s="15">
        <f>MAX(Inputs!Z80,Inputs!$F$285)+Inputs!$F$322</f>
        <v/>
      </c>
      <c r="AA96" s="15">
        <f>MAX(Inputs!AA80,Inputs!$F$285)+Inputs!$F$322</f>
        <v/>
      </c>
      <c r="AB96" s="15">
        <f>MAX(Inputs!AB80,Inputs!$F$285)+Inputs!$F$322</f>
        <v/>
      </c>
      <c r="AC96" s="15">
        <f>MAX(Inputs!AC80,Inputs!$F$285)+Inputs!$F$322</f>
        <v/>
      </c>
      <c r="AD96" s="15">
        <f>MAX(Inputs!AD80,Inputs!$F$285)+Inputs!$F$322</f>
        <v/>
      </c>
      <c r="AE96" s="15">
        <f>MAX(Inputs!AE80,Inputs!$F$285)+Inputs!$F$322</f>
        <v/>
      </c>
      <c r="AF96" s="15">
        <f>MAX(Inputs!AF80,Inputs!$F$285)+Inputs!$F$322</f>
        <v/>
      </c>
      <c r="AG96" s="15">
        <f>MAX(Inputs!AG80,Inputs!$F$285)+Inputs!$F$322</f>
        <v/>
      </c>
      <c r="AH96" s="15">
        <f>MAX(Inputs!AH80,Inputs!$F$285)+Inputs!$F$322</f>
        <v/>
      </c>
      <c r="AI96" s="15">
        <f>MAX(Inputs!AI80,Inputs!$F$285)+Inputs!$F$322</f>
        <v/>
      </c>
      <c r="AJ96" s="15">
        <f>MAX(Inputs!AJ80,Inputs!$F$285)+Inputs!$F$322</f>
        <v/>
      </c>
      <c r="AK96" s="15">
        <f>MAX(Inputs!AK80,Inputs!$F$285)+Inputs!$F$322</f>
        <v/>
      </c>
      <c r="AL96" s="15">
        <f>MAX(Inputs!AL80,Inputs!$F$285)+Inputs!$F$322</f>
        <v/>
      </c>
      <c r="AM96" s="15">
        <f>MAX(Inputs!AM80,Inputs!$F$285)+Inputs!$F$322</f>
        <v/>
      </c>
      <c r="AN96" s="15">
        <f>MAX(Inputs!AN80,Inputs!$F$285)+Inputs!$F$322</f>
        <v/>
      </c>
      <c r="AO96" s="15">
        <f>MAX(Inputs!AO80,Inputs!$F$285)+Inputs!$F$322</f>
        <v/>
      </c>
      <c r="AP96" s="15">
        <f>MAX(Inputs!AP80,Inputs!$F$285)+Inputs!$F$322</f>
        <v/>
      </c>
      <c r="AQ96" s="15">
        <f>MAX(Inputs!AQ80,Inputs!$F$285)+Inputs!$F$322</f>
        <v/>
      </c>
      <c r="AR96" s="15">
        <f>MAX(Inputs!AR80,Inputs!$F$285)+Inputs!$F$322</f>
        <v/>
      </c>
      <c r="AS96" s="15">
        <f>MAX(Inputs!AS80,Inputs!$F$285)+Inputs!$F$322</f>
        <v/>
      </c>
      <c r="AT96" s="15">
        <f>MAX(Inputs!AT80,Inputs!$F$285)+Inputs!$F$322</f>
        <v/>
      </c>
      <c r="AU96" s="15">
        <f>MAX(Inputs!AU80,Inputs!$F$285)+Inputs!$F$322</f>
        <v/>
      </c>
    </row>
    <row r="97">
      <c r="D97" t="inlineStr">
        <is>
          <t>Scheduled amortization per unit of face</t>
        </is>
      </c>
      <c r="E97" t="inlineStr">
        <is>
          <t>factor</t>
        </is>
      </c>
      <c r="J97" s="14">
        <f>Inputs!$F$325/100*Funding!J95</f>
        <v/>
      </c>
      <c r="K97" s="14">
        <f>Inputs!$F$325/100*Funding!K95</f>
        <v/>
      </c>
      <c r="L97" s="14">
        <f>Inputs!$F$325/100*Funding!L95</f>
        <v/>
      </c>
      <c r="M97" s="14">
        <f>Inputs!$F$325/100*Funding!M95</f>
        <v/>
      </c>
      <c r="N97" s="14">
        <f>Inputs!$F$325/100*Funding!N95</f>
        <v/>
      </c>
      <c r="O97" s="14">
        <f>Inputs!$F$325/100*Funding!O95</f>
        <v/>
      </c>
      <c r="P97" s="14">
        <f>Inputs!$F$325/100*Funding!P95</f>
        <v/>
      </c>
      <c r="Q97" s="14">
        <f>Inputs!$F$325/100*Funding!Q95</f>
        <v/>
      </c>
      <c r="R97" s="14">
        <f>Inputs!$F$325/100*Funding!R95</f>
        <v/>
      </c>
      <c r="S97" s="14">
        <f>Inputs!$F$325/100*Funding!S95</f>
        <v/>
      </c>
      <c r="T97" s="14">
        <f>Inputs!$F$325/100*Funding!T95</f>
        <v/>
      </c>
      <c r="U97" s="14">
        <f>Inputs!$F$325/100*Funding!U95</f>
        <v/>
      </c>
      <c r="V97" s="14">
        <f>Inputs!$F$325/100*Funding!V95</f>
        <v/>
      </c>
      <c r="W97" s="14">
        <f>Inputs!$F$325/100*Funding!W95</f>
        <v/>
      </c>
      <c r="X97" s="14">
        <f>Inputs!$F$325/100*Funding!X95</f>
        <v/>
      </c>
      <c r="Y97" s="14">
        <f>Inputs!$F$325/100*Funding!Y95</f>
        <v/>
      </c>
      <c r="Z97" s="14">
        <f>Inputs!$F$325/100*Funding!Z95</f>
        <v/>
      </c>
      <c r="AA97" s="14">
        <f>Inputs!$F$325/100*Funding!AA95</f>
        <v/>
      </c>
      <c r="AB97" s="14">
        <f>Inputs!$F$325/100*Funding!AB95</f>
        <v/>
      </c>
      <c r="AC97" s="14">
        <f>Inputs!$F$325/100*Funding!AC95</f>
        <v/>
      </c>
      <c r="AD97" s="14">
        <f>Inputs!$F$325/100*Funding!AD95</f>
        <v/>
      </c>
      <c r="AE97" s="14">
        <f>Inputs!$F$325/100*Funding!AE95</f>
        <v/>
      </c>
      <c r="AF97" s="14">
        <f>Inputs!$F$325/100*Funding!AF95</f>
        <v/>
      </c>
      <c r="AG97" s="14">
        <f>Inputs!$F$325/100*Funding!AG95</f>
        <v/>
      </c>
      <c r="AH97" s="14">
        <f>Inputs!$F$325/100*Funding!AH95</f>
        <v/>
      </c>
      <c r="AI97" s="14">
        <f>Inputs!$F$325/100*Funding!AI95</f>
        <v/>
      </c>
      <c r="AJ97" s="14">
        <f>Inputs!$F$325/100*Funding!AJ95</f>
        <v/>
      </c>
      <c r="AK97" s="14">
        <f>Inputs!$F$325/100*Funding!AK95</f>
        <v/>
      </c>
      <c r="AL97" s="14">
        <f>Inputs!$F$325/100*Funding!AL95</f>
        <v/>
      </c>
      <c r="AM97" s="14">
        <f>Inputs!$F$325/100*Funding!AM95</f>
        <v/>
      </c>
      <c r="AN97" s="14">
        <f>Inputs!$F$325/100*Funding!AN95</f>
        <v/>
      </c>
      <c r="AO97" s="14">
        <f>Inputs!$F$325/100*Funding!AO95</f>
        <v/>
      </c>
      <c r="AP97" s="14">
        <f>Inputs!$F$325/100*Funding!AP95</f>
        <v/>
      </c>
      <c r="AQ97" s="14">
        <f>Inputs!$F$325/100*Funding!AQ95</f>
        <v/>
      </c>
      <c r="AR97" s="14">
        <f>Inputs!$F$325/100*Funding!AR95</f>
        <v/>
      </c>
      <c r="AS97" s="14">
        <f>Inputs!$F$325/100*Funding!AS95</f>
        <v/>
      </c>
      <c r="AT97" s="14">
        <f>Inputs!$F$325/100*Funding!AT95</f>
        <v/>
      </c>
      <c r="AU97" s="14">
        <f>Inputs!$F$325/100*Funding!AU95</f>
        <v/>
      </c>
    </row>
    <row r="98">
      <c r="D98" t="inlineStr">
        <is>
          <t>Scheduled balance per unit of face</t>
        </is>
      </c>
      <c r="E98" t="inlineStr">
        <is>
          <t>factor</t>
        </is>
      </c>
      <c r="J98" s="14">
        <f>IF(Time!J$4=Inputs!$F$23,1,I98-I97)</f>
        <v/>
      </c>
      <c r="K98" s="14">
        <f>IF(Time!K$4=Inputs!$F$23,1,J98-J97)</f>
        <v/>
      </c>
      <c r="L98" s="14">
        <f>IF(Time!L$4=Inputs!$F$23,1,K98-K97)</f>
        <v/>
      </c>
      <c r="M98" s="14">
        <f>IF(Time!M$4=Inputs!$F$23,1,L98-L97)</f>
        <v/>
      </c>
      <c r="N98" s="14">
        <f>IF(Time!N$4=Inputs!$F$23,1,M98-M97)</f>
        <v/>
      </c>
      <c r="O98" s="14">
        <f>IF(Time!O$4=Inputs!$F$23,1,N98-N97)</f>
        <v/>
      </c>
      <c r="P98" s="14">
        <f>IF(Time!P$4=Inputs!$F$23,1,O98-O97)</f>
        <v/>
      </c>
      <c r="Q98" s="14">
        <f>IF(Time!Q$4=Inputs!$F$23,1,P98-P97)</f>
        <v/>
      </c>
      <c r="R98" s="14">
        <f>IF(Time!R$4=Inputs!$F$23,1,Q98-Q97)</f>
        <v/>
      </c>
      <c r="S98" s="14">
        <f>IF(Time!S$4=Inputs!$F$23,1,R98-R97)</f>
        <v/>
      </c>
      <c r="T98" s="14">
        <f>IF(Time!T$4=Inputs!$F$23,1,S98-S97)</f>
        <v/>
      </c>
      <c r="U98" s="14">
        <f>IF(Time!U$4=Inputs!$F$23,1,T98-T97)</f>
        <v/>
      </c>
      <c r="V98" s="14">
        <f>IF(Time!V$4=Inputs!$F$23,1,U98-U97)</f>
        <v/>
      </c>
      <c r="W98" s="14">
        <f>IF(Time!W$4=Inputs!$F$23,1,V98-V97)</f>
        <v/>
      </c>
      <c r="X98" s="14">
        <f>IF(Time!X$4=Inputs!$F$23,1,W98-W97)</f>
        <v/>
      </c>
      <c r="Y98" s="14">
        <f>IF(Time!Y$4=Inputs!$F$23,1,X98-X97)</f>
        <v/>
      </c>
      <c r="Z98" s="14">
        <f>IF(Time!Z$4=Inputs!$F$23,1,Y98-Y97)</f>
        <v/>
      </c>
      <c r="AA98" s="14">
        <f>IF(Time!AA$4=Inputs!$F$23,1,Z98-Z97)</f>
        <v/>
      </c>
      <c r="AB98" s="14">
        <f>IF(Time!AB$4=Inputs!$F$23,1,AA98-AA97)</f>
        <v/>
      </c>
      <c r="AC98" s="14">
        <f>IF(Time!AC$4=Inputs!$F$23,1,AB98-AB97)</f>
        <v/>
      </c>
      <c r="AD98" s="14">
        <f>IF(Time!AD$4=Inputs!$F$23,1,AC98-AC97)</f>
        <v/>
      </c>
      <c r="AE98" s="14">
        <f>IF(Time!AE$4=Inputs!$F$23,1,AD98-AD97)</f>
        <v/>
      </c>
      <c r="AF98" s="14">
        <f>IF(Time!AF$4=Inputs!$F$23,1,AE98-AE97)</f>
        <v/>
      </c>
      <c r="AG98" s="14">
        <f>IF(Time!AG$4=Inputs!$F$23,1,AF98-AF97)</f>
        <v/>
      </c>
      <c r="AH98" s="14">
        <f>IF(Time!AH$4=Inputs!$F$23,1,AG98-AG97)</f>
        <v/>
      </c>
      <c r="AI98" s="14">
        <f>IF(Time!AI$4=Inputs!$F$23,1,AH98-AH97)</f>
        <v/>
      </c>
      <c r="AJ98" s="14">
        <f>IF(Time!AJ$4=Inputs!$F$23,1,AI98-AI97)</f>
        <v/>
      </c>
      <c r="AK98" s="14">
        <f>IF(Time!AK$4=Inputs!$F$23,1,AJ98-AJ97)</f>
        <v/>
      </c>
      <c r="AL98" s="14">
        <f>IF(Time!AL$4=Inputs!$F$23,1,AK98-AK97)</f>
        <v/>
      </c>
      <c r="AM98" s="14">
        <f>IF(Time!AM$4=Inputs!$F$23,1,AL98-AL97)</f>
        <v/>
      </c>
      <c r="AN98" s="14">
        <f>IF(Time!AN$4=Inputs!$F$23,1,AM98-AM97)</f>
        <v/>
      </c>
      <c r="AO98" s="14">
        <f>IF(Time!AO$4=Inputs!$F$23,1,AN98-AN97)</f>
        <v/>
      </c>
      <c r="AP98" s="14">
        <f>IF(Time!AP$4=Inputs!$F$23,1,AO98-AO97)</f>
        <v/>
      </c>
      <c r="AQ98" s="14">
        <f>IF(Time!AQ$4=Inputs!$F$23,1,AP98-AP97)</f>
        <v/>
      </c>
      <c r="AR98" s="14">
        <f>IF(Time!AR$4=Inputs!$F$23,1,AQ98-AQ97)</f>
        <v/>
      </c>
      <c r="AS98" s="14">
        <f>IF(Time!AS$4=Inputs!$F$23,1,AR98-AR97)</f>
        <v/>
      </c>
      <c r="AT98" s="14">
        <f>IF(Time!AT$4=Inputs!$F$23,1,AS98-AS97)</f>
        <v/>
      </c>
      <c r="AU98" s="14">
        <f>IF(Time!AU$4=Inputs!$F$23,1,AT98-AT97)</f>
        <v/>
      </c>
    </row>
    <row r="99">
      <c r="D99" t="inlineStr">
        <is>
          <t>Debt service per unit of face</t>
        </is>
      </c>
      <c r="E99" t="inlineStr">
        <is>
          <t>factor</t>
        </is>
      </c>
      <c r="J99" s="14">
        <f>Funding!J98*Funding!J96/100*Funding!J95+Funding!J97</f>
        <v/>
      </c>
      <c r="K99" s="14">
        <f>Funding!K98*Funding!K96/100*Funding!K95+Funding!K97</f>
        <v/>
      </c>
      <c r="L99" s="14">
        <f>Funding!L98*Funding!L96/100*Funding!L95+Funding!L97</f>
        <v/>
      </c>
      <c r="M99" s="14">
        <f>Funding!M98*Funding!M96/100*Funding!M95+Funding!M97</f>
        <v/>
      </c>
      <c r="N99" s="14">
        <f>Funding!N98*Funding!N96/100*Funding!N95+Funding!N97</f>
        <v/>
      </c>
      <c r="O99" s="14">
        <f>Funding!O98*Funding!O96/100*Funding!O95+Funding!O97</f>
        <v/>
      </c>
      <c r="P99" s="14">
        <f>Funding!P98*Funding!P96/100*Funding!P95+Funding!P97</f>
        <v/>
      </c>
      <c r="Q99" s="14">
        <f>Funding!Q98*Funding!Q96/100*Funding!Q95+Funding!Q97</f>
        <v/>
      </c>
      <c r="R99" s="14">
        <f>Funding!R98*Funding!R96/100*Funding!R95+Funding!R97</f>
        <v/>
      </c>
      <c r="S99" s="14">
        <f>Funding!S98*Funding!S96/100*Funding!S95+Funding!S97</f>
        <v/>
      </c>
      <c r="T99" s="14">
        <f>Funding!T98*Funding!T96/100*Funding!T95+Funding!T97</f>
        <v/>
      </c>
      <c r="U99" s="14">
        <f>Funding!U98*Funding!U96/100*Funding!U95+Funding!U97</f>
        <v/>
      </c>
      <c r="V99" s="14">
        <f>Funding!V98*Funding!V96/100*Funding!V95+Funding!V97</f>
        <v/>
      </c>
      <c r="W99" s="14">
        <f>Funding!W98*Funding!W96/100*Funding!W95+Funding!W97</f>
        <v/>
      </c>
      <c r="X99" s="14">
        <f>Funding!X98*Funding!X96/100*Funding!X95+Funding!X97</f>
        <v/>
      </c>
      <c r="Y99" s="14">
        <f>Funding!Y98*Funding!Y96/100*Funding!Y95+Funding!Y97</f>
        <v/>
      </c>
      <c r="Z99" s="14">
        <f>Funding!Z98*Funding!Z96/100*Funding!Z95+Funding!Z97</f>
        <v/>
      </c>
      <c r="AA99" s="14">
        <f>Funding!AA98*Funding!AA96/100*Funding!AA95+Funding!AA97</f>
        <v/>
      </c>
      <c r="AB99" s="14">
        <f>Funding!AB98*Funding!AB96/100*Funding!AB95+Funding!AB97</f>
        <v/>
      </c>
      <c r="AC99" s="14">
        <f>Funding!AC98*Funding!AC96/100*Funding!AC95+Funding!AC97</f>
        <v/>
      </c>
      <c r="AD99" s="14">
        <f>Funding!AD98*Funding!AD96/100*Funding!AD95+Funding!AD97</f>
        <v/>
      </c>
      <c r="AE99" s="14">
        <f>Funding!AE98*Funding!AE96/100*Funding!AE95+Funding!AE97</f>
        <v/>
      </c>
      <c r="AF99" s="14">
        <f>Funding!AF98*Funding!AF96/100*Funding!AF95+Funding!AF97</f>
        <v/>
      </c>
      <c r="AG99" s="14">
        <f>Funding!AG98*Funding!AG96/100*Funding!AG95+Funding!AG97</f>
        <v/>
      </c>
      <c r="AH99" s="14">
        <f>Funding!AH98*Funding!AH96/100*Funding!AH95+Funding!AH97</f>
        <v/>
      </c>
      <c r="AI99" s="14">
        <f>Funding!AI98*Funding!AI96/100*Funding!AI95+Funding!AI97</f>
        <v/>
      </c>
      <c r="AJ99" s="14">
        <f>Funding!AJ98*Funding!AJ96/100*Funding!AJ95+Funding!AJ97</f>
        <v/>
      </c>
      <c r="AK99" s="14">
        <f>Funding!AK98*Funding!AK96/100*Funding!AK95+Funding!AK97</f>
        <v/>
      </c>
      <c r="AL99" s="14">
        <f>Funding!AL98*Funding!AL96/100*Funding!AL95+Funding!AL97</f>
        <v/>
      </c>
      <c r="AM99" s="14">
        <f>Funding!AM98*Funding!AM96/100*Funding!AM95+Funding!AM97</f>
        <v/>
      </c>
      <c r="AN99" s="14">
        <f>Funding!AN98*Funding!AN96/100*Funding!AN95+Funding!AN97</f>
        <v/>
      </c>
      <c r="AO99" s="14">
        <f>Funding!AO98*Funding!AO96/100*Funding!AO95+Funding!AO97</f>
        <v/>
      </c>
      <c r="AP99" s="14">
        <f>Funding!AP98*Funding!AP96/100*Funding!AP95+Funding!AP97</f>
        <v/>
      </c>
      <c r="AQ99" s="14">
        <f>Funding!AQ98*Funding!AQ96/100*Funding!AQ95+Funding!AQ97</f>
        <v/>
      </c>
      <c r="AR99" s="14">
        <f>Funding!AR98*Funding!AR96/100*Funding!AR95+Funding!AR97</f>
        <v/>
      </c>
      <c r="AS99" s="14">
        <f>Funding!AS98*Funding!AS96/100*Funding!AS95+Funding!AS97</f>
        <v/>
      </c>
      <c r="AT99" s="14">
        <f>Funding!AT98*Funding!AT96/100*Funding!AT95+Funding!AT97</f>
        <v/>
      </c>
      <c r="AU99" s="14">
        <f>Funding!AU98*Funding!AU96/100*Funding!AU95+Funding!AU97</f>
        <v/>
      </c>
    </row>
    <row r="100">
      <c r="D100" t="inlineStr">
        <is>
          <t>Coverage test year flag</t>
        </is>
      </c>
      <c r="E100" t="inlineStr">
        <is>
          <t>flag</t>
        </is>
      </c>
      <c r="J100" s="12">
        <f>(Time!J$4&gt;=Inputs!$F$326)*(Time!J$4&lt;=Inputs!$F$327)</f>
        <v/>
      </c>
      <c r="K100" s="12">
        <f>(Time!K$4&gt;=Inputs!$F$326)*(Time!K$4&lt;=Inputs!$F$327)</f>
        <v/>
      </c>
      <c r="L100" s="12">
        <f>(Time!L$4&gt;=Inputs!$F$326)*(Time!L$4&lt;=Inputs!$F$327)</f>
        <v/>
      </c>
      <c r="M100" s="12">
        <f>(Time!M$4&gt;=Inputs!$F$326)*(Time!M$4&lt;=Inputs!$F$327)</f>
        <v/>
      </c>
      <c r="N100" s="12">
        <f>(Time!N$4&gt;=Inputs!$F$326)*(Time!N$4&lt;=Inputs!$F$327)</f>
        <v/>
      </c>
      <c r="O100" s="12">
        <f>(Time!O$4&gt;=Inputs!$F$326)*(Time!O$4&lt;=Inputs!$F$327)</f>
        <v/>
      </c>
      <c r="P100" s="12">
        <f>(Time!P$4&gt;=Inputs!$F$326)*(Time!P$4&lt;=Inputs!$F$327)</f>
        <v/>
      </c>
      <c r="Q100" s="12">
        <f>(Time!Q$4&gt;=Inputs!$F$326)*(Time!Q$4&lt;=Inputs!$F$327)</f>
        <v/>
      </c>
      <c r="R100" s="12">
        <f>(Time!R$4&gt;=Inputs!$F$326)*(Time!R$4&lt;=Inputs!$F$327)</f>
        <v/>
      </c>
      <c r="S100" s="12">
        <f>(Time!S$4&gt;=Inputs!$F$326)*(Time!S$4&lt;=Inputs!$F$327)</f>
        <v/>
      </c>
      <c r="T100" s="12">
        <f>(Time!T$4&gt;=Inputs!$F$326)*(Time!T$4&lt;=Inputs!$F$327)</f>
        <v/>
      </c>
      <c r="U100" s="12">
        <f>(Time!U$4&gt;=Inputs!$F$326)*(Time!U$4&lt;=Inputs!$F$327)</f>
        <v/>
      </c>
      <c r="V100" s="12">
        <f>(Time!V$4&gt;=Inputs!$F$326)*(Time!V$4&lt;=Inputs!$F$327)</f>
        <v/>
      </c>
      <c r="W100" s="12">
        <f>(Time!W$4&gt;=Inputs!$F$326)*(Time!W$4&lt;=Inputs!$F$327)</f>
        <v/>
      </c>
      <c r="X100" s="12">
        <f>(Time!X$4&gt;=Inputs!$F$326)*(Time!X$4&lt;=Inputs!$F$327)</f>
        <v/>
      </c>
      <c r="Y100" s="12">
        <f>(Time!Y$4&gt;=Inputs!$F$326)*(Time!Y$4&lt;=Inputs!$F$327)</f>
        <v/>
      </c>
      <c r="Z100" s="12">
        <f>(Time!Z$4&gt;=Inputs!$F$326)*(Time!Z$4&lt;=Inputs!$F$327)</f>
        <v/>
      </c>
      <c r="AA100" s="12">
        <f>(Time!AA$4&gt;=Inputs!$F$326)*(Time!AA$4&lt;=Inputs!$F$327)</f>
        <v/>
      </c>
      <c r="AB100" s="12">
        <f>(Time!AB$4&gt;=Inputs!$F$326)*(Time!AB$4&lt;=Inputs!$F$327)</f>
        <v/>
      </c>
      <c r="AC100" s="12">
        <f>(Time!AC$4&gt;=Inputs!$F$326)*(Time!AC$4&lt;=Inputs!$F$327)</f>
        <v/>
      </c>
      <c r="AD100" s="12">
        <f>(Time!AD$4&gt;=Inputs!$F$326)*(Time!AD$4&lt;=Inputs!$F$327)</f>
        <v/>
      </c>
      <c r="AE100" s="12">
        <f>(Time!AE$4&gt;=Inputs!$F$326)*(Time!AE$4&lt;=Inputs!$F$327)</f>
        <v/>
      </c>
      <c r="AF100" s="12">
        <f>(Time!AF$4&gt;=Inputs!$F$326)*(Time!AF$4&lt;=Inputs!$F$327)</f>
        <v/>
      </c>
      <c r="AG100" s="12">
        <f>(Time!AG$4&gt;=Inputs!$F$326)*(Time!AG$4&lt;=Inputs!$F$327)</f>
        <v/>
      </c>
      <c r="AH100" s="12">
        <f>(Time!AH$4&gt;=Inputs!$F$326)*(Time!AH$4&lt;=Inputs!$F$327)</f>
        <v/>
      </c>
      <c r="AI100" s="12">
        <f>(Time!AI$4&gt;=Inputs!$F$326)*(Time!AI$4&lt;=Inputs!$F$327)</f>
        <v/>
      </c>
      <c r="AJ100" s="12">
        <f>(Time!AJ$4&gt;=Inputs!$F$326)*(Time!AJ$4&lt;=Inputs!$F$327)</f>
        <v/>
      </c>
      <c r="AK100" s="12">
        <f>(Time!AK$4&gt;=Inputs!$F$326)*(Time!AK$4&lt;=Inputs!$F$327)</f>
        <v/>
      </c>
      <c r="AL100" s="12">
        <f>(Time!AL$4&gt;=Inputs!$F$326)*(Time!AL$4&lt;=Inputs!$F$327)</f>
        <v/>
      </c>
      <c r="AM100" s="12">
        <f>(Time!AM$4&gt;=Inputs!$F$326)*(Time!AM$4&lt;=Inputs!$F$327)</f>
        <v/>
      </c>
      <c r="AN100" s="12">
        <f>(Time!AN$4&gt;=Inputs!$F$326)*(Time!AN$4&lt;=Inputs!$F$327)</f>
        <v/>
      </c>
      <c r="AO100" s="12">
        <f>(Time!AO$4&gt;=Inputs!$F$326)*(Time!AO$4&lt;=Inputs!$F$327)</f>
        <v/>
      </c>
      <c r="AP100" s="12">
        <f>(Time!AP$4&gt;=Inputs!$F$326)*(Time!AP$4&lt;=Inputs!$F$327)</f>
        <v/>
      </c>
      <c r="AQ100" s="12">
        <f>(Time!AQ$4&gt;=Inputs!$F$326)*(Time!AQ$4&lt;=Inputs!$F$327)</f>
        <v/>
      </c>
      <c r="AR100" s="12">
        <f>(Time!AR$4&gt;=Inputs!$F$326)*(Time!AR$4&lt;=Inputs!$F$327)</f>
        <v/>
      </c>
      <c r="AS100" s="12">
        <f>(Time!AS$4&gt;=Inputs!$F$326)*(Time!AS$4&lt;=Inputs!$F$327)</f>
        <v/>
      </c>
      <c r="AT100" s="12">
        <f>(Time!AT$4&gt;=Inputs!$F$326)*(Time!AT$4&lt;=Inputs!$F$327)</f>
        <v/>
      </c>
      <c r="AU100" s="12">
        <f>(Time!AU$4&gt;=Inputs!$F$326)*(Time!AU$4&lt;=Inputs!$F$327)</f>
        <v/>
      </c>
    </row>
    <row r="101">
      <c r="D101" t="inlineStr">
        <is>
          <t>Base distributions after USPP debt service</t>
        </is>
      </c>
      <c r="E101" t="inlineStr">
        <is>
          <t>USD m</t>
        </is>
      </c>
      <c r="J101" s="20">
        <f>Operations!J772-Funding!J73</f>
        <v/>
      </c>
      <c r="K101" s="20">
        <f>Operations!K772-Funding!K73</f>
        <v/>
      </c>
      <c r="L101" s="20">
        <f>Operations!L772-Funding!L73</f>
        <v/>
      </c>
      <c r="M101" s="20">
        <f>Operations!M772-Funding!M73</f>
        <v/>
      </c>
      <c r="N101" s="20">
        <f>Operations!N772-Funding!N73</f>
        <v/>
      </c>
      <c r="O101" s="20">
        <f>Operations!O772-Funding!O73</f>
        <v/>
      </c>
      <c r="P101" s="20">
        <f>Operations!P772-Funding!P73</f>
        <v/>
      </c>
      <c r="Q101" s="20">
        <f>Operations!Q772-Funding!Q73</f>
        <v/>
      </c>
      <c r="R101" s="20">
        <f>Operations!R772-Funding!R73</f>
        <v/>
      </c>
      <c r="S101" s="20">
        <f>Operations!S772-Funding!S73</f>
        <v/>
      </c>
      <c r="T101" s="20">
        <f>Operations!T772-Funding!T73</f>
        <v/>
      </c>
      <c r="U101" s="20">
        <f>Operations!U772-Funding!U73</f>
        <v/>
      </c>
      <c r="V101" s="20">
        <f>Operations!V772-Funding!V73</f>
        <v/>
      </c>
      <c r="W101" s="20">
        <f>Operations!W772-Funding!W73</f>
        <v/>
      </c>
      <c r="X101" s="20">
        <f>Operations!X772-Funding!X73</f>
        <v/>
      </c>
      <c r="Y101" s="20">
        <f>Operations!Y772-Funding!Y73</f>
        <v/>
      </c>
      <c r="Z101" s="20">
        <f>Operations!Z772-Funding!Z73</f>
        <v/>
      </c>
      <c r="AA101" s="20">
        <f>Operations!AA772-Funding!AA73</f>
        <v/>
      </c>
      <c r="AB101" s="20">
        <f>Operations!AB772-Funding!AB73</f>
        <v/>
      </c>
      <c r="AC101" s="20">
        <f>Operations!AC772-Funding!AC73</f>
        <v/>
      </c>
      <c r="AD101" s="20">
        <f>Operations!AD772-Funding!AD73</f>
        <v/>
      </c>
      <c r="AE101" s="20">
        <f>Operations!AE772-Funding!AE73</f>
        <v/>
      </c>
      <c r="AF101" s="20">
        <f>Operations!AF772-Funding!AF73</f>
        <v/>
      </c>
      <c r="AG101" s="20">
        <f>Operations!AG772-Funding!AG73</f>
        <v/>
      </c>
      <c r="AH101" s="20">
        <f>Operations!AH772-Funding!AH73</f>
        <v/>
      </c>
      <c r="AI101" s="20">
        <f>Operations!AI772-Funding!AI73</f>
        <v/>
      </c>
      <c r="AJ101" s="20">
        <f>Operations!AJ772-Funding!AJ73</f>
        <v/>
      </c>
      <c r="AK101" s="20">
        <f>Operations!AK772-Funding!AK73</f>
        <v/>
      </c>
      <c r="AL101" s="20">
        <f>Operations!AL772-Funding!AL73</f>
        <v/>
      </c>
      <c r="AM101" s="20">
        <f>Operations!AM772-Funding!AM73</f>
        <v/>
      </c>
      <c r="AN101" s="20">
        <f>Operations!AN772-Funding!AN73</f>
        <v/>
      </c>
      <c r="AO101" s="20">
        <f>Operations!AO772-Funding!AO73</f>
        <v/>
      </c>
      <c r="AP101" s="20">
        <f>Operations!AP772-Funding!AP73</f>
        <v/>
      </c>
      <c r="AQ101" s="20">
        <f>Operations!AQ772-Funding!AQ73</f>
        <v/>
      </c>
      <c r="AR101" s="20">
        <f>Operations!AR772-Funding!AR73</f>
        <v/>
      </c>
      <c r="AS101" s="20">
        <f>Operations!AS772-Funding!AS73</f>
        <v/>
      </c>
      <c r="AT101" s="20">
        <f>Operations!AT772-Funding!AT73</f>
        <v/>
      </c>
      <c r="AU101" s="20">
        <f>Operations!AU772-Funding!AU73</f>
        <v/>
      </c>
    </row>
    <row r="102">
      <c r="D102" t="inlineStr">
        <is>
          <t>Face supported at 1.75x</t>
        </is>
      </c>
      <c r="E102" t="inlineStr">
        <is>
          <t>USD m</t>
        </is>
      </c>
      <c r="J102" s="20">
        <f>IF(Funding!J100&gt;0,Funding!J101/(Inputs!$F$289*IF(Funding!J99&gt;0,Funding!J99,1)),Inputs!$F$28)</f>
        <v/>
      </c>
      <c r="K102" s="20">
        <f>IF(Funding!K100&gt;0,Funding!K101/(Inputs!$F$289*IF(Funding!K99&gt;0,Funding!K99,1)),Inputs!$F$28)</f>
        <v/>
      </c>
      <c r="L102" s="20">
        <f>IF(Funding!L100&gt;0,Funding!L101/(Inputs!$F$289*IF(Funding!L99&gt;0,Funding!L99,1)),Inputs!$F$28)</f>
        <v/>
      </c>
      <c r="M102" s="20">
        <f>IF(Funding!M100&gt;0,Funding!M101/(Inputs!$F$289*IF(Funding!M99&gt;0,Funding!M99,1)),Inputs!$F$28)</f>
        <v/>
      </c>
      <c r="N102" s="20">
        <f>IF(Funding!N100&gt;0,Funding!N101/(Inputs!$F$289*IF(Funding!N99&gt;0,Funding!N99,1)),Inputs!$F$28)</f>
        <v/>
      </c>
      <c r="O102" s="20">
        <f>IF(Funding!O100&gt;0,Funding!O101/(Inputs!$F$289*IF(Funding!O99&gt;0,Funding!O99,1)),Inputs!$F$28)</f>
        <v/>
      </c>
      <c r="P102" s="20">
        <f>IF(Funding!P100&gt;0,Funding!P101/(Inputs!$F$289*IF(Funding!P99&gt;0,Funding!P99,1)),Inputs!$F$28)</f>
        <v/>
      </c>
      <c r="Q102" s="20">
        <f>IF(Funding!Q100&gt;0,Funding!Q101/(Inputs!$F$289*IF(Funding!Q99&gt;0,Funding!Q99,1)),Inputs!$F$28)</f>
        <v/>
      </c>
      <c r="R102" s="20">
        <f>IF(Funding!R100&gt;0,Funding!R101/(Inputs!$F$289*IF(Funding!R99&gt;0,Funding!R99,1)),Inputs!$F$28)</f>
        <v/>
      </c>
      <c r="S102" s="20">
        <f>IF(Funding!S100&gt;0,Funding!S101/(Inputs!$F$289*IF(Funding!S99&gt;0,Funding!S99,1)),Inputs!$F$28)</f>
        <v/>
      </c>
      <c r="T102" s="20">
        <f>IF(Funding!T100&gt;0,Funding!T101/(Inputs!$F$289*IF(Funding!T99&gt;0,Funding!T99,1)),Inputs!$F$28)</f>
        <v/>
      </c>
      <c r="U102" s="20">
        <f>IF(Funding!U100&gt;0,Funding!U101/(Inputs!$F$289*IF(Funding!U99&gt;0,Funding!U99,1)),Inputs!$F$28)</f>
        <v/>
      </c>
      <c r="V102" s="20">
        <f>IF(Funding!V100&gt;0,Funding!V101/(Inputs!$F$289*IF(Funding!V99&gt;0,Funding!V99,1)),Inputs!$F$28)</f>
        <v/>
      </c>
      <c r="W102" s="20">
        <f>IF(Funding!W100&gt;0,Funding!W101/(Inputs!$F$289*IF(Funding!W99&gt;0,Funding!W99,1)),Inputs!$F$28)</f>
        <v/>
      </c>
      <c r="X102" s="20">
        <f>IF(Funding!X100&gt;0,Funding!X101/(Inputs!$F$289*IF(Funding!X99&gt;0,Funding!X99,1)),Inputs!$F$28)</f>
        <v/>
      </c>
      <c r="Y102" s="20">
        <f>IF(Funding!Y100&gt;0,Funding!Y101/(Inputs!$F$289*IF(Funding!Y99&gt;0,Funding!Y99,1)),Inputs!$F$28)</f>
        <v/>
      </c>
      <c r="Z102" s="20">
        <f>IF(Funding!Z100&gt;0,Funding!Z101/(Inputs!$F$289*IF(Funding!Z99&gt;0,Funding!Z99,1)),Inputs!$F$28)</f>
        <v/>
      </c>
      <c r="AA102" s="20">
        <f>IF(Funding!AA100&gt;0,Funding!AA101/(Inputs!$F$289*IF(Funding!AA99&gt;0,Funding!AA99,1)),Inputs!$F$28)</f>
        <v/>
      </c>
      <c r="AB102" s="20">
        <f>IF(Funding!AB100&gt;0,Funding!AB101/(Inputs!$F$289*IF(Funding!AB99&gt;0,Funding!AB99,1)),Inputs!$F$28)</f>
        <v/>
      </c>
      <c r="AC102" s="20">
        <f>IF(Funding!AC100&gt;0,Funding!AC101/(Inputs!$F$289*IF(Funding!AC99&gt;0,Funding!AC99,1)),Inputs!$F$28)</f>
        <v/>
      </c>
      <c r="AD102" s="20">
        <f>IF(Funding!AD100&gt;0,Funding!AD101/(Inputs!$F$289*IF(Funding!AD99&gt;0,Funding!AD99,1)),Inputs!$F$28)</f>
        <v/>
      </c>
      <c r="AE102" s="20">
        <f>IF(Funding!AE100&gt;0,Funding!AE101/(Inputs!$F$289*IF(Funding!AE99&gt;0,Funding!AE99,1)),Inputs!$F$28)</f>
        <v/>
      </c>
      <c r="AF102" s="20">
        <f>IF(Funding!AF100&gt;0,Funding!AF101/(Inputs!$F$289*IF(Funding!AF99&gt;0,Funding!AF99,1)),Inputs!$F$28)</f>
        <v/>
      </c>
      <c r="AG102" s="20">
        <f>IF(Funding!AG100&gt;0,Funding!AG101/(Inputs!$F$289*IF(Funding!AG99&gt;0,Funding!AG99,1)),Inputs!$F$28)</f>
        <v/>
      </c>
      <c r="AH102" s="20">
        <f>IF(Funding!AH100&gt;0,Funding!AH101/(Inputs!$F$289*IF(Funding!AH99&gt;0,Funding!AH99,1)),Inputs!$F$28)</f>
        <v/>
      </c>
      <c r="AI102" s="20">
        <f>IF(Funding!AI100&gt;0,Funding!AI101/(Inputs!$F$289*IF(Funding!AI99&gt;0,Funding!AI99,1)),Inputs!$F$28)</f>
        <v/>
      </c>
      <c r="AJ102" s="20">
        <f>IF(Funding!AJ100&gt;0,Funding!AJ101/(Inputs!$F$289*IF(Funding!AJ99&gt;0,Funding!AJ99,1)),Inputs!$F$28)</f>
        <v/>
      </c>
      <c r="AK102" s="20">
        <f>IF(Funding!AK100&gt;0,Funding!AK101/(Inputs!$F$289*IF(Funding!AK99&gt;0,Funding!AK99,1)),Inputs!$F$28)</f>
        <v/>
      </c>
      <c r="AL102" s="20">
        <f>IF(Funding!AL100&gt;0,Funding!AL101/(Inputs!$F$289*IF(Funding!AL99&gt;0,Funding!AL99,1)),Inputs!$F$28)</f>
        <v/>
      </c>
      <c r="AM102" s="20">
        <f>IF(Funding!AM100&gt;0,Funding!AM101/(Inputs!$F$289*IF(Funding!AM99&gt;0,Funding!AM99,1)),Inputs!$F$28)</f>
        <v/>
      </c>
      <c r="AN102" s="20">
        <f>IF(Funding!AN100&gt;0,Funding!AN101/(Inputs!$F$289*IF(Funding!AN99&gt;0,Funding!AN99,1)),Inputs!$F$28)</f>
        <v/>
      </c>
      <c r="AO102" s="20">
        <f>IF(Funding!AO100&gt;0,Funding!AO101/(Inputs!$F$289*IF(Funding!AO99&gt;0,Funding!AO99,1)),Inputs!$F$28)</f>
        <v/>
      </c>
      <c r="AP102" s="20">
        <f>IF(Funding!AP100&gt;0,Funding!AP101/(Inputs!$F$289*IF(Funding!AP99&gt;0,Funding!AP99,1)),Inputs!$F$28)</f>
        <v/>
      </c>
      <c r="AQ102" s="20">
        <f>IF(Funding!AQ100&gt;0,Funding!AQ101/(Inputs!$F$289*IF(Funding!AQ99&gt;0,Funding!AQ99,1)),Inputs!$F$28)</f>
        <v/>
      </c>
      <c r="AR102" s="20">
        <f>IF(Funding!AR100&gt;0,Funding!AR101/(Inputs!$F$289*IF(Funding!AR99&gt;0,Funding!AR99,1)),Inputs!$F$28)</f>
        <v/>
      </c>
      <c r="AS102" s="20">
        <f>IF(Funding!AS100&gt;0,Funding!AS101/(Inputs!$F$289*IF(Funding!AS99&gt;0,Funding!AS99,1)),Inputs!$F$28)</f>
        <v/>
      </c>
      <c r="AT102" s="20">
        <f>IF(Funding!AT100&gt;0,Funding!AT101/(Inputs!$F$289*IF(Funding!AT99&gt;0,Funding!AT99,1)),Inputs!$F$28)</f>
        <v/>
      </c>
      <c r="AU102" s="20">
        <f>IF(Funding!AU100&gt;0,Funding!AU101/(Inputs!$F$289*IF(Funding!AU99&gt;0,Funding!AU99,1)),Inputs!$F$28)</f>
        <v/>
      </c>
    </row>
    <row r="103">
      <c r="D103" t="inlineStr">
        <is>
          <t>Repriced holdco face</t>
        </is>
      </c>
      <c r="E103" t="inlineStr">
        <is>
          <t>USD m</t>
        </is>
      </c>
      <c r="F103" s="20">
        <f>MIN(Funding!$J$102:$AU$102)</f>
        <v/>
      </c>
    </row>
    <row r="105">
      <c r="A105" s="4" t="inlineStr">
        <is>
          <t>Opco debt by asset (pro rata to PV of each asset's own debt-service capacity)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</row>
    <row r="106">
      <c r="D106" t="inlineStr">
        <is>
          <t>R1 capacity, tl</t>
        </is>
      </c>
      <c r="E106" t="inlineStr">
        <is>
          <t>USD m</t>
        </is>
      </c>
      <c r="J106" s="20">
        <f>Operations!J465*Operations!J468/Inputs!$F$275+Operations!J465*Operations!J469/Inputs!$F$276+Operations!J465*Operations!J470/Inputs!$F$277</f>
        <v/>
      </c>
      <c r="K106" s="20">
        <f>Operations!K465*Operations!K468/Inputs!$F$275+Operations!K465*Operations!K469/Inputs!$F$276+Operations!K465*Operations!K470/Inputs!$F$277</f>
        <v/>
      </c>
      <c r="L106" s="20">
        <f>Operations!L465*Operations!L468/Inputs!$F$275+Operations!L465*Operations!L469/Inputs!$F$276+Operations!L465*Operations!L470/Inputs!$F$277</f>
        <v/>
      </c>
      <c r="M106" s="20">
        <f>Operations!M465*Operations!M468/Inputs!$F$275+Operations!M465*Operations!M469/Inputs!$F$276+Operations!M465*Operations!M470/Inputs!$F$277</f>
        <v/>
      </c>
      <c r="N106" s="20">
        <f>Operations!N465*Operations!N468/Inputs!$F$275+Operations!N465*Operations!N469/Inputs!$F$276+Operations!N465*Operations!N470/Inputs!$F$277</f>
        <v/>
      </c>
      <c r="O106" s="20">
        <f>Operations!O465*Operations!O468/Inputs!$F$275+Operations!O465*Operations!O469/Inputs!$F$276+Operations!O465*Operations!O470/Inputs!$F$277</f>
        <v/>
      </c>
      <c r="P106" s="20">
        <f>Operations!P465*Operations!P468/Inputs!$F$275+Operations!P465*Operations!P469/Inputs!$F$276+Operations!P465*Operations!P470/Inputs!$F$277</f>
        <v/>
      </c>
      <c r="Q106" s="20">
        <f>Operations!Q465*Operations!Q468/Inputs!$F$275+Operations!Q465*Operations!Q469/Inputs!$F$276+Operations!Q465*Operations!Q470/Inputs!$F$277</f>
        <v/>
      </c>
      <c r="R106" s="20">
        <f>Operations!R465*Operations!R468/Inputs!$F$275+Operations!R465*Operations!R469/Inputs!$F$276+Operations!R465*Operations!R470/Inputs!$F$277</f>
        <v/>
      </c>
      <c r="S106" s="20">
        <f>Operations!S465*Operations!S468/Inputs!$F$275+Operations!S465*Operations!S469/Inputs!$F$276+Operations!S465*Operations!S470/Inputs!$F$277</f>
        <v/>
      </c>
      <c r="T106" s="20">
        <f>Operations!T465*Operations!T468/Inputs!$F$275+Operations!T465*Operations!T469/Inputs!$F$276+Operations!T465*Operations!T470/Inputs!$F$277</f>
        <v/>
      </c>
      <c r="U106" s="20">
        <f>Operations!U465*Operations!U468/Inputs!$F$275+Operations!U465*Operations!U469/Inputs!$F$276+Operations!U465*Operations!U470/Inputs!$F$277</f>
        <v/>
      </c>
      <c r="V106" s="20">
        <f>Operations!V465*Operations!V468/Inputs!$F$275+Operations!V465*Operations!V469/Inputs!$F$276+Operations!V465*Operations!V470/Inputs!$F$277</f>
        <v/>
      </c>
      <c r="W106" s="20">
        <f>Operations!W465*Operations!W468/Inputs!$F$275+Operations!W465*Operations!W469/Inputs!$F$276+Operations!W465*Operations!W470/Inputs!$F$277</f>
        <v/>
      </c>
      <c r="X106" s="20">
        <f>Operations!X465*Operations!X468/Inputs!$F$275+Operations!X465*Operations!X469/Inputs!$F$276+Operations!X465*Operations!X470/Inputs!$F$277</f>
        <v/>
      </c>
      <c r="Y106" s="20">
        <f>Operations!Y465*Operations!Y468/Inputs!$F$275+Operations!Y465*Operations!Y469/Inputs!$F$276+Operations!Y465*Operations!Y470/Inputs!$F$277</f>
        <v/>
      </c>
      <c r="Z106" s="20">
        <f>Operations!Z465*Operations!Z468/Inputs!$F$275+Operations!Z465*Operations!Z469/Inputs!$F$276+Operations!Z465*Operations!Z470/Inputs!$F$277</f>
        <v/>
      </c>
      <c r="AA106" s="20">
        <f>Operations!AA465*Operations!AA468/Inputs!$F$275+Operations!AA465*Operations!AA469/Inputs!$F$276+Operations!AA465*Operations!AA470/Inputs!$F$277</f>
        <v/>
      </c>
      <c r="AB106" s="20">
        <f>Operations!AB465*Operations!AB468/Inputs!$F$275+Operations!AB465*Operations!AB469/Inputs!$F$276+Operations!AB465*Operations!AB470/Inputs!$F$277</f>
        <v/>
      </c>
      <c r="AC106" s="20">
        <f>Operations!AC465*Operations!AC468/Inputs!$F$275+Operations!AC465*Operations!AC469/Inputs!$F$276+Operations!AC465*Operations!AC470/Inputs!$F$277</f>
        <v/>
      </c>
      <c r="AD106" s="20">
        <f>Operations!AD465*Operations!AD468/Inputs!$F$275+Operations!AD465*Operations!AD469/Inputs!$F$276+Operations!AD465*Operations!AD470/Inputs!$F$277</f>
        <v/>
      </c>
      <c r="AE106" s="20">
        <f>Operations!AE465*Operations!AE468/Inputs!$F$275+Operations!AE465*Operations!AE469/Inputs!$F$276+Operations!AE465*Operations!AE470/Inputs!$F$277</f>
        <v/>
      </c>
      <c r="AF106" s="20">
        <f>Operations!AF465*Operations!AF468/Inputs!$F$275+Operations!AF465*Operations!AF469/Inputs!$F$276+Operations!AF465*Operations!AF470/Inputs!$F$277</f>
        <v/>
      </c>
      <c r="AG106" s="20">
        <f>Operations!AG465*Operations!AG468/Inputs!$F$275+Operations!AG465*Operations!AG469/Inputs!$F$276+Operations!AG465*Operations!AG470/Inputs!$F$277</f>
        <v/>
      </c>
      <c r="AH106" s="20">
        <f>Operations!AH465*Operations!AH468/Inputs!$F$275+Operations!AH465*Operations!AH469/Inputs!$F$276+Operations!AH465*Operations!AH470/Inputs!$F$277</f>
        <v/>
      </c>
      <c r="AI106" s="20">
        <f>Operations!AI465*Operations!AI468/Inputs!$F$275+Operations!AI465*Operations!AI469/Inputs!$F$276+Operations!AI465*Operations!AI470/Inputs!$F$277</f>
        <v/>
      </c>
      <c r="AJ106" s="20">
        <f>Operations!AJ465*Operations!AJ468/Inputs!$F$275+Operations!AJ465*Operations!AJ469/Inputs!$F$276+Operations!AJ465*Operations!AJ470/Inputs!$F$277</f>
        <v/>
      </c>
      <c r="AK106" s="20">
        <f>Operations!AK465*Operations!AK468/Inputs!$F$275+Operations!AK465*Operations!AK469/Inputs!$F$276+Operations!AK465*Operations!AK470/Inputs!$F$277</f>
        <v/>
      </c>
      <c r="AL106" s="20">
        <f>Operations!AL465*Operations!AL468/Inputs!$F$275+Operations!AL465*Operations!AL469/Inputs!$F$276+Operations!AL465*Operations!AL470/Inputs!$F$277</f>
        <v/>
      </c>
      <c r="AM106" s="20">
        <f>Operations!AM465*Operations!AM468/Inputs!$F$275+Operations!AM465*Operations!AM469/Inputs!$F$276+Operations!AM465*Operations!AM470/Inputs!$F$277</f>
        <v/>
      </c>
      <c r="AN106" s="20">
        <f>Operations!AN465*Operations!AN468/Inputs!$F$275+Operations!AN465*Operations!AN469/Inputs!$F$276+Operations!AN465*Operations!AN470/Inputs!$F$277</f>
        <v/>
      </c>
      <c r="AO106" s="20">
        <f>Operations!AO465*Operations!AO468/Inputs!$F$275+Operations!AO465*Operations!AO469/Inputs!$F$276+Operations!AO465*Operations!AO470/Inputs!$F$277</f>
        <v/>
      </c>
      <c r="AP106" s="20">
        <f>Operations!AP465*Operations!AP468/Inputs!$F$275+Operations!AP465*Operations!AP469/Inputs!$F$276+Operations!AP465*Operations!AP470/Inputs!$F$277</f>
        <v/>
      </c>
      <c r="AQ106" s="20">
        <f>Operations!AQ465*Operations!AQ468/Inputs!$F$275+Operations!AQ465*Operations!AQ469/Inputs!$F$276+Operations!AQ465*Operations!AQ470/Inputs!$F$277</f>
        <v/>
      </c>
      <c r="AR106" s="20">
        <f>Operations!AR465*Operations!AR468/Inputs!$F$275+Operations!AR465*Operations!AR469/Inputs!$F$276+Operations!AR465*Operations!AR470/Inputs!$F$277</f>
        <v/>
      </c>
      <c r="AS106" s="20">
        <f>Operations!AS465*Operations!AS468/Inputs!$F$275+Operations!AS465*Operations!AS469/Inputs!$F$276+Operations!AS465*Operations!AS470/Inputs!$F$277</f>
        <v/>
      </c>
      <c r="AT106" s="20">
        <f>Operations!AT465*Operations!AT468/Inputs!$F$275+Operations!AT465*Operations!AT469/Inputs!$F$276+Operations!AT465*Operations!AT470/Inputs!$F$277</f>
        <v/>
      </c>
      <c r="AU106" s="20">
        <f>Operations!AU465*Operations!AU468/Inputs!$F$275+Operations!AU465*Operations!AU469/Inputs!$F$276+Operations!AU465*Operations!AU470/Inputs!$F$277</f>
        <v/>
      </c>
    </row>
    <row r="107">
      <c r="D107" t="inlineStr">
        <is>
          <t>PV of capacity, R1</t>
        </is>
      </c>
      <c r="E107" t="inlineStr">
        <is>
          <t>USD m</t>
        </is>
      </c>
      <c r="F107" s="20">
        <f>SUMPRODUCT(Funding!$J$106:$AU$106,Funding!$J$16:$AU$16,--(Funding!$J$8:$AU$8&gt;0))</f>
        <v/>
      </c>
    </row>
    <row r="108">
      <c r="D108" t="inlineStr">
        <is>
          <t>R2 capacity, tl</t>
        </is>
      </c>
      <c r="E108" t="inlineStr">
        <is>
          <t>USD m</t>
        </is>
      </c>
      <c r="J108" s="20">
        <f>Operations!J507*Operations!J510/Inputs!$F$275+Operations!J507*Operations!J511/Inputs!$F$276+Operations!J507*Operations!J512/Inputs!$F$277</f>
        <v/>
      </c>
      <c r="K108" s="20">
        <f>Operations!K507*Operations!K510/Inputs!$F$275+Operations!K507*Operations!K511/Inputs!$F$276+Operations!K507*Operations!K512/Inputs!$F$277</f>
        <v/>
      </c>
      <c r="L108" s="20">
        <f>Operations!L507*Operations!L510/Inputs!$F$275+Operations!L507*Operations!L511/Inputs!$F$276+Operations!L507*Operations!L512/Inputs!$F$277</f>
        <v/>
      </c>
      <c r="M108" s="20">
        <f>Operations!M507*Operations!M510/Inputs!$F$275+Operations!M507*Operations!M511/Inputs!$F$276+Operations!M507*Operations!M512/Inputs!$F$277</f>
        <v/>
      </c>
      <c r="N108" s="20">
        <f>Operations!N507*Operations!N510/Inputs!$F$275+Operations!N507*Operations!N511/Inputs!$F$276+Operations!N507*Operations!N512/Inputs!$F$277</f>
        <v/>
      </c>
      <c r="O108" s="20">
        <f>Operations!O507*Operations!O510/Inputs!$F$275+Operations!O507*Operations!O511/Inputs!$F$276+Operations!O507*Operations!O512/Inputs!$F$277</f>
        <v/>
      </c>
      <c r="P108" s="20">
        <f>Operations!P507*Operations!P510/Inputs!$F$275+Operations!P507*Operations!P511/Inputs!$F$276+Operations!P507*Operations!P512/Inputs!$F$277</f>
        <v/>
      </c>
      <c r="Q108" s="20">
        <f>Operations!Q507*Operations!Q510/Inputs!$F$275+Operations!Q507*Operations!Q511/Inputs!$F$276+Operations!Q507*Operations!Q512/Inputs!$F$277</f>
        <v/>
      </c>
      <c r="R108" s="20">
        <f>Operations!R507*Operations!R510/Inputs!$F$275+Operations!R507*Operations!R511/Inputs!$F$276+Operations!R507*Operations!R512/Inputs!$F$277</f>
        <v/>
      </c>
      <c r="S108" s="20">
        <f>Operations!S507*Operations!S510/Inputs!$F$275+Operations!S507*Operations!S511/Inputs!$F$276+Operations!S507*Operations!S512/Inputs!$F$277</f>
        <v/>
      </c>
      <c r="T108" s="20">
        <f>Operations!T507*Operations!T510/Inputs!$F$275+Operations!T507*Operations!T511/Inputs!$F$276+Operations!T507*Operations!T512/Inputs!$F$277</f>
        <v/>
      </c>
      <c r="U108" s="20">
        <f>Operations!U507*Operations!U510/Inputs!$F$275+Operations!U507*Operations!U511/Inputs!$F$276+Operations!U507*Operations!U512/Inputs!$F$277</f>
        <v/>
      </c>
      <c r="V108" s="20">
        <f>Operations!V507*Operations!V510/Inputs!$F$275+Operations!V507*Operations!V511/Inputs!$F$276+Operations!V507*Operations!V512/Inputs!$F$277</f>
        <v/>
      </c>
      <c r="W108" s="20">
        <f>Operations!W507*Operations!W510/Inputs!$F$275+Operations!W507*Operations!W511/Inputs!$F$276+Operations!W507*Operations!W512/Inputs!$F$277</f>
        <v/>
      </c>
      <c r="X108" s="20">
        <f>Operations!X507*Operations!X510/Inputs!$F$275+Operations!X507*Operations!X511/Inputs!$F$276+Operations!X507*Operations!X512/Inputs!$F$277</f>
        <v/>
      </c>
      <c r="Y108" s="20">
        <f>Operations!Y507*Operations!Y510/Inputs!$F$275+Operations!Y507*Operations!Y511/Inputs!$F$276+Operations!Y507*Operations!Y512/Inputs!$F$277</f>
        <v/>
      </c>
      <c r="Z108" s="20">
        <f>Operations!Z507*Operations!Z510/Inputs!$F$275+Operations!Z507*Operations!Z511/Inputs!$F$276+Operations!Z507*Operations!Z512/Inputs!$F$277</f>
        <v/>
      </c>
      <c r="AA108" s="20">
        <f>Operations!AA507*Operations!AA510/Inputs!$F$275+Operations!AA507*Operations!AA511/Inputs!$F$276+Operations!AA507*Operations!AA512/Inputs!$F$277</f>
        <v/>
      </c>
      <c r="AB108" s="20">
        <f>Operations!AB507*Operations!AB510/Inputs!$F$275+Operations!AB507*Operations!AB511/Inputs!$F$276+Operations!AB507*Operations!AB512/Inputs!$F$277</f>
        <v/>
      </c>
      <c r="AC108" s="20">
        <f>Operations!AC507*Operations!AC510/Inputs!$F$275+Operations!AC507*Operations!AC511/Inputs!$F$276+Operations!AC507*Operations!AC512/Inputs!$F$277</f>
        <v/>
      </c>
      <c r="AD108" s="20">
        <f>Operations!AD507*Operations!AD510/Inputs!$F$275+Operations!AD507*Operations!AD511/Inputs!$F$276+Operations!AD507*Operations!AD512/Inputs!$F$277</f>
        <v/>
      </c>
      <c r="AE108" s="20">
        <f>Operations!AE507*Operations!AE510/Inputs!$F$275+Operations!AE507*Operations!AE511/Inputs!$F$276+Operations!AE507*Operations!AE512/Inputs!$F$277</f>
        <v/>
      </c>
      <c r="AF108" s="20">
        <f>Operations!AF507*Operations!AF510/Inputs!$F$275+Operations!AF507*Operations!AF511/Inputs!$F$276+Operations!AF507*Operations!AF512/Inputs!$F$277</f>
        <v/>
      </c>
      <c r="AG108" s="20">
        <f>Operations!AG507*Operations!AG510/Inputs!$F$275+Operations!AG507*Operations!AG511/Inputs!$F$276+Operations!AG507*Operations!AG512/Inputs!$F$277</f>
        <v/>
      </c>
      <c r="AH108" s="20">
        <f>Operations!AH507*Operations!AH510/Inputs!$F$275+Operations!AH507*Operations!AH511/Inputs!$F$276+Operations!AH507*Operations!AH512/Inputs!$F$277</f>
        <v/>
      </c>
      <c r="AI108" s="20">
        <f>Operations!AI507*Operations!AI510/Inputs!$F$275+Operations!AI507*Operations!AI511/Inputs!$F$276+Operations!AI507*Operations!AI512/Inputs!$F$277</f>
        <v/>
      </c>
      <c r="AJ108" s="20">
        <f>Operations!AJ507*Operations!AJ510/Inputs!$F$275+Operations!AJ507*Operations!AJ511/Inputs!$F$276+Operations!AJ507*Operations!AJ512/Inputs!$F$277</f>
        <v/>
      </c>
      <c r="AK108" s="20">
        <f>Operations!AK507*Operations!AK510/Inputs!$F$275+Operations!AK507*Operations!AK511/Inputs!$F$276+Operations!AK507*Operations!AK512/Inputs!$F$277</f>
        <v/>
      </c>
      <c r="AL108" s="20">
        <f>Operations!AL507*Operations!AL510/Inputs!$F$275+Operations!AL507*Operations!AL511/Inputs!$F$276+Operations!AL507*Operations!AL512/Inputs!$F$277</f>
        <v/>
      </c>
      <c r="AM108" s="20">
        <f>Operations!AM507*Operations!AM510/Inputs!$F$275+Operations!AM507*Operations!AM511/Inputs!$F$276+Operations!AM507*Operations!AM512/Inputs!$F$277</f>
        <v/>
      </c>
      <c r="AN108" s="20">
        <f>Operations!AN507*Operations!AN510/Inputs!$F$275+Operations!AN507*Operations!AN511/Inputs!$F$276+Operations!AN507*Operations!AN512/Inputs!$F$277</f>
        <v/>
      </c>
      <c r="AO108" s="20">
        <f>Operations!AO507*Operations!AO510/Inputs!$F$275+Operations!AO507*Operations!AO511/Inputs!$F$276+Operations!AO507*Operations!AO512/Inputs!$F$277</f>
        <v/>
      </c>
      <c r="AP108" s="20">
        <f>Operations!AP507*Operations!AP510/Inputs!$F$275+Operations!AP507*Operations!AP511/Inputs!$F$276+Operations!AP507*Operations!AP512/Inputs!$F$277</f>
        <v/>
      </c>
      <c r="AQ108" s="20">
        <f>Operations!AQ507*Operations!AQ510/Inputs!$F$275+Operations!AQ507*Operations!AQ511/Inputs!$F$276+Operations!AQ507*Operations!AQ512/Inputs!$F$277</f>
        <v/>
      </c>
      <c r="AR108" s="20">
        <f>Operations!AR507*Operations!AR510/Inputs!$F$275+Operations!AR507*Operations!AR511/Inputs!$F$276+Operations!AR507*Operations!AR512/Inputs!$F$277</f>
        <v/>
      </c>
      <c r="AS108" s="20">
        <f>Operations!AS507*Operations!AS510/Inputs!$F$275+Operations!AS507*Operations!AS511/Inputs!$F$276+Operations!AS507*Operations!AS512/Inputs!$F$277</f>
        <v/>
      </c>
      <c r="AT108" s="20">
        <f>Operations!AT507*Operations!AT510/Inputs!$F$275+Operations!AT507*Operations!AT511/Inputs!$F$276+Operations!AT507*Operations!AT512/Inputs!$F$277</f>
        <v/>
      </c>
      <c r="AU108" s="20">
        <f>Operations!AU507*Operations!AU510/Inputs!$F$275+Operations!AU507*Operations!AU511/Inputs!$F$276+Operations!AU507*Operations!AU512/Inputs!$F$277</f>
        <v/>
      </c>
    </row>
    <row r="109">
      <c r="D109" t="inlineStr">
        <is>
          <t>PV of capacity, R2</t>
        </is>
      </c>
      <c r="E109" t="inlineStr">
        <is>
          <t>USD m</t>
        </is>
      </c>
      <c r="F109" s="20">
        <f>SUMPRODUCT(Funding!$J$108:$AU$108,Funding!$J$16:$AU$16,--(Funding!$J$8:$AU$8&gt;0))</f>
        <v/>
      </c>
    </row>
    <row r="110">
      <c r="D110" t="inlineStr">
        <is>
          <t>R3 capacity, tl</t>
        </is>
      </c>
      <c r="E110" t="inlineStr">
        <is>
          <t>USD m</t>
        </is>
      </c>
      <c r="J110" s="20">
        <f>Operations!J550*Operations!J553/Inputs!$F$275+Operations!J550*Operations!J554/Inputs!$F$276+Operations!J550*Operations!J555/Inputs!$F$277</f>
        <v/>
      </c>
      <c r="K110" s="20">
        <f>Operations!K550*Operations!K553/Inputs!$F$275+Operations!K550*Operations!K554/Inputs!$F$276+Operations!K550*Operations!K555/Inputs!$F$277</f>
        <v/>
      </c>
      <c r="L110" s="20">
        <f>Operations!L550*Operations!L553/Inputs!$F$275+Operations!L550*Operations!L554/Inputs!$F$276+Operations!L550*Operations!L555/Inputs!$F$277</f>
        <v/>
      </c>
      <c r="M110" s="20">
        <f>Operations!M550*Operations!M553/Inputs!$F$275+Operations!M550*Operations!M554/Inputs!$F$276+Operations!M550*Operations!M555/Inputs!$F$277</f>
        <v/>
      </c>
      <c r="N110" s="20">
        <f>Operations!N550*Operations!N553/Inputs!$F$275+Operations!N550*Operations!N554/Inputs!$F$276+Operations!N550*Operations!N555/Inputs!$F$277</f>
        <v/>
      </c>
      <c r="O110" s="20">
        <f>Operations!O550*Operations!O553/Inputs!$F$275+Operations!O550*Operations!O554/Inputs!$F$276+Operations!O550*Operations!O555/Inputs!$F$277</f>
        <v/>
      </c>
      <c r="P110" s="20">
        <f>Operations!P550*Operations!P553/Inputs!$F$275+Operations!P550*Operations!P554/Inputs!$F$276+Operations!P550*Operations!P555/Inputs!$F$277</f>
        <v/>
      </c>
      <c r="Q110" s="20">
        <f>Operations!Q550*Operations!Q553/Inputs!$F$275+Operations!Q550*Operations!Q554/Inputs!$F$276+Operations!Q550*Operations!Q555/Inputs!$F$277</f>
        <v/>
      </c>
      <c r="R110" s="20">
        <f>Operations!R550*Operations!R553/Inputs!$F$275+Operations!R550*Operations!R554/Inputs!$F$276+Operations!R550*Operations!R555/Inputs!$F$277</f>
        <v/>
      </c>
      <c r="S110" s="20">
        <f>Operations!S550*Operations!S553/Inputs!$F$275+Operations!S550*Operations!S554/Inputs!$F$276+Operations!S550*Operations!S555/Inputs!$F$277</f>
        <v/>
      </c>
      <c r="T110" s="20">
        <f>Operations!T550*Operations!T553/Inputs!$F$275+Operations!T550*Operations!T554/Inputs!$F$276+Operations!T550*Operations!T555/Inputs!$F$277</f>
        <v/>
      </c>
      <c r="U110" s="20">
        <f>Operations!U550*Operations!U553/Inputs!$F$275+Operations!U550*Operations!U554/Inputs!$F$276+Operations!U550*Operations!U555/Inputs!$F$277</f>
        <v/>
      </c>
      <c r="V110" s="20">
        <f>Operations!V550*Operations!V553/Inputs!$F$275+Operations!V550*Operations!V554/Inputs!$F$276+Operations!V550*Operations!V555/Inputs!$F$277</f>
        <v/>
      </c>
      <c r="W110" s="20">
        <f>Operations!W550*Operations!W553/Inputs!$F$275+Operations!W550*Operations!W554/Inputs!$F$276+Operations!W550*Operations!W555/Inputs!$F$277</f>
        <v/>
      </c>
      <c r="X110" s="20">
        <f>Operations!X550*Operations!X553/Inputs!$F$275+Operations!X550*Operations!X554/Inputs!$F$276+Operations!X550*Operations!X555/Inputs!$F$277</f>
        <v/>
      </c>
      <c r="Y110" s="20">
        <f>Operations!Y550*Operations!Y553/Inputs!$F$275+Operations!Y550*Operations!Y554/Inputs!$F$276+Operations!Y550*Operations!Y555/Inputs!$F$277</f>
        <v/>
      </c>
      <c r="Z110" s="20">
        <f>Operations!Z550*Operations!Z553/Inputs!$F$275+Operations!Z550*Operations!Z554/Inputs!$F$276+Operations!Z550*Operations!Z555/Inputs!$F$277</f>
        <v/>
      </c>
      <c r="AA110" s="20">
        <f>Operations!AA550*Operations!AA553/Inputs!$F$275+Operations!AA550*Operations!AA554/Inputs!$F$276+Operations!AA550*Operations!AA555/Inputs!$F$277</f>
        <v/>
      </c>
      <c r="AB110" s="20">
        <f>Operations!AB550*Operations!AB553/Inputs!$F$275+Operations!AB550*Operations!AB554/Inputs!$F$276+Operations!AB550*Operations!AB555/Inputs!$F$277</f>
        <v/>
      </c>
      <c r="AC110" s="20">
        <f>Operations!AC550*Operations!AC553/Inputs!$F$275+Operations!AC550*Operations!AC554/Inputs!$F$276+Operations!AC550*Operations!AC555/Inputs!$F$277</f>
        <v/>
      </c>
      <c r="AD110" s="20">
        <f>Operations!AD550*Operations!AD553/Inputs!$F$275+Operations!AD550*Operations!AD554/Inputs!$F$276+Operations!AD550*Operations!AD555/Inputs!$F$277</f>
        <v/>
      </c>
      <c r="AE110" s="20">
        <f>Operations!AE550*Operations!AE553/Inputs!$F$275+Operations!AE550*Operations!AE554/Inputs!$F$276+Operations!AE550*Operations!AE555/Inputs!$F$277</f>
        <v/>
      </c>
      <c r="AF110" s="20">
        <f>Operations!AF550*Operations!AF553/Inputs!$F$275+Operations!AF550*Operations!AF554/Inputs!$F$276+Operations!AF550*Operations!AF555/Inputs!$F$277</f>
        <v/>
      </c>
      <c r="AG110" s="20">
        <f>Operations!AG550*Operations!AG553/Inputs!$F$275+Operations!AG550*Operations!AG554/Inputs!$F$276+Operations!AG550*Operations!AG555/Inputs!$F$277</f>
        <v/>
      </c>
      <c r="AH110" s="20">
        <f>Operations!AH550*Operations!AH553/Inputs!$F$275+Operations!AH550*Operations!AH554/Inputs!$F$276+Operations!AH550*Operations!AH555/Inputs!$F$277</f>
        <v/>
      </c>
      <c r="AI110" s="20">
        <f>Operations!AI550*Operations!AI553/Inputs!$F$275+Operations!AI550*Operations!AI554/Inputs!$F$276+Operations!AI550*Operations!AI555/Inputs!$F$277</f>
        <v/>
      </c>
      <c r="AJ110" s="20">
        <f>Operations!AJ550*Operations!AJ553/Inputs!$F$275+Operations!AJ550*Operations!AJ554/Inputs!$F$276+Operations!AJ550*Operations!AJ555/Inputs!$F$277</f>
        <v/>
      </c>
      <c r="AK110" s="20">
        <f>Operations!AK550*Operations!AK553/Inputs!$F$275+Operations!AK550*Operations!AK554/Inputs!$F$276+Operations!AK550*Operations!AK555/Inputs!$F$277</f>
        <v/>
      </c>
      <c r="AL110" s="20">
        <f>Operations!AL550*Operations!AL553/Inputs!$F$275+Operations!AL550*Operations!AL554/Inputs!$F$276+Operations!AL550*Operations!AL555/Inputs!$F$277</f>
        <v/>
      </c>
      <c r="AM110" s="20">
        <f>Operations!AM550*Operations!AM553/Inputs!$F$275+Operations!AM550*Operations!AM554/Inputs!$F$276+Operations!AM550*Operations!AM555/Inputs!$F$277</f>
        <v/>
      </c>
      <c r="AN110" s="20">
        <f>Operations!AN550*Operations!AN553/Inputs!$F$275+Operations!AN550*Operations!AN554/Inputs!$F$276+Operations!AN550*Operations!AN555/Inputs!$F$277</f>
        <v/>
      </c>
      <c r="AO110" s="20">
        <f>Operations!AO550*Operations!AO553/Inputs!$F$275+Operations!AO550*Operations!AO554/Inputs!$F$276+Operations!AO550*Operations!AO555/Inputs!$F$277</f>
        <v/>
      </c>
      <c r="AP110" s="20">
        <f>Operations!AP550*Operations!AP553/Inputs!$F$275+Operations!AP550*Operations!AP554/Inputs!$F$276+Operations!AP550*Operations!AP555/Inputs!$F$277</f>
        <v/>
      </c>
      <c r="AQ110" s="20">
        <f>Operations!AQ550*Operations!AQ553/Inputs!$F$275+Operations!AQ550*Operations!AQ554/Inputs!$F$276+Operations!AQ550*Operations!AQ555/Inputs!$F$277</f>
        <v/>
      </c>
      <c r="AR110" s="20">
        <f>Operations!AR550*Operations!AR553/Inputs!$F$275+Operations!AR550*Operations!AR554/Inputs!$F$276+Operations!AR550*Operations!AR555/Inputs!$F$277</f>
        <v/>
      </c>
      <c r="AS110" s="20">
        <f>Operations!AS550*Operations!AS553/Inputs!$F$275+Operations!AS550*Operations!AS554/Inputs!$F$276+Operations!AS550*Operations!AS555/Inputs!$F$277</f>
        <v/>
      </c>
      <c r="AT110" s="20">
        <f>Operations!AT550*Operations!AT553/Inputs!$F$275+Operations!AT550*Operations!AT554/Inputs!$F$276+Operations!AT550*Operations!AT555/Inputs!$F$277</f>
        <v/>
      </c>
      <c r="AU110" s="20">
        <f>Operations!AU550*Operations!AU553/Inputs!$F$275+Operations!AU550*Operations!AU554/Inputs!$F$276+Operations!AU550*Operations!AU555/Inputs!$F$277</f>
        <v/>
      </c>
    </row>
    <row r="111">
      <c r="D111" t="inlineStr">
        <is>
          <t>PV of capacity, R3</t>
        </is>
      </c>
      <c r="E111" t="inlineStr">
        <is>
          <t>USD m</t>
        </is>
      </c>
      <c r="F111" s="20">
        <f>SUMPRODUCT(Funding!$J$110:$AU$110,Funding!$J$16:$AU$16,--(Funding!$J$8:$AU$8&gt;0))</f>
        <v/>
      </c>
    </row>
    <row r="112">
      <c r="D112" t="inlineStr">
        <is>
          <t>R4 capacity, tl</t>
        </is>
      </c>
      <c r="E112" t="inlineStr">
        <is>
          <t>USD m</t>
        </is>
      </c>
      <c r="J112" s="20">
        <f>Operations!J593*Operations!J596/Inputs!$F$275+Operations!J593*Operations!J597/Inputs!$F$276+Operations!J593*Operations!J598/Inputs!$F$277</f>
        <v/>
      </c>
      <c r="K112" s="20">
        <f>Operations!K593*Operations!K596/Inputs!$F$275+Operations!K593*Operations!K597/Inputs!$F$276+Operations!K593*Operations!K598/Inputs!$F$277</f>
        <v/>
      </c>
      <c r="L112" s="20">
        <f>Operations!L593*Operations!L596/Inputs!$F$275+Operations!L593*Operations!L597/Inputs!$F$276+Operations!L593*Operations!L598/Inputs!$F$277</f>
        <v/>
      </c>
      <c r="M112" s="20">
        <f>Operations!M593*Operations!M596/Inputs!$F$275+Operations!M593*Operations!M597/Inputs!$F$276+Operations!M593*Operations!M598/Inputs!$F$277</f>
        <v/>
      </c>
      <c r="N112" s="20">
        <f>Operations!N593*Operations!N596/Inputs!$F$275+Operations!N593*Operations!N597/Inputs!$F$276+Operations!N593*Operations!N598/Inputs!$F$277</f>
        <v/>
      </c>
      <c r="O112" s="20">
        <f>Operations!O593*Operations!O596/Inputs!$F$275+Operations!O593*Operations!O597/Inputs!$F$276+Operations!O593*Operations!O598/Inputs!$F$277</f>
        <v/>
      </c>
      <c r="P112" s="20">
        <f>Operations!P593*Operations!P596/Inputs!$F$275+Operations!P593*Operations!P597/Inputs!$F$276+Operations!P593*Operations!P598/Inputs!$F$277</f>
        <v/>
      </c>
      <c r="Q112" s="20">
        <f>Operations!Q593*Operations!Q596/Inputs!$F$275+Operations!Q593*Operations!Q597/Inputs!$F$276+Operations!Q593*Operations!Q598/Inputs!$F$277</f>
        <v/>
      </c>
      <c r="R112" s="20">
        <f>Operations!R593*Operations!R596/Inputs!$F$275+Operations!R593*Operations!R597/Inputs!$F$276+Operations!R593*Operations!R598/Inputs!$F$277</f>
        <v/>
      </c>
      <c r="S112" s="20">
        <f>Operations!S593*Operations!S596/Inputs!$F$275+Operations!S593*Operations!S597/Inputs!$F$276+Operations!S593*Operations!S598/Inputs!$F$277</f>
        <v/>
      </c>
      <c r="T112" s="20">
        <f>Operations!T593*Operations!T596/Inputs!$F$275+Operations!T593*Operations!T597/Inputs!$F$276+Operations!T593*Operations!T598/Inputs!$F$277</f>
        <v/>
      </c>
      <c r="U112" s="20">
        <f>Operations!U593*Operations!U596/Inputs!$F$275+Operations!U593*Operations!U597/Inputs!$F$276+Operations!U593*Operations!U598/Inputs!$F$277</f>
        <v/>
      </c>
      <c r="V112" s="20">
        <f>Operations!V593*Operations!V596/Inputs!$F$275+Operations!V593*Operations!V597/Inputs!$F$276+Operations!V593*Operations!V598/Inputs!$F$277</f>
        <v/>
      </c>
      <c r="W112" s="20">
        <f>Operations!W593*Operations!W596/Inputs!$F$275+Operations!W593*Operations!W597/Inputs!$F$276+Operations!W593*Operations!W598/Inputs!$F$277</f>
        <v/>
      </c>
      <c r="X112" s="20">
        <f>Operations!X593*Operations!X596/Inputs!$F$275+Operations!X593*Operations!X597/Inputs!$F$276+Operations!X593*Operations!X598/Inputs!$F$277</f>
        <v/>
      </c>
      <c r="Y112" s="20">
        <f>Operations!Y593*Operations!Y596/Inputs!$F$275+Operations!Y593*Operations!Y597/Inputs!$F$276+Operations!Y593*Operations!Y598/Inputs!$F$277</f>
        <v/>
      </c>
      <c r="Z112" s="20">
        <f>Operations!Z593*Operations!Z596/Inputs!$F$275+Operations!Z593*Operations!Z597/Inputs!$F$276+Operations!Z593*Operations!Z598/Inputs!$F$277</f>
        <v/>
      </c>
      <c r="AA112" s="20">
        <f>Operations!AA593*Operations!AA596/Inputs!$F$275+Operations!AA593*Operations!AA597/Inputs!$F$276+Operations!AA593*Operations!AA598/Inputs!$F$277</f>
        <v/>
      </c>
      <c r="AB112" s="20">
        <f>Operations!AB593*Operations!AB596/Inputs!$F$275+Operations!AB593*Operations!AB597/Inputs!$F$276+Operations!AB593*Operations!AB598/Inputs!$F$277</f>
        <v/>
      </c>
      <c r="AC112" s="20">
        <f>Operations!AC593*Operations!AC596/Inputs!$F$275+Operations!AC593*Operations!AC597/Inputs!$F$276+Operations!AC593*Operations!AC598/Inputs!$F$277</f>
        <v/>
      </c>
      <c r="AD112" s="20">
        <f>Operations!AD593*Operations!AD596/Inputs!$F$275+Operations!AD593*Operations!AD597/Inputs!$F$276+Operations!AD593*Operations!AD598/Inputs!$F$277</f>
        <v/>
      </c>
      <c r="AE112" s="20">
        <f>Operations!AE593*Operations!AE596/Inputs!$F$275+Operations!AE593*Operations!AE597/Inputs!$F$276+Operations!AE593*Operations!AE598/Inputs!$F$277</f>
        <v/>
      </c>
      <c r="AF112" s="20">
        <f>Operations!AF593*Operations!AF596/Inputs!$F$275+Operations!AF593*Operations!AF597/Inputs!$F$276+Operations!AF593*Operations!AF598/Inputs!$F$277</f>
        <v/>
      </c>
      <c r="AG112" s="20">
        <f>Operations!AG593*Operations!AG596/Inputs!$F$275+Operations!AG593*Operations!AG597/Inputs!$F$276+Operations!AG593*Operations!AG598/Inputs!$F$277</f>
        <v/>
      </c>
      <c r="AH112" s="20">
        <f>Operations!AH593*Operations!AH596/Inputs!$F$275+Operations!AH593*Operations!AH597/Inputs!$F$276+Operations!AH593*Operations!AH598/Inputs!$F$277</f>
        <v/>
      </c>
      <c r="AI112" s="20">
        <f>Operations!AI593*Operations!AI596/Inputs!$F$275+Operations!AI593*Operations!AI597/Inputs!$F$276+Operations!AI593*Operations!AI598/Inputs!$F$277</f>
        <v/>
      </c>
      <c r="AJ112" s="20">
        <f>Operations!AJ593*Operations!AJ596/Inputs!$F$275+Operations!AJ593*Operations!AJ597/Inputs!$F$276+Operations!AJ593*Operations!AJ598/Inputs!$F$277</f>
        <v/>
      </c>
      <c r="AK112" s="20">
        <f>Operations!AK593*Operations!AK596/Inputs!$F$275+Operations!AK593*Operations!AK597/Inputs!$F$276+Operations!AK593*Operations!AK598/Inputs!$F$277</f>
        <v/>
      </c>
      <c r="AL112" s="20">
        <f>Operations!AL593*Operations!AL596/Inputs!$F$275+Operations!AL593*Operations!AL597/Inputs!$F$276+Operations!AL593*Operations!AL598/Inputs!$F$277</f>
        <v/>
      </c>
      <c r="AM112" s="20">
        <f>Operations!AM593*Operations!AM596/Inputs!$F$275+Operations!AM593*Operations!AM597/Inputs!$F$276+Operations!AM593*Operations!AM598/Inputs!$F$277</f>
        <v/>
      </c>
      <c r="AN112" s="20">
        <f>Operations!AN593*Operations!AN596/Inputs!$F$275+Operations!AN593*Operations!AN597/Inputs!$F$276+Operations!AN593*Operations!AN598/Inputs!$F$277</f>
        <v/>
      </c>
      <c r="AO112" s="20">
        <f>Operations!AO593*Operations!AO596/Inputs!$F$275+Operations!AO593*Operations!AO597/Inputs!$F$276+Operations!AO593*Operations!AO598/Inputs!$F$277</f>
        <v/>
      </c>
      <c r="AP112" s="20">
        <f>Operations!AP593*Operations!AP596/Inputs!$F$275+Operations!AP593*Operations!AP597/Inputs!$F$276+Operations!AP593*Operations!AP598/Inputs!$F$277</f>
        <v/>
      </c>
      <c r="AQ112" s="20">
        <f>Operations!AQ593*Operations!AQ596/Inputs!$F$275+Operations!AQ593*Operations!AQ597/Inputs!$F$276+Operations!AQ593*Operations!AQ598/Inputs!$F$277</f>
        <v/>
      </c>
      <c r="AR112" s="20">
        <f>Operations!AR593*Operations!AR596/Inputs!$F$275+Operations!AR593*Operations!AR597/Inputs!$F$276+Operations!AR593*Operations!AR598/Inputs!$F$277</f>
        <v/>
      </c>
      <c r="AS112" s="20">
        <f>Operations!AS593*Operations!AS596/Inputs!$F$275+Operations!AS593*Operations!AS597/Inputs!$F$276+Operations!AS593*Operations!AS598/Inputs!$F$277</f>
        <v/>
      </c>
      <c r="AT112" s="20">
        <f>Operations!AT593*Operations!AT596/Inputs!$F$275+Operations!AT593*Operations!AT597/Inputs!$F$276+Operations!AT593*Operations!AT598/Inputs!$F$277</f>
        <v/>
      </c>
      <c r="AU112" s="20">
        <f>Operations!AU593*Operations!AU596/Inputs!$F$275+Operations!AU593*Operations!AU597/Inputs!$F$276+Operations!AU593*Operations!AU598/Inputs!$F$277</f>
        <v/>
      </c>
    </row>
    <row r="113">
      <c r="D113" t="inlineStr">
        <is>
          <t>PV of capacity, R4</t>
        </is>
      </c>
      <c r="E113" t="inlineStr">
        <is>
          <t>USD m</t>
        </is>
      </c>
      <c r="F113" s="20">
        <f>SUMPRODUCT(Funding!$J$112:$AU$112,Funding!$J$16:$AU$16,--(Funding!$J$8:$AU$8&gt;0))</f>
        <v/>
      </c>
    </row>
    <row r="114">
      <c r="D114" t="inlineStr">
        <is>
          <t>R5 capacity, tl</t>
        </is>
      </c>
      <c r="E114" t="inlineStr">
        <is>
          <t>USD m</t>
        </is>
      </c>
      <c r="J114" s="20">
        <f>Operations!J636*Operations!J639/Inputs!$F$275+Operations!J636*Operations!J640/Inputs!$F$276+Operations!J636*Operations!J641/Inputs!$F$277</f>
        <v/>
      </c>
      <c r="K114" s="20">
        <f>Operations!K636*Operations!K639/Inputs!$F$275+Operations!K636*Operations!K640/Inputs!$F$276+Operations!K636*Operations!K641/Inputs!$F$277</f>
        <v/>
      </c>
      <c r="L114" s="20">
        <f>Operations!L636*Operations!L639/Inputs!$F$275+Operations!L636*Operations!L640/Inputs!$F$276+Operations!L636*Operations!L641/Inputs!$F$277</f>
        <v/>
      </c>
      <c r="M114" s="20">
        <f>Operations!M636*Operations!M639/Inputs!$F$275+Operations!M636*Operations!M640/Inputs!$F$276+Operations!M636*Operations!M641/Inputs!$F$277</f>
        <v/>
      </c>
      <c r="N114" s="20">
        <f>Operations!N636*Operations!N639/Inputs!$F$275+Operations!N636*Operations!N640/Inputs!$F$276+Operations!N636*Operations!N641/Inputs!$F$277</f>
        <v/>
      </c>
      <c r="O114" s="20">
        <f>Operations!O636*Operations!O639/Inputs!$F$275+Operations!O636*Operations!O640/Inputs!$F$276+Operations!O636*Operations!O641/Inputs!$F$277</f>
        <v/>
      </c>
      <c r="P114" s="20">
        <f>Operations!P636*Operations!P639/Inputs!$F$275+Operations!P636*Operations!P640/Inputs!$F$276+Operations!P636*Operations!P641/Inputs!$F$277</f>
        <v/>
      </c>
      <c r="Q114" s="20">
        <f>Operations!Q636*Operations!Q639/Inputs!$F$275+Operations!Q636*Operations!Q640/Inputs!$F$276+Operations!Q636*Operations!Q641/Inputs!$F$277</f>
        <v/>
      </c>
      <c r="R114" s="20">
        <f>Operations!R636*Operations!R639/Inputs!$F$275+Operations!R636*Operations!R640/Inputs!$F$276+Operations!R636*Operations!R641/Inputs!$F$277</f>
        <v/>
      </c>
      <c r="S114" s="20">
        <f>Operations!S636*Operations!S639/Inputs!$F$275+Operations!S636*Operations!S640/Inputs!$F$276+Operations!S636*Operations!S641/Inputs!$F$277</f>
        <v/>
      </c>
      <c r="T114" s="20">
        <f>Operations!T636*Operations!T639/Inputs!$F$275+Operations!T636*Operations!T640/Inputs!$F$276+Operations!T636*Operations!T641/Inputs!$F$277</f>
        <v/>
      </c>
      <c r="U114" s="20">
        <f>Operations!U636*Operations!U639/Inputs!$F$275+Operations!U636*Operations!U640/Inputs!$F$276+Operations!U636*Operations!U641/Inputs!$F$277</f>
        <v/>
      </c>
      <c r="V114" s="20">
        <f>Operations!V636*Operations!V639/Inputs!$F$275+Operations!V636*Operations!V640/Inputs!$F$276+Operations!V636*Operations!V641/Inputs!$F$277</f>
        <v/>
      </c>
      <c r="W114" s="20">
        <f>Operations!W636*Operations!W639/Inputs!$F$275+Operations!W636*Operations!W640/Inputs!$F$276+Operations!W636*Operations!W641/Inputs!$F$277</f>
        <v/>
      </c>
      <c r="X114" s="20">
        <f>Operations!X636*Operations!X639/Inputs!$F$275+Operations!X636*Operations!X640/Inputs!$F$276+Operations!X636*Operations!X641/Inputs!$F$277</f>
        <v/>
      </c>
      <c r="Y114" s="20">
        <f>Operations!Y636*Operations!Y639/Inputs!$F$275+Operations!Y636*Operations!Y640/Inputs!$F$276+Operations!Y636*Operations!Y641/Inputs!$F$277</f>
        <v/>
      </c>
      <c r="Z114" s="20">
        <f>Operations!Z636*Operations!Z639/Inputs!$F$275+Operations!Z636*Operations!Z640/Inputs!$F$276+Operations!Z636*Operations!Z641/Inputs!$F$277</f>
        <v/>
      </c>
      <c r="AA114" s="20">
        <f>Operations!AA636*Operations!AA639/Inputs!$F$275+Operations!AA636*Operations!AA640/Inputs!$F$276+Operations!AA636*Operations!AA641/Inputs!$F$277</f>
        <v/>
      </c>
      <c r="AB114" s="20">
        <f>Operations!AB636*Operations!AB639/Inputs!$F$275+Operations!AB636*Operations!AB640/Inputs!$F$276+Operations!AB636*Operations!AB641/Inputs!$F$277</f>
        <v/>
      </c>
      <c r="AC114" s="20">
        <f>Operations!AC636*Operations!AC639/Inputs!$F$275+Operations!AC636*Operations!AC640/Inputs!$F$276+Operations!AC636*Operations!AC641/Inputs!$F$277</f>
        <v/>
      </c>
      <c r="AD114" s="20">
        <f>Operations!AD636*Operations!AD639/Inputs!$F$275+Operations!AD636*Operations!AD640/Inputs!$F$276+Operations!AD636*Operations!AD641/Inputs!$F$277</f>
        <v/>
      </c>
      <c r="AE114" s="20">
        <f>Operations!AE636*Operations!AE639/Inputs!$F$275+Operations!AE636*Operations!AE640/Inputs!$F$276+Operations!AE636*Operations!AE641/Inputs!$F$277</f>
        <v/>
      </c>
      <c r="AF114" s="20">
        <f>Operations!AF636*Operations!AF639/Inputs!$F$275+Operations!AF636*Operations!AF640/Inputs!$F$276+Operations!AF636*Operations!AF641/Inputs!$F$277</f>
        <v/>
      </c>
      <c r="AG114" s="20">
        <f>Operations!AG636*Operations!AG639/Inputs!$F$275+Operations!AG636*Operations!AG640/Inputs!$F$276+Operations!AG636*Operations!AG641/Inputs!$F$277</f>
        <v/>
      </c>
      <c r="AH114" s="20">
        <f>Operations!AH636*Operations!AH639/Inputs!$F$275+Operations!AH636*Operations!AH640/Inputs!$F$276+Operations!AH636*Operations!AH641/Inputs!$F$277</f>
        <v/>
      </c>
      <c r="AI114" s="20">
        <f>Operations!AI636*Operations!AI639/Inputs!$F$275+Operations!AI636*Operations!AI640/Inputs!$F$276+Operations!AI636*Operations!AI641/Inputs!$F$277</f>
        <v/>
      </c>
      <c r="AJ114" s="20">
        <f>Operations!AJ636*Operations!AJ639/Inputs!$F$275+Operations!AJ636*Operations!AJ640/Inputs!$F$276+Operations!AJ636*Operations!AJ641/Inputs!$F$277</f>
        <v/>
      </c>
      <c r="AK114" s="20">
        <f>Operations!AK636*Operations!AK639/Inputs!$F$275+Operations!AK636*Operations!AK640/Inputs!$F$276+Operations!AK636*Operations!AK641/Inputs!$F$277</f>
        <v/>
      </c>
      <c r="AL114" s="20">
        <f>Operations!AL636*Operations!AL639/Inputs!$F$275+Operations!AL636*Operations!AL640/Inputs!$F$276+Operations!AL636*Operations!AL641/Inputs!$F$277</f>
        <v/>
      </c>
      <c r="AM114" s="20">
        <f>Operations!AM636*Operations!AM639/Inputs!$F$275+Operations!AM636*Operations!AM640/Inputs!$F$276+Operations!AM636*Operations!AM641/Inputs!$F$277</f>
        <v/>
      </c>
      <c r="AN114" s="20">
        <f>Operations!AN636*Operations!AN639/Inputs!$F$275+Operations!AN636*Operations!AN640/Inputs!$F$276+Operations!AN636*Operations!AN641/Inputs!$F$277</f>
        <v/>
      </c>
      <c r="AO114" s="20">
        <f>Operations!AO636*Operations!AO639/Inputs!$F$275+Operations!AO636*Operations!AO640/Inputs!$F$276+Operations!AO636*Operations!AO641/Inputs!$F$277</f>
        <v/>
      </c>
      <c r="AP114" s="20">
        <f>Operations!AP636*Operations!AP639/Inputs!$F$275+Operations!AP636*Operations!AP640/Inputs!$F$276+Operations!AP636*Operations!AP641/Inputs!$F$277</f>
        <v/>
      </c>
      <c r="AQ114" s="20">
        <f>Operations!AQ636*Operations!AQ639/Inputs!$F$275+Operations!AQ636*Operations!AQ640/Inputs!$F$276+Operations!AQ636*Operations!AQ641/Inputs!$F$277</f>
        <v/>
      </c>
      <c r="AR114" s="20">
        <f>Operations!AR636*Operations!AR639/Inputs!$F$275+Operations!AR636*Operations!AR640/Inputs!$F$276+Operations!AR636*Operations!AR641/Inputs!$F$277</f>
        <v/>
      </c>
      <c r="AS114" s="20">
        <f>Operations!AS636*Operations!AS639/Inputs!$F$275+Operations!AS636*Operations!AS640/Inputs!$F$276+Operations!AS636*Operations!AS641/Inputs!$F$277</f>
        <v/>
      </c>
      <c r="AT114" s="20">
        <f>Operations!AT636*Operations!AT639/Inputs!$F$275+Operations!AT636*Operations!AT640/Inputs!$F$276+Operations!AT636*Operations!AT641/Inputs!$F$277</f>
        <v/>
      </c>
      <c r="AU114" s="20">
        <f>Operations!AU636*Operations!AU639/Inputs!$F$275+Operations!AU636*Operations!AU640/Inputs!$F$276+Operations!AU636*Operations!AU641/Inputs!$F$277</f>
        <v/>
      </c>
    </row>
    <row r="115">
      <c r="D115" t="inlineStr">
        <is>
          <t>PV of capacity, R5</t>
        </is>
      </c>
      <c r="E115" t="inlineStr">
        <is>
          <t>USD m</t>
        </is>
      </c>
      <c r="F115" s="20">
        <f>SUMPRODUCT(Funding!$J$114:$AU$114,Funding!$J$16:$AU$16,--(Funding!$J$8:$AU$8&gt;0))</f>
        <v/>
      </c>
    </row>
    <row r="116">
      <c r="D116" t="inlineStr">
        <is>
          <t>Allocated debt, R1</t>
        </is>
      </c>
      <c r="E116" t="inlineStr">
        <is>
          <t>USD m</t>
        </is>
      </c>
      <c r="F116" s="20">
        <f>Funding!$F$17*Funding!$F$107/(Funding!$F$107+Funding!$F$109+Funding!$F$111+Funding!$F$113+Funding!$F$115)</f>
        <v/>
      </c>
    </row>
    <row r="117">
      <c r="D117" t="inlineStr">
        <is>
          <t>Allocated debt, R2</t>
        </is>
      </c>
      <c r="E117" t="inlineStr">
        <is>
          <t>USD m</t>
        </is>
      </c>
      <c r="F117" s="20">
        <f>Funding!$F$17*Funding!$F$109/(Funding!$F$107+Funding!$F$109+Funding!$F$111+Funding!$F$113+Funding!$F$115)</f>
        <v/>
      </c>
    </row>
    <row r="118">
      <c r="D118" t="inlineStr">
        <is>
          <t>Allocated debt, R3</t>
        </is>
      </c>
      <c r="E118" t="inlineStr">
        <is>
          <t>USD m</t>
        </is>
      </c>
      <c r="F118" s="20">
        <f>Funding!$F$17*Funding!$F$111/(Funding!$F$107+Funding!$F$109+Funding!$F$111+Funding!$F$113+Funding!$F$115)</f>
        <v/>
      </c>
    </row>
    <row r="119">
      <c r="D119" t="inlineStr">
        <is>
          <t>Allocated debt, R4</t>
        </is>
      </c>
      <c r="E119" t="inlineStr">
        <is>
          <t>USD m</t>
        </is>
      </c>
      <c r="F119" s="20">
        <f>Funding!$F$17*Funding!$F$113/(Funding!$F$107+Funding!$F$109+Funding!$F$111+Funding!$F$113+Funding!$F$115)</f>
        <v/>
      </c>
    </row>
    <row r="120">
      <c r="D120" t="inlineStr">
        <is>
          <t>Allocated debt, R5</t>
        </is>
      </c>
      <c r="E120" t="inlineStr">
        <is>
          <t>USD m</t>
        </is>
      </c>
      <c r="F120" s="20">
        <f>Funding!$F$17*Funding!$F$115/(Funding!$F$107+Funding!$F$109+Funding!$F$111+Funding!$F$113+Funding!$F$115)</f>
        <v/>
      </c>
    </row>
    <row r="121">
      <c r="D121" t="inlineStr">
        <is>
          <t>R1 capacity, u</t>
        </is>
      </c>
      <c r="E121" t="inlineStr">
        <is>
          <t>USD m</t>
        </is>
      </c>
      <c r="J121" s="20">
        <f>Operations!J465*Operations!J468/Inputs!$F$316+Operations!J465*Operations!J469/Inputs!$F$317+Operations!J465*Operations!J470/Inputs!$F$318</f>
        <v/>
      </c>
      <c r="K121" s="20">
        <f>Operations!K465*Operations!K468/Inputs!$F$316+Operations!K465*Operations!K469/Inputs!$F$317+Operations!K465*Operations!K470/Inputs!$F$318</f>
        <v/>
      </c>
      <c r="L121" s="20">
        <f>Operations!L465*Operations!L468/Inputs!$F$316+Operations!L465*Operations!L469/Inputs!$F$317+Operations!L465*Operations!L470/Inputs!$F$318</f>
        <v/>
      </c>
      <c r="M121" s="20">
        <f>Operations!M465*Operations!M468/Inputs!$F$316+Operations!M465*Operations!M469/Inputs!$F$317+Operations!M465*Operations!M470/Inputs!$F$318</f>
        <v/>
      </c>
      <c r="N121" s="20">
        <f>Operations!N465*Operations!N468/Inputs!$F$316+Operations!N465*Operations!N469/Inputs!$F$317+Operations!N465*Operations!N470/Inputs!$F$318</f>
        <v/>
      </c>
      <c r="O121" s="20">
        <f>Operations!O465*Operations!O468/Inputs!$F$316+Operations!O465*Operations!O469/Inputs!$F$317+Operations!O465*Operations!O470/Inputs!$F$318</f>
        <v/>
      </c>
      <c r="P121" s="20">
        <f>Operations!P465*Operations!P468/Inputs!$F$316+Operations!P465*Operations!P469/Inputs!$F$317+Operations!P465*Operations!P470/Inputs!$F$318</f>
        <v/>
      </c>
      <c r="Q121" s="20">
        <f>Operations!Q465*Operations!Q468/Inputs!$F$316+Operations!Q465*Operations!Q469/Inputs!$F$317+Operations!Q465*Operations!Q470/Inputs!$F$318</f>
        <v/>
      </c>
      <c r="R121" s="20">
        <f>Operations!R465*Operations!R468/Inputs!$F$316+Operations!R465*Operations!R469/Inputs!$F$317+Operations!R465*Operations!R470/Inputs!$F$318</f>
        <v/>
      </c>
      <c r="S121" s="20">
        <f>Operations!S465*Operations!S468/Inputs!$F$316+Operations!S465*Operations!S469/Inputs!$F$317+Operations!S465*Operations!S470/Inputs!$F$318</f>
        <v/>
      </c>
      <c r="T121" s="20">
        <f>Operations!T465*Operations!T468/Inputs!$F$316+Operations!T465*Operations!T469/Inputs!$F$317+Operations!T465*Operations!T470/Inputs!$F$318</f>
        <v/>
      </c>
      <c r="U121" s="20">
        <f>Operations!U465*Operations!U468/Inputs!$F$316+Operations!U465*Operations!U469/Inputs!$F$317+Operations!U465*Operations!U470/Inputs!$F$318</f>
        <v/>
      </c>
      <c r="V121" s="20">
        <f>Operations!V465*Operations!V468/Inputs!$F$316+Operations!V465*Operations!V469/Inputs!$F$317+Operations!V465*Operations!V470/Inputs!$F$318</f>
        <v/>
      </c>
      <c r="W121" s="20">
        <f>Operations!W465*Operations!W468/Inputs!$F$316+Operations!W465*Operations!W469/Inputs!$F$317+Operations!W465*Operations!W470/Inputs!$F$318</f>
        <v/>
      </c>
      <c r="X121" s="20">
        <f>Operations!X465*Operations!X468/Inputs!$F$316+Operations!X465*Operations!X469/Inputs!$F$317+Operations!X465*Operations!X470/Inputs!$F$318</f>
        <v/>
      </c>
      <c r="Y121" s="20">
        <f>Operations!Y465*Operations!Y468/Inputs!$F$316+Operations!Y465*Operations!Y469/Inputs!$F$317+Operations!Y465*Operations!Y470/Inputs!$F$318</f>
        <v/>
      </c>
      <c r="Z121" s="20">
        <f>Operations!Z465*Operations!Z468/Inputs!$F$316+Operations!Z465*Operations!Z469/Inputs!$F$317+Operations!Z465*Operations!Z470/Inputs!$F$318</f>
        <v/>
      </c>
      <c r="AA121" s="20">
        <f>Operations!AA465*Operations!AA468/Inputs!$F$316+Operations!AA465*Operations!AA469/Inputs!$F$317+Operations!AA465*Operations!AA470/Inputs!$F$318</f>
        <v/>
      </c>
      <c r="AB121" s="20">
        <f>Operations!AB465*Operations!AB468/Inputs!$F$316+Operations!AB465*Operations!AB469/Inputs!$F$317+Operations!AB465*Operations!AB470/Inputs!$F$318</f>
        <v/>
      </c>
      <c r="AC121" s="20">
        <f>Operations!AC465*Operations!AC468/Inputs!$F$316+Operations!AC465*Operations!AC469/Inputs!$F$317+Operations!AC465*Operations!AC470/Inputs!$F$318</f>
        <v/>
      </c>
      <c r="AD121" s="20">
        <f>Operations!AD465*Operations!AD468/Inputs!$F$316+Operations!AD465*Operations!AD469/Inputs!$F$317+Operations!AD465*Operations!AD470/Inputs!$F$318</f>
        <v/>
      </c>
      <c r="AE121" s="20">
        <f>Operations!AE465*Operations!AE468/Inputs!$F$316+Operations!AE465*Operations!AE469/Inputs!$F$317+Operations!AE465*Operations!AE470/Inputs!$F$318</f>
        <v/>
      </c>
      <c r="AF121" s="20">
        <f>Operations!AF465*Operations!AF468/Inputs!$F$316+Operations!AF465*Operations!AF469/Inputs!$F$317+Operations!AF465*Operations!AF470/Inputs!$F$318</f>
        <v/>
      </c>
      <c r="AG121" s="20">
        <f>Operations!AG465*Operations!AG468/Inputs!$F$316+Operations!AG465*Operations!AG469/Inputs!$F$317+Operations!AG465*Operations!AG470/Inputs!$F$318</f>
        <v/>
      </c>
      <c r="AH121" s="20">
        <f>Operations!AH465*Operations!AH468/Inputs!$F$316+Operations!AH465*Operations!AH469/Inputs!$F$317+Operations!AH465*Operations!AH470/Inputs!$F$318</f>
        <v/>
      </c>
      <c r="AI121" s="20">
        <f>Operations!AI465*Operations!AI468/Inputs!$F$316+Operations!AI465*Operations!AI469/Inputs!$F$317+Operations!AI465*Operations!AI470/Inputs!$F$318</f>
        <v/>
      </c>
      <c r="AJ121" s="20">
        <f>Operations!AJ465*Operations!AJ468/Inputs!$F$316+Operations!AJ465*Operations!AJ469/Inputs!$F$317+Operations!AJ465*Operations!AJ470/Inputs!$F$318</f>
        <v/>
      </c>
      <c r="AK121" s="20">
        <f>Operations!AK465*Operations!AK468/Inputs!$F$316+Operations!AK465*Operations!AK469/Inputs!$F$317+Operations!AK465*Operations!AK470/Inputs!$F$318</f>
        <v/>
      </c>
      <c r="AL121" s="20">
        <f>Operations!AL465*Operations!AL468/Inputs!$F$316+Operations!AL465*Operations!AL469/Inputs!$F$317+Operations!AL465*Operations!AL470/Inputs!$F$318</f>
        <v/>
      </c>
      <c r="AM121" s="20">
        <f>Operations!AM465*Operations!AM468/Inputs!$F$316+Operations!AM465*Operations!AM469/Inputs!$F$317+Operations!AM465*Operations!AM470/Inputs!$F$318</f>
        <v/>
      </c>
      <c r="AN121" s="20">
        <f>Operations!AN465*Operations!AN468/Inputs!$F$316+Operations!AN465*Operations!AN469/Inputs!$F$317+Operations!AN465*Operations!AN470/Inputs!$F$318</f>
        <v/>
      </c>
      <c r="AO121" s="20">
        <f>Operations!AO465*Operations!AO468/Inputs!$F$316+Operations!AO465*Operations!AO469/Inputs!$F$317+Operations!AO465*Operations!AO470/Inputs!$F$318</f>
        <v/>
      </c>
      <c r="AP121" s="20">
        <f>Operations!AP465*Operations!AP468/Inputs!$F$316+Operations!AP465*Operations!AP469/Inputs!$F$317+Operations!AP465*Operations!AP470/Inputs!$F$318</f>
        <v/>
      </c>
      <c r="AQ121" s="20">
        <f>Operations!AQ465*Operations!AQ468/Inputs!$F$316+Operations!AQ465*Operations!AQ469/Inputs!$F$317+Operations!AQ465*Operations!AQ470/Inputs!$F$318</f>
        <v/>
      </c>
      <c r="AR121" s="20">
        <f>Operations!AR465*Operations!AR468/Inputs!$F$316+Operations!AR465*Operations!AR469/Inputs!$F$317+Operations!AR465*Operations!AR470/Inputs!$F$318</f>
        <v/>
      </c>
      <c r="AS121" s="20">
        <f>Operations!AS465*Operations!AS468/Inputs!$F$316+Operations!AS465*Operations!AS469/Inputs!$F$317+Operations!AS465*Operations!AS470/Inputs!$F$318</f>
        <v/>
      </c>
      <c r="AT121" s="20">
        <f>Operations!AT465*Operations!AT468/Inputs!$F$316+Operations!AT465*Operations!AT469/Inputs!$F$317+Operations!AT465*Operations!AT470/Inputs!$F$318</f>
        <v/>
      </c>
      <c r="AU121" s="20">
        <f>Operations!AU465*Operations!AU468/Inputs!$F$316+Operations!AU465*Operations!AU469/Inputs!$F$317+Operations!AU465*Operations!AU470/Inputs!$F$318</f>
        <v/>
      </c>
    </row>
    <row r="122">
      <c r="D122" t="inlineStr">
        <is>
          <t>PV of capacity, R1</t>
        </is>
      </c>
      <c r="E122" t="inlineStr">
        <is>
          <t>USD m</t>
        </is>
      </c>
      <c r="F122" s="20">
        <f>SUMPRODUCT(Funding!$J$121:$AU$121,Funding!$J$88:$AU$88,--(Funding!$J$69:$AU$69&gt;0))</f>
        <v/>
      </c>
    </row>
    <row r="123">
      <c r="D123" t="inlineStr">
        <is>
          <t>R2 capacity, u</t>
        </is>
      </c>
      <c r="E123" t="inlineStr">
        <is>
          <t>USD m</t>
        </is>
      </c>
      <c r="J123" s="20">
        <f>Operations!J507*Operations!J510/Inputs!$F$316+Operations!J507*Operations!J511/Inputs!$F$317+Operations!J507*Operations!J512/Inputs!$F$318</f>
        <v/>
      </c>
      <c r="K123" s="20">
        <f>Operations!K507*Operations!K510/Inputs!$F$316+Operations!K507*Operations!K511/Inputs!$F$317+Operations!K507*Operations!K512/Inputs!$F$318</f>
        <v/>
      </c>
      <c r="L123" s="20">
        <f>Operations!L507*Operations!L510/Inputs!$F$316+Operations!L507*Operations!L511/Inputs!$F$317+Operations!L507*Operations!L512/Inputs!$F$318</f>
        <v/>
      </c>
      <c r="M123" s="20">
        <f>Operations!M507*Operations!M510/Inputs!$F$316+Operations!M507*Operations!M511/Inputs!$F$317+Operations!M507*Operations!M512/Inputs!$F$318</f>
        <v/>
      </c>
      <c r="N123" s="20">
        <f>Operations!N507*Operations!N510/Inputs!$F$316+Operations!N507*Operations!N511/Inputs!$F$317+Operations!N507*Operations!N512/Inputs!$F$318</f>
        <v/>
      </c>
      <c r="O123" s="20">
        <f>Operations!O507*Operations!O510/Inputs!$F$316+Operations!O507*Operations!O511/Inputs!$F$317+Operations!O507*Operations!O512/Inputs!$F$318</f>
        <v/>
      </c>
      <c r="P123" s="20">
        <f>Operations!P507*Operations!P510/Inputs!$F$316+Operations!P507*Operations!P511/Inputs!$F$317+Operations!P507*Operations!P512/Inputs!$F$318</f>
        <v/>
      </c>
      <c r="Q123" s="20">
        <f>Operations!Q507*Operations!Q510/Inputs!$F$316+Operations!Q507*Operations!Q511/Inputs!$F$317+Operations!Q507*Operations!Q512/Inputs!$F$318</f>
        <v/>
      </c>
      <c r="R123" s="20">
        <f>Operations!R507*Operations!R510/Inputs!$F$316+Operations!R507*Operations!R511/Inputs!$F$317+Operations!R507*Operations!R512/Inputs!$F$318</f>
        <v/>
      </c>
      <c r="S123" s="20">
        <f>Operations!S507*Operations!S510/Inputs!$F$316+Operations!S507*Operations!S511/Inputs!$F$317+Operations!S507*Operations!S512/Inputs!$F$318</f>
        <v/>
      </c>
      <c r="T123" s="20">
        <f>Operations!T507*Operations!T510/Inputs!$F$316+Operations!T507*Operations!T511/Inputs!$F$317+Operations!T507*Operations!T512/Inputs!$F$318</f>
        <v/>
      </c>
      <c r="U123" s="20">
        <f>Operations!U507*Operations!U510/Inputs!$F$316+Operations!U507*Operations!U511/Inputs!$F$317+Operations!U507*Operations!U512/Inputs!$F$318</f>
        <v/>
      </c>
      <c r="V123" s="20">
        <f>Operations!V507*Operations!V510/Inputs!$F$316+Operations!V507*Operations!V511/Inputs!$F$317+Operations!V507*Operations!V512/Inputs!$F$318</f>
        <v/>
      </c>
      <c r="W123" s="20">
        <f>Operations!W507*Operations!W510/Inputs!$F$316+Operations!W507*Operations!W511/Inputs!$F$317+Operations!W507*Operations!W512/Inputs!$F$318</f>
        <v/>
      </c>
      <c r="X123" s="20">
        <f>Operations!X507*Operations!X510/Inputs!$F$316+Operations!X507*Operations!X511/Inputs!$F$317+Operations!X507*Operations!X512/Inputs!$F$318</f>
        <v/>
      </c>
      <c r="Y123" s="20">
        <f>Operations!Y507*Operations!Y510/Inputs!$F$316+Operations!Y507*Operations!Y511/Inputs!$F$317+Operations!Y507*Operations!Y512/Inputs!$F$318</f>
        <v/>
      </c>
      <c r="Z123" s="20">
        <f>Operations!Z507*Operations!Z510/Inputs!$F$316+Operations!Z507*Operations!Z511/Inputs!$F$317+Operations!Z507*Operations!Z512/Inputs!$F$318</f>
        <v/>
      </c>
      <c r="AA123" s="20">
        <f>Operations!AA507*Operations!AA510/Inputs!$F$316+Operations!AA507*Operations!AA511/Inputs!$F$317+Operations!AA507*Operations!AA512/Inputs!$F$318</f>
        <v/>
      </c>
      <c r="AB123" s="20">
        <f>Operations!AB507*Operations!AB510/Inputs!$F$316+Operations!AB507*Operations!AB511/Inputs!$F$317+Operations!AB507*Operations!AB512/Inputs!$F$318</f>
        <v/>
      </c>
      <c r="AC123" s="20">
        <f>Operations!AC507*Operations!AC510/Inputs!$F$316+Operations!AC507*Operations!AC511/Inputs!$F$317+Operations!AC507*Operations!AC512/Inputs!$F$318</f>
        <v/>
      </c>
      <c r="AD123" s="20">
        <f>Operations!AD507*Operations!AD510/Inputs!$F$316+Operations!AD507*Operations!AD511/Inputs!$F$317+Operations!AD507*Operations!AD512/Inputs!$F$318</f>
        <v/>
      </c>
      <c r="AE123" s="20">
        <f>Operations!AE507*Operations!AE510/Inputs!$F$316+Operations!AE507*Operations!AE511/Inputs!$F$317+Operations!AE507*Operations!AE512/Inputs!$F$318</f>
        <v/>
      </c>
      <c r="AF123" s="20">
        <f>Operations!AF507*Operations!AF510/Inputs!$F$316+Operations!AF507*Operations!AF511/Inputs!$F$317+Operations!AF507*Operations!AF512/Inputs!$F$318</f>
        <v/>
      </c>
      <c r="AG123" s="20">
        <f>Operations!AG507*Operations!AG510/Inputs!$F$316+Operations!AG507*Operations!AG511/Inputs!$F$317+Operations!AG507*Operations!AG512/Inputs!$F$318</f>
        <v/>
      </c>
      <c r="AH123" s="20">
        <f>Operations!AH507*Operations!AH510/Inputs!$F$316+Operations!AH507*Operations!AH511/Inputs!$F$317+Operations!AH507*Operations!AH512/Inputs!$F$318</f>
        <v/>
      </c>
      <c r="AI123" s="20">
        <f>Operations!AI507*Operations!AI510/Inputs!$F$316+Operations!AI507*Operations!AI511/Inputs!$F$317+Operations!AI507*Operations!AI512/Inputs!$F$318</f>
        <v/>
      </c>
      <c r="AJ123" s="20">
        <f>Operations!AJ507*Operations!AJ510/Inputs!$F$316+Operations!AJ507*Operations!AJ511/Inputs!$F$317+Operations!AJ507*Operations!AJ512/Inputs!$F$318</f>
        <v/>
      </c>
      <c r="AK123" s="20">
        <f>Operations!AK507*Operations!AK510/Inputs!$F$316+Operations!AK507*Operations!AK511/Inputs!$F$317+Operations!AK507*Operations!AK512/Inputs!$F$318</f>
        <v/>
      </c>
      <c r="AL123" s="20">
        <f>Operations!AL507*Operations!AL510/Inputs!$F$316+Operations!AL507*Operations!AL511/Inputs!$F$317+Operations!AL507*Operations!AL512/Inputs!$F$318</f>
        <v/>
      </c>
      <c r="AM123" s="20">
        <f>Operations!AM507*Operations!AM510/Inputs!$F$316+Operations!AM507*Operations!AM511/Inputs!$F$317+Operations!AM507*Operations!AM512/Inputs!$F$318</f>
        <v/>
      </c>
      <c r="AN123" s="20">
        <f>Operations!AN507*Operations!AN510/Inputs!$F$316+Operations!AN507*Operations!AN511/Inputs!$F$317+Operations!AN507*Operations!AN512/Inputs!$F$318</f>
        <v/>
      </c>
      <c r="AO123" s="20">
        <f>Operations!AO507*Operations!AO510/Inputs!$F$316+Operations!AO507*Operations!AO511/Inputs!$F$317+Operations!AO507*Operations!AO512/Inputs!$F$318</f>
        <v/>
      </c>
      <c r="AP123" s="20">
        <f>Operations!AP507*Operations!AP510/Inputs!$F$316+Operations!AP507*Operations!AP511/Inputs!$F$317+Operations!AP507*Operations!AP512/Inputs!$F$318</f>
        <v/>
      </c>
      <c r="AQ123" s="20">
        <f>Operations!AQ507*Operations!AQ510/Inputs!$F$316+Operations!AQ507*Operations!AQ511/Inputs!$F$317+Operations!AQ507*Operations!AQ512/Inputs!$F$318</f>
        <v/>
      </c>
      <c r="AR123" s="20">
        <f>Operations!AR507*Operations!AR510/Inputs!$F$316+Operations!AR507*Operations!AR511/Inputs!$F$317+Operations!AR507*Operations!AR512/Inputs!$F$318</f>
        <v/>
      </c>
      <c r="AS123" s="20">
        <f>Operations!AS507*Operations!AS510/Inputs!$F$316+Operations!AS507*Operations!AS511/Inputs!$F$317+Operations!AS507*Operations!AS512/Inputs!$F$318</f>
        <v/>
      </c>
      <c r="AT123" s="20">
        <f>Operations!AT507*Operations!AT510/Inputs!$F$316+Operations!AT507*Operations!AT511/Inputs!$F$317+Operations!AT507*Operations!AT512/Inputs!$F$318</f>
        <v/>
      </c>
      <c r="AU123" s="20">
        <f>Operations!AU507*Operations!AU510/Inputs!$F$316+Operations!AU507*Operations!AU511/Inputs!$F$317+Operations!AU507*Operations!AU512/Inputs!$F$318</f>
        <v/>
      </c>
    </row>
    <row r="124">
      <c r="D124" t="inlineStr">
        <is>
          <t>PV of capacity, R2</t>
        </is>
      </c>
      <c r="E124" t="inlineStr">
        <is>
          <t>USD m</t>
        </is>
      </c>
      <c r="F124" s="20">
        <f>SUMPRODUCT(Funding!$J$123:$AU$123,Funding!$J$88:$AU$88,--(Funding!$J$69:$AU$69&gt;0))</f>
        <v/>
      </c>
    </row>
    <row r="125">
      <c r="D125" t="inlineStr">
        <is>
          <t>R3 capacity, u</t>
        </is>
      </c>
      <c r="E125" t="inlineStr">
        <is>
          <t>USD m</t>
        </is>
      </c>
      <c r="J125" s="20">
        <f>Operations!J550*Operations!J553/Inputs!$F$316+Operations!J550*Operations!J554/Inputs!$F$317+Operations!J550*Operations!J555/Inputs!$F$318</f>
        <v/>
      </c>
      <c r="K125" s="20">
        <f>Operations!K550*Operations!K553/Inputs!$F$316+Operations!K550*Operations!K554/Inputs!$F$317+Operations!K550*Operations!K555/Inputs!$F$318</f>
        <v/>
      </c>
      <c r="L125" s="20">
        <f>Operations!L550*Operations!L553/Inputs!$F$316+Operations!L550*Operations!L554/Inputs!$F$317+Operations!L550*Operations!L555/Inputs!$F$318</f>
        <v/>
      </c>
      <c r="M125" s="20">
        <f>Operations!M550*Operations!M553/Inputs!$F$316+Operations!M550*Operations!M554/Inputs!$F$317+Operations!M550*Operations!M555/Inputs!$F$318</f>
        <v/>
      </c>
      <c r="N125" s="20">
        <f>Operations!N550*Operations!N553/Inputs!$F$316+Operations!N550*Operations!N554/Inputs!$F$317+Operations!N550*Operations!N555/Inputs!$F$318</f>
        <v/>
      </c>
      <c r="O125" s="20">
        <f>Operations!O550*Operations!O553/Inputs!$F$316+Operations!O550*Operations!O554/Inputs!$F$317+Operations!O550*Operations!O555/Inputs!$F$318</f>
        <v/>
      </c>
      <c r="P125" s="20">
        <f>Operations!P550*Operations!P553/Inputs!$F$316+Operations!P550*Operations!P554/Inputs!$F$317+Operations!P550*Operations!P555/Inputs!$F$318</f>
        <v/>
      </c>
      <c r="Q125" s="20">
        <f>Operations!Q550*Operations!Q553/Inputs!$F$316+Operations!Q550*Operations!Q554/Inputs!$F$317+Operations!Q550*Operations!Q555/Inputs!$F$318</f>
        <v/>
      </c>
      <c r="R125" s="20">
        <f>Operations!R550*Operations!R553/Inputs!$F$316+Operations!R550*Operations!R554/Inputs!$F$317+Operations!R550*Operations!R555/Inputs!$F$318</f>
        <v/>
      </c>
      <c r="S125" s="20">
        <f>Operations!S550*Operations!S553/Inputs!$F$316+Operations!S550*Operations!S554/Inputs!$F$317+Operations!S550*Operations!S555/Inputs!$F$318</f>
        <v/>
      </c>
      <c r="T125" s="20">
        <f>Operations!T550*Operations!T553/Inputs!$F$316+Operations!T550*Operations!T554/Inputs!$F$317+Operations!T550*Operations!T555/Inputs!$F$318</f>
        <v/>
      </c>
      <c r="U125" s="20">
        <f>Operations!U550*Operations!U553/Inputs!$F$316+Operations!U550*Operations!U554/Inputs!$F$317+Operations!U550*Operations!U555/Inputs!$F$318</f>
        <v/>
      </c>
      <c r="V125" s="20">
        <f>Operations!V550*Operations!V553/Inputs!$F$316+Operations!V550*Operations!V554/Inputs!$F$317+Operations!V550*Operations!V555/Inputs!$F$318</f>
        <v/>
      </c>
      <c r="W125" s="20">
        <f>Operations!W550*Operations!W553/Inputs!$F$316+Operations!W550*Operations!W554/Inputs!$F$317+Operations!W550*Operations!W555/Inputs!$F$318</f>
        <v/>
      </c>
      <c r="X125" s="20">
        <f>Operations!X550*Operations!X553/Inputs!$F$316+Operations!X550*Operations!X554/Inputs!$F$317+Operations!X550*Operations!X555/Inputs!$F$318</f>
        <v/>
      </c>
      <c r="Y125" s="20">
        <f>Operations!Y550*Operations!Y553/Inputs!$F$316+Operations!Y550*Operations!Y554/Inputs!$F$317+Operations!Y550*Operations!Y555/Inputs!$F$318</f>
        <v/>
      </c>
      <c r="Z125" s="20">
        <f>Operations!Z550*Operations!Z553/Inputs!$F$316+Operations!Z550*Operations!Z554/Inputs!$F$317+Operations!Z550*Operations!Z555/Inputs!$F$318</f>
        <v/>
      </c>
      <c r="AA125" s="20">
        <f>Operations!AA550*Operations!AA553/Inputs!$F$316+Operations!AA550*Operations!AA554/Inputs!$F$317+Operations!AA550*Operations!AA555/Inputs!$F$318</f>
        <v/>
      </c>
      <c r="AB125" s="20">
        <f>Operations!AB550*Operations!AB553/Inputs!$F$316+Operations!AB550*Operations!AB554/Inputs!$F$317+Operations!AB550*Operations!AB555/Inputs!$F$318</f>
        <v/>
      </c>
      <c r="AC125" s="20">
        <f>Operations!AC550*Operations!AC553/Inputs!$F$316+Operations!AC550*Operations!AC554/Inputs!$F$317+Operations!AC550*Operations!AC555/Inputs!$F$318</f>
        <v/>
      </c>
      <c r="AD125" s="20">
        <f>Operations!AD550*Operations!AD553/Inputs!$F$316+Operations!AD550*Operations!AD554/Inputs!$F$317+Operations!AD550*Operations!AD555/Inputs!$F$318</f>
        <v/>
      </c>
      <c r="AE125" s="20">
        <f>Operations!AE550*Operations!AE553/Inputs!$F$316+Operations!AE550*Operations!AE554/Inputs!$F$317+Operations!AE550*Operations!AE555/Inputs!$F$318</f>
        <v/>
      </c>
      <c r="AF125" s="20">
        <f>Operations!AF550*Operations!AF553/Inputs!$F$316+Operations!AF550*Operations!AF554/Inputs!$F$317+Operations!AF550*Operations!AF555/Inputs!$F$318</f>
        <v/>
      </c>
      <c r="AG125" s="20">
        <f>Operations!AG550*Operations!AG553/Inputs!$F$316+Operations!AG550*Operations!AG554/Inputs!$F$317+Operations!AG550*Operations!AG555/Inputs!$F$318</f>
        <v/>
      </c>
      <c r="AH125" s="20">
        <f>Operations!AH550*Operations!AH553/Inputs!$F$316+Operations!AH550*Operations!AH554/Inputs!$F$317+Operations!AH550*Operations!AH555/Inputs!$F$318</f>
        <v/>
      </c>
      <c r="AI125" s="20">
        <f>Operations!AI550*Operations!AI553/Inputs!$F$316+Operations!AI550*Operations!AI554/Inputs!$F$317+Operations!AI550*Operations!AI555/Inputs!$F$318</f>
        <v/>
      </c>
      <c r="AJ125" s="20">
        <f>Operations!AJ550*Operations!AJ553/Inputs!$F$316+Operations!AJ550*Operations!AJ554/Inputs!$F$317+Operations!AJ550*Operations!AJ555/Inputs!$F$318</f>
        <v/>
      </c>
      <c r="AK125" s="20">
        <f>Operations!AK550*Operations!AK553/Inputs!$F$316+Operations!AK550*Operations!AK554/Inputs!$F$317+Operations!AK550*Operations!AK555/Inputs!$F$318</f>
        <v/>
      </c>
      <c r="AL125" s="20">
        <f>Operations!AL550*Operations!AL553/Inputs!$F$316+Operations!AL550*Operations!AL554/Inputs!$F$317+Operations!AL550*Operations!AL555/Inputs!$F$318</f>
        <v/>
      </c>
      <c r="AM125" s="20">
        <f>Operations!AM550*Operations!AM553/Inputs!$F$316+Operations!AM550*Operations!AM554/Inputs!$F$317+Operations!AM550*Operations!AM555/Inputs!$F$318</f>
        <v/>
      </c>
      <c r="AN125" s="20">
        <f>Operations!AN550*Operations!AN553/Inputs!$F$316+Operations!AN550*Operations!AN554/Inputs!$F$317+Operations!AN550*Operations!AN555/Inputs!$F$318</f>
        <v/>
      </c>
      <c r="AO125" s="20">
        <f>Operations!AO550*Operations!AO553/Inputs!$F$316+Operations!AO550*Operations!AO554/Inputs!$F$317+Operations!AO550*Operations!AO555/Inputs!$F$318</f>
        <v/>
      </c>
      <c r="AP125" s="20">
        <f>Operations!AP550*Operations!AP553/Inputs!$F$316+Operations!AP550*Operations!AP554/Inputs!$F$317+Operations!AP550*Operations!AP555/Inputs!$F$318</f>
        <v/>
      </c>
      <c r="AQ125" s="20">
        <f>Operations!AQ550*Operations!AQ553/Inputs!$F$316+Operations!AQ550*Operations!AQ554/Inputs!$F$317+Operations!AQ550*Operations!AQ555/Inputs!$F$318</f>
        <v/>
      </c>
      <c r="AR125" s="20">
        <f>Operations!AR550*Operations!AR553/Inputs!$F$316+Operations!AR550*Operations!AR554/Inputs!$F$317+Operations!AR550*Operations!AR555/Inputs!$F$318</f>
        <v/>
      </c>
      <c r="AS125" s="20">
        <f>Operations!AS550*Operations!AS553/Inputs!$F$316+Operations!AS550*Operations!AS554/Inputs!$F$317+Operations!AS550*Operations!AS555/Inputs!$F$318</f>
        <v/>
      </c>
      <c r="AT125" s="20">
        <f>Operations!AT550*Operations!AT553/Inputs!$F$316+Operations!AT550*Operations!AT554/Inputs!$F$317+Operations!AT550*Operations!AT555/Inputs!$F$318</f>
        <v/>
      </c>
      <c r="AU125" s="20">
        <f>Operations!AU550*Operations!AU553/Inputs!$F$316+Operations!AU550*Operations!AU554/Inputs!$F$317+Operations!AU550*Operations!AU555/Inputs!$F$318</f>
        <v/>
      </c>
    </row>
    <row r="126">
      <c r="D126" t="inlineStr">
        <is>
          <t>PV of capacity, R3</t>
        </is>
      </c>
      <c r="E126" t="inlineStr">
        <is>
          <t>USD m</t>
        </is>
      </c>
      <c r="F126" s="20">
        <f>SUMPRODUCT(Funding!$J$125:$AU$125,Funding!$J$88:$AU$88,--(Funding!$J$69:$AU$69&gt;0))</f>
        <v/>
      </c>
    </row>
    <row r="127">
      <c r="D127" t="inlineStr">
        <is>
          <t>R4 capacity, u</t>
        </is>
      </c>
      <c r="E127" t="inlineStr">
        <is>
          <t>USD m</t>
        </is>
      </c>
      <c r="J127" s="20">
        <f>Operations!J593*Operations!J596/Inputs!$F$316+Operations!J593*Operations!J597/Inputs!$F$317+Operations!J593*Operations!J598/Inputs!$F$318</f>
        <v/>
      </c>
      <c r="K127" s="20">
        <f>Operations!K593*Operations!K596/Inputs!$F$316+Operations!K593*Operations!K597/Inputs!$F$317+Operations!K593*Operations!K598/Inputs!$F$318</f>
        <v/>
      </c>
      <c r="L127" s="20">
        <f>Operations!L593*Operations!L596/Inputs!$F$316+Operations!L593*Operations!L597/Inputs!$F$317+Operations!L593*Operations!L598/Inputs!$F$318</f>
        <v/>
      </c>
      <c r="M127" s="20">
        <f>Operations!M593*Operations!M596/Inputs!$F$316+Operations!M593*Operations!M597/Inputs!$F$317+Operations!M593*Operations!M598/Inputs!$F$318</f>
        <v/>
      </c>
      <c r="N127" s="20">
        <f>Operations!N593*Operations!N596/Inputs!$F$316+Operations!N593*Operations!N597/Inputs!$F$317+Operations!N593*Operations!N598/Inputs!$F$318</f>
        <v/>
      </c>
      <c r="O127" s="20">
        <f>Operations!O593*Operations!O596/Inputs!$F$316+Operations!O593*Operations!O597/Inputs!$F$317+Operations!O593*Operations!O598/Inputs!$F$318</f>
        <v/>
      </c>
      <c r="P127" s="20">
        <f>Operations!P593*Operations!P596/Inputs!$F$316+Operations!P593*Operations!P597/Inputs!$F$317+Operations!P593*Operations!P598/Inputs!$F$318</f>
        <v/>
      </c>
      <c r="Q127" s="20">
        <f>Operations!Q593*Operations!Q596/Inputs!$F$316+Operations!Q593*Operations!Q597/Inputs!$F$317+Operations!Q593*Operations!Q598/Inputs!$F$318</f>
        <v/>
      </c>
      <c r="R127" s="20">
        <f>Operations!R593*Operations!R596/Inputs!$F$316+Operations!R593*Operations!R597/Inputs!$F$317+Operations!R593*Operations!R598/Inputs!$F$318</f>
        <v/>
      </c>
      <c r="S127" s="20">
        <f>Operations!S593*Operations!S596/Inputs!$F$316+Operations!S593*Operations!S597/Inputs!$F$317+Operations!S593*Operations!S598/Inputs!$F$318</f>
        <v/>
      </c>
      <c r="T127" s="20">
        <f>Operations!T593*Operations!T596/Inputs!$F$316+Operations!T593*Operations!T597/Inputs!$F$317+Operations!T593*Operations!T598/Inputs!$F$318</f>
        <v/>
      </c>
      <c r="U127" s="20">
        <f>Operations!U593*Operations!U596/Inputs!$F$316+Operations!U593*Operations!U597/Inputs!$F$317+Operations!U593*Operations!U598/Inputs!$F$318</f>
        <v/>
      </c>
      <c r="V127" s="20">
        <f>Operations!V593*Operations!V596/Inputs!$F$316+Operations!V593*Operations!V597/Inputs!$F$317+Operations!V593*Operations!V598/Inputs!$F$318</f>
        <v/>
      </c>
      <c r="W127" s="20">
        <f>Operations!W593*Operations!W596/Inputs!$F$316+Operations!W593*Operations!W597/Inputs!$F$317+Operations!W593*Operations!W598/Inputs!$F$318</f>
        <v/>
      </c>
      <c r="X127" s="20">
        <f>Operations!X593*Operations!X596/Inputs!$F$316+Operations!X593*Operations!X597/Inputs!$F$317+Operations!X593*Operations!X598/Inputs!$F$318</f>
        <v/>
      </c>
      <c r="Y127" s="20">
        <f>Operations!Y593*Operations!Y596/Inputs!$F$316+Operations!Y593*Operations!Y597/Inputs!$F$317+Operations!Y593*Operations!Y598/Inputs!$F$318</f>
        <v/>
      </c>
      <c r="Z127" s="20">
        <f>Operations!Z593*Operations!Z596/Inputs!$F$316+Operations!Z593*Operations!Z597/Inputs!$F$317+Operations!Z593*Operations!Z598/Inputs!$F$318</f>
        <v/>
      </c>
      <c r="AA127" s="20">
        <f>Operations!AA593*Operations!AA596/Inputs!$F$316+Operations!AA593*Operations!AA597/Inputs!$F$317+Operations!AA593*Operations!AA598/Inputs!$F$318</f>
        <v/>
      </c>
      <c r="AB127" s="20">
        <f>Operations!AB593*Operations!AB596/Inputs!$F$316+Operations!AB593*Operations!AB597/Inputs!$F$317+Operations!AB593*Operations!AB598/Inputs!$F$318</f>
        <v/>
      </c>
      <c r="AC127" s="20">
        <f>Operations!AC593*Operations!AC596/Inputs!$F$316+Operations!AC593*Operations!AC597/Inputs!$F$317+Operations!AC593*Operations!AC598/Inputs!$F$318</f>
        <v/>
      </c>
      <c r="AD127" s="20">
        <f>Operations!AD593*Operations!AD596/Inputs!$F$316+Operations!AD593*Operations!AD597/Inputs!$F$317+Operations!AD593*Operations!AD598/Inputs!$F$318</f>
        <v/>
      </c>
      <c r="AE127" s="20">
        <f>Operations!AE593*Operations!AE596/Inputs!$F$316+Operations!AE593*Operations!AE597/Inputs!$F$317+Operations!AE593*Operations!AE598/Inputs!$F$318</f>
        <v/>
      </c>
      <c r="AF127" s="20">
        <f>Operations!AF593*Operations!AF596/Inputs!$F$316+Operations!AF593*Operations!AF597/Inputs!$F$317+Operations!AF593*Operations!AF598/Inputs!$F$318</f>
        <v/>
      </c>
      <c r="AG127" s="20">
        <f>Operations!AG593*Operations!AG596/Inputs!$F$316+Operations!AG593*Operations!AG597/Inputs!$F$317+Operations!AG593*Operations!AG598/Inputs!$F$318</f>
        <v/>
      </c>
      <c r="AH127" s="20">
        <f>Operations!AH593*Operations!AH596/Inputs!$F$316+Operations!AH593*Operations!AH597/Inputs!$F$317+Operations!AH593*Operations!AH598/Inputs!$F$318</f>
        <v/>
      </c>
      <c r="AI127" s="20">
        <f>Operations!AI593*Operations!AI596/Inputs!$F$316+Operations!AI593*Operations!AI597/Inputs!$F$317+Operations!AI593*Operations!AI598/Inputs!$F$318</f>
        <v/>
      </c>
      <c r="AJ127" s="20">
        <f>Operations!AJ593*Operations!AJ596/Inputs!$F$316+Operations!AJ593*Operations!AJ597/Inputs!$F$317+Operations!AJ593*Operations!AJ598/Inputs!$F$318</f>
        <v/>
      </c>
      <c r="AK127" s="20">
        <f>Operations!AK593*Operations!AK596/Inputs!$F$316+Operations!AK593*Operations!AK597/Inputs!$F$317+Operations!AK593*Operations!AK598/Inputs!$F$318</f>
        <v/>
      </c>
      <c r="AL127" s="20">
        <f>Operations!AL593*Operations!AL596/Inputs!$F$316+Operations!AL593*Operations!AL597/Inputs!$F$317+Operations!AL593*Operations!AL598/Inputs!$F$318</f>
        <v/>
      </c>
      <c r="AM127" s="20">
        <f>Operations!AM593*Operations!AM596/Inputs!$F$316+Operations!AM593*Operations!AM597/Inputs!$F$317+Operations!AM593*Operations!AM598/Inputs!$F$318</f>
        <v/>
      </c>
      <c r="AN127" s="20">
        <f>Operations!AN593*Operations!AN596/Inputs!$F$316+Operations!AN593*Operations!AN597/Inputs!$F$317+Operations!AN593*Operations!AN598/Inputs!$F$318</f>
        <v/>
      </c>
      <c r="AO127" s="20">
        <f>Operations!AO593*Operations!AO596/Inputs!$F$316+Operations!AO593*Operations!AO597/Inputs!$F$317+Operations!AO593*Operations!AO598/Inputs!$F$318</f>
        <v/>
      </c>
      <c r="AP127" s="20">
        <f>Operations!AP593*Operations!AP596/Inputs!$F$316+Operations!AP593*Operations!AP597/Inputs!$F$317+Operations!AP593*Operations!AP598/Inputs!$F$318</f>
        <v/>
      </c>
      <c r="AQ127" s="20">
        <f>Operations!AQ593*Operations!AQ596/Inputs!$F$316+Operations!AQ593*Operations!AQ597/Inputs!$F$317+Operations!AQ593*Operations!AQ598/Inputs!$F$318</f>
        <v/>
      </c>
      <c r="AR127" s="20">
        <f>Operations!AR593*Operations!AR596/Inputs!$F$316+Operations!AR593*Operations!AR597/Inputs!$F$317+Operations!AR593*Operations!AR598/Inputs!$F$318</f>
        <v/>
      </c>
      <c r="AS127" s="20">
        <f>Operations!AS593*Operations!AS596/Inputs!$F$316+Operations!AS593*Operations!AS597/Inputs!$F$317+Operations!AS593*Operations!AS598/Inputs!$F$318</f>
        <v/>
      </c>
      <c r="AT127" s="20">
        <f>Operations!AT593*Operations!AT596/Inputs!$F$316+Operations!AT593*Operations!AT597/Inputs!$F$317+Operations!AT593*Operations!AT598/Inputs!$F$318</f>
        <v/>
      </c>
      <c r="AU127" s="20">
        <f>Operations!AU593*Operations!AU596/Inputs!$F$316+Operations!AU593*Operations!AU597/Inputs!$F$317+Operations!AU593*Operations!AU598/Inputs!$F$318</f>
        <v/>
      </c>
    </row>
    <row r="128">
      <c r="D128" t="inlineStr">
        <is>
          <t>PV of capacity, R4</t>
        </is>
      </c>
      <c r="E128" t="inlineStr">
        <is>
          <t>USD m</t>
        </is>
      </c>
      <c r="F128" s="20">
        <f>SUMPRODUCT(Funding!$J$127:$AU$127,Funding!$J$88:$AU$88,--(Funding!$J$69:$AU$69&gt;0))</f>
        <v/>
      </c>
    </row>
    <row r="129">
      <c r="D129" t="inlineStr">
        <is>
          <t>R5 capacity, u</t>
        </is>
      </c>
      <c r="E129" t="inlineStr">
        <is>
          <t>USD m</t>
        </is>
      </c>
      <c r="J129" s="20">
        <f>Operations!J636*Operations!J639/Inputs!$F$316+Operations!J636*Operations!J640/Inputs!$F$317+Operations!J636*Operations!J641/Inputs!$F$318</f>
        <v/>
      </c>
      <c r="K129" s="20">
        <f>Operations!K636*Operations!K639/Inputs!$F$316+Operations!K636*Operations!K640/Inputs!$F$317+Operations!K636*Operations!K641/Inputs!$F$318</f>
        <v/>
      </c>
      <c r="L129" s="20">
        <f>Operations!L636*Operations!L639/Inputs!$F$316+Operations!L636*Operations!L640/Inputs!$F$317+Operations!L636*Operations!L641/Inputs!$F$318</f>
        <v/>
      </c>
      <c r="M129" s="20">
        <f>Operations!M636*Operations!M639/Inputs!$F$316+Operations!M636*Operations!M640/Inputs!$F$317+Operations!M636*Operations!M641/Inputs!$F$318</f>
        <v/>
      </c>
      <c r="N129" s="20">
        <f>Operations!N636*Operations!N639/Inputs!$F$316+Operations!N636*Operations!N640/Inputs!$F$317+Operations!N636*Operations!N641/Inputs!$F$318</f>
        <v/>
      </c>
      <c r="O129" s="20">
        <f>Operations!O636*Operations!O639/Inputs!$F$316+Operations!O636*Operations!O640/Inputs!$F$317+Operations!O636*Operations!O641/Inputs!$F$318</f>
        <v/>
      </c>
      <c r="P129" s="20">
        <f>Operations!P636*Operations!P639/Inputs!$F$316+Operations!P636*Operations!P640/Inputs!$F$317+Operations!P636*Operations!P641/Inputs!$F$318</f>
        <v/>
      </c>
      <c r="Q129" s="20">
        <f>Operations!Q636*Operations!Q639/Inputs!$F$316+Operations!Q636*Operations!Q640/Inputs!$F$317+Operations!Q636*Operations!Q641/Inputs!$F$318</f>
        <v/>
      </c>
      <c r="R129" s="20">
        <f>Operations!R636*Operations!R639/Inputs!$F$316+Operations!R636*Operations!R640/Inputs!$F$317+Operations!R636*Operations!R641/Inputs!$F$318</f>
        <v/>
      </c>
      <c r="S129" s="20">
        <f>Operations!S636*Operations!S639/Inputs!$F$316+Operations!S636*Operations!S640/Inputs!$F$317+Operations!S636*Operations!S641/Inputs!$F$318</f>
        <v/>
      </c>
      <c r="T129" s="20">
        <f>Operations!T636*Operations!T639/Inputs!$F$316+Operations!T636*Operations!T640/Inputs!$F$317+Operations!T636*Operations!T641/Inputs!$F$318</f>
        <v/>
      </c>
      <c r="U129" s="20">
        <f>Operations!U636*Operations!U639/Inputs!$F$316+Operations!U636*Operations!U640/Inputs!$F$317+Operations!U636*Operations!U641/Inputs!$F$318</f>
        <v/>
      </c>
      <c r="V129" s="20">
        <f>Operations!V636*Operations!V639/Inputs!$F$316+Operations!V636*Operations!V640/Inputs!$F$317+Operations!V636*Operations!V641/Inputs!$F$318</f>
        <v/>
      </c>
      <c r="W129" s="20">
        <f>Operations!W636*Operations!W639/Inputs!$F$316+Operations!W636*Operations!W640/Inputs!$F$317+Operations!W636*Operations!W641/Inputs!$F$318</f>
        <v/>
      </c>
      <c r="X129" s="20">
        <f>Operations!X636*Operations!X639/Inputs!$F$316+Operations!X636*Operations!X640/Inputs!$F$317+Operations!X636*Operations!X641/Inputs!$F$318</f>
        <v/>
      </c>
      <c r="Y129" s="20">
        <f>Operations!Y636*Operations!Y639/Inputs!$F$316+Operations!Y636*Operations!Y640/Inputs!$F$317+Operations!Y636*Operations!Y641/Inputs!$F$318</f>
        <v/>
      </c>
      <c r="Z129" s="20">
        <f>Operations!Z636*Operations!Z639/Inputs!$F$316+Operations!Z636*Operations!Z640/Inputs!$F$317+Operations!Z636*Operations!Z641/Inputs!$F$318</f>
        <v/>
      </c>
      <c r="AA129" s="20">
        <f>Operations!AA636*Operations!AA639/Inputs!$F$316+Operations!AA636*Operations!AA640/Inputs!$F$317+Operations!AA636*Operations!AA641/Inputs!$F$318</f>
        <v/>
      </c>
      <c r="AB129" s="20">
        <f>Operations!AB636*Operations!AB639/Inputs!$F$316+Operations!AB636*Operations!AB640/Inputs!$F$317+Operations!AB636*Operations!AB641/Inputs!$F$318</f>
        <v/>
      </c>
      <c r="AC129" s="20">
        <f>Operations!AC636*Operations!AC639/Inputs!$F$316+Operations!AC636*Operations!AC640/Inputs!$F$317+Operations!AC636*Operations!AC641/Inputs!$F$318</f>
        <v/>
      </c>
      <c r="AD129" s="20">
        <f>Operations!AD636*Operations!AD639/Inputs!$F$316+Operations!AD636*Operations!AD640/Inputs!$F$317+Operations!AD636*Operations!AD641/Inputs!$F$318</f>
        <v/>
      </c>
      <c r="AE129" s="20">
        <f>Operations!AE636*Operations!AE639/Inputs!$F$316+Operations!AE636*Operations!AE640/Inputs!$F$317+Operations!AE636*Operations!AE641/Inputs!$F$318</f>
        <v/>
      </c>
      <c r="AF129" s="20">
        <f>Operations!AF636*Operations!AF639/Inputs!$F$316+Operations!AF636*Operations!AF640/Inputs!$F$317+Operations!AF636*Operations!AF641/Inputs!$F$318</f>
        <v/>
      </c>
      <c r="AG129" s="20">
        <f>Operations!AG636*Operations!AG639/Inputs!$F$316+Operations!AG636*Operations!AG640/Inputs!$F$317+Operations!AG636*Operations!AG641/Inputs!$F$318</f>
        <v/>
      </c>
      <c r="AH129" s="20">
        <f>Operations!AH636*Operations!AH639/Inputs!$F$316+Operations!AH636*Operations!AH640/Inputs!$F$317+Operations!AH636*Operations!AH641/Inputs!$F$318</f>
        <v/>
      </c>
      <c r="AI129" s="20">
        <f>Operations!AI636*Operations!AI639/Inputs!$F$316+Operations!AI636*Operations!AI640/Inputs!$F$317+Operations!AI636*Operations!AI641/Inputs!$F$318</f>
        <v/>
      </c>
      <c r="AJ129" s="20">
        <f>Operations!AJ636*Operations!AJ639/Inputs!$F$316+Operations!AJ636*Operations!AJ640/Inputs!$F$317+Operations!AJ636*Operations!AJ641/Inputs!$F$318</f>
        <v/>
      </c>
      <c r="AK129" s="20">
        <f>Operations!AK636*Operations!AK639/Inputs!$F$316+Operations!AK636*Operations!AK640/Inputs!$F$317+Operations!AK636*Operations!AK641/Inputs!$F$318</f>
        <v/>
      </c>
      <c r="AL129" s="20">
        <f>Operations!AL636*Operations!AL639/Inputs!$F$316+Operations!AL636*Operations!AL640/Inputs!$F$317+Operations!AL636*Operations!AL641/Inputs!$F$318</f>
        <v/>
      </c>
      <c r="AM129" s="20">
        <f>Operations!AM636*Operations!AM639/Inputs!$F$316+Operations!AM636*Operations!AM640/Inputs!$F$317+Operations!AM636*Operations!AM641/Inputs!$F$318</f>
        <v/>
      </c>
      <c r="AN129" s="20">
        <f>Operations!AN636*Operations!AN639/Inputs!$F$316+Operations!AN636*Operations!AN640/Inputs!$F$317+Operations!AN636*Operations!AN641/Inputs!$F$318</f>
        <v/>
      </c>
      <c r="AO129" s="20">
        <f>Operations!AO636*Operations!AO639/Inputs!$F$316+Operations!AO636*Operations!AO640/Inputs!$F$317+Operations!AO636*Operations!AO641/Inputs!$F$318</f>
        <v/>
      </c>
      <c r="AP129" s="20">
        <f>Operations!AP636*Operations!AP639/Inputs!$F$316+Operations!AP636*Operations!AP640/Inputs!$F$317+Operations!AP636*Operations!AP641/Inputs!$F$318</f>
        <v/>
      </c>
      <c r="AQ129" s="20">
        <f>Operations!AQ636*Operations!AQ639/Inputs!$F$316+Operations!AQ636*Operations!AQ640/Inputs!$F$317+Operations!AQ636*Operations!AQ641/Inputs!$F$318</f>
        <v/>
      </c>
      <c r="AR129" s="20">
        <f>Operations!AR636*Operations!AR639/Inputs!$F$316+Operations!AR636*Operations!AR640/Inputs!$F$317+Operations!AR636*Operations!AR641/Inputs!$F$318</f>
        <v/>
      </c>
      <c r="AS129" s="20">
        <f>Operations!AS636*Operations!AS639/Inputs!$F$316+Operations!AS636*Operations!AS640/Inputs!$F$317+Operations!AS636*Operations!AS641/Inputs!$F$318</f>
        <v/>
      </c>
      <c r="AT129" s="20">
        <f>Operations!AT636*Operations!AT639/Inputs!$F$316+Operations!AT636*Operations!AT640/Inputs!$F$317+Operations!AT636*Operations!AT641/Inputs!$F$318</f>
        <v/>
      </c>
      <c r="AU129" s="20">
        <f>Operations!AU636*Operations!AU639/Inputs!$F$316+Operations!AU636*Operations!AU640/Inputs!$F$317+Operations!AU636*Operations!AU641/Inputs!$F$318</f>
        <v/>
      </c>
    </row>
    <row r="130">
      <c r="D130" t="inlineStr">
        <is>
          <t>PV of capacity, R5</t>
        </is>
      </c>
      <c r="E130" t="inlineStr">
        <is>
          <t>USD m</t>
        </is>
      </c>
      <c r="F130" s="20">
        <f>SUMPRODUCT(Funding!$J$129:$AU$129,Funding!$J$88:$AU$88,--(Funding!$J$69:$AU$69&gt;0))</f>
        <v/>
      </c>
    </row>
    <row r="131">
      <c r="D131" t="inlineStr">
        <is>
          <t>R6 capacity, u</t>
        </is>
      </c>
      <c r="E131" t="inlineStr">
        <is>
          <t>USD m</t>
        </is>
      </c>
      <c r="J131" s="20">
        <f>Operations!J668*Operations!J671/Inputs!$F$316+Operations!J668*Operations!J672/Inputs!$F$317+Operations!J668*Operations!J673/Inputs!$F$318</f>
        <v/>
      </c>
      <c r="K131" s="20">
        <f>Operations!K668*Operations!K671/Inputs!$F$316+Operations!K668*Operations!K672/Inputs!$F$317+Operations!K668*Operations!K673/Inputs!$F$318</f>
        <v/>
      </c>
      <c r="L131" s="20">
        <f>Operations!L668*Operations!L671/Inputs!$F$316+Operations!L668*Operations!L672/Inputs!$F$317+Operations!L668*Operations!L673/Inputs!$F$318</f>
        <v/>
      </c>
      <c r="M131" s="20">
        <f>Operations!M668*Operations!M671/Inputs!$F$316+Operations!M668*Operations!M672/Inputs!$F$317+Operations!M668*Operations!M673/Inputs!$F$318</f>
        <v/>
      </c>
      <c r="N131" s="20">
        <f>Operations!N668*Operations!N671/Inputs!$F$316+Operations!N668*Operations!N672/Inputs!$F$317+Operations!N668*Operations!N673/Inputs!$F$318</f>
        <v/>
      </c>
      <c r="O131" s="20">
        <f>Operations!O668*Operations!O671/Inputs!$F$316+Operations!O668*Operations!O672/Inputs!$F$317+Operations!O668*Operations!O673/Inputs!$F$318</f>
        <v/>
      </c>
      <c r="P131" s="20">
        <f>Operations!P668*Operations!P671/Inputs!$F$316+Operations!P668*Operations!P672/Inputs!$F$317+Operations!P668*Operations!P673/Inputs!$F$318</f>
        <v/>
      </c>
      <c r="Q131" s="20">
        <f>Operations!Q668*Operations!Q671/Inputs!$F$316+Operations!Q668*Operations!Q672/Inputs!$F$317+Operations!Q668*Operations!Q673/Inputs!$F$318</f>
        <v/>
      </c>
      <c r="R131" s="20">
        <f>Operations!R668*Operations!R671/Inputs!$F$316+Operations!R668*Operations!R672/Inputs!$F$317+Operations!R668*Operations!R673/Inputs!$F$318</f>
        <v/>
      </c>
      <c r="S131" s="20">
        <f>Operations!S668*Operations!S671/Inputs!$F$316+Operations!S668*Operations!S672/Inputs!$F$317+Operations!S668*Operations!S673/Inputs!$F$318</f>
        <v/>
      </c>
      <c r="T131" s="20">
        <f>Operations!T668*Operations!T671/Inputs!$F$316+Operations!T668*Operations!T672/Inputs!$F$317+Operations!T668*Operations!T673/Inputs!$F$318</f>
        <v/>
      </c>
      <c r="U131" s="20">
        <f>Operations!U668*Operations!U671/Inputs!$F$316+Operations!U668*Operations!U672/Inputs!$F$317+Operations!U668*Operations!U673/Inputs!$F$318</f>
        <v/>
      </c>
      <c r="V131" s="20">
        <f>Operations!V668*Operations!V671/Inputs!$F$316+Operations!V668*Operations!V672/Inputs!$F$317+Operations!V668*Operations!V673/Inputs!$F$318</f>
        <v/>
      </c>
      <c r="W131" s="20">
        <f>Operations!W668*Operations!W671/Inputs!$F$316+Operations!W668*Operations!W672/Inputs!$F$317+Operations!W668*Operations!W673/Inputs!$F$318</f>
        <v/>
      </c>
      <c r="X131" s="20">
        <f>Operations!X668*Operations!X671/Inputs!$F$316+Operations!X668*Operations!X672/Inputs!$F$317+Operations!X668*Operations!X673/Inputs!$F$318</f>
        <v/>
      </c>
      <c r="Y131" s="20">
        <f>Operations!Y668*Operations!Y671/Inputs!$F$316+Operations!Y668*Operations!Y672/Inputs!$F$317+Operations!Y668*Operations!Y673/Inputs!$F$318</f>
        <v/>
      </c>
      <c r="Z131" s="20">
        <f>Operations!Z668*Operations!Z671/Inputs!$F$316+Operations!Z668*Operations!Z672/Inputs!$F$317+Operations!Z668*Operations!Z673/Inputs!$F$318</f>
        <v/>
      </c>
      <c r="AA131" s="20">
        <f>Operations!AA668*Operations!AA671/Inputs!$F$316+Operations!AA668*Operations!AA672/Inputs!$F$317+Operations!AA668*Operations!AA673/Inputs!$F$318</f>
        <v/>
      </c>
      <c r="AB131" s="20">
        <f>Operations!AB668*Operations!AB671/Inputs!$F$316+Operations!AB668*Operations!AB672/Inputs!$F$317+Operations!AB668*Operations!AB673/Inputs!$F$318</f>
        <v/>
      </c>
      <c r="AC131" s="20">
        <f>Operations!AC668*Operations!AC671/Inputs!$F$316+Operations!AC668*Operations!AC672/Inputs!$F$317+Operations!AC668*Operations!AC673/Inputs!$F$318</f>
        <v/>
      </c>
      <c r="AD131" s="20">
        <f>Operations!AD668*Operations!AD671/Inputs!$F$316+Operations!AD668*Operations!AD672/Inputs!$F$317+Operations!AD668*Operations!AD673/Inputs!$F$318</f>
        <v/>
      </c>
      <c r="AE131" s="20">
        <f>Operations!AE668*Operations!AE671/Inputs!$F$316+Operations!AE668*Operations!AE672/Inputs!$F$317+Operations!AE668*Operations!AE673/Inputs!$F$318</f>
        <v/>
      </c>
      <c r="AF131" s="20">
        <f>Operations!AF668*Operations!AF671/Inputs!$F$316+Operations!AF668*Operations!AF672/Inputs!$F$317+Operations!AF668*Operations!AF673/Inputs!$F$318</f>
        <v/>
      </c>
      <c r="AG131" s="20">
        <f>Operations!AG668*Operations!AG671/Inputs!$F$316+Operations!AG668*Operations!AG672/Inputs!$F$317+Operations!AG668*Operations!AG673/Inputs!$F$318</f>
        <v/>
      </c>
      <c r="AH131" s="20">
        <f>Operations!AH668*Operations!AH671/Inputs!$F$316+Operations!AH668*Operations!AH672/Inputs!$F$317+Operations!AH668*Operations!AH673/Inputs!$F$318</f>
        <v/>
      </c>
      <c r="AI131" s="20">
        <f>Operations!AI668*Operations!AI671/Inputs!$F$316+Operations!AI668*Operations!AI672/Inputs!$F$317+Operations!AI668*Operations!AI673/Inputs!$F$318</f>
        <v/>
      </c>
      <c r="AJ131" s="20">
        <f>Operations!AJ668*Operations!AJ671/Inputs!$F$316+Operations!AJ668*Operations!AJ672/Inputs!$F$317+Operations!AJ668*Operations!AJ673/Inputs!$F$318</f>
        <v/>
      </c>
      <c r="AK131" s="20">
        <f>Operations!AK668*Operations!AK671/Inputs!$F$316+Operations!AK668*Operations!AK672/Inputs!$F$317+Operations!AK668*Operations!AK673/Inputs!$F$318</f>
        <v/>
      </c>
      <c r="AL131" s="20">
        <f>Operations!AL668*Operations!AL671/Inputs!$F$316+Operations!AL668*Operations!AL672/Inputs!$F$317+Operations!AL668*Operations!AL673/Inputs!$F$318</f>
        <v/>
      </c>
      <c r="AM131" s="20">
        <f>Operations!AM668*Operations!AM671/Inputs!$F$316+Operations!AM668*Operations!AM672/Inputs!$F$317+Operations!AM668*Operations!AM673/Inputs!$F$318</f>
        <v/>
      </c>
      <c r="AN131" s="20">
        <f>Operations!AN668*Operations!AN671/Inputs!$F$316+Operations!AN668*Operations!AN672/Inputs!$F$317+Operations!AN668*Operations!AN673/Inputs!$F$318</f>
        <v/>
      </c>
      <c r="AO131" s="20">
        <f>Operations!AO668*Operations!AO671/Inputs!$F$316+Operations!AO668*Operations!AO672/Inputs!$F$317+Operations!AO668*Operations!AO673/Inputs!$F$318</f>
        <v/>
      </c>
      <c r="AP131" s="20">
        <f>Operations!AP668*Operations!AP671/Inputs!$F$316+Operations!AP668*Operations!AP672/Inputs!$F$317+Operations!AP668*Operations!AP673/Inputs!$F$318</f>
        <v/>
      </c>
      <c r="AQ131" s="20">
        <f>Operations!AQ668*Operations!AQ671/Inputs!$F$316+Operations!AQ668*Operations!AQ672/Inputs!$F$317+Operations!AQ668*Operations!AQ673/Inputs!$F$318</f>
        <v/>
      </c>
      <c r="AR131" s="20">
        <f>Operations!AR668*Operations!AR671/Inputs!$F$316+Operations!AR668*Operations!AR672/Inputs!$F$317+Operations!AR668*Operations!AR673/Inputs!$F$318</f>
        <v/>
      </c>
      <c r="AS131" s="20">
        <f>Operations!AS668*Operations!AS671/Inputs!$F$316+Operations!AS668*Operations!AS672/Inputs!$F$317+Operations!AS668*Operations!AS673/Inputs!$F$318</f>
        <v/>
      </c>
      <c r="AT131" s="20">
        <f>Operations!AT668*Operations!AT671/Inputs!$F$316+Operations!AT668*Operations!AT672/Inputs!$F$317+Operations!AT668*Operations!AT673/Inputs!$F$318</f>
        <v/>
      </c>
      <c r="AU131" s="20">
        <f>Operations!AU668*Operations!AU671/Inputs!$F$316+Operations!AU668*Operations!AU672/Inputs!$F$317+Operations!AU668*Operations!AU673/Inputs!$F$318</f>
        <v/>
      </c>
    </row>
    <row r="132">
      <c r="D132" t="inlineStr">
        <is>
          <t>PV of capacity, R6</t>
        </is>
      </c>
      <c r="E132" t="inlineStr">
        <is>
          <t>USD m</t>
        </is>
      </c>
      <c r="F132" s="20">
        <f>SUMPRODUCT(Funding!$J$131:$AU$131,Funding!$J$88:$AU$88,--(Funding!$J$69:$AU$69&gt;0))</f>
        <v/>
      </c>
    </row>
    <row r="133">
      <c r="D133" t="inlineStr">
        <is>
          <t>R7 capacity, u</t>
        </is>
      </c>
      <c r="E133" t="inlineStr">
        <is>
          <t>USD m</t>
        </is>
      </c>
      <c r="J133" s="20">
        <f>Operations!J701*Operations!J704/Inputs!$F$316+Operations!J701*Operations!J705/Inputs!$F$317+Operations!J701*Operations!J706/Inputs!$F$318</f>
        <v/>
      </c>
      <c r="K133" s="20">
        <f>Operations!K701*Operations!K704/Inputs!$F$316+Operations!K701*Operations!K705/Inputs!$F$317+Operations!K701*Operations!K706/Inputs!$F$318</f>
        <v/>
      </c>
      <c r="L133" s="20">
        <f>Operations!L701*Operations!L704/Inputs!$F$316+Operations!L701*Operations!L705/Inputs!$F$317+Operations!L701*Operations!L706/Inputs!$F$318</f>
        <v/>
      </c>
      <c r="M133" s="20">
        <f>Operations!M701*Operations!M704/Inputs!$F$316+Operations!M701*Operations!M705/Inputs!$F$317+Operations!M701*Operations!M706/Inputs!$F$318</f>
        <v/>
      </c>
      <c r="N133" s="20">
        <f>Operations!N701*Operations!N704/Inputs!$F$316+Operations!N701*Operations!N705/Inputs!$F$317+Operations!N701*Operations!N706/Inputs!$F$318</f>
        <v/>
      </c>
      <c r="O133" s="20">
        <f>Operations!O701*Operations!O704/Inputs!$F$316+Operations!O701*Operations!O705/Inputs!$F$317+Operations!O701*Operations!O706/Inputs!$F$318</f>
        <v/>
      </c>
      <c r="P133" s="20">
        <f>Operations!P701*Operations!P704/Inputs!$F$316+Operations!P701*Operations!P705/Inputs!$F$317+Operations!P701*Operations!P706/Inputs!$F$318</f>
        <v/>
      </c>
      <c r="Q133" s="20">
        <f>Operations!Q701*Operations!Q704/Inputs!$F$316+Operations!Q701*Operations!Q705/Inputs!$F$317+Operations!Q701*Operations!Q706/Inputs!$F$318</f>
        <v/>
      </c>
      <c r="R133" s="20">
        <f>Operations!R701*Operations!R704/Inputs!$F$316+Operations!R701*Operations!R705/Inputs!$F$317+Operations!R701*Operations!R706/Inputs!$F$318</f>
        <v/>
      </c>
      <c r="S133" s="20">
        <f>Operations!S701*Operations!S704/Inputs!$F$316+Operations!S701*Operations!S705/Inputs!$F$317+Operations!S701*Operations!S706/Inputs!$F$318</f>
        <v/>
      </c>
      <c r="T133" s="20">
        <f>Operations!T701*Operations!T704/Inputs!$F$316+Operations!T701*Operations!T705/Inputs!$F$317+Operations!T701*Operations!T706/Inputs!$F$318</f>
        <v/>
      </c>
      <c r="U133" s="20">
        <f>Operations!U701*Operations!U704/Inputs!$F$316+Operations!U701*Operations!U705/Inputs!$F$317+Operations!U701*Operations!U706/Inputs!$F$318</f>
        <v/>
      </c>
      <c r="V133" s="20">
        <f>Operations!V701*Operations!V704/Inputs!$F$316+Operations!V701*Operations!V705/Inputs!$F$317+Operations!V701*Operations!V706/Inputs!$F$318</f>
        <v/>
      </c>
      <c r="W133" s="20">
        <f>Operations!W701*Operations!W704/Inputs!$F$316+Operations!W701*Operations!W705/Inputs!$F$317+Operations!W701*Operations!W706/Inputs!$F$318</f>
        <v/>
      </c>
      <c r="X133" s="20">
        <f>Operations!X701*Operations!X704/Inputs!$F$316+Operations!X701*Operations!X705/Inputs!$F$317+Operations!X701*Operations!X706/Inputs!$F$318</f>
        <v/>
      </c>
      <c r="Y133" s="20">
        <f>Operations!Y701*Operations!Y704/Inputs!$F$316+Operations!Y701*Operations!Y705/Inputs!$F$317+Operations!Y701*Operations!Y706/Inputs!$F$318</f>
        <v/>
      </c>
      <c r="Z133" s="20">
        <f>Operations!Z701*Operations!Z704/Inputs!$F$316+Operations!Z701*Operations!Z705/Inputs!$F$317+Operations!Z701*Operations!Z706/Inputs!$F$318</f>
        <v/>
      </c>
      <c r="AA133" s="20">
        <f>Operations!AA701*Operations!AA704/Inputs!$F$316+Operations!AA701*Operations!AA705/Inputs!$F$317+Operations!AA701*Operations!AA706/Inputs!$F$318</f>
        <v/>
      </c>
      <c r="AB133" s="20">
        <f>Operations!AB701*Operations!AB704/Inputs!$F$316+Operations!AB701*Operations!AB705/Inputs!$F$317+Operations!AB701*Operations!AB706/Inputs!$F$318</f>
        <v/>
      </c>
      <c r="AC133" s="20">
        <f>Operations!AC701*Operations!AC704/Inputs!$F$316+Operations!AC701*Operations!AC705/Inputs!$F$317+Operations!AC701*Operations!AC706/Inputs!$F$318</f>
        <v/>
      </c>
      <c r="AD133" s="20">
        <f>Operations!AD701*Operations!AD704/Inputs!$F$316+Operations!AD701*Operations!AD705/Inputs!$F$317+Operations!AD701*Operations!AD706/Inputs!$F$318</f>
        <v/>
      </c>
      <c r="AE133" s="20">
        <f>Operations!AE701*Operations!AE704/Inputs!$F$316+Operations!AE701*Operations!AE705/Inputs!$F$317+Operations!AE701*Operations!AE706/Inputs!$F$318</f>
        <v/>
      </c>
      <c r="AF133" s="20">
        <f>Operations!AF701*Operations!AF704/Inputs!$F$316+Operations!AF701*Operations!AF705/Inputs!$F$317+Operations!AF701*Operations!AF706/Inputs!$F$318</f>
        <v/>
      </c>
      <c r="AG133" s="20">
        <f>Operations!AG701*Operations!AG704/Inputs!$F$316+Operations!AG701*Operations!AG705/Inputs!$F$317+Operations!AG701*Operations!AG706/Inputs!$F$318</f>
        <v/>
      </c>
      <c r="AH133" s="20">
        <f>Operations!AH701*Operations!AH704/Inputs!$F$316+Operations!AH701*Operations!AH705/Inputs!$F$317+Operations!AH701*Operations!AH706/Inputs!$F$318</f>
        <v/>
      </c>
      <c r="AI133" s="20">
        <f>Operations!AI701*Operations!AI704/Inputs!$F$316+Operations!AI701*Operations!AI705/Inputs!$F$317+Operations!AI701*Operations!AI706/Inputs!$F$318</f>
        <v/>
      </c>
      <c r="AJ133" s="20">
        <f>Operations!AJ701*Operations!AJ704/Inputs!$F$316+Operations!AJ701*Operations!AJ705/Inputs!$F$317+Operations!AJ701*Operations!AJ706/Inputs!$F$318</f>
        <v/>
      </c>
      <c r="AK133" s="20">
        <f>Operations!AK701*Operations!AK704/Inputs!$F$316+Operations!AK701*Operations!AK705/Inputs!$F$317+Operations!AK701*Operations!AK706/Inputs!$F$318</f>
        <v/>
      </c>
      <c r="AL133" s="20">
        <f>Operations!AL701*Operations!AL704/Inputs!$F$316+Operations!AL701*Operations!AL705/Inputs!$F$317+Operations!AL701*Operations!AL706/Inputs!$F$318</f>
        <v/>
      </c>
      <c r="AM133" s="20">
        <f>Operations!AM701*Operations!AM704/Inputs!$F$316+Operations!AM701*Operations!AM705/Inputs!$F$317+Operations!AM701*Operations!AM706/Inputs!$F$318</f>
        <v/>
      </c>
      <c r="AN133" s="20">
        <f>Operations!AN701*Operations!AN704/Inputs!$F$316+Operations!AN701*Operations!AN705/Inputs!$F$317+Operations!AN701*Operations!AN706/Inputs!$F$318</f>
        <v/>
      </c>
      <c r="AO133" s="20">
        <f>Operations!AO701*Operations!AO704/Inputs!$F$316+Operations!AO701*Operations!AO705/Inputs!$F$317+Operations!AO701*Operations!AO706/Inputs!$F$318</f>
        <v/>
      </c>
      <c r="AP133" s="20">
        <f>Operations!AP701*Operations!AP704/Inputs!$F$316+Operations!AP701*Operations!AP705/Inputs!$F$317+Operations!AP701*Operations!AP706/Inputs!$F$318</f>
        <v/>
      </c>
      <c r="AQ133" s="20">
        <f>Operations!AQ701*Operations!AQ704/Inputs!$F$316+Operations!AQ701*Operations!AQ705/Inputs!$F$317+Operations!AQ701*Operations!AQ706/Inputs!$F$318</f>
        <v/>
      </c>
      <c r="AR133" s="20">
        <f>Operations!AR701*Operations!AR704/Inputs!$F$316+Operations!AR701*Operations!AR705/Inputs!$F$317+Operations!AR701*Operations!AR706/Inputs!$F$318</f>
        <v/>
      </c>
      <c r="AS133" s="20">
        <f>Operations!AS701*Operations!AS704/Inputs!$F$316+Operations!AS701*Operations!AS705/Inputs!$F$317+Operations!AS701*Operations!AS706/Inputs!$F$318</f>
        <v/>
      </c>
      <c r="AT133" s="20">
        <f>Operations!AT701*Operations!AT704/Inputs!$F$316+Operations!AT701*Operations!AT705/Inputs!$F$317+Operations!AT701*Operations!AT706/Inputs!$F$318</f>
        <v/>
      </c>
      <c r="AU133" s="20">
        <f>Operations!AU701*Operations!AU704/Inputs!$F$316+Operations!AU701*Operations!AU705/Inputs!$F$317+Operations!AU701*Operations!AU706/Inputs!$F$318</f>
        <v/>
      </c>
    </row>
    <row r="134">
      <c r="D134" t="inlineStr">
        <is>
          <t>PV of capacity, R7</t>
        </is>
      </c>
      <c r="E134" t="inlineStr">
        <is>
          <t>USD m</t>
        </is>
      </c>
      <c r="F134" s="20">
        <f>SUMPRODUCT(Funding!$J$133:$AU$133,Funding!$J$88:$AU$88,--(Funding!$J$69:$AU$69&gt;0))</f>
        <v/>
      </c>
    </row>
    <row r="135">
      <c r="D135" t="inlineStr">
        <is>
          <t>R8 capacity, u</t>
        </is>
      </c>
      <c r="E135" t="inlineStr">
        <is>
          <t>USD m</t>
        </is>
      </c>
      <c r="J135" s="20">
        <f>Operations!J743*Operations!J746/Inputs!$F$316+Operations!J743*Operations!J747/Inputs!$F$317+Operations!J743*Operations!J748/Inputs!$F$318</f>
        <v/>
      </c>
      <c r="K135" s="20">
        <f>Operations!K743*Operations!K746/Inputs!$F$316+Operations!K743*Operations!K747/Inputs!$F$317+Operations!K743*Operations!K748/Inputs!$F$318</f>
        <v/>
      </c>
      <c r="L135" s="20">
        <f>Operations!L743*Operations!L746/Inputs!$F$316+Operations!L743*Operations!L747/Inputs!$F$317+Operations!L743*Operations!L748/Inputs!$F$318</f>
        <v/>
      </c>
      <c r="M135" s="20">
        <f>Operations!M743*Operations!M746/Inputs!$F$316+Operations!M743*Operations!M747/Inputs!$F$317+Operations!M743*Operations!M748/Inputs!$F$318</f>
        <v/>
      </c>
      <c r="N135" s="20">
        <f>Operations!N743*Operations!N746/Inputs!$F$316+Operations!N743*Operations!N747/Inputs!$F$317+Operations!N743*Operations!N748/Inputs!$F$318</f>
        <v/>
      </c>
      <c r="O135" s="20">
        <f>Operations!O743*Operations!O746/Inputs!$F$316+Operations!O743*Operations!O747/Inputs!$F$317+Operations!O743*Operations!O748/Inputs!$F$318</f>
        <v/>
      </c>
      <c r="P135" s="20">
        <f>Operations!P743*Operations!P746/Inputs!$F$316+Operations!P743*Operations!P747/Inputs!$F$317+Operations!P743*Operations!P748/Inputs!$F$318</f>
        <v/>
      </c>
      <c r="Q135" s="20">
        <f>Operations!Q743*Operations!Q746/Inputs!$F$316+Operations!Q743*Operations!Q747/Inputs!$F$317+Operations!Q743*Operations!Q748/Inputs!$F$318</f>
        <v/>
      </c>
      <c r="R135" s="20">
        <f>Operations!R743*Operations!R746/Inputs!$F$316+Operations!R743*Operations!R747/Inputs!$F$317+Operations!R743*Operations!R748/Inputs!$F$318</f>
        <v/>
      </c>
      <c r="S135" s="20">
        <f>Operations!S743*Operations!S746/Inputs!$F$316+Operations!S743*Operations!S747/Inputs!$F$317+Operations!S743*Operations!S748/Inputs!$F$318</f>
        <v/>
      </c>
      <c r="T135" s="20">
        <f>Operations!T743*Operations!T746/Inputs!$F$316+Operations!T743*Operations!T747/Inputs!$F$317+Operations!T743*Operations!T748/Inputs!$F$318</f>
        <v/>
      </c>
      <c r="U135" s="20">
        <f>Operations!U743*Operations!U746/Inputs!$F$316+Operations!U743*Operations!U747/Inputs!$F$317+Operations!U743*Operations!U748/Inputs!$F$318</f>
        <v/>
      </c>
      <c r="V135" s="20">
        <f>Operations!V743*Operations!V746/Inputs!$F$316+Operations!V743*Operations!V747/Inputs!$F$317+Operations!V743*Operations!V748/Inputs!$F$318</f>
        <v/>
      </c>
      <c r="W135" s="20">
        <f>Operations!W743*Operations!W746/Inputs!$F$316+Operations!W743*Operations!W747/Inputs!$F$317+Operations!W743*Operations!W748/Inputs!$F$318</f>
        <v/>
      </c>
      <c r="X135" s="20">
        <f>Operations!X743*Operations!X746/Inputs!$F$316+Operations!X743*Operations!X747/Inputs!$F$317+Operations!X743*Operations!X748/Inputs!$F$318</f>
        <v/>
      </c>
      <c r="Y135" s="20">
        <f>Operations!Y743*Operations!Y746/Inputs!$F$316+Operations!Y743*Operations!Y747/Inputs!$F$317+Operations!Y743*Operations!Y748/Inputs!$F$318</f>
        <v/>
      </c>
      <c r="Z135" s="20">
        <f>Operations!Z743*Operations!Z746/Inputs!$F$316+Operations!Z743*Operations!Z747/Inputs!$F$317+Operations!Z743*Operations!Z748/Inputs!$F$318</f>
        <v/>
      </c>
      <c r="AA135" s="20">
        <f>Operations!AA743*Operations!AA746/Inputs!$F$316+Operations!AA743*Operations!AA747/Inputs!$F$317+Operations!AA743*Operations!AA748/Inputs!$F$318</f>
        <v/>
      </c>
      <c r="AB135" s="20">
        <f>Operations!AB743*Operations!AB746/Inputs!$F$316+Operations!AB743*Operations!AB747/Inputs!$F$317+Operations!AB743*Operations!AB748/Inputs!$F$318</f>
        <v/>
      </c>
      <c r="AC135" s="20">
        <f>Operations!AC743*Operations!AC746/Inputs!$F$316+Operations!AC743*Operations!AC747/Inputs!$F$317+Operations!AC743*Operations!AC748/Inputs!$F$318</f>
        <v/>
      </c>
      <c r="AD135" s="20">
        <f>Operations!AD743*Operations!AD746/Inputs!$F$316+Operations!AD743*Operations!AD747/Inputs!$F$317+Operations!AD743*Operations!AD748/Inputs!$F$318</f>
        <v/>
      </c>
      <c r="AE135" s="20">
        <f>Operations!AE743*Operations!AE746/Inputs!$F$316+Operations!AE743*Operations!AE747/Inputs!$F$317+Operations!AE743*Operations!AE748/Inputs!$F$318</f>
        <v/>
      </c>
      <c r="AF135" s="20">
        <f>Operations!AF743*Operations!AF746/Inputs!$F$316+Operations!AF743*Operations!AF747/Inputs!$F$317+Operations!AF743*Operations!AF748/Inputs!$F$318</f>
        <v/>
      </c>
      <c r="AG135" s="20">
        <f>Operations!AG743*Operations!AG746/Inputs!$F$316+Operations!AG743*Operations!AG747/Inputs!$F$317+Operations!AG743*Operations!AG748/Inputs!$F$318</f>
        <v/>
      </c>
      <c r="AH135" s="20">
        <f>Operations!AH743*Operations!AH746/Inputs!$F$316+Operations!AH743*Operations!AH747/Inputs!$F$317+Operations!AH743*Operations!AH748/Inputs!$F$318</f>
        <v/>
      </c>
      <c r="AI135" s="20">
        <f>Operations!AI743*Operations!AI746/Inputs!$F$316+Operations!AI743*Operations!AI747/Inputs!$F$317+Operations!AI743*Operations!AI748/Inputs!$F$318</f>
        <v/>
      </c>
      <c r="AJ135" s="20">
        <f>Operations!AJ743*Operations!AJ746/Inputs!$F$316+Operations!AJ743*Operations!AJ747/Inputs!$F$317+Operations!AJ743*Operations!AJ748/Inputs!$F$318</f>
        <v/>
      </c>
      <c r="AK135" s="20">
        <f>Operations!AK743*Operations!AK746/Inputs!$F$316+Operations!AK743*Operations!AK747/Inputs!$F$317+Operations!AK743*Operations!AK748/Inputs!$F$318</f>
        <v/>
      </c>
      <c r="AL135" s="20">
        <f>Operations!AL743*Operations!AL746/Inputs!$F$316+Operations!AL743*Operations!AL747/Inputs!$F$317+Operations!AL743*Operations!AL748/Inputs!$F$318</f>
        <v/>
      </c>
      <c r="AM135" s="20">
        <f>Operations!AM743*Operations!AM746/Inputs!$F$316+Operations!AM743*Operations!AM747/Inputs!$F$317+Operations!AM743*Operations!AM748/Inputs!$F$318</f>
        <v/>
      </c>
      <c r="AN135" s="20">
        <f>Operations!AN743*Operations!AN746/Inputs!$F$316+Operations!AN743*Operations!AN747/Inputs!$F$317+Operations!AN743*Operations!AN748/Inputs!$F$318</f>
        <v/>
      </c>
      <c r="AO135" s="20">
        <f>Operations!AO743*Operations!AO746/Inputs!$F$316+Operations!AO743*Operations!AO747/Inputs!$F$317+Operations!AO743*Operations!AO748/Inputs!$F$318</f>
        <v/>
      </c>
      <c r="AP135" s="20">
        <f>Operations!AP743*Operations!AP746/Inputs!$F$316+Operations!AP743*Operations!AP747/Inputs!$F$317+Operations!AP743*Operations!AP748/Inputs!$F$318</f>
        <v/>
      </c>
      <c r="AQ135" s="20">
        <f>Operations!AQ743*Operations!AQ746/Inputs!$F$316+Operations!AQ743*Operations!AQ747/Inputs!$F$317+Operations!AQ743*Operations!AQ748/Inputs!$F$318</f>
        <v/>
      </c>
      <c r="AR135" s="20">
        <f>Operations!AR743*Operations!AR746/Inputs!$F$316+Operations!AR743*Operations!AR747/Inputs!$F$317+Operations!AR743*Operations!AR748/Inputs!$F$318</f>
        <v/>
      </c>
      <c r="AS135" s="20">
        <f>Operations!AS743*Operations!AS746/Inputs!$F$316+Operations!AS743*Operations!AS747/Inputs!$F$317+Operations!AS743*Operations!AS748/Inputs!$F$318</f>
        <v/>
      </c>
      <c r="AT135" s="20">
        <f>Operations!AT743*Operations!AT746/Inputs!$F$316+Operations!AT743*Operations!AT747/Inputs!$F$317+Operations!AT743*Operations!AT748/Inputs!$F$318</f>
        <v/>
      </c>
      <c r="AU135" s="20">
        <f>Operations!AU743*Operations!AU746/Inputs!$F$316+Operations!AU743*Operations!AU747/Inputs!$F$317+Operations!AU743*Operations!AU748/Inputs!$F$318</f>
        <v/>
      </c>
    </row>
    <row r="136">
      <c r="D136" t="inlineStr">
        <is>
          <t>PV of capacity, R8</t>
        </is>
      </c>
      <c r="E136" t="inlineStr">
        <is>
          <t>USD m</t>
        </is>
      </c>
      <c r="F136" s="20">
        <f>SUMPRODUCT(Funding!$J$135:$AU$135,Funding!$J$88:$AU$88,--(Funding!$J$69:$AU$69&gt;0))</f>
        <v/>
      </c>
    </row>
    <row r="137">
      <c r="D137" t="inlineStr">
        <is>
          <t>Allocated debt, R1</t>
        </is>
      </c>
      <c r="E137" t="inlineStr">
        <is>
          <t>USD m</t>
        </is>
      </c>
      <c r="F137" s="20">
        <f>Funding!$F$83*Funding!$F$122/(Funding!$F$122+Funding!$F$124+Funding!$F$126+Funding!$F$128+Funding!$F$130+Funding!$F$132+Funding!$F$134+Funding!$F$136)</f>
        <v/>
      </c>
    </row>
    <row r="138">
      <c r="D138" t="inlineStr">
        <is>
          <t>Allocated debt, R2</t>
        </is>
      </c>
      <c r="E138" t="inlineStr">
        <is>
          <t>USD m</t>
        </is>
      </c>
      <c r="F138" s="20">
        <f>Funding!$F$83*Funding!$F$124/(Funding!$F$122+Funding!$F$124+Funding!$F$126+Funding!$F$128+Funding!$F$130+Funding!$F$132+Funding!$F$134+Funding!$F$136)</f>
        <v/>
      </c>
    </row>
    <row r="139">
      <c r="D139" t="inlineStr">
        <is>
          <t>Allocated debt, R3</t>
        </is>
      </c>
      <c r="E139" t="inlineStr">
        <is>
          <t>USD m</t>
        </is>
      </c>
      <c r="F139" s="20">
        <f>Funding!$F$83*Funding!$F$126/(Funding!$F$122+Funding!$F$124+Funding!$F$126+Funding!$F$128+Funding!$F$130+Funding!$F$132+Funding!$F$134+Funding!$F$136)</f>
        <v/>
      </c>
    </row>
    <row r="140">
      <c r="D140" t="inlineStr">
        <is>
          <t>Allocated debt, R4</t>
        </is>
      </c>
      <c r="E140" t="inlineStr">
        <is>
          <t>USD m</t>
        </is>
      </c>
      <c r="F140" s="20">
        <f>Funding!$F$83*Funding!$F$128/(Funding!$F$122+Funding!$F$124+Funding!$F$126+Funding!$F$128+Funding!$F$130+Funding!$F$132+Funding!$F$134+Funding!$F$136)</f>
        <v/>
      </c>
    </row>
    <row r="141">
      <c r="D141" t="inlineStr">
        <is>
          <t>Allocated debt, R5</t>
        </is>
      </c>
      <c r="E141" t="inlineStr">
        <is>
          <t>USD m</t>
        </is>
      </c>
      <c r="F141" s="20">
        <f>Funding!$F$83*Funding!$F$130/(Funding!$F$122+Funding!$F$124+Funding!$F$126+Funding!$F$128+Funding!$F$130+Funding!$F$132+Funding!$F$134+Funding!$F$136)</f>
        <v/>
      </c>
    </row>
    <row r="142">
      <c r="D142" t="inlineStr">
        <is>
          <t>Allocated debt, R6</t>
        </is>
      </c>
      <c r="E142" t="inlineStr">
        <is>
          <t>USD m</t>
        </is>
      </c>
      <c r="F142" s="20">
        <f>Funding!$F$83*Funding!$F$132/(Funding!$F$122+Funding!$F$124+Funding!$F$126+Funding!$F$128+Funding!$F$130+Funding!$F$132+Funding!$F$134+Funding!$F$136)</f>
        <v/>
      </c>
    </row>
    <row r="143">
      <c r="D143" t="inlineStr">
        <is>
          <t>Allocated debt, R7</t>
        </is>
      </c>
      <c r="E143" t="inlineStr">
        <is>
          <t>USD m</t>
        </is>
      </c>
      <c r="F143" s="20">
        <f>Funding!$F$83*Funding!$F$134/(Funding!$F$122+Funding!$F$124+Funding!$F$126+Funding!$F$128+Funding!$F$130+Funding!$F$132+Funding!$F$134+Funding!$F$136)</f>
        <v/>
      </c>
    </row>
    <row r="144">
      <c r="D144" t="inlineStr">
        <is>
          <t>Allocated debt, R8</t>
        </is>
      </c>
      <c r="E144" t="inlineStr">
        <is>
          <t>USD m</t>
        </is>
      </c>
      <c r="F144" s="20">
        <f>Funding!$F$83*Funding!$F$136/(Funding!$F$122+Funding!$F$124+Funding!$F$126+Funding!$F$128+Funding!$F$130+Funding!$F$132+Funding!$F$134+Funding!$F$136)</f>
        <v/>
      </c>
    </row>
    <row r="146">
      <c r="A146" s="4" t="inlineStr">
        <is>
          <t>Sources and uses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</row>
    <row r="147">
      <c r="D147" t="inlineStr">
        <is>
          <t>A1 opco upfront fee</t>
        </is>
      </c>
      <c r="E147" t="inlineStr">
        <is>
          <t>USD m</t>
        </is>
      </c>
      <c r="F147" s="20">
        <f>Inputs!$F$274/100*Funding!$F$17</f>
        <v/>
      </c>
    </row>
    <row r="148">
      <c r="D148" t="inlineStr">
        <is>
          <t>A1 holdco OID</t>
        </is>
      </c>
      <c r="E148" t="inlineStr">
        <is>
          <t>USD m</t>
        </is>
      </c>
      <c r="F148" s="20">
        <f>(1-Inputs!$F$286/100)*Funding!$F$41</f>
        <v/>
      </c>
    </row>
    <row r="149">
      <c r="D149" t="inlineStr">
        <is>
          <t>A1 uses (price, costs, fee, OID)</t>
        </is>
      </c>
      <c r="E149" t="inlineStr">
        <is>
          <t>USD m</t>
        </is>
      </c>
      <c r="F149" s="20">
        <f>Inputs!$F$257+Inputs!$F$258+Funding!$F$147+Funding!$F$148</f>
        <v/>
      </c>
    </row>
    <row r="150">
      <c r="D150" t="inlineStr">
        <is>
          <t>A1 fund equity</t>
        </is>
      </c>
      <c r="E150" t="inlineStr">
        <is>
          <t>USD m</t>
        </is>
      </c>
      <c r="F150" s="20">
        <f>Funding!$F$149-Funding!$F$17-Funding!$F$41</f>
        <v/>
      </c>
    </row>
    <row r="151">
      <c r="D151" t="inlineStr">
        <is>
          <t>A2 Redfern upfront fee</t>
        </is>
      </c>
      <c r="E151" t="inlineStr">
        <is>
          <t>USD m</t>
        </is>
      </c>
      <c r="F151" s="20">
        <f>Inputs!$F$296/100*Funding!$F$50</f>
        <v/>
      </c>
    </row>
    <row r="152">
      <c r="D152" t="inlineStr">
        <is>
          <t>A2 uses</t>
        </is>
      </c>
      <c r="E152" t="inlineStr">
        <is>
          <t>USD m</t>
        </is>
      </c>
      <c r="F152" s="20">
        <f>Inputs!$F$260+Inputs!$F$261+Funding!$F$151</f>
        <v/>
      </c>
    </row>
    <row r="153">
      <c r="D153" t="inlineStr">
        <is>
          <t>A2 fund equity</t>
        </is>
      </c>
      <c r="E153" t="inlineStr">
        <is>
          <t>USD m</t>
        </is>
      </c>
      <c r="F153" s="20">
        <f>Funding!$F$152-Funding!$F$50</f>
        <v/>
      </c>
    </row>
    <row r="154">
      <c r="D154" t="inlineStr">
        <is>
          <t>R8 deposit at signing</t>
        </is>
      </c>
      <c r="E154" t="inlineStr">
        <is>
          <t>USD m</t>
        </is>
      </c>
      <c r="F154" s="20">
        <f>Inputs!$F$265/100*Inputs!$F$264</f>
        <v/>
      </c>
    </row>
    <row r="155">
      <c r="D155" t="inlineStr">
        <is>
          <t>Holdco incremental OID</t>
        </is>
      </c>
      <c r="E155" t="inlineStr">
        <is>
          <t>USD m</t>
        </is>
      </c>
      <c r="F155" s="20">
        <f>(1-Inputs!$F$303/100)*Funding!$F$63</f>
        <v/>
      </c>
    </row>
    <row r="156">
      <c r="D156" t="inlineStr">
        <is>
          <t>R7 ITC transfer proceeds</t>
        </is>
      </c>
      <c r="E156" t="inlineStr">
        <is>
          <t>USD m</t>
        </is>
      </c>
      <c r="F156" s="20">
        <f>Tax!$F$8*Inputs!$F$252</f>
        <v/>
      </c>
    </row>
    <row r="157">
      <c r="D157" t="inlineStr">
        <is>
          <t>R8 ITC transfer proceeds</t>
        </is>
      </c>
      <c r="E157" t="inlineStr">
        <is>
          <t>USD m</t>
        </is>
      </c>
      <c r="F157" s="20">
        <f>Tax!$F$9*Inputs!$F$252</f>
        <v/>
      </c>
    </row>
    <row r="158">
      <c r="D158" t="inlineStr">
        <is>
          <t>A3 uses at signing (deposit, costs, OID)</t>
        </is>
      </c>
      <c r="E158" t="inlineStr">
        <is>
          <t>USD m</t>
        </is>
      </c>
      <c r="F158" s="20">
        <f>Funding!$F$154+Inputs!$F$266+Funding!$F$155</f>
        <v/>
      </c>
    </row>
    <row r="159">
      <c r="D159" t="inlineStr">
        <is>
          <t>A3 equity at signing</t>
        </is>
      </c>
      <c r="E159" t="inlineStr">
        <is>
          <t>USD m</t>
        </is>
      </c>
      <c r="F159" s="20">
        <f>MAX(0,Funding!$F$158-Funding!$F$63)</f>
        <v/>
      </c>
    </row>
    <row r="160">
      <c r="D160" t="inlineStr">
        <is>
          <t>Cash carried to R7 COD</t>
        </is>
      </c>
      <c r="E160" t="inlineStr">
        <is>
          <t>USD m</t>
        </is>
      </c>
      <c r="F160" s="20">
        <f>MAX(0,Funding!$F$63-Funding!$F$158)</f>
        <v/>
      </c>
    </row>
    <row r="161">
      <c r="D161" t="inlineStr">
        <is>
          <t>Funding need at R7 COD</t>
        </is>
      </c>
      <c r="E161" t="inlineStr">
        <is>
          <t>USD m</t>
        </is>
      </c>
      <c r="F161" s="20">
        <f>Inputs!$F$263-Funding!$F$160-Funding!$F$156</f>
        <v/>
      </c>
    </row>
    <row r="162">
      <c r="D162" t="inlineStr">
        <is>
          <t>A3 equity at R7 COD</t>
        </is>
      </c>
      <c r="E162" t="inlineStr">
        <is>
          <t>USD m</t>
        </is>
      </c>
      <c r="F162" s="20">
        <f>MAX(0,Funding!$F$161)</f>
        <v/>
      </c>
    </row>
    <row r="163">
      <c r="D163" t="inlineStr">
        <is>
          <t>Cash carried to R8 COD</t>
        </is>
      </c>
      <c r="E163" t="inlineStr">
        <is>
          <t>USD m</t>
        </is>
      </c>
      <c r="F163" s="20">
        <f>MAX(0,-Funding!$F$161)</f>
        <v/>
      </c>
    </row>
    <row r="164">
      <c r="D164" t="inlineStr">
        <is>
          <t>Funding need at R8 COD</t>
        </is>
      </c>
      <c r="E164" t="inlineStr">
        <is>
          <t>USD m</t>
        </is>
      </c>
      <c r="F164" s="20">
        <f>Inputs!$F$264-Funding!$F$154-Funding!$F$163-Funding!$F$157</f>
        <v/>
      </c>
    </row>
    <row r="165">
      <c r="D165" t="inlineStr">
        <is>
          <t>A3 equity at R8 COD</t>
        </is>
      </c>
      <c r="E165" t="inlineStr">
        <is>
          <t>USD m</t>
        </is>
      </c>
      <c r="F165" s="20">
        <f>MAX(0,Funding!$F$164)</f>
        <v/>
      </c>
    </row>
    <row r="166">
      <c r="D166" t="inlineStr">
        <is>
          <t>Cash left after R8 COD (returned)</t>
        </is>
      </c>
      <c r="E166" t="inlineStr">
        <is>
          <t>USD m</t>
        </is>
      </c>
      <c r="F166" s="20">
        <f>MAX(0,-Funding!$F$164)</f>
        <v/>
      </c>
    </row>
    <row r="167">
      <c r="D167" t="inlineStr">
        <is>
          <t>A3 uses (prices, costs, OID)</t>
        </is>
      </c>
      <c r="E167" t="inlineStr">
        <is>
          <t>USD m</t>
        </is>
      </c>
      <c r="F167" s="20">
        <f>Inputs!$F$263+Inputs!$F$264+Inputs!$F$266+Funding!$F$155</f>
        <v/>
      </c>
    </row>
    <row r="168">
      <c r="D168" t="inlineStr">
        <is>
          <t>A3 fund equity, net</t>
        </is>
      </c>
      <c r="E168" t="inlineStr">
        <is>
          <t>USD m</t>
        </is>
      </c>
      <c r="F168" s="20">
        <f>Funding!$F$159+Funding!$F$162+Funding!$F$165-Funding!$F$166</f>
        <v/>
      </c>
    </row>
    <row r="170">
      <c r="A170" s="4" t="inlineStr">
        <is>
          <t>2025 refinancing: uses and proceeds at December 31, 2025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</row>
    <row r="171">
      <c r="D171" t="inlineStr">
        <is>
          <t>Discount factor at the SOFR swap rate</t>
        </is>
      </c>
      <c r="E171" t="inlineStr">
        <is>
          <t>factor</t>
        </is>
      </c>
      <c r="J171" s="14">
        <f>(1+Inputs!$F$321/100)^(-(Time!J$4-Inputs!$F$307))</f>
        <v/>
      </c>
      <c r="K171" s="14">
        <f>(1+Inputs!$F$321/100)^(-(Time!K$4-Inputs!$F$307))</f>
        <v/>
      </c>
      <c r="L171" s="14">
        <f>(1+Inputs!$F$321/100)^(-(Time!L$4-Inputs!$F$307))</f>
        <v/>
      </c>
      <c r="M171" s="14">
        <f>(1+Inputs!$F$321/100)^(-(Time!M$4-Inputs!$F$307))</f>
        <v/>
      </c>
      <c r="N171" s="14">
        <f>(1+Inputs!$F$321/100)^(-(Time!N$4-Inputs!$F$307))</f>
        <v/>
      </c>
      <c r="O171" s="14">
        <f>(1+Inputs!$F$321/100)^(-(Time!O$4-Inputs!$F$307))</f>
        <v/>
      </c>
      <c r="P171" s="14">
        <f>(1+Inputs!$F$321/100)^(-(Time!P$4-Inputs!$F$307))</f>
        <v/>
      </c>
      <c r="Q171" s="14">
        <f>(1+Inputs!$F$321/100)^(-(Time!Q$4-Inputs!$F$307))</f>
        <v/>
      </c>
      <c r="R171" s="14">
        <f>(1+Inputs!$F$321/100)^(-(Time!R$4-Inputs!$F$307))</f>
        <v/>
      </c>
      <c r="S171" s="14">
        <f>(1+Inputs!$F$321/100)^(-(Time!S$4-Inputs!$F$307))</f>
        <v/>
      </c>
      <c r="T171" s="14">
        <f>(1+Inputs!$F$321/100)^(-(Time!T$4-Inputs!$F$307))</f>
        <v/>
      </c>
      <c r="U171" s="14">
        <f>(1+Inputs!$F$321/100)^(-(Time!U$4-Inputs!$F$307))</f>
        <v/>
      </c>
      <c r="V171" s="14">
        <f>(1+Inputs!$F$321/100)^(-(Time!V$4-Inputs!$F$307))</f>
        <v/>
      </c>
      <c r="W171" s="14">
        <f>(1+Inputs!$F$321/100)^(-(Time!W$4-Inputs!$F$307))</f>
        <v/>
      </c>
      <c r="X171" s="14">
        <f>(1+Inputs!$F$321/100)^(-(Time!X$4-Inputs!$F$307))</f>
        <v/>
      </c>
      <c r="Y171" s="14">
        <f>(1+Inputs!$F$321/100)^(-(Time!Y$4-Inputs!$F$307))</f>
        <v/>
      </c>
      <c r="Z171" s="14">
        <f>(1+Inputs!$F$321/100)^(-(Time!Z$4-Inputs!$F$307))</f>
        <v/>
      </c>
      <c r="AA171" s="14">
        <f>(1+Inputs!$F$321/100)^(-(Time!AA$4-Inputs!$F$307))</f>
        <v/>
      </c>
      <c r="AB171" s="14">
        <f>(1+Inputs!$F$321/100)^(-(Time!AB$4-Inputs!$F$307))</f>
        <v/>
      </c>
      <c r="AC171" s="14">
        <f>(1+Inputs!$F$321/100)^(-(Time!AC$4-Inputs!$F$307))</f>
        <v/>
      </c>
      <c r="AD171" s="14">
        <f>(1+Inputs!$F$321/100)^(-(Time!AD$4-Inputs!$F$307))</f>
        <v/>
      </c>
      <c r="AE171" s="14">
        <f>(1+Inputs!$F$321/100)^(-(Time!AE$4-Inputs!$F$307))</f>
        <v/>
      </c>
      <c r="AF171" s="14">
        <f>(1+Inputs!$F$321/100)^(-(Time!AF$4-Inputs!$F$307))</f>
        <v/>
      </c>
      <c r="AG171" s="14">
        <f>(1+Inputs!$F$321/100)^(-(Time!AG$4-Inputs!$F$307))</f>
        <v/>
      </c>
      <c r="AH171" s="14">
        <f>(1+Inputs!$F$321/100)^(-(Time!AH$4-Inputs!$F$307))</f>
        <v/>
      </c>
      <c r="AI171" s="14">
        <f>(1+Inputs!$F$321/100)^(-(Time!AI$4-Inputs!$F$307))</f>
        <v/>
      </c>
      <c r="AJ171" s="14">
        <f>(1+Inputs!$F$321/100)^(-(Time!AJ$4-Inputs!$F$307))</f>
        <v/>
      </c>
      <c r="AK171" s="14">
        <f>(1+Inputs!$F$321/100)^(-(Time!AK$4-Inputs!$F$307))</f>
        <v/>
      </c>
      <c r="AL171" s="14">
        <f>(1+Inputs!$F$321/100)^(-(Time!AL$4-Inputs!$F$307))</f>
        <v/>
      </c>
      <c r="AM171" s="14">
        <f>(1+Inputs!$F$321/100)^(-(Time!AM$4-Inputs!$F$307))</f>
        <v/>
      </c>
      <c r="AN171" s="14">
        <f>(1+Inputs!$F$321/100)^(-(Time!AN$4-Inputs!$F$307))</f>
        <v/>
      </c>
      <c r="AO171" s="14">
        <f>(1+Inputs!$F$321/100)^(-(Time!AO$4-Inputs!$F$307))</f>
        <v/>
      </c>
      <c r="AP171" s="14">
        <f>(1+Inputs!$F$321/100)^(-(Time!AP$4-Inputs!$F$307))</f>
        <v/>
      </c>
      <c r="AQ171" s="14">
        <f>(1+Inputs!$F$321/100)^(-(Time!AQ$4-Inputs!$F$307))</f>
        <v/>
      </c>
      <c r="AR171" s="14">
        <f>(1+Inputs!$F$321/100)^(-(Time!AR$4-Inputs!$F$307))</f>
        <v/>
      </c>
      <c r="AS171" s="14">
        <f>(1+Inputs!$F$321/100)^(-(Time!AS$4-Inputs!$F$307))</f>
        <v/>
      </c>
      <c r="AT171" s="14">
        <f>(1+Inputs!$F$321/100)^(-(Time!AT$4-Inputs!$F$307))</f>
        <v/>
      </c>
      <c r="AU171" s="14">
        <f>(1+Inputs!$F$321/100)^(-(Time!AU$4-Inputs!$F$307))</f>
        <v/>
      </c>
    </row>
    <row r="172">
      <c r="D172" t="inlineStr">
        <is>
          <t>Opco swap: remaining hedged period fraction</t>
        </is>
      </c>
      <c r="E172" t="inlineStr">
        <is>
          <t>fraction</t>
        </is>
      </c>
      <c r="J172" s="14">
        <f>MAX(0,MIN(Inputs!$F$281,Time!J$6)-MAX(Inputs!$F$308,Time!J$5))/Time!J$7</f>
        <v/>
      </c>
      <c r="K172" s="14">
        <f>MAX(0,MIN(Inputs!$F$281,Time!K$6)-MAX(Inputs!$F$308,Time!K$5))/Time!K$7</f>
        <v/>
      </c>
      <c r="L172" s="14">
        <f>MAX(0,MIN(Inputs!$F$281,Time!L$6)-MAX(Inputs!$F$308,Time!L$5))/Time!L$7</f>
        <v/>
      </c>
      <c r="M172" s="14">
        <f>MAX(0,MIN(Inputs!$F$281,Time!M$6)-MAX(Inputs!$F$308,Time!M$5))/Time!M$7</f>
        <v/>
      </c>
      <c r="N172" s="14">
        <f>MAX(0,MIN(Inputs!$F$281,Time!N$6)-MAX(Inputs!$F$308,Time!N$5))/Time!N$7</f>
        <v/>
      </c>
      <c r="O172" s="14">
        <f>MAX(0,MIN(Inputs!$F$281,Time!O$6)-MAX(Inputs!$F$308,Time!O$5))/Time!O$7</f>
        <v/>
      </c>
      <c r="P172" s="14">
        <f>MAX(0,MIN(Inputs!$F$281,Time!P$6)-MAX(Inputs!$F$308,Time!P$5))/Time!P$7</f>
        <v/>
      </c>
      <c r="Q172" s="14">
        <f>MAX(0,MIN(Inputs!$F$281,Time!Q$6)-MAX(Inputs!$F$308,Time!Q$5))/Time!Q$7</f>
        <v/>
      </c>
      <c r="R172" s="14">
        <f>MAX(0,MIN(Inputs!$F$281,Time!R$6)-MAX(Inputs!$F$308,Time!R$5))/Time!R$7</f>
        <v/>
      </c>
      <c r="S172" s="14">
        <f>MAX(0,MIN(Inputs!$F$281,Time!S$6)-MAX(Inputs!$F$308,Time!S$5))/Time!S$7</f>
        <v/>
      </c>
      <c r="T172" s="14">
        <f>MAX(0,MIN(Inputs!$F$281,Time!T$6)-MAX(Inputs!$F$308,Time!T$5))/Time!T$7</f>
        <v/>
      </c>
      <c r="U172" s="14">
        <f>MAX(0,MIN(Inputs!$F$281,Time!U$6)-MAX(Inputs!$F$308,Time!U$5))/Time!U$7</f>
        <v/>
      </c>
      <c r="V172" s="14">
        <f>MAX(0,MIN(Inputs!$F$281,Time!V$6)-MAX(Inputs!$F$308,Time!V$5))/Time!V$7</f>
        <v/>
      </c>
      <c r="W172" s="14">
        <f>MAX(0,MIN(Inputs!$F$281,Time!W$6)-MAX(Inputs!$F$308,Time!W$5))/Time!W$7</f>
        <v/>
      </c>
      <c r="X172" s="14">
        <f>MAX(0,MIN(Inputs!$F$281,Time!X$6)-MAX(Inputs!$F$308,Time!X$5))/Time!X$7</f>
        <v/>
      </c>
      <c r="Y172" s="14">
        <f>MAX(0,MIN(Inputs!$F$281,Time!Y$6)-MAX(Inputs!$F$308,Time!Y$5))/Time!Y$7</f>
        <v/>
      </c>
      <c r="Z172" s="14">
        <f>MAX(0,MIN(Inputs!$F$281,Time!Z$6)-MAX(Inputs!$F$308,Time!Z$5))/Time!Z$7</f>
        <v/>
      </c>
      <c r="AA172" s="14">
        <f>MAX(0,MIN(Inputs!$F$281,Time!AA$6)-MAX(Inputs!$F$308,Time!AA$5))/Time!AA$7</f>
        <v/>
      </c>
      <c r="AB172" s="14">
        <f>MAX(0,MIN(Inputs!$F$281,Time!AB$6)-MAX(Inputs!$F$308,Time!AB$5))/Time!AB$7</f>
        <v/>
      </c>
      <c r="AC172" s="14">
        <f>MAX(0,MIN(Inputs!$F$281,Time!AC$6)-MAX(Inputs!$F$308,Time!AC$5))/Time!AC$7</f>
        <v/>
      </c>
      <c r="AD172" s="14">
        <f>MAX(0,MIN(Inputs!$F$281,Time!AD$6)-MAX(Inputs!$F$308,Time!AD$5))/Time!AD$7</f>
        <v/>
      </c>
      <c r="AE172" s="14">
        <f>MAX(0,MIN(Inputs!$F$281,Time!AE$6)-MAX(Inputs!$F$308,Time!AE$5))/Time!AE$7</f>
        <v/>
      </c>
      <c r="AF172" s="14">
        <f>MAX(0,MIN(Inputs!$F$281,Time!AF$6)-MAX(Inputs!$F$308,Time!AF$5))/Time!AF$7</f>
        <v/>
      </c>
      <c r="AG172" s="14">
        <f>MAX(0,MIN(Inputs!$F$281,Time!AG$6)-MAX(Inputs!$F$308,Time!AG$5))/Time!AG$7</f>
        <v/>
      </c>
      <c r="AH172" s="14">
        <f>MAX(0,MIN(Inputs!$F$281,Time!AH$6)-MAX(Inputs!$F$308,Time!AH$5))/Time!AH$7</f>
        <v/>
      </c>
      <c r="AI172" s="14">
        <f>MAX(0,MIN(Inputs!$F$281,Time!AI$6)-MAX(Inputs!$F$308,Time!AI$5))/Time!AI$7</f>
        <v/>
      </c>
      <c r="AJ172" s="14">
        <f>MAX(0,MIN(Inputs!$F$281,Time!AJ$6)-MAX(Inputs!$F$308,Time!AJ$5))/Time!AJ$7</f>
        <v/>
      </c>
      <c r="AK172" s="14">
        <f>MAX(0,MIN(Inputs!$F$281,Time!AK$6)-MAX(Inputs!$F$308,Time!AK$5))/Time!AK$7</f>
        <v/>
      </c>
      <c r="AL172" s="14">
        <f>MAX(0,MIN(Inputs!$F$281,Time!AL$6)-MAX(Inputs!$F$308,Time!AL$5))/Time!AL$7</f>
        <v/>
      </c>
      <c r="AM172" s="14">
        <f>MAX(0,MIN(Inputs!$F$281,Time!AM$6)-MAX(Inputs!$F$308,Time!AM$5))/Time!AM$7</f>
        <v/>
      </c>
      <c r="AN172" s="14">
        <f>MAX(0,MIN(Inputs!$F$281,Time!AN$6)-MAX(Inputs!$F$308,Time!AN$5))/Time!AN$7</f>
        <v/>
      </c>
      <c r="AO172" s="14">
        <f>MAX(0,MIN(Inputs!$F$281,Time!AO$6)-MAX(Inputs!$F$308,Time!AO$5))/Time!AO$7</f>
        <v/>
      </c>
      <c r="AP172" s="14">
        <f>MAX(0,MIN(Inputs!$F$281,Time!AP$6)-MAX(Inputs!$F$308,Time!AP$5))/Time!AP$7</f>
        <v/>
      </c>
      <c r="AQ172" s="14">
        <f>MAX(0,MIN(Inputs!$F$281,Time!AQ$6)-MAX(Inputs!$F$308,Time!AQ$5))/Time!AQ$7</f>
        <v/>
      </c>
      <c r="AR172" s="14">
        <f>MAX(0,MIN(Inputs!$F$281,Time!AR$6)-MAX(Inputs!$F$308,Time!AR$5))/Time!AR$7</f>
        <v/>
      </c>
      <c r="AS172" s="14">
        <f>MAX(0,MIN(Inputs!$F$281,Time!AS$6)-MAX(Inputs!$F$308,Time!AS$5))/Time!AS$7</f>
        <v/>
      </c>
      <c r="AT172" s="14">
        <f>MAX(0,MIN(Inputs!$F$281,Time!AT$6)-MAX(Inputs!$F$308,Time!AT$5))/Time!AT$7</f>
        <v/>
      </c>
      <c r="AU172" s="14">
        <f>MAX(0,MIN(Inputs!$F$281,Time!AU$6)-MAX(Inputs!$F$308,Time!AU$5))/Time!AU$7</f>
        <v/>
      </c>
    </row>
    <row r="173">
      <c r="D173" t="inlineStr">
        <is>
          <t>Redfern swap: remaining period fraction</t>
        </is>
      </c>
      <c r="E173" t="inlineStr">
        <is>
          <t>fraction</t>
        </is>
      </c>
      <c r="J173" s="14">
        <f>MAX(0,MIN(Inputs!$F$294,Time!J$6)-MAX(Inputs!$F$308,Time!J$5))/Time!J$7</f>
        <v/>
      </c>
      <c r="K173" s="14">
        <f>MAX(0,MIN(Inputs!$F$294,Time!K$6)-MAX(Inputs!$F$308,Time!K$5))/Time!K$7</f>
        <v/>
      </c>
      <c r="L173" s="14">
        <f>MAX(0,MIN(Inputs!$F$294,Time!L$6)-MAX(Inputs!$F$308,Time!L$5))/Time!L$7</f>
        <v/>
      </c>
      <c r="M173" s="14">
        <f>MAX(0,MIN(Inputs!$F$294,Time!M$6)-MAX(Inputs!$F$308,Time!M$5))/Time!M$7</f>
        <v/>
      </c>
      <c r="N173" s="14">
        <f>MAX(0,MIN(Inputs!$F$294,Time!N$6)-MAX(Inputs!$F$308,Time!N$5))/Time!N$7</f>
        <v/>
      </c>
      <c r="O173" s="14">
        <f>MAX(0,MIN(Inputs!$F$294,Time!O$6)-MAX(Inputs!$F$308,Time!O$5))/Time!O$7</f>
        <v/>
      </c>
      <c r="P173" s="14">
        <f>MAX(0,MIN(Inputs!$F$294,Time!P$6)-MAX(Inputs!$F$308,Time!P$5))/Time!P$7</f>
        <v/>
      </c>
      <c r="Q173" s="14">
        <f>MAX(0,MIN(Inputs!$F$294,Time!Q$6)-MAX(Inputs!$F$308,Time!Q$5))/Time!Q$7</f>
        <v/>
      </c>
      <c r="R173" s="14">
        <f>MAX(0,MIN(Inputs!$F$294,Time!R$6)-MAX(Inputs!$F$308,Time!R$5))/Time!R$7</f>
        <v/>
      </c>
      <c r="S173" s="14">
        <f>MAX(0,MIN(Inputs!$F$294,Time!S$6)-MAX(Inputs!$F$308,Time!S$5))/Time!S$7</f>
        <v/>
      </c>
      <c r="T173" s="14">
        <f>MAX(0,MIN(Inputs!$F$294,Time!T$6)-MAX(Inputs!$F$308,Time!T$5))/Time!T$7</f>
        <v/>
      </c>
      <c r="U173" s="14">
        <f>MAX(0,MIN(Inputs!$F$294,Time!U$6)-MAX(Inputs!$F$308,Time!U$5))/Time!U$7</f>
        <v/>
      </c>
      <c r="V173" s="14">
        <f>MAX(0,MIN(Inputs!$F$294,Time!V$6)-MAX(Inputs!$F$308,Time!V$5))/Time!V$7</f>
        <v/>
      </c>
      <c r="W173" s="14">
        <f>MAX(0,MIN(Inputs!$F$294,Time!W$6)-MAX(Inputs!$F$308,Time!W$5))/Time!W$7</f>
        <v/>
      </c>
      <c r="X173" s="14">
        <f>MAX(0,MIN(Inputs!$F$294,Time!X$6)-MAX(Inputs!$F$308,Time!X$5))/Time!X$7</f>
        <v/>
      </c>
      <c r="Y173" s="14">
        <f>MAX(0,MIN(Inputs!$F$294,Time!Y$6)-MAX(Inputs!$F$308,Time!Y$5))/Time!Y$7</f>
        <v/>
      </c>
      <c r="Z173" s="14">
        <f>MAX(0,MIN(Inputs!$F$294,Time!Z$6)-MAX(Inputs!$F$308,Time!Z$5))/Time!Z$7</f>
        <v/>
      </c>
      <c r="AA173" s="14">
        <f>MAX(0,MIN(Inputs!$F$294,Time!AA$6)-MAX(Inputs!$F$308,Time!AA$5))/Time!AA$7</f>
        <v/>
      </c>
      <c r="AB173" s="14">
        <f>MAX(0,MIN(Inputs!$F$294,Time!AB$6)-MAX(Inputs!$F$308,Time!AB$5))/Time!AB$7</f>
        <v/>
      </c>
      <c r="AC173" s="14">
        <f>MAX(0,MIN(Inputs!$F$294,Time!AC$6)-MAX(Inputs!$F$308,Time!AC$5))/Time!AC$7</f>
        <v/>
      </c>
      <c r="AD173" s="14">
        <f>MAX(0,MIN(Inputs!$F$294,Time!AD$6)-MAX(Inputs!$F$308,Time!AD$5))/Time!AD$7</f>
        <v/>
      </c>
      <c r="AE173" s="14">
        <f>MAX(0,MIN(Inputs!$F$294,Time!AE$6)-MAX(Inputs!$F$308,Time!AE$5))/Time!AE$7</f>
        <v/>
      </c>
      <c r="AF173" s="14">
        <f>MAX(0,MIN(Inputs!$F$294,Time!AF$6)-MAX(Inputs!$F$308,Time!AF$5))/Time!AF$7</f>
        <v/>
      </c>
      <c r="AG173" s="14">
        <f>MAX(0,MIN(Inputs!$F$294,Time!AG$6)-MAX(Inputs!$F$308,Time!AG$5))/Time!AG$7</f>
        <v/>
      </c>
      <c r="AH173" s="14">
        <f>MAX(0,MIN(Inputs!$F$294,Time!AH$6)-MAX(Inputs!$F$308,Time!AH$5))/Time!AH$7</f>
        <v/>
      </c>
      <c r="AI173" s="14">
        <f>MAX(0,MIN(Inputs!$F$294,Time!AI$6)-MAX(Inputs!$F$308,Time!AI$5))/Time!AI$7</f>
        <v/>
      </c>
      <c r="AJ173" s="14">
        <f>MAX(0,MIN(Inputs!$F$294,Time!AJ$6)-MAX(Inputs!$F$308,Time!AJ$5))/Time!AJ$7</f>
        <v/>
      </c>
      <c r="AK173" s="14">
        <f>MAX(0,MIN(Inputs!$F$294,Time!AK$6)-MAX(Inputs!$F$308,Time!AK$5))/Time!AK$7</f>
        <v/>
      </c>
      <c r="AL173" s="14">
        <f>MAX(0,MIN(Inputs!$F$294,Time!AL$6)-MAX(Inputs!$F$308,Time!AL$5))/Time!AL$7</f>
        <v/>
      </c>
      <c r="AM173" s="14">
        <f>MAX(0,MIN(Inputs!$F$294,Time!AM$6)-MAX(Inputs!$F$308,Time!AM$5))/Time!AM$7</f>
        <v/>
      </c>
      <c r="AN173" s="14">
        <f>MAX(0,MIN(Inputs!$F$294,Time!AN$6)-MAX(Inputs!$F$308,Time!AN$5))/Time!AN$7</f>
        <v/>
      </c>
      <c r="AO173" s="14">
        <f>MAX(0,MIN(Inputs!$F$294,Time!AO$6)-MAX(Inputs!$F$308,Time!AO$5))/Time!AO$7</f>
        <v/>
      </c>
      <c r="AP173" s="14">
        <f>MAX(0,MIN(Inputs!$F$294,Time!AP$6)-MAX(Inputs!$F$308,Time!AP$5))/Time!AP$7</f>
        <v/>
      </c>
      <c r="AQ173" s="14">
        <f>MAX(0,MIN(Inputs!$F$294,Time!AQ$6)-MAX(Inputs!$F$308,Time!AQ$5))/Time!AQ$7</f>
        <v/>
      </c>
      <c r="AR173" s="14">
        <f>MAX(0,MIN(Inputs!$F$294,Time!AR$6)-MAX(Inputs!$F$308,Time!AR$5))/Time!AR$7</f>
        <v/>
      </c>
      <c r="AS173" s="14">
        <f>MAX(0,MIN(Inputs!$F$294,Time!AS$6)-MAX(Inputs!$F$308,Time!AS$5))/Time!AS$7</f>
        <v/>
      </c>
      <c r="AT173" s="14">
        <f>MAX(0,MIN(Inputs!$F$294,Time!AT$6)-MAX(Inputs!$F$308,Time!AT$5))/Time!AT$7</f>
        <v/>
      </c>
      <c r="AU173" s="14">
        <f>MAX(0,MIN(Inputs!$F$294,Time!AU$6)-MAX(Inputs!$F$308,Time!AU$5))/Time!AU$7</f>
        <v/>
      </c>
    </row>
    <row r="174">
      <c r="D174" t="inlineStr">
        <is>
          <t>Opco swap unwind (receivable to opco)</t>
        </is>
      </c>
      <c r="E174" t="inlineStr">
        <is>
          <t>USD m</t>
        </is>
      </c>
      <c r="F174" s="20">
        <f>SUMPRODUCT(Inputs!$F$279/100*Funding!$J$22:$AU$22*(Inputs!$F$321-Inputs!$F$280)/100*Funding!$J$172:$AU$172,Funding!$J$171:$AU$171)</f>
        <v/>
      </c>
    </row>
    <row r="175">
      <c r="D175" t="inlineStr">
        <is>
          <t>Redfern swap unwind (payable by Redfern)</t>
        </is>
      </c>
      <c r="E175" t="inlineStr">
        <is>
          <t>USD m</t>
        </is>
      </c>
      <c r="F175" s="20">
        <f>SUMPRODUCT(Inputs!$F$298/100*Funding!$J$51:$AU$51*(Inputs!$F$299-Inputs!$F$321)/100*Funding!$J$173:$AU$173,Funding!$J$171:$AU$171)</f>
        <v/>
      </c>
    </row>
    <row r="176">
      <c r="D176" t="inlineStr">
        <is>
          <t>USPP transaction costs</t>
        </is>
      </c>
      <c r="E176" t="inlineStr">
        <is>
          <t>USD m</t>
        </is>
      </c>
      <c r="F176" s="20">
        <f>Inputs!$F$320/100*Funding!$F$83</f>
        <v/>
      </c>
    </row>
    <row r="177">
      <c r="D177" t="inlineStr">
        <is>
          <t>Opco term loan repaid</t>
        </is>
      </c>
      <c r="E177" t="inlineStr">
        <is>
          <t>USD m</t>
        </is>
      </c>
      <c r="F177" s="20">
        <f>SUMIF(Time!$J$4:$AU$4,Inputs!$F$307,Funding!$J$25:$AU$25)</f>
        <v/>
      </c>
    </row>
    <row r="178">
      <c r="D178" t="inlineStr">
        <is>
          <t>Redfern loan repaid</t>
        </is>
      </c>
      <c r="E178" t="inlineStr">
        <is>
          <t>USD m</t>
        </is>
      </c>
      <c r="F178" s="20">
        <f>SUMIF(Time!$J$4:$AU$4,Inputs!$F$307,Funding!$J$53:$AU$53)</f>
        <v/>
      </c>
    </row>
    <row r="179">
      <c r="D179" t="inlineStr">
        <is>
          <t>Net opco proceeds distributed to holdco</t>
        </is>
      </c>
      <c r="E179" t="inlineStr">
        <is>
          <t>USD m</t>
        </is>
      </c>
      <c r="F179" s="20">
        <f>Funding!$F$83-Funding!$F$176-Funding!$F$177-Funding!$F$178+Funding!$F$174-Funding!$F$175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Debt: live schedules (sized amounts held fixed)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D4" t="inlineStr">
        <is>
          <t>Year</t>
        </is>
      </c>
      <c r="J4" s="2">
        <f>Time!J$4</f>
        <v/>
      </c>
      <c r="K4" s="2">
        <f>Time!K$4</f>
        <v/>
      </c>
      <c r="L4" s="2">
        <f>Time!L$4</f>
        <v/>
      </c>
      <c r="M4" s="2">
        <f>Time!M$4</f>
        <v/>
      </c>
      <c r="N4" s="2">
        <f>Time!N$4</f>
        <v/>
      </c>
      <c r="O4" s="2">
        <f>Time!O$4</f>
        <v/>
      </c>
      <c r="P4" s="2">
        <f>Time!P$4</f>
        <v/>
      </c>
      <c r="Q4" s="2">
        <f>Time!Q$4</f>
        <v/>
      </c>
      <c r="R4" s="2">
        <f>Time!R$4</f>
        <v/>
      </c>
      <c r="S4" s="2">
        <f>Time!S$4</f>
        <v/>
      </c>
      <c r="T4" s="2">
        <f>Time!T$4</f>
        <v/>
      </c>
      <c r="U4" s="2">
        <f>Time!U$4</f>
        <v/>
      </c>
      <c r="V4" s="2">
        <f>Time!V$4</f>
        <v/>
      </c>
      <c r="W4" s="2">
        <f>Time!W$4</f>
        <v/>
      </c>
      <c r="X4" s="2">
        <f>Time!X$4</f>
        <v/>
      </c>
      <c r="Y4" s="2">
        <f>Time!Y$4</f>
        <v/>
      </c>
      <c r="Z4" s="2">
        <f>Time!Z$4</f>
        <v/>
      </c>
      <c r="AA4" s="2">
        <f>Time!AA$4</f>
        <v/>
      </c>
      <c r="AB4" s="2">
        <f>Time!AB$4</f>
        <v/>
      </c>
      <c r="AC4" s="2">
        <f>Time!AC$4</f>
        <v/>
      </c>
      <c r="AD4" s="2">
        <f>Time!AD$4</f>
        <v/>
      </c>
      <c r="AE4" s="2">
        <f>Time!AE$4</f>
        <v/>
      </c>
      <c r="AF4" s="2">
        <f>Time!AF$4</f>
        <v/>
      </c>
      <c r="AG4" s="2">
        <f>Time!AG$4</f>
        <v/>
      </c>
      <c r="AH4" s="2">
        <f>Time!AH$4</f>
        <v/>
      </c>
      <c r="AI4" s="2">
        <f>Time!AI$4</f>
        <v/>
      </c>
      <c r="AJ4" s="2">
        <f>Time!AJ$4</f>
        <v/>
      </c>
      <c r="AK4" s="2">
        <f>Time!AK$4</f>
        <v/>
      </c>
      <c r="AL4" s="2">
        <f>Time!AL$4</f>
        <v/>
      </c>
      <c r="AM4" s="2">
        <f>Time!AM$4</f>
        <v/>
      </c>
      <c r="AN4" s="2">
        <f>Time!AN$4</f>
        <v/>
      </c>
      <c r="AO4" s="2">
        <f>Time!AO$4</f>
        <v/>
      </c>
      <c r="AP4" s="2">
        <f>Time!AP$4</f>
        <v/>
      </c>
      <c r="AQ4" s="2">
        <f>Time!AQ$4</f>
        <v/>
      </c>
      <c r="AR4" s="2">
        <f>Time!AR$4</f>
        <v/>
      </c>
      <c r="AS4" s="2">
        <f>Time!AS$4</f>
        <v/>
      </c>
      <c r="AT4" s="2">
        <f>Time!AT$4</f>
        <v/>
      </c>
      <c r="AU4" s="2">
        <f>Time!AU$4</f>
        <v/>
      </c>
    </row>
    <row r="5">
      <c r="D5" t="inlineStr">
        <is>
          <t>Period end</t>
        </is>
      </c>
      <c r="J5" s="3">
        <f>Time!J$6</f>
        <v/>
      </c>
      <c r="K5" s="3">
        <f>Time!K$6</f>
        <v/>
      </c>
      <c r="L5" s="3">
        <f>Time!L$6</f>
        <v/>
      </c>
      <c r="M5" s="3">
        <f>Time!M$6</f>
        <v/>
      </c>
      <c r="N5" s="3">
        <f>Time!N$6</f>
        <v/>
      </c>
      <c r="O5" s="3">
        <f>Time!O$6</f>
        <v/>
      </c>
      <c r="P5" s="3">
        <f>Time!P$6</f>
        <v/>
      </c>
      <c r="Q5" s="3">
        <f>Time!Q$6</f>
        <v/>
      </c>
      <c r="R5" s="3">
        <f>Time!R$6</f>
        <v/>
      </c>
      <c r="S5" s="3">
        <f>Time!S$6</f>
        <v/>
      </c>
      <c r="T5" s="3">
        <f>Time!T$6</f>
        <v/>
      </c>
      <c r="U5" s="3">
        <f>Time!U$6</f>
        <v/>
      </c>
      <c r="V5" s="3">
        <f>Time!V$6</f>
        <v/>
      </c>
      <c r="W5" s="3">
        <f>Time!W$6</f>
        <v/>
      </c>
      <c r="X5" s="3">
        <f>Time!X$6</f>
        <v/>
      </c>
      <c r="Y5" s="3">
        <f>Time!Y$6</f>
        <v/>
      </c>
      <c r="Z5" s="3">
        <f>Time!Z$6</f>
        <v/>
      </c>
      <c r="AA5" s="3">
        <f>Time!AA$6</f>
        <v/>
      </c>
      <c r="AB5" s="3">
        <f>Time!AB$6</f>
        <v/>
      </c>
      <c r="AC5" s="3">
        <f>Time!AC$6</f>
        <v/>
      </c>
      <c r="AD5" s="3">
        <f>Time!AD$6</f>
        <v/>
      </c>
      <c r="AE5" s="3">
        <f>Time!AE$6</f>
        <v/>
      </c>
      <c r="AF5" s="3">
        <f>Time!AF$6</f>
        <v/>
      </c>
      <c r="AG5" s="3">
        <f>Time!AG$6</f>
        <v/>
      </c>
      <c r="AH5" s="3">
        <f>Time!AH$6</f>
        <v/>
      </c>
      <c r="AI5" s="3">
        <f>Time!AI$6</f>
        <v/>
      </c>
      <c r="AJ5" s="3">
        <f>Time!AJ$6</f>
        <v/>
      </c>
      <c r="AK5" s="3">
        <f>Time!AK$6</f>
        <v/>
      </c>
      <c r="AL5" s="3">
        <f>Time!AL$6</f>
        <v/>
      </c>
      <c r="AM5" s="3">
        <f>Time!AM$6</f>
        <v/>
      </c>
      <c r="AN5" s="3">
        <f>Time!AN$6</f>
        <v/>
      </c>
      <c r="AO5" s="3">
        <f>Time!AO$6</f>
        <v/>
      </c>
      <c r="AP5" s="3">
        <f>Time!AP$6</f>
        <v/>
      </c>
      <c r="AQ5" s="3">
        <f>Time!AQ$6</f>
        <v/>
      </c>
      <c r="AR5" s="3">
        <f>Time!AR$6</f>
        <v/>
      </c>
      <c r="AS5" s="3">
        <f>Time!AS$6</f>
        <v/>
      </c>
      <c r="AT5" s="3">
        <f>Time!AT$6</f>
        <v/>
      </c>
      <c r="AU5" s="3">
        <f>Time!AU$6</f>
        <v/>
      </c>
    </row>
    <row r="7">
      <c r="A7" s="4" t="inlineStr">
        <is>
          <t>Flags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D8" t="inlineStr">
        <is>
          <t>Post-refinancing flag</t>
        </is>
      </c>
      <c r="E8" t="inlineStr">
        <is>
          <t>flag</t>
        </is>
      </c>
      <c r="J8" s="12">
        <f>(Inputs!$F$10=1)*(Time!J$4&gt;Inputs!$F$307)</f>
        <v/>
      </c>
      <c r="K8" s="12">
        <f>(Inputs!$F$10=1)*(Time!K$4&gt;Inputs!$F$307)</f>
        <v/>
      </c>
      <c r="L8" s="12">
        <f>(Inputs!$F$10=1)*(Time!L$4&gt;Inputs!$F$307)</f>
        <v/>
      </c>
      <c r="M8" s="12">
        <f>(Inputs!$F$10=1)*(Time!M$4&gt;Inputs!$F$307)</f>
        <v/>
      </c>
      <c r="N8" s="12">
        <f>(Inputs!$F$10=1)*(Time!N$4&gt;Inputs!$F$307)</f>
        <v/>
      </c>
      <c r="O8" s="12">
        <f>(Inputs!$F$10=1)*(Time!O$4&gt;Inputs!$F$307)</f>
        <v/>
      </c>
      <c r="P8" s="12">
        <f>(Inputs!$F$10=1)*(Time!P$4&gt;Inputs!$F$307)</f>
        <v/>
      </c>
      <c r="Q8" s="12">
        <f>(Inputs!$F$10=1)*(Time!Q$4&gt;Inputs!$F$307)</f>
        <v/>
      </c>
      <c r="R8" s="12">
        <f>(Inputs!$F$10=1)*(Time!R$4&gt;Inputs!$F$307)</f>
        <v/>
      </c>
      <c r="S8" s="12">
        <f>(Inputs!$F$10=1)*(Time!S$4&gt;Inputs!$F$307)</f>
        <v/>
      </c>
      <c r="T8" s="12">
        <f>(Inputs!$F$10=1)*(Time!T$4&gt;Inputs!$F$307)</f>
        <v/>
      </c>
      <c r="U8" s="12">
        <f>(Inputs!$F$10=1)*(Time!U$4&gt;Inputs!$F$307)</f>
        <v/>
      </c>
      <c r="V8" s="12">
        <f>(Inputs!$F$10=1)*(Time!V$4&gt;Inputs!$F$307)</f>
        <v/>
      </c>
      <c r="W8" s="12">
        <f>(Inputs!$F$10=1)*(Time!W$4&gt;Inputs!$F$307)</f>
        <v/>
      </c>
      <c r="X8" s="12">
        <f>(Inputs!$F$10=1)*(Time!X$4&gt;Inputs!$F$307)</f>
        <v/>
      </c>
      <c r="Y8" s="12">
        <f>(Inputs!$F$10=1)*(Time!Y$4&gt;Inputs!$F$307)</f>
        <v/>
      </c>
      <c r="Z8" s="12">
        <f>(Inputs!$F$10=1)*(Time!Z$4&gt;Inputs!$F$307)</f>
        <v/>
      </c>
      <c r="AA8" s="12">
        <f>(Inputs!$F$10=1)*(Time!AA$4&gt;Inputs!$F$307)</f>
        <v/>
      </c>
      <c r="AB8" s="12">
        <f>(Inputs!$F$10=1)*(Time!AB$4&gt;Inputs!$F$307)</f>
        <v/>
      </c>
      <c r="AC8" s="12">
        <f>(Inputs!$F$10=1)*(Time!AC$4&gt;Inputs!$F$307)</f>
        <v/>
      </c>
      <c r="AD8" s="12">
        <f>(Inputs!$F$10=1)*(Time!AD$4&gt;Inputs!$F$307)</f>
        <v/>
      </c>
      <c r="AE8" s="12">
        <f>(Inputs!$F$10=1)*(Time!AE$4&gt;Inputs!$F$307)</f>
        <v/>
      </c>
      <c r="AF8" s="12">
        <f>(Inputs!$F$10=1)*(Time!AF$4&gt;Inputs!$F$307)</f>
        <v/>
      </c>
      <c r="AG8" s="12">
        <f>(Inputs!$F$10=1)*(Time!AG$4&gt;Inputs!$F$307)</f>
        <v/>
      </c>
      <c r="AH8" s="12">
        <f>(Inputs!$F$10=1)*(Time!AH$4&gt;Inputs!$F$307)</f>
        <v/>
      </c>
      <c r="AI8" s="12">
        <f>(Inputs!$F$10=1)*(Time!AI$4&gt;Inputs!$F$307)</f>
        <v/>
      </c>
      <c r="AJ8" s="12">
        <f>(Inputs!$F$10=1)*(Time!AJ$4&gt;Inputs!$F$307)</f>
        <v/>
      </c>
      <c r="AK8" s="12">
        <f>(Inputs!$F$10=1)*(Time!AK$4&gt;Inputs!$F$307)</f>
        <v/>
      </c>
      <c r="AL8" s="12">
        <f>(Inputs!$F$10=1)*(Time!AL$4&gt;Inputs!$F$307)</f>
        <v/>
      </c>
      <c r="AM8" s="12">
        <f>(Inputs!$F$10=1)*(Time!AM$4&gt;Inputs!$F$307)</f>
        <v/>
      </c>
      <c r="AN8" s="12">
        <f>(Inputs!$F$10=1)*(Time!AN$4&gt;Inputs!$F$307)</f>
        <v/>
      </c>
      <c r="AO8" s="12">
        <f>(Inputs!$F$10=1)*(Time!AO$4&gt;Inputs!$F$307)</f>
        <v/>
      </c>
      <c r="AP8" s="12">
        <f>(Inputs!$F$10=1)*(Time!AP$4&gt;Inputs!$F$307)</f>
        <v/>
      </c>
      <c r="AQ8" s="12">
        <f>(Inputs!$F$10=1)*(Time!AQ$4&gt;Inputs!$F$307)</f>
        <v/>
      </c>
      <c r="AR8" s="12">
        <f>(Inputs!$F$10=1)*(Time!AR$4&gt;Inputs!$F$307)</f>
        <v/>
      </c>
      <c r="AS8" s="12">
        <f>(Inputs!$F$10=1)*(Time!AS$4&gt;Inputs!$F$307)</f>
        <v/>
      </c>
      <c r="AT8" s="12">
        <f>(Inputs!$F$10=1)*(Time!AT$4&gt;Inputs!$F$307)</f>
        <v/>
      </c>
      <c r="AU8" s="12">
        <f>(Inputs!$F$10=1)*(Time!AU$4&gt;Inputs!$F$307)</f>
        <v/>
      </c>
    </row>
    <row r="9">
      <c r="D9" t="inlineStr">
        <is>
          <t>Refinancing year flag</t>
        </is>
      </c>
      <c r="E9" t="inlineStr">
        <is>
          <t>flag</t>
        </is>
      </c>
      <c r="J9" s="12">
        <f>(Inputs!$F$10=1)*(Time!J$4=Inputs!$F$307)</f>
        <v/>
      </c>
      <c r="K9" s="12">
        <f>(Inputs!$F$10=1)*(Time!K$4=Inputs!$F$307)</f>
        <v/>
      </c>
      <c r="L9" s="12">
        <f>(Inputs!$F$10=1)*(Time!L$4=Inputs!$F$307)</f>
        <v/>
      </c>
      <c r="M9" s="12">
        <f>(Inputs!$F$10=1)*(Time!M$4=Inputs!$F$307)</f>
        <v/>
      </c>
      <c r="N9" s="12">
        <f>(Inputs!$F$10=1)*(Time!N$4=Inputs!$F$307)</f>
        <v/>
      </c>
      <c r="O9" s="12">
        <f>(Inputs!$F$10=1)*(Time!O$4=Inputs!$F$307)</f>
        <v/>
      </c>
      <c r="P9" s="12">
        <f>(Inputs!$F$10=1)*(Time!P$4=Inputs!$F$307)</f>
        <v/>
      </c>
      <c r="Q9" s="12">
        <f>(Inputs!$F$10=1)*(Time!Q$4=Inputs!$F$307)</f>
        <v/>
      </c>
      <c r="R9" s="12">
        <f>(Inputs!$F$10=1)*(Time!R$4=Inputs!$F$307)</f>
        <v/>
      </c>
      <c r="S9" s="12">
        <f>(Inputs!$F$10=1)*(Time!S$4=Inputs!$F$307)</f>
        <v/>
      </c>
      <c r="T9" s="12">
        <f>(Inputs!$F$10=1)*(Time!T$4=Inputs!$F$307)</f>
        <v/>
      </c>
      <c r="U9" s="12">
        <f>(Inputs!$F$10=1)*(Time!U$4=Inputs!$F$307)</f>
        <v/>
      </c>
      <c r="V9" s="12">
        <f>(Inputs!$F$10=1)*(Time!V$4=Inputs!$F$307)</f>
        <v/>
      </c>
      <c r="W9" s="12">
        <f>(Inputs!$F$10=1)*(Time!W$4=Inputs!$F$307)</f>
        <v/>
      </c>
      <c r="X9" s="12">
        <f>(Inputs!$F$10=1)*(Time!X$4=Inputs!$F$307)</f>
        <v/>
      </c>
      <c r="Y9" s="12">
        <f>(Inputs!$F$10=1)*(Time!Y$4=Inputs!$F$307)</f>
        <v/>
      </c>
      <c r="Z9" s="12">
        <f>(Inputs!$F$10=1)*(Time!Z$4=Inputs!$F$307)</f>
        <v/>
      </c>
      <c r="AA9" s="12">
        <f>(Inputs!$F$10=1)*(Time!AA$4=Inputs!$F$307)</f>
        <v/>
      </c>
      <c r="AB9" s="12">
        <f>(Inputs!$F$10=1)*(Time!AB$4=Inputs!$F$307)</f>
        <v/>
      </c>
      <c r="AC9" s="12">
        <f>(Inputs!$F$10=1)*(Time!AC$4=Inputs!$F$307)</f>
        <v/>
      </c>
      <c r="AD9" s="12">
        <f>(Inputs!$F$10=1)*(Time!AD$4=Inputs!$F$307)</f>
        <v/>
      </c>
      <c r="AE9" s="12">
        <f>(Inputs!$F$10=1)*(Time!AE$4=Inputs!$F$307)</f>
        <v/>
      </c>
      <c r="AF9" s="12">
        <f>(Inputs!$F$10=1)*(Time!AF$4=Inputs!$F$307)</f>
        <v/>
      </c>
      <c r="AG9" s="12">
        <f>(Inputs!$F$10=1)*(Time!AG$4=Inputs!$F$307)</f>
        <v/>
      </c>
      <c r="AH9" s="12">
        <f>(Inputs!$F$10=1)*(Time!AH$4=Inputs!$F$307)</f>
        <v/>
      </c>
      <c r="AI9" s="12">
        <f>(Inputs!$F$10=1)*(Time!AI$4=Inputs!$F$307)</f>
        <v/>
      </c>
      <c r="AJ9" s="12">
        <f>(Inputs!$F$10=1)*(Time!AJ$4=Inputs!$F$307)</f>
        <v/>
      </c>
      <c r="AK9" s="12">
        <f>(Inputs!$F$10=1)*(Time!AK$4=Inputs!$F$307)</f>
        <v/>
      </c>
      <c r="AL9" s="12">
        <f>(Inputs!$F$10=1)*(Time!AL$4=Inputs!$F$307)</f>
        <v/>
      </c>
      <c r="AM9" s="12">
        <f>(Inputs!$F$10=1)*(Time!AM$4=Inputs!$F$307)</f>
        <v/>
      </c>
      <c r="AN9" s="12">
        <f>(Inputs!$F$10=1)*(Time!AN$4=Inputs!$F$307)</f>
        <v/>
      </c>
      <c r="AO9" s="12">
        <f>(Inputs!$F$10=1)*(Time!AO$4=Inputs!$F$307)</f>
        <v/>
      </c>
      <c r="AP9" s="12">
        <f>(Inputs!$F$10=1)*(Time!AP$4=Inputs!$F$307)</f>
        <v/>
      </c>
      <c r="AQ9" s="12">
        <f>(Inputs!$F$10=1)*(Time!AQ$4=Inputs!$F$307)</f>
        <v/>
      </c>
      <c r="AR9" s="12">
        <f>(Inputs!$F$10=1)*(Time!AR$4=Inputs!$F$307)</f>
        <v/>
      </c>
      <c r="AS9" s="12">
        <f>(Inputs!$F$10=1)*(Time!AS$4=Inputs!$F$307)</f>
        <v/>
      </c>
      <c r="AT9" s="12">
        <f>(Inputs!$F$10=1)*(Time!AT$4=Inputs!$F$307)</f>
        <v/>
      </c>
      <c r="AU9" s="12">
        <f>(Inputs!$F$10=1)*(Time!AU$4=Inputs!$F$307)</f>
        <v/>
      </c>
    </row>
    <row r="10">
      <c r="D10" t="inlineStr">
        <is>
          <t>SOFR including sensitivity</t>
        </is>
      </c>
      <c r="E10" t="inlineStr">
        <is>
          <t>%</t>
        </is>
      </c>
      <c r="J10" s="15">
        <f>Inputs!J80+Inputs!$F$15</f>
        <v/>
      </c>
      <c r="K10" s="15">
        <f>Inputs!K80+Inputs!$F$15</f>
        <v/>
      </c>
      <c r="L10" s="15">
        <f>Inputs!L80+Inputs!$F$15</f>
        <v/>
      </c>
      <c r="M10" s="15">
        <f>Inputs!M80+Inputs!$F$15</f>
        <v/>
      </c>
      <c r="N10" s="15">
        <f>Inputs!N80+Inputs!$F$15</f>
        <v/>
      </c>
      <c r="O10" s="15">
        <f>Inputs!O80+Inputs!$F$15</f>
        <v/>
      </c>
      <c r="P10" s="15">
        <f>Inputs!P80+Inputs!$F$15</f>
        <v/>
      </c>
      <c r="Q10" s="15">
        <f>Inputs!Q80+Inputs!$F$15</f>
        <v/>
      </c>
      <c r="R10" s="15">
        <f>Inputs!R80+Inputs!$F$15</f>
        <v/>
      </c>
      <c r="S10" s="15">
        <f>Inputs!S80+Inputs!$F$15</f>
        <v/>
      </c>
      <c r="T10" s="15">
        <f>Inputs!T80+Inputs!$F$15</f>
        <v/>
      </c>
      <c r="U10" s="15">
        <f>Inputs!U80+Inputs!$F$15</f>
        <v/>
      </c>
      <c r="V10" s="15">
        <f>Inputs!V80+Inputs!$F$15</f>
        <v/>
      </c>
      <c r="W10" s="15">
        <f>Inputs!W80+Inputs!$F$15</f>
        <v/>
      </c>
      <c r="X10" s="15">
        <f>Inputs!X80+Inputs!$F$15</f>
        <v/>
      </c>
      <c r="Y10" s="15">
        <f>Inputs!Y80+Inputs!$F$15</f>
        <v/>
      </c>
      <c r="Z10" s="15">
        <f>Inputs!Z80+Inputs!$F$15</f>
        <v/>
      </c>
      <c r="AA10" s="15">
        <f>Inputs!AA80+Inputs!$F$15</f>
        <v/>
      </c>
      <c r="AB10" s="15">
        <f>Inputs!AB80+Inputs!$F$15</f>
        <v/>
      </c>
      <c r="AC10" s="15">
        <f>Inputs!AC80+Inputs!$F$15</f>
        <v/>
      </c>
      <c r="AD10" s="15">
        <f>Inputs!AD80+Inputs!$F$15</f>
        <v/>
      </c>
      <c r="AE10" s="15">
        <f>Inputs!AE80+Inputs!$F$15</f>
        <v/>
      </c>
      <c r="AF10" s="15">
        <f>Inputs!AF80+Inputs!$F$15</f>
        <v/>
      </c>
      <c r="AG10" s="15">
        <f>Inputs!AG80+Inputs!$F$15</f>
        <v/>
      </c>
      <c r="AH10" s="15">
        <f>Inputs!AH80+Inputs!$F$15</f>
        <v/>
      </c>
      <c r="AI10" s="15">
        <f>Inputs!AI80+Inputs!$F$15</f>
        <v/>
      </c>
      <c r="AJ10" s="15">
        <f>Inputs!AJ80+Inputs!$F$15</f>
        <v/>
      </c>
      <c r="AK10" s="15">
        <f>Inputs!AK80+Inputs!$F$15</f>
        <v/>
      </c>
      <c r="AL10" s="15">
        <f>Inputs!AL80+Inputs!$F$15</f>
        <v/>
      </c>
      <c r="AM10" s="15">
        <f>Inputs!AM80+Inputs!$F$15</f>
        <v/>
      </c>
      <c r="AN10" s="15">
        <f>Inputs!AN80+Inputs!$F$15</f>
        <v/>
      </c>
      <c r="AO10" s="15">
        <f>Inputs!AO80+Inputs!$F$15</f>
        <v/>
      </c>
      <c r="AP10" s="15">
        <f>Inputs!AP80+Inputs!$F$15</f>
        <v/>
      </c>
      <c r="AQ10" s="15">
        <f>Inputs!AQ80+Inputs!$F$15</f>
        <v/>
      </c>
      <c r="AR10" s="15">
        <f>Inputs!AR80+Inputs!$F$15</f>
        <v/>
      </c>
      <c r="AS10" s="15">
        <f>Inputs!AS80+Inputs!$F$15</f>
        <v/>
      </c>
      <c r="AT10" s="15">
        <f>Inputs!AT80+Inputs!$F$15</f>
        <v/>
      </c>
      <c r="AU10" s="15">
        <f>Inputs!AU80+Inputs!$F$15</f>
        <v/>
      </c>
    </row>
    <row r="12">
      <c r="A12" s="4" t="inlineStr">
        <is>
          <t>Opco term loan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</row>
    <row r="13">
      <c r="D13" t="inlineStr">
        <is>
          <t>All-in rate (unhedged share at live SOFR)</t>
        </is>
      </c>
      <c r="E13" t="inlineStr">
        <is>
          <t>%</t>
        </is>
      </c>
      <c r="J13" s="15">
        <f>Funding!J11*Inputs!$F$280+(1-Funding!J11)*Debt!J10+Funding!J10</f>
        <v/>
      </c>
      <c r="K13" s="15">
        <f>Funding!K11*Inputs!$F$280+(1-Funding!K11)*Debt!K10+Funding!K10</f>
        <v/>
      </c>
      <c r="L13" s="15">
        <f>Funding!L11*Inputs!$F$280+(1-Funding!L11)*Debt!L10+Funding!L10</f>
        <v/>
      </c>
      <c r="M13" s="15">
        <f>Funding!M11*Inputs!$F$280+(1-Funding!M11)*Debt!M10+Funding!M10</f>
        <v/>
      </c>
      <c r="N13" s="15">
        <f>Funding!N11*Inputs!$F$280+(1-Funding!N11)*Debt!N10+Funding!N10</f>
        <v/>
      </c>
      <c r="O13" s="15">
        <f>Funding!O11*Inputs!$F$280+(1-Funding!O11)*Debt!O10+Funding!O10</f>
        <v/>
      </c>
      <c r="P13" s="15">
        <f>Funding!P11*Inputs!$F$280+(1-Funding!P11)*Debt!P10+Funding!P10</f>
        <v/>
      </c>
      <c r="Q13" s="15">
        <f>Funding!Q11*Inputs!$F$280+(1-Funding!Q11)*Debt!Q10+Funding!Q10</f>
        <v/>
      </c>
      <c r="R13" s="15">
        <f>Funding!R11*Inputs!$F$280+(1-Funding!R11)*Debt!R10+Funding!R10</f>
        <v/>
      </c>
      <c r="S13" s="15">
        <f>Funding!S11*Inputs!$F$280+(1-Funding!S11)*Debt!S10+Funding!S10</f>
        <v/>
      </c>
      <c r="T13" s="15">
        <f>Funding!T11*Inputs!$F$280+(1-Funding!T11)*Debt!T10+Funding!T10</f>
        <v/>
      </c>
      <c r="U13" s="15">
        <f>Funding!U11*Inputs!$F$280+(1-Funding!U11)*Debt!U10+Funding!U10</f>
        <v/>
      </c>
      <c r="V13" s="15">
        <f>Funding!V11*Inputs!$F$280+(1-Funding!V11)*Debt!V10+Funding!V10</f>
        <v/>
      </c>
      <c r="W13" s="15">
        <f>Funding!W11*Inputs!$F$280+(1-Funding!W11)*Debt!W10+Funding!W10</f>
        <v/>
      </c>
      <c r="X13" s="15">
        <f>Funding!X11*Inputs!$F$280+(1-Funding!X11)*Debt!X10+Funding!X10</f>
        <v/>
      </c>
      <c r="Y13" s="15">
        <f>Funding!Y11*Inputs!$F$280+(1-Funding!Y11)*Debt!Y10+Funding!Y10</f>
        <v/>
      </c>
      <c r="Z13" s="15">
        <f>Funding!Z11*Inputs!$F$280+(1-Funding!Z11)*Debt!Z10+Funding!Z10</f>
        <v/>
      </c>
      <c r="AA13" s="15">
        <f>Funding!AA11*Inputs!$F$280+(1-Funding!AA11)*Debt!AA10+Funding!AA10</f>
        <v/>
      </c>
      <c r="AB13" s="15">
        <f>Funding!AB11*Inputs!$F$280+(1-Funding!AB11)*Debt!AB10+Funding!AB10</f>
        <v/>
      </c>
      <c r="AC13" s="15">
        <f>Funding!AC11*Inputs!$F$280+(1-Funding!AC11)*Debt!AC10+Funding!AC10</f>
        <v/>
      </c>
      <c r="AD13" s="15">
        <f>Funding!AD11*Inputs!$F$280+(1-Funding!AD11)*Debt!AD10+Funding!AD10</f>
        <v/>
      </c>
      <c r="AE13" s="15">
        <f>Funding!AE11*Inputs!$F$280+(1-Funding!AE11)*Debt!AE10+Funding!AE10</f>
        <v/>
      </c>
      <c r="AF13" s="15">
        <f>Funding!AF11*Inputs!$F$280+(1-Funding!AF11)*Debt!AF10+Funding!AF10</f>
        <v/>
      </c>
      <c r="AG13" s="15">
        <f>Funding!AG11*Inputs!$F$280+(1-Funding!AG11)*Debt!AG10+Funding!AG10</f>
        <v/>
      </c>
      <c r="AH13" s="15">
        <f>Funding!AH11*Inputs!$F$280+(1-Funding!AH11)*Debt!AH10+Funding!AH10</f>
        <v/>
      </c>
      <c r="AI13" s="15">
        <f>Funding!AI11*Inputs!$F$280+(1-Funding!AI11)*Debt!AI10+Funding!AI10</f>
        <v/>
      </c>
      <c r="AJ13" s="15">
        <f>Funding!AJ11*Inputs!$F$280+(1-Funding!AJ11)*Debt!AJ10+Funding!AJ10</f>
        <v/>
      </c>
      <c r="AK13" s="15">
        <f>Funding!AK11*Inputs!$F$280+(1-Funding!AK11)*Debt!AK10+Funding!AK10</f>
        <v/>
      </c>
      <c r="AL13" s="15">
        <f>Funding!AL11*Inputs!$F$280+(1-Funding!AL11)*Debt!AL10+Funding!AL10</f>
        <v/>
      </c>
      <c r="AM13" s="15">
        <f>Funding!AM11*Inputs!$F$280+(1-Funding!AM11)*Debt!AM10+Funding!AM10</f>
        <v/>
      </c>
      <c r="AN13" s="15">
        <f>Funding!AN11*Inputs!$F$280+(1-Funding!AN11)*Debt!AN10+Funding!AN10</f>
        <v/>
      </c>
      <c r="AO13" s="15">
        <f>Funding!AO11*Inputs!$F$280+(1-Funding!AO11)*Debt!AO10+Funding!AO10</f>
        <v/>
      </c>
      <c r="AP13" s="15">
        <f>Funding!AP11*Inputs!$F$280+(1-Funding!AP11)*Debt!AP10+Funding!AP10</f>
        <v/>
      </c>
      <c r="AQ13" s="15">
        <f>Funding!AQ11*Inputs!$F$280+(1-Funding!AQ11)*Debt!AQ10+Funding!AQ10</f>
        <v/>
      </c>
      <c r="AR13" s="15">
        <f>Funding!AR11*Inputs!$F$280+(1-Funding!AR11)*Debt!AR10+Funding!AR10</f>
        <v/>
      </c>
      <c r="AS13" s="15">
        <f>Funding!AS11*Inputs!$F$280+(1-Funding!AS11)*Debt!AS10+Funding!AS10</f>
        <v/>
      </c>
      <c r="AT13" s="15">
        <f>Funding!AT11*Inputs!$F$280+(1-Funding!AT11)*Debt!AT10+Funding!AT10</f>
        <v/>
      </c>
      <c r="AU13" s="15">
        <f>Funding!AU11*Inputs!$F$280+(1-Funding!AU11)*Debt!AU10+Funding!AU10</f>
        <v/>
      </c>
    </row>
    <row r="14">
      <c r="D14" t="inlineStr">
        <is>
          <t>Opening balance</t>
        </is>
      </c>
      <c r="E14" t="inlineStr">
        <is>
          <t>USD m</t>
        </is>
      </c>
      <c r="J14" s="20">
        <f>IF(Time!J$4=YEAR(Inputs!$F$269),Funding!$F$17,I19)</f>
        <v/>
      </c>
      <c r="K14" s="20">
        <f>IF(Time!K$4=YEAR(Inputs!$F$269),Funding!$F$17,J19)</f>
        <v/>
      </c>
      <c r="L14" s="20">
        <f>IF(Time!L$4=YEAR(Inputs!$F$269),Funding!$F$17,K19)</f>
        <v/>
      </c>
      <c r="M14" s="20">
        <f>IF(Time!M$4=YEAR(Inputs!$F$269),Funding!$F$17,L19)</f>
        <v/>
      </c>
      <c r="N14" s="20">
        <f>IF(Time!N$4=YEAR(Inputs!$F$269),Funding!$F$17,M19)</f>
        <v/>
      </c>
      <c r="O14" s="20">
        <f>IF(Time!O$4=YEAR(Inputs!$F$269),Funding!$F$17,N19)</f>
        <v/>
      </c>
      <c r="P14" s="20">
        <f>IF(Time!P$4=YEAR(Inputs!$F$269),Funding!$F$17,O19)</f>
        <v/>
      </c>
      <c r="Q14" s="20">
        <f>IF(Time!Q$4=YEAR(Inputs!$F$269),Funding!$F$17,P19)</f>
        <v/>
      </c>
      <c r="R14" s="20">
        <f>IF(Time!R$4=YEAR(Inputs!$F$269),Funding!$F$17,Q19)</f>
        <v/>
      </c>
      <c r="S14" s="20">
        <f>IF(Time!S$4=YEAR(Inputs!$F$269),Funding!$F$17,R19)</f>
        <v/>
      </c>
      <c r="T14" s="20">
        <f>IF(Time!T$4=YEAR(Inputs!$F$269),Funding!$F$17,S19)</f>
        <v/>
      </c>
      <c r="U14" s="20">
        <f>IF(Time!U$4=YEAR(Inputs!$F$269),Funding!$F$17,T19)</f>
        <v/>
      </c>
      <c r="V14" s="20">
        <f>IF(Time!V$4=YEAR(Inputs!$F$269),Funding!$F$17,U19)</f>
        <v/>
      </c>
      <c r="W14" s="20">
        <f>IF(Time!W$4=YEAR(Inputs!$F$269),Funding!$F$17,V19)</f>
        <v/>
      </c>
      <c r="X14" s="20">
        <f>IF(Time!X$4=YEAR(Inputs!$F$269),Funding!$F$17,W19)</f>
        <v/>
      </c>
      <c r="Y14" s="20">
        <f>IF(Time!Y$4=YEAR(Inputs!$F$269),Funding!$F$17,X19)</f>
        <v/>
      </c>
      <c r="Z14" s="20">
        <f>IF(Time!Z$4=YEAR(Inputs!$F$269),Funding!$F$17,Y19)</f>
        <v/>
      </c>
      <c r="AA14" s="20">
        <f>IF(Time!AA$4=YEAR(Inputs!$F$269),Funding!$F$17,Z19)</f>
        <v/>
      </c>
      <c r="AB14" s="20">
        <f>IF(Time!AB$4=YEAR(Inputs!$F$269),Funding!$F$17,AA19)</f>
        <v/>
      </c>
      <c r="AC14" s="20">
        <f>IF(Time!AC$4=YEAR(Inputs!$F$269),Funding!$F$17,AB19)</f>
        <v/>
      </c>
      <c r="AD14" s="20">
        <f>IF(Time!AD$4=YEAR(Inputs!$F$269),Funding!$F$17,AC19)</f>
        <v/>
      </c>
      <c r="AE14" s="20">
        <f>IF(Time!AE$4=YEAR(Inputs!$F$269),Funding!$F$17,AD19)</f>
        <v/>
      </c>
      <c r="AF14" s="20">
        <f>IF(Time!AF$4=YEAR(Inputs!$F$269),Funding!$F$17,AE19)</f>
        <v/>
      </c>
      <c r="AG14" s="20">
        <f>IF(Time!AG$4=YEAR(Inputs!$F$269),Funding!$F$17,AF19)</f>
        <v/>
      </c>
      <c r="AH14" s="20">
        <f>IF(Time!AH$4=YEAR(Inputs!$F$269),Funding!$F$17,AG19)</f>
        <v/>
      </c>
      <c r="AI14" s="20">
        <f>IF(Time!AI$4=YEAR(Inputs!$F$269),Funding!$F$17,AH19)</f>
        <v/>
      </c>
      <c r="AJ14" s="20">
        <f>IF(Time!AJ$4=YEAR(Inputs!$F$269),Funding!$F$17,AI19)</f>
        <v/>
      </c>
      <c r="AK14" s="20">
        <f>IF(Time!AK$4=YEAR(Inputs!$F$269),Funding!$F$17,AJ19)</f>
        <v/>
      </c>
      <c r="AL14" s="20">
        <f>IF(Time!AL$4=YEAR(Inputs!$F$269),Funding!$F$17,AK19)</f>
        <v/>
      </c>
      <c r="AM14" s="20">
        <f>IF(Time!AM$4=YEAR(Inputs!$F$269),Funding!$F$17,AL19)</f>
        <v/>
      </c>
      <c r="AN14" s="20">
        <f>IF(Time!AN$4=YEAR(Inputs!$F$269),Funding!$F$17,AM19)</f>
        <v/>
      </c>
      <c r="AO14" s="20">
        <f>IF(Time!AO$4=YEAR(Inputs!$F$269),Funding!$F$17,AN19)</f>
        <v/>
      </c>
      <c r="AP14" s="20">
        <f>IF(Time!AP$4=YEAR(Inputs!$F$269),Funding!$F$17,AO19)</f>
        <v/>
      </c>
      <c r="AQ14" s="20">
        <f>IF(Time!AQ$4=YEAR(Inputs!$F$269),Funding!$F$17,AP19)</f>
        <v/>
      </c>
      <c r="AR14" s="20">
        <f>IF(Time!AR$4=YEAR(Inputs!$F$269),Funding!$F$17,AQ19)</f>
        <v/>
      </c>
      <c r="AS14" s="20">
        <f>IF(Time!AS$4=YEAR(Inputs!$F$269),Funding!$F$17,AR19)</f>
        <v/>
      </c>
      <c r="AT14" s="20">
        <f>IF(Time!AT$4=YEAR(Inputs!$F$269),Funding!$F$17,AS19)</f>
        <v/>
      </c>
      <c r="AU14" s="20">
        <f>IF(Time!AU$4=YEAR(Inputs!$F$269),Funding!$F$17,AT19)</f>
        <v/>
      </c>
    </row>
    <row r="15">
      <c r="D15" t="inlineStr">
        <is>
          <t>Interest</t>
        </is>
      </c>
      <c r="E15" t="inlineStr">
        <is>
          <t>USD m</t>
        </is>
      </c>
      <c r="G15" s="20">
        <f>SUM(J15:AU15)</f>
        <v/>
      </c>
      <c r="J15" s="20">
        <f>Debt!J14*Debt!J13/100*Funding!J8</f>
        <v/>
      </c>
      <c r="K15" s="20">
        <f>Debt!K14*Debt!K13/100*Funding!K8</f>
        <v/>
      </c>
      <c r="L15" s="20">
        <f>Debt!L14*Debt!L13/100*Funding!L8</f>
        <v/>
      </c>
      <c r="M15" s="20">
        <f>Debt!M14*Debt!M13/100*Funding!M8</f>
        <v/>
      </c>
      <c r="N15" s="20">
        <f>Debt!N14*Debt!N13/100*Funding!N8</f>
        <v/>
      </c>
      <c r="O15" s="20">
        <f>Debt!O14*Debt!O13/100*Funding!O8</f>
        <v/>
      </c>
      <c r="P15" s="20">
        <f>Debt!P14*Debt!P13/100*Funding!P8</f>
        <v/>
      </c>
      <c r="Q15" s="20">
        <f>Debt!Q14*Debt!Q13/100*Funding!Q8</f>
        <v/>
      </c>
      <c r="R15" s="20">
        <f>Debt!R14*Debt!R13/100*Funding!R8</f>
        <v/>
      </c>
      <c r="S15" s="20">
        <f>Debt!S14*Debt!S13/100*Funding!S8</f>
        <v/>
      </c>
      <c r="T15" s="20">
        <f>Debt!T14*Debt!T13/100*Funding!T8</f>
        <v/>
      </c>
      <c r="U15" s="20">
        <f>Debt!U14*Debt!U13/100*Funding!U8</f>
        <v/>
      </c>
      <c r="V15" s="20">
        <f>Debt!V14*Debt!V13/100*Funding!V8</f>
        <v/>
      </c>
      <c r="W15" s="20">
        <f>Debt!W14*Debt!W13/100*Funding!W8</f>
        <v/>
      </c>
      <c r="X15" s="20">
        <f>Debt!X14*Debt!X13/100*Funding!X8</f>
        <v/>
      </c>
      <c r="Y15" s="20">
        <f>Debt!Y14*Debt!Y13/100*Funding!Y8</f>
        <v/>
      </c>
      <c r="Z15" s="20">
        <f>Debt!Z14*Debt!Z13/100*Funding!Z8</f>
        <v/>
      </c>
      <c r="AA15" s="20">
        <f>Debt!AA14*Debt!AA13/100*Funding!AA8</f>
        <v/>
      </c>
      <c r="AB15" s="20">
        <f>Debt!AB14*Debt!AB13/100*Funding!AB8</f>
        <v/>
      </c>
      <c r="AC15" s="20">
        <f>Debt!AC14*Debt!AC13/100*Funding!AC8</f>
        <v/>
      </c>
      <c r="AD15" s="20">
        <f>Debt!AD14*Debt!AD13/100*Funding!AD8</f>
        <v/>
      </c>
      <c r="AE15" s="20">
        <f>Debt!AE14*Debt!AE13/100*Funding!AE8</f>
        <v/>
      </c>
      <c r="AF15" s="20">
        <f>Debt!AF14*Debt!AF13/100*Funding!AF8</f>
        <v/>
      </c>
      <c r="AG15" s="20">
        <f>Debt!AG14*Debt!AG13/100*Funding!AG8</f>
        <v/>
      </c>
      <c r="AH15" s="20">
        <f>Debt!AH14*Debt!AH13/100*Funding!AH8</f>
        <v/>
      </c>
      <c r="AI15" s="20">
        <f>Debt!AI14*Debt!AI13/100*Funding!AI8</f>
        <v/>
      </c>
      <c r="AJ15" s="20">
        <f>Debt!AJ14*Debt!AJ13/100*Funding!AJ8</f>
        <v/>
      </c>
      <c r="AK15" s="20">
        <f>Debt!AK14*Debt!AK13/100*Funding!AK8</f>
        <v/>
      </c>
      <c r="AL15" s="20">
        <f>Debt!AL14*Debt!AL13/100*Funding!AL8</f>
        <v/>
      </c>
      <c r="AM15" s="20">
        <f>Debt!AM14*Debt!AM13/100*Funding!AM8</f>
        <v/>
      </c>
      <c r="AN15" s="20">
        <f>Debt!AN14*Debt!AN13/100*Funding!AN8</f>
        <v/>
      </c>
      <c r="AO15" s="20">
        <f>Debt!AO14*Debt!AO13/100*Funding!AO8</f>
        <v/>
      </c>
      <c r="AP15" s="20">
        <f>Debt!AP14*Debt!AP13/100*Funding!AP8</f>
        <v/>
      </c>
      <c r="AQ15" s="20">
        <f>Debt!AQ14*Debt!AQ13/100*Funding!AQ8</f>
        <v/>
      </c>
      <c r="AR15" s="20">
        <f>Debt!AR14*Debt!AR13/100*Funding!AR8</f>
        <v/>
      </c>
      <c r="AS15" s="20">
        <f>Debt!AS14*Debt!AS13/100*Funding!AS8</f>
        <v/>
      </c>
      <c r="AT15" s="20">
        <f>Debt!AT14*Debt!AT13/100*Funding!AT8</f>
        <v/>
      </c>
      <c r="AU15" s="20">
        <f>Debt!AU14*Debt!AU13/100*Funding!AU8</f>
        <v/>
      </c>
    </row>
    <row r="16">
      <c r="D16" t="inlineStr">
        <is>
          <t>Scheduled principal</t>
        </is>
      </c>
      <c r="E16" t="inlineStr">
        <is>
          <t>USD m</t>
        </is>
      </c>
      <c r="G16" s="20">
        <f>SUM(J16:AU16)</f>
        <v/>
      </c>
      <c r="J16" s="20">
        <f>MIN(Debt!J14,Funding!J24)*(1-Debt!J8)</f>
        <v/>
      </c>
      <c r="K16" s="20">
        <f>MIN(Debt!K14,Funding!K24)*(1-Debt!K8)</f>
        <v/>
      </c>
      <c r="L16" s="20">
        <f>MIN(Debt!L14,Funding!L24)*(1-Debt!L8)</f>
        <v/>
      </c>
      <c r="M16" s="20">
        <f>MIN(Debt!M14,Funding!M24)*(1-Debt!M8)</f>
        <v/>
      </c>
      <c r="N16" s="20">
        <f>MIN(Debt!N14,Funding!N24)*(1-Debt!N8)</f>
        <v/>
      </c>
      <c r="O16" s="20">
        <f>MIN(Debt!O14,Funding!O24)*(1-Debt!O8)</f>
        <v/>
      </c>
      <c r="P16" s="20">
        <f>MIN(Debt!P14,Funding!P24)*(1-Debt!P8)</f>
        <v/>
      </c>
      <c r="Q16" s="20">
        <f>MIN(Debt!Q14,Funding!Q24)*(1-Debt!Q8)</f>
        <v/>
      </c>
      <c r="R16" s="20">
        <f>MIN(Debt!R14,Funding!R24)*(1-Debt!R8)</f>
        <v/>
      </c>
      <c r="S16" s="20">
        <f>MIN(Debt!S14,Funding!S24)*(1-Debt!S8)</f>
        <v/>
      </c>
      <c r="T16" s="20">
        <f>MIN(Debt!T14,Funding!T24)*(1-Debt!T8)</f>
        <v/>
      </c>
      <c r="U16" s="20">
        <f>MIN(Debt!U14,Funding!U24)*(1-Debt!U8)</f>
        <v/>
      </c>
      <c r="V16" s="20">
        <f>MIN(Debt!V14,Funding!V24)*(1-Debt!V8)</f>
        <v/>
      </c>
      <c r="W16" s="20">
        <f>MIN(Debt!W14,Funding!W24)*(1-Debt!W8)</f>
        <v/>
      </c>
      <c r="X16" s="20">
        <f>MIN(Debt!X14,Funding!X24)*(1-Debt!X8)</f>
        <v/>
      </c>
      <c r="Y16" s="20">
        <f>MIN(Debt!Y14,Funding!Y24)*(1-Debt!Y8)</f>
        <v/>
      </c>
      <c r="Z16" s="20">
        <f>MIN(Debt!Z14,Funding!Z24)*(1-Debt!Z8)</f>
        <v/>
      </c>
      <c r="AA16" s="20">
        <f>MIN(Debt!AA14,Funding!AA24)*(1-Debt!AA8)</f>
        <v/>
      </c>
      <c r="AB16" s="20">
        <f>MIN(Debt!AB14,Funding!AB24)*(1-Debt!AB8)</f>
        <v/>
      </c>
      <c r="AC16" s="20">
        <f>MIN(Debt!AC14,Funding!AC24)*(1-Debt!AC8)</f>
        <v/>
      </c>
      <c r="AD16" s="20">
        <f>MIN(Debt!AD14,Funding!AD24)*(1-Debt!AD8)</f>
        <v/>
      </c>
      <c r="AE16" s="20">
        <f>MIN(Debt!AE14,Funding!AE24)*(1-Debt!AE8)</f>
        <v/>
      </c>
      <c r="AF16" s="20">
        <f>MIN(Debt!AF14,Funding!AF24)*(1-Debt!AF8)</f>
        <v/>
      </c>
      <c r="AG16" s="20">
        <f>MIN(Debt!AG14,Funding!AG24)*(1-Debt!AG8)</f>
        <v/>
      </c>
      <c r="AH16" s="20">
        <f>MIN(Debt!AH14,Funding!AH24)*(1-Debt!AH8)</f>
        <v/>
      </c>
      <c r="AI16" s="20">
        <f>MIN(Debt!AI14,Funding!AI24)*(1-Debt!AI8)</f>
        <v/>
      </c>
      <c r="AJ16" s="20">
        <f>MIN(Debt!AJ14,Funding!AJ24)*(1-Debt!AJ8)</f>
        <v/>
      </c>
      <c r="AK16" s="20">
        <f>MIN(Debt!AK14,Funding!AK24)*(1-Debt!AK8)</f>
        <v/>
      </c>
      <c r="AL16" s="20">
        <f>MIN(Debt!AL14,Funding!AL24)*(1-Debt!AL8)</f>
        <v/>
      </c>
      <c r="AM16" s="20">
        <f>MIN(Debt!AM14,Funding!AM24)*(1-Debt!AM8)</f>
        <v/>
      </c>
      <c r="AN16" s="20">
        <f>MIN(Debt!AN14,Funding!AN24)*(1-Debt!AN8)</f>
        <v/>
      </c>
      <c r="AO16" s="20">
        <f>MIN(Debt!AO14,Funding!AO24)*(1-Debt!AO8)</f>
        <v/>
      </c>
      <c r="AP16" s="20">
        <f>MIN(Debt!AP14,Funding!AP24)*(1-Debt!AP8)</f>
        <v/>
      </c>
      <c r="AQ16" s="20">
        <f>MIN(Debt!AQ14,Funding!AQ24)*(1-Debt!AQ8)</f>
        <v/>
      </c>
      <c r="AR16" s="20">
        <f>MIN(Debt!AR14,Funding!AR24)*(1-Debt!AR8)</f>
        <v/>
      </c>
      <c r="AS16" s="20">
        <f>MIN(Debt!AS14,Funding!AS24)*(1-Debt!AS8)</f>
        <v/>
      </c>
      <c r="AT16" s="20">
        <f>MIN(Debt!AT14,Funding!AT24)*(1-Debt!AT8)</f>
        <v/>
      </c>
      <c r="AU16" s="20">
        <f>MIN(Debt!AU14,Funding!AU24)*(1-Debt!AU8)</f>
        <v/>
      </c>
    </row>
    <row r="17">
      <c r="D17" t="inlineStr">
        <is>
          <t>Prepayment from refinancing</t>
        </is>
      </c>
      <c r="E17" t="inlineStr">
        <is>
          <t>USD m</t>
        </is>
      </c>
      <c r="G17" s="20">
        <f>SUM(J17:AU17)</f>
        <v/>
      </c>
      <c r="J17" s="20">
        <f>Debt!J9*(Debt!J14-Debt!J16)</f>
        <v/>
      </c>
      <c r="K17" s="20">
        <f>Debt!K9*(Debt!K14-Debt!K16)</f>
        <v/>
      </c>
      <c r="L17" s="20">
        <f>Debt!L9*(Debt!L14-Debt!L16)</f>
        <v/>
      </c>
      <c r="M17" s="20">
        <f>Debt!M9*(Debt!M14-Debt!M16)</f>
        <v/>
      </c>
      <c r="N17" s="20">
        <f>Debt!N9*(Debt!N14-Debt!N16)</f>
        <v/>
      </c>
      <c r="O17" s="20">
        <f>Debt!O9*(Debt!O14-Debt!O16)</f>
        <v/>
      </c>
      <c r="P17" s="20">
        <f>Debt!P9*(Debt!P14-Debt!P16)</f>
        <v/>
      </c>
      <c r="Q17" s="20">
        <f>Debt!Q9*(Debt!Q14-Debt!Q16)</f>
        <v/>
      </c>
      <c r="R17" s="20">
        <f>Debt!R9*(Debt!R14-Debt!R16)</f>
        <v/>
      </c>
      <c r="S17" s="20">
        <f>Debt!S9*(Debt!S14-Debt!S16)</f>
        <v/>
      </c>
      <c r="T17" s="20">
        <f>Debt!T9*(Debt!T14-Debt!T16)</f>
        <v/>
      </c>
      <c r="U17" s="20">
        <f>Debt!U9*(Debt!U14-Debt!U16)</f>
        <v/>
      </c>
      <c r="V17" s="20">
        <f>Debt!V9*(Debt!V14-Debt!V16)</f>
        <v/>
      </c>
      <c r="W17" s="20">
        <f>Debt!W9*(Debt!W14-Debt!W16)</f>
        <v/>
      </c>
      <c r="X17" s="20">
        <f>Debt!X9*(Debt!X14-Debt!X16)</f>
        <v/>
      </c>
      <c r="Y17" s="20">
        <f>Debt!Y9*(Debt!Y14-Debt!Y16)</f>
        <v/>
      </c>
      <c r="Z17" s="20">
        <f>Debt!Z9*(Debt!Z14-Debt!Z16)</f>
        <v/>
      </c>
      <c r="AA17" s="20">
        <f>Debt!AA9*(Debt!AA14-Debt!AA16)</f>
        <v/>
      </c>
      <c r="AB17" s="20">
        <f>Debt!AB9*(Debt!AB14-Debt!AB16)</f>
        <v/>
      </c>
      <c r="AC17" s="20">
        <f>Debt!AC9*(Debt!AC14-Debt!AC16)</f>
        <v/>
      </c>
      <c r="AD17" s="20">
        <f>Debt!AD9*(Debt!AD14-Debt!AD16)</f>
        <v/>
      </c>
      <c r="AE17" s="20">
        <f>Debt!AE9*(Debt!AE14-Debt!AE16)</f>
        <v/>
      </c>
      <c r="AF17" s="20">
        <f>Debt!AF9*(Debt!AF14-Debt!AF16)</f>
        <v/>
      </c>
      <c r="AG17" s="20">
        <f>Debt!AG9*(Debt!AG14-Debt!AG16)</f>
        <v/>
      </c>
      <c r="AH17" s="20">
        <f>Debt!AH9*(Debt!AH14-Debt!AH16)</f>
        <v/>
      </c>
      <c r="AI17" s="20">
        <f>Debt!AI9*(Debt!AI14-Debt!AI16)</f>
        <v/>
      </c>
      <c r="AJ17" s="20">
        <f>Debt!AJ9*(Debt!AJ14-Debt!AJ16)</f>
        <v/>
      </c>
      <c r="AK17" s="20">
        <f>Debt!AK9*(Debt!AK14-Debt!AK16)</f>
        <v/>
      </c>
      <c r="AL17" s="20">
        <f>Debt!AL9*(Debt!AL14-Debt!AL16)</f>
        <v/>
      </c>
      <c r="AM17" s="20">
        <f>Debt!AM9*(Debt!AM14-Debt!AM16)</f>
        <v/>
      </c>
      <c r="AN17" s="20">
        <f>Debt!AN9*(Debt!AN14-Debt!AN16)</f>
        <v/>
      </c>
      <c r="AO17" s="20">
        <f>Debt!AO9*(Debt!AO14-Debt!AO16)</f>
        <v/>
      </c>
      <c r="AP17" s="20">
        <f>Debt!AP9*(Debt!AP14-Debt!AP16)</f>
        <v/>
      </c>
      <c r="AQ17" s="20">
        <f>Debt!AQ9*(Debt!AQ14-Debt!AQ16)</f>
        <v/>
      </c>
      <c r="AR17" s="20">
        <f>Debt!AR9*(Debt!AR14-Debt!AR16)</f>
        <v/>
      </c>
      <c r="AS17" s="20">
        <f>Debt!AS9*(Debt!AS14-Debt!AS16)</f>
        <v/>
      </c>
      <c r="AT17" s="20">
        <f>Debt!AT9*(Debt!AT14-Debt!AT16)</f>
        <v/>
      </c>
      <c r="AU17" s="20">
        <f>Debt!AU9*(Debt!AU14-Debt!AU16)</f>
        <v/>
      </c>
    </row>
    <row r="18">
      <c r="D18" t="inlineStr">
        <is>
          <t>Debt service (interest and scheduled principal)</t>
        </is>
      </c>
      <c r="E18" t="inlineStr">
        <is>
          <t>USD m</t>
        </is>
      </c>
      <c r="G18" s="20">
        <f>SUM(J18:AU18)</f>
        <v/>
      </c>
      <c r="J18" s="20">
        <f>Debt!J15+Debt!J16</f>
        <v/>
      </c>
      <c r="K18" s="20">
        <f>Debt!K15+Debt!K16</f>
        <v/>
      </c>
      <c r="L18" s="20">
        <f>Debt!L15+Debt!L16</f>
        <v/>
      </c>
      <c r="M18" s="20">
        <f>Debt!M15+Debt!M16</f>
        <v/>
      </c>
      <c r="N18" s="20">
        <f>Debt!N15+Debt!N16</f>
        <v/>
      </c>
      <c r="O18" s="20">
        <f>Debt!O15+Debt!O16</f>
        <v/>
      </c>
      <c r="P18" s="20">
        <f>Debt!P15+Debt!P16</f>
        <v/>
      </c>
      <c r="Q18" s="20">
        <f>Debt!Q15+Debt!Q16</f>
        <v/>
      </c>
      <c r="R18" s="20">
        <f>Debt!R15+Debt!R16</f>
        <v/>
      </c>
      <c r="S18" s="20">
        <f>Debt!S15+Debt!S16</f>
        <v/>
      </c>
      <c r="T18" s="20">
        <f>Debt!T15+Debt!T16</f>
        <v/>
      </c>
      <c r="U18" s="20">
        <f>Debt!U15+Debt!U16</f>
        <v/>
      </c>
      <c r="V18" s="20">
        <f>Debt!V15+Debt!V16</f>
        <v/>
      </c>
      <c r="W18" s="20">
        <f>Debt!W15+Debt!W16</f>
        <v/>
      </c>
      <c r="X18" s="20">
        <f>Debt!X15+Debt!X16</f>
        <v/>
      </c>
      <c r="Y18" s="20">
        <f>Debt!Y15+Debt!Y16</f>
        <v/>
      </c>
      <c r="Z18" s="20">
        <f>Debt!Z15+Debt!Z16</f>
        <v/>
      </c>
      <c r="AA18" s="20">
        <f>Debt!AA15+Debt!AA16</f>
        <v/>
      </c>
      <c r="AB18" s="20">
        <f>Debt!AB15+Debt!AB16</f>
        <v/>
      </c>
      <c r="AC18" s="20">
        <f>Debt!AC15+Debt!AC16</f>
        <v/>
      </c>
      <c r="AD18" s="20">
        <f>Debt!AD15+Debt!AD16</f>
        <v/>
      </c>
      <c r="AE18" s="20">
        <f>Debt!AE15+Debt!AE16</f>
        <v/>
      </c>
      <c r="AF18" s="20">
        <f>Debt!AF15+Debt!AF16</f>
        <v/>
      </c>
      <c r="AG18" s="20">
        <f>Debt!AG15+Debt!AG16</f>
        <v/>
      </c>
      <c r="AH18" s="20">
        <f>Debt!AH15+Debt!AH16</f>
        <v/>
      </c>
      <c r="AI18" s="20">
        <f>Debt!AI15+Debt!AI16</f>
        <v/>
      </c>
      <c r="AJ18" s="20">
        <f>Debt!AJ15+Debt!AJ16</f>
        <v/>
      </c>
      <c r="AK18" s="20">
        <f>Debt!AK15+Debt!AK16</f>
        <v/>
      </c>
      <c r="AL18" s="20">
        <f>Debt!AL15+Debt!AL16</f>
        <v/>
      </c>
      <c r="AM18" s="20">
        <f>Debt!AM15+Debt!AM16</f>
        <v/>
      </c>
      <c r="AN18" s="20">
        <f>Debt!AN15+Debt!AN16</f>
        <v/>
      </c>
      <c r="AO18" s="20">
        <f>Debt!AO15+Debt!AO16</f>
        <v/>
      </c>
      <c r="AP18" s="20">
        <f>Debt!AP15+Debt!AP16</f>
        <v/>
      </c>
      <c r="AQ18" s="20">
        <f>Debt!AQ15+Debt!AQ16</f>
        <v/>
      </c>
      <c r="AR18" s="20">
        <f>Debt!AR15+Debt!AR16</f>
        <v/>
      </c>
      <c r="AS18" s="20">
        <f>Debt!AS15+Debt!AS16</f>
        <v/>
      </c>
      <c r="AT18" s="20">
        <f>Debt!AT15+Debt!AT16</f>
        <v/>
      </c>
      <c r="AU18" s="20">
        <f>Debt!AU15+Debt!AU16</f>
        <v/>
      </c>
    </row>
    <row r="19">
      <c r="D19" t="inlineStr">
        <is>
          <t>Closing balance</t>
        </is>
      </c>
      <c r="E19" t="inlineStr">
        <is>
          <t>USD m</t>
        </is>
      </c>
      <c r="J19" s="20">
        <f>Debt!J14-Debt!J16-Debt!J17</f>
        <v/>
      </c>
      <c r="K19" s="20">
        <f>Debt!K14-Debt!K16-Debt!K17</f>
        <v/>
      </c>
      <c r="L19" s="20">
        <f>Debt!L14-Debt!L16-Debt!L17</f>
        <v/>
      </c>
      <c r="M19" s="20">
        <f>Debt!M14-Debt!M16-Debt!M17</f>
        <v/>
      </c>
      <c r="N19" s="20">
        <f>Debt!N14-Debt!N16-Debt!N17</f>
        <v/>
      </c>
      <c r="O19" s="20">
        <f>Debt!O14-Debt!O16-Debt!O17</f>
        <v/>
      </c>
      <c r="P19" s="20">
        <f>Debt!P14-Debt!P16-Debt!P17</f>
        <v/>
      </c>
      <c r="Q19" s="20">
        <f>Debt!Q14-Debt!Q16-Debt!Q17</f>
        <v/>
      </c>
      <c r="R19" s="20">
        <f>Debt!R14-Debt!R16-Debt!R17</f>
        <v/>
      </c>
      <c r="S19" s="20">
        <f>Debt!S14-Debt!S16-Debt!S17</f>
        <v/>
      </c>
      <c r="T19" s="20">
        <f>Debt!T14-Debt!T16-Debt!T17</f>
        <v/>
      </c>
      <c r="U19" s="20">
        <f>Debt!U14-Debt!U16-Debt!U17</f>
        <v/>
      </c>
      <c r="V19" s="20">
        <f>Debt!V14-Debt!V16-Debt!V17</f>
        <v/>
      </c>
      <c r="W19" s="20">
        <f>Debt!W14-Debt!W16-Debt!W17</f>
        <v/>
      </c>
      <c r="X19" s="20">
        <f>Debt!X14-Debt!X16-Debt!X17</f>
        <v/>
      </c>
      <c r="Y19" s="20">
        <f>Debt!Y14-Debt!Y16-Debt!Y17</f>
        <v/>
      </c>
      <c r="Z19" s="20">
        <f>Debt!Z14-Debt!Z16-Debt!Z17</f>
        <v/>
      </c>
      <c r="AA19" s="20">
        <f>Debt!AA14-Debt!AA16-Debt!AA17</f>
        <v/>
      </c>
      <c r="AB19" s="20">
        <f>Debt!AB14-Debt!AB16-Debt!AB17</f>
        <v/>
      </c>
      <c r="AC19" s="20">
        <f>Debt!AC14-Debt!AC16-Debt!AC17</f>
        <v/>
      </c>
      <c r="AD19" s="20">
        <f>Debt!AD14-Debt!AD16-Debt!AD17</f>
        <v/>
      </c>
      <c r="AE19" s="20">
        <f>Debt!AE14-Debt!AE16-Debt!AE17</f>
        <v/>
      </c>
      <c r="AF19" s="20">
        <f>Debt!AF14-Debt!AF16-Debt!AF17</f>
        <v/>
      </c>
      <c r="AG19" s="20">
        <f>Debt!AG14-Debt!AG16-Debt!AG17</f>
        <v/>
      </c>
      <c r="AH19" s="20">
        <f>Debt!AH14-Debt!AH16-Debt!AH17</f>
        <v/>
      </c>
      <c r="AI19" s="20">
        <f>Debt!AI14-Debt!AI16-Debt!AI17</f>
        <v/>
      </c>
      <c r="AJ19" s="20">
        <f>Debt!AJ14-Debt!AJ16-Debt!AJ17</f>
        <v/>
      </c>
      <c r="AK19" s="20">
        <f>Debt!AK14-Debt!AK16-Debt!AK17</f>
        <v/>
      </c>
      <c r="AL19" s="20">
        <f>Debt!AL14-Debt!AL16-Debt!AL17</f>
        <v/>
      </c>
      <c r="AM19" s="20">
        <f>Debt!AM14-Debt!AM16-Debt!AM17</f>
        <v/>
      </c>
      <c r="AN19" s="20">
        <f>Debt!AN14-Debt!AN16-Debt!AN17</f>
        <v/>
      </c>
      <c r="AO19" s="20">
        <f>Debt!AO14-Debt!AO16-Debt!AO17</f>
        <v/>
      </c>
      <c r="AP19" s="20">
        <f>Debt!AP14-Debt!AP16-Debt!AP17</f>
        <v/>
      </c>
      <c r="AQ19" s="20">
        <f>Debt!AQ14-Debt!AQ16-Debt!AQ17</f>
        <v/>
      </c>
      <c r="AR19" s="20">
        <f>Debt!AR14-Debt!AR16-Debt!AR17</f>
        <v/>
      </c>
      <c r="AS19" s="20">
        <f>Debt!AS14-Debt!AS16-Debt!AS17</f>
        <v/>
      </c>
      <c r="AT19" s="20">
        <f>Debt!AT14-Debt!AT16-Debt!AT17</f>
        <v/>
      </c>
      <c r="AU19" s="20">
        <f>Debt!AU14-Debt!AU16-Debt!AU17</f>
        <v/>
      </c>
    </row>
    <row r="21">
      <c r="A21" s="4" t="inlineStr">
        <is>
          <t>Redfern term loan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</row>
    <row r="22">
      <c r="D22" t="inlineStr">
        <is>
          <t>All-in rate</t>
        </is>
      </c>
      <c r="E22" t="inlineStr">
        <is>
          <t>%</t>
        </is>
      </c>
      <c r="J22" s="15">
        <f>Inputs!$F$298/100*Inputs!$F$299+(1-Inputs!$F$298/100)*Debt!J10+Inputs!$F$295</f>
        <v/>
      </c>
      <c r="K22" s="15">
        <f>Inputs!$F$298/100*Inputs!$F$299+(1-Inputs!$F$298/100)*Debt!K10+Inputs!$F$295</f>
        <v/>
      </c>
      <c r="L22" s="15">
        <f>Inputs!$F$298/100*Inputs!$F$299+(1-Inputs!$F$298/100)*Debt!L10+Inputs!$F$295</f>
        <v/>
      </c>
      <c r="M22" s="15">
        <f>Inputs!$F$298/100*Inputs!$F$299+(1-Inputs!$F$298/100)*Debt!M10+Inputs!$F$295</f>
        <v/>
      </c>
      <c r="N22" s="15">
        <f>Inputs!$F$298/100*Inputs!$F$299+(1-Inputs!$F$298/100)*Debt!N10+Inputs!$F$295</f>
        <v/>
      </c>
      <c r="O22" s="15">
        <f>Inputs!$F$298/100*Inputs!$F$299+(1-Inputs!$F$298/100)*Debt!O10+Inputs!$F$295</f>
        <v/>
      </c>
      <c r="P22" s="15">
        <f>Inputs!$F$298/100*Inputs!$F$299+(1-Inputs!$F$298/100)*Debt!P10+Inputs!$F$295</f>
        <v/>
      </c>
      <c r="Q22" s="15">
        <f>Inputs!$F$298/100*Inputs!$F$299+(1-Inputs!$F$298/100)*Debt!Q10+Inputs!$F$295</f>
        <v/>
      </c>
      <c r="R22" s="15">
        <f>Inputs!$F$298/100*Inputs!$F$299+(1-Inputs!$F$298/100)*Debt!R10+Inputs!$F$295</f>
        <v/>
      </c>
      <c r="S22" s="15">
        <f>Inputs!$F$298/100*Inputs!$F$299+(1-Inputs!$F$298/100)*Debt!S10+Inputs!$F$295</f>
        <v/>
      </c>
      <c r="T22" s="15">
        <f>Inputs!$F$298/100*Inputs!$F$299+(1-Inputs!$F$298/100)*Debt!T10+Inputs!$F$295</f>
        <v/>
      </c>
      <c r="U22" s="15">
        <f>Inputs!$F$298/100*Inputs!$F$299+(1-Inputs!$F$298/100)*Debt!U10+Inputs!$F$295</f>
        <v/>
      </c>
      <c r="V22" s="15">
        <f>Inputs!$F$298/100*Inputs!$F$299+(1-Inputs!$F$298/100)*Debt!V10+Inputs!$F$295</f>
        <v/>
      </c>
      <c r="W22" s="15">
        <f>Inputs!$F$298/100*Inputs!$F$299+(1-Inputs!$F$298/100)*Debt!W10+Inputs!$F$295</f>
        <v/>
      </c>
      <c r="X22" s="15">
        <f>Inputs!$F$298/100*Inputs!$F$299+(1-Inputs!$F$298/100)*Debt!X10+Inputs!$F$295</f>
        <v/>
      </c>
      <c r="Y22" s="15">
        <f>Inputs!$F$298/100*Inputs!$F$299+(1-Inputs!$F$298/100)*Debt!Y10+Inputs!$F$295</f>
        <v/>
      </c>
      <c r="Z22" s="15">
        <f>Inputs!$F$298/100*Inputs!$F$299+(1-Inputs!$F$298/100)*Debt!Z10+Inputs!$F$295</f>
        <v/>
      </c>
      <c r="AA22" s="15">
        <f>Inputs!$F$298/100*Inputs!$F$299+(1-Inputs!$F$298/100)*Debt!AA10+Inputs!$F$295</f>
        <v/>
      </c>
      <c r="AB22" s="15">
        <f>Inputs!$F$298/100*Inputs!$F$299+(1-Inputs!$F$298/100)*Debt!AB10+Inputs!$F$295</f>
        <v/>
      </c>
      <c r="AC22" s="15">
        <f>Inputs!$F$298/100*Inputs!$F$299+(1-Inputs!$F$298/100)*Debt!AC10+Inputs!$F$295</f>
        <v/>
      </c>
      <c r="AD22" s="15">
        <f>Inputs!$F$298/100*Inputs!$F$299+(1-Inputs!$F$298/100)*Debt!AD10+Inputs!$F$295</f>
        <v/>
      </c>
      <c r="AE22" s="15">
        <f>Inputs!$F$298/100*Inputs!$F$299+(1-Inputs!$F$298/100)*Debt!AE10+Inputs!$F$295</f>
        <v/>
      </c>
      <c r="AF22" s="15">
        <f>Inputs!$F$298/100*Inputs!$F$299+(1-Inputs!$F$298/100)*Debt!AF10+Inputs!$F$295</f>
        <v/>
      </c>
      <c r="AG22" s="15">
        <f>Inputs!$F$298/100*Inputs!$F$299+(1-Inputs!$F$298/100)*Debt!AG10+Inputs!$F$295</f>
        <v/>
      </c>
      <c r="AH22" s="15">
        <f>Inputs!$F$298/100*Inputs!$F$299+(1-Inputs!$F$298/100)*Debt!AH10+Inputs!$F$295</f>
        <v/>
      </c>
      <c r="AI22" s="15">
        <f>Inputs!$F$298/100*Inputs!$F$299+(1-Inputs!$F$298/100)*Debt!AI10+Inputs!$F$295</f>
        <v/>
      </c>
      <c r="AJ22" s="15">
        <f>Inputs!$F$298/100*Inputs!$F$299+(1-Inputs!$F$298/100)*Debt!AJ10+Inputs!$F$295</f>
        <v/>
      </c>
      <c r="AK22" s="15">
        <f>Inputs!$F$298/100*Inputs!$F$299+(1-Inputs!$F$298/100)*Debt!AK10+Inputs!$F$295</f>
        <v/>
      </c>
      <c r="AL22" s="15">
        <f>Inputs!$F$298/100*Inputs!$F$299+(1-Inputs!$F$298/100)*Debt!AL10+Inputs!$F$295</f>
        <v/>
      </c>
      <c r="AM22" s="15">
        <f>Inputs!$F$298/100*Inputs!$F$299+(1-Inputs!$F$298/100)*Debt!AM10+Inputs!$F$295</f>
        <v/>
      </c>
      <c r="AN22" s="15">
        <f>Inputs!$F$298/100*Inputs!$F$299+(1-Inputs!$F$298/100)*Debt!AN10+Inputs!$F$295</f>
        <v/>
      </c>
      <c r="AO22" s="15">
        <f>Inputs!$F$298/100*Inputs!$F$299+(1-Inputs!$F$298/100)*Debt!AO10+Inputs!$F$295</f>
        <v/>
      </c>
      <c r="AP22" s="15">
        <f>Inputs!$F$298/100*Inputs!$F$299+(1-Inputs!$F$298/100)*Debt!AP10+Inputs!$F$295</f>
        <v/>
      </c>
      <c r="AQ22" s="15">
        <f>Inputs!$F$298/100*Inputs!$F$299+(1-Inputs!$F$298/100)*Debt!AQ10+Inputs!$F$295</f>
        <v/>
      </c>
      <c r="AR22" s="15">
        <f>Inputs!$F$298/100*Inputs!$F$299+(1-Inputs!$F$298/100)*Debt!AR10+Inputs!$F$295</f>
        <v/>
      </c>
      <c r="AS22" s="15">
        <f>Inputs!$F$298/100*Inputs!$F$299+(1-Inputs!$F$298/100)*Debt!AS10+Inputs!$F$295</f>
        <v/>
      </c>
      <c r="AT22" s="15">
        <f>Inputs!$F$298/100*Inputs!$F$299+(1-Inputs!$F$298/100)*Debt!AT10+Inputs!$F$295</f>
        <v/>
      </c>
      <c r="AU22" s="15">
        <f>Inputs!$F$298/100*Inputs!$F$299+(1-Inputs!$F$298/100)*Debt!AU10+Inputs!$F$295</f>
        <v/>
      </c>
    </row>
    <row r="23">
      <c r="D23" t="inlineStr">
        <is>
          <t>Opening balance</t>
        </is>
      </c>
      <c r="E23" t="inlineStr">
        <is>
          <t>USD m</t>
        </is>
      </c>
      <c r="J23" s="20">
        <f>IF(Time!J$4=YEAR(Inputs!$F$293),Funding!$F$50,I28)</f>
        <v/>
      </c>
      <c r="K23" s="20">
        <f>IF(Time!K$4=YEAR(Inputs!$F$293),Funding!$F$50,J28)</f>
        <v/>
      </c>
      <c r="L23" s="20">
        <f>IF(Time!L$4=YEAR(Inputs!$F$293),Funding!$F$50,K28)</f>
        <v/>
      </c>
      <c r="M23" s="20">
        <f>IF(Time!M$4=YEAR(Inputs!$F$293),Funding!$F$50,L28)</f>
        <v/>
      </c>
      <c r="N23" s="20">
        <f>IF(Time!N$4=YEAR(Inputs!$F$293),Funding!$F$50,M28)</f>
        <v/>
      </c>
      <c r="O23" s="20">
        <f>IF(Time!O$4=YEAR(Inputs!$F$293),Funding!$F$50,N28)</f>
        <v/>
      </c>
      <c r="P23" s="20">
        <f>IF(Time!P$4=YEAR(Inputs!$F$293),Funding!$F$50,O28)</f>
        <v/>
      </c>
      <c r="Q23" s="20">
        <f>IF(Time!Q$4=YEAR(Inputs!$F$293),Funding!$F$50,P28)</f>
        <v/>
      </c>
      <c r="R23" s="20">
        <f>IF(Time!R$4=YEAR(Inputs!$F$293),Funding!$F$50,Q28)</f>
        <v/>
      </c>
      <c r="S23" s="20">
        <f>IF(Time!S$4=YEAR(Inputs!$F$293),Funding!$F$50,R28)</f>
        <v/>
      </c>
      <c r="T23" s="20">
        <f>IF(Time!T$4=YEAR(Inputs!$F$293),Funding!$F$50,S28)</f>
        <v/>
      </c>
      <c r="U23" s="20">
        <f>IF(Time!U$4=YEAR(Inputs!$F$293),Funding!$F$50,T28)</f>
        <v/>
      </c>
      <c r="V23" s="20">
        <f>IF(Time!V$4=YEAR(Inputs!$F$293),Funding!$F$50,U28)</f>
        <v/>
      </c>
      <c r="W23" s="20">
        <f>IF(Time!W$4=YEAR(Inputs!$F$293),Funding!$F$50,V28)</f>
        <v/>
      </c>
      <c r="X23" s="20">
        <f>IF(Time!X$4=YEAR(Inputs!$F$293),Funding!$F$50,W28)</f>
        <v/>
      </c>
      <c r="Y23" s="20">
        <f>IF(Time!Y$4=YEAR(Inputs!$F$293),Funding!$F$50,X28)</f>
        <v/>
      </c>
      <c r="Z23" s="20">
        <f>IF(Time!Z$4=YEAR(Inputs!$F$293),Funding!$F$50,Y28)</f>
        <v/>
      </c>
      <c r="AA23" s="20">
        <f>IF(Time!AA$4=YEAR(Inputs!$F$293),Funding!$F$50,Z28)</f>
        <v/>
      </c>
      <c r="AB23" s="20">
        <f>IF(Time!AB$4=YEAR(Inputs!$F$293),Funding!$F$50,AA28)</f>
        <v/>
      </c>
      <c r="AC23" s="20">
        <f>IF(Time!AC$4=YEAR(Inputs!$F$293),Funding!$F$50,AB28)</f>
        <v/>
      </c>
      <c r="AD23" s="20">
        <f>IF(Time!AD$4=YEAR(Inputs!$F$293),Funding!$F$50,AC28)</f>
        <v/>
      </c>
      <c r="AE23" s="20">
        <f>IF(Time!AE$4=YEAR(Inputs!$F$293),Funding!$F$50,AD28)</f>
        <v/>
      </c>
      <c r="AF23" s="20">
        <f>IF(Time!AF$4=YEAR(Inputs!$F$293),Funding!$F$50,AE28)</f>
        <v/>
      </c>
      <c r="AG23" s="20">
        <f>IF(Time!AG$4=YEAR(Inputs!$F$293),Funding!$F$50,AF28)</f>
        <v/>
      </c>
      <c r="AH23" s="20">
        <f>IF(Time!AH$4=YEAR(Inputs!$F$293),Funding!$F$50,AG28)</f>
        <v/>
      </c>
      <c r="AI23" s="20">
        <f>IF(Time!AI$4=YEAR(Inputs!$F$293),Funding!$F$50,AH28)</f>
        <v/>
      </c>
      <c r="AJ23" s="20">
        <f>IF(Time!AJ$4=YEAR(Inputs!$F$293),Funding!$F$50,AI28)</f>
        <v/>
      </c>
      <c r="AK23" s="20">
        <f>IF(Time!AK$4=YEAR(Inputs!$F$293),Funding!$F$50,AJ28)</f>
        <v/>
      </c>
      <c r="AL23" s="20">
        <f>IF(Time!AL$4=YEAR(Inputs!$F$293),Funding!$F$50,AK28)</f>
        <v/>
      </c>
      <c r="AM23" s="20">
        <f>IF(Time!AM$4=YEAR(Inputs!$F$293),Funding!$F$50,AL28)</f>
        <v/>
      </c>
      <c r="AN23" s="20">
        <f>IF(Time!AN$4=YEAR(Inputs!$F$293),Funding!$F$50,AM28)</f>
        <v/>
      </c>
      <c r="AO23" s="20">
        <f>IF(Time!AO$4=YEAR(Inputs!$F$293),Funding!$F$50,AN28)</f>
        <v/>
      </c>
      <c r="AP23" s="20">
        <f>IF(Time!AP$4=YEAR(Inputs!$F$293),Funding!$F$50,AO28)</f>
        <v/>
      </c>
      <c r="AQ23" s="20">
        <f>IF(Time!AQ$4=YEAR(Inputs!$F$293),Funding!$F$50,AP28)</f>
        <v/>
      </c>
      <c r="AR23" s="20">
        <f>IF(Time!AR$4=YEAR(Inputs!$F$293),Funding!$F$50,AQ28)</f>
        <v/>
      </c>
      <c r="AS23" s="20">
        <f>IF(Time!AS$4=YEAR(Inputs!$F$293),Funding!$F$50,AR28)</f>
        <v/>
      </c>
      <c r="AT23" s="20">
        <f>IF(Time!AT$4=YEAR(Inputs!$F$293),Funding!$F$50,AS28)</f>
        <v/>
      </c>
      <c r="AU23" s="20">
        <f>IF(Time!AU$4=YEAR(Inputs!$F$293),Funding!$F$50,AT28)</f>
        <v/>
      </c>
    </row>
    <row r="24">
      <c r="D24" t="inlineStr">
        <is>
          <t>Interest</t>
        </is>
      </c>
      <c r="E24" t="inlineStr">
        <is>
          <t>USD m</t>
        </is>
      </c>
      <c r="G24" s="20">
        <f>SUM(J24:AU24)</f>
        <v/>
      </c>
      <c r="J24" s="20">
        <f>Debt!J23*Debt!J22/100*Funding!J44</f>
        <v/>
      </c>
      <c r="K24" s="20">
        <f>Debt!K23*Debt!K22/100*Funding!K44</f>
        <v/>
      </c>
      <c r="L24" s="20">
        <f>Debt!L23*Debt!L22/100*Funding!L44</f>
        <v/>
      </c>
      <c r="M24" s="20">
        <f>Debt!M23*Debt!M22/100*Funding!M44</f>
        <v/>
      </c>
      <c r="N24" s="20">
        <f>Debt!N23*Debt!N22/100*Funding!N44</f>
        <v/>
      </c>
      <c r="O24" s="20">
        <f>Debt!O23*Debt!O22/100*Funding!O44</f>
        <v/>
      </c>
      <c r="P24" s="20">
        <f>Debt!P23*Debt!P22/100*Funding!P44</f>
        <v/>
      </c>
      <c r="Q24" s="20">
        <f>Debt!Q23*Debt!Q22/100*Funding!Q44</f>
        <v/>
      </c>
      <c r="R24" s="20">
        <f>Debt!R23*Debt!R22/100*Funding!R44</f>
        <v/>
      </c>
      <c r="S24" s="20">
        <f>Debt!S23*Debt!S22/100*Funding!S44</f>
        <v/>
      </c>
      <c r="T24" s="20">
        <f>Debt!T23*Debt!T22/100*Funding!T44</f>
        <v/>
      </c>
      <c r="U24" s="20">
        <f>Debt!U23*Debt!U22/100*Funding!U44</f>
        <v/>
      </c>
      <c r="V24" s="20">
        <f>Debt!V23*Debt!V22/100*Funding!V44</f>
        <v/>
      </c>
      <c r="W24" s="20">
        <f>Debt!W23*Debt!W22/100*Funding!W44</f>
        <v/>
      </c>
      <c r="X24" s="20">
        <f>Debt!X23*Debt!X22/100*Funding!X44</f>
        <v/>
      </c>
      <c r="Y24" s="20">
        <f>Debt!Y23*Debt!Y22/100*Funding!Y44</f>
        <v/>
      </c>
      <c r="Z24" s="20">
        <f>Debt!Z23*Debt!Z22/100*Funding!Z44</f>
        <v/>
      </c>
      <c r="AA24" s="20">
        <f>Debt!AA23*Debt!AA22/100*Funding!AA44</f>
        <v/>
      </c>
      <c r="AB24" s="20">
        <f>Debt!AB23*Debt!AB22/100*Funding!AB44</f>
        <v/>
      </c>
      <c r="AC24" s="20">
        <f>Debt!AC23*Debt!AC22/100*Funding!AC44</f>
        <v/>
      </c>
      <c r="AD24" s="20">
        <f>Debt!AD23*Debt!AD22/100*Funding!AD44</f>
        <v/>
      </c>
      <c r="AE24" s="20">
        <f>Debt!AE23*Debt!AE22/100*Funding!AE44</f>
        <v/>
      </c>
      <c r="AF24" s="20">
        <f>Debt!AF23*Debt!AF22/100*Funding!AF44</f>
        <v/>
      </c>
      <c r="AG24" s="20">
        <f>Debt!AG23*Debt!AG22/100*Funding!AG44</f>
        <v/>
      </c>
      <c r="AH24" s="20">
        <f>Debt!AH23*Debt!AH22/100*Funding!AH44</f>
        <v/>
      </c>
      <c r="AI24" s="20">
        <f>Debt!AI23*Debt!AI22/100*Funding!AI44</f>
        <v/>
      </c>
      <c r="AJ24" s="20">
        <f>Debt!AJ23*Debt!AJ22/100*Funding!AJ44</f>
        <v/>
      </c>
      <c r="AK24" s="20">
        <f>Debt!AK23*Debt!AK22/100*Funding!AK44</f>
        <v/>
      </c>
      <c r="AL24" s="20">
        <f>Debt!AL23*Debt!AL22/100*Funding!AL44</f>
        <v/>
      </c>
      <c r="AM24" s="20">
        <f>Debt!AM23*Debt!AM22/100*Funding!AM44</f>
        <v/>
      </c>
      <c r="AN24" s="20">
        <f>Debt!AN23*Debt!AN22/100*Funding!AN44</f>
        <v/>
      </c>
      <c r="AO24" s="20">
        <f>Debt!AO23*Debt!AO22/100*Funding!AO44</f>
        <v/>
      </c>
      <c r="AP24" s="20">
        <f>Debt!AP23*Debt!AP22/100*Funding!AP44</f>
        <v/>
      </c>
      <c r="AQ24" s="20">
        <f>Debt!AQ23*Debt!AQ22/100*Funding!AQ44</f>
        <v/>
      </c>
      <c r="AR24" s="20">
        <f>Debt!AR23*Debt!AR22/100*Funding!AR44</f>
        <v/>
      </c>
      <c r="AS24" s="20">
        <f>Debt!AS23*Debt!AS22/100*Funding!AS44</f>
        <v/>
      </c>
      <c r="AT24" s="20">
        <f>Debt!AT23*Debt!AT22/100*Funding!AT44</f>
        <v/>
      </c>
      <c r="AU24" s="20">
        <f>Debt!AU23*Debt!AU22/100*Funding!AU44</f>
        <v/>
      </c>
    </row>
    <row r="25">
      <c r="D25" t="inlineStr">
        <is>
          <t>Scheduled principal</t>
        </is>
      </c>
      <c r="E25" t="inlineStr">
        <is>
          <t>USD m</t>
        </is>
      </c>
      <c r="G25" s="20">
        <f>SUM(J25:AU25)</f>
        <v/>
      </c>
      <c r="J25" s="20">
        <f>MIN(Debt!J23,Funding!J52)*(1-Debt!J8)</f>
        <v/>
      </c>
      <c r="K25" s="20">
        <f>MIN(Debt!K23,Funding!K52)*(1-Debt!K8)</f>
        <v/>
      </c>
      <c r="L25" s="20">
        <f>MIN(Debt!L23,Funding!L52)*(1-Debt!L8)</f>
        <v/>
      </c>
      <c r="M25" s="20">
        <f>MIN(Debt!M23,Funding!M52)*(1-Debt!M8)</f>
        <v/>
      </c>
      <c r="N25" s="20">
        <f>MIN(Debt!N23,Funding!N52)*(1-Debt!N8)</f>
        <v/>
      </c>
      <c r="O25" s="20">
        <f>MIN(Debt!O23,Funding!O52)*(1-Debt!O8)</f>
        <v/>
      </c>
      <c r="P25" s="20">
        <f>MIN(Debt!P23,Funding!P52)*(1-Debt!P8)</f>
        <v/>
      </c>
      <c r="Q25" s="20">
        <f>MIN(Debt!Q23,Funding!Q52)*(1-Debt!Q8)</f>
        <v/>
      </c>
      <c r="R25" s="20">
        <f>MIN(Debt!R23,Funding!R52)*(1-Debt!R8)</f>
        <v/>
      </c>
      <c r="S25" s="20">
        <f>MIN(Debt!S23,Funding!S52)*(1-Debt!S8)</f>
        <v/>
      </c>
      <c r="T25" s="20">
        <f>MIN(Debt!T23,Funding!T52)*(1-Debt!T8)</f>
        <v/>
      </c>
      <c r="U25" s="20">
        <f>MIN(Debt!U23,Funding!U52)*(1-Debt!U8)</f>
        <v/>
      </c>
      <c r="V25" s="20">
        <f>MIN(Debt!V23,Funding!V52)*(1-Debt!V8)</f>
        <v/>
      </c>
      <c r="W25" s="20">
        <f>MIN(Debt!W23,Funding!W52)*(1-Debt!W8)</f>
        <v/>
      </c>
      <c r="X25" s="20">
        <f>MIN(Debt!X23,Funding!X52)*(1-Debt!X8)</f>
        <v/>
      </c>
      <c r="Y25" s="20">
        <f>MIN(Debt!Y23,Funding!Y52)*(1-Debt!Y8)</f>
        <v/>
      </c>
      <c r="Z25" s="20">
        <f>MIN(Debt!Z23,Funding!Z52)*(1-Debt!Z8)</f>
        <v/>
      </c>
      <c r="AA25" s="20">
        <f>MIN(Debt!AA23,Funding!AA52)*(1-Debt!AA8)</f>
        <v/>
      </c>
      <c r="AB25" s="20">
        <f>MIN(Debt!AB23,Funding!AB52)*(1-Debt!AB8)</f>
        <v/>
      </c>
      <c r="AC25" s="20">
        <f>MIN(Debt!AC23,Funding!AC52)*(1-Debt!AC8)</f>
        <v/>
      </c>
      <c r="AD25" s="20">
        <f>MIN(Debt!AD23,Funding!AD52)*(1-Debt!AD8)</f>
        <v/>
      </c>
      <c r="AE25" s="20">
        <f>MIN(Debt!AE23,Funding!AE52)*(1-Debt!AE8)</f>
        <v/>
      </c>
      <c r="AF25" s="20">
        <f>MIN(Debt!AF23,Funding!AF52)*(1-Debt!AF8)</f>
        <v/>
      </c>
      <c r="AG25" s="20">
        <f>MIN(Debt!AG23,Funding!AG52)*(1-Debt!AG8)</f>
        <v/>
      </c>
      <c r="AH25" s="20">
        <f>MIN(Debt!AH23,Funding!AH52)*(1-Debt!AH8)</f>
        <v/>
      </c>
      <c r="AI25" s="20">
        <f>MIN(Debt!AI23,Funding!AI52)*(1-Debt!AI8)</f>
        <v/>
      </c>
      <c r="AJ25" s="20">
        <f>MIN(Debt!AJ23,Funding!AJ52)*(1-Debt!AJ8)</f>
        <v/>
      </c>
      <c r="AK25" s="20">
        <f>MIN(Debt!AK23,Funding!AK52)*(1-Debt!AK8)</f>
        <v/>
      </c>
      <c r="AL25" s="20">
        <f>MIN(Debt!AL23,Funding!AL52)*(1-Debt!AL8)</f>
        <v/>
      </c>
      <c r="AM25" s="20">
        <f>MIN(Debt!AM23,Funding!AM52)*(1-Debt!AM8)</f>
        <v/>
      </c>
      <c r="AN25" s="20">
        <f>MIN(Debt!AN23,Funding!AN52)*(1-Debt!AN8)</f>
        <v/>
      </c>
      <c r="AO25" s="20">
        <f>MIN(Debt!AO23,Funding!AO52)*(1-Debt!AO8)</f>
        <v/>
      </c>
      <c r="AP25" s="20">
        <f>MIN(Debt!AP23,Funding!AP52)*(1-Debt!AP8)</f>
        <v/>
      </c>
      <c r="AQ25" s="20">
        <f>MIN(Debt!AQ23,Funding!AQ52)*(1-Debt!AQ8)</f>
        <v/>
      </c>
      <c r="AR25" s="20">
        <f>MIN(Debt!AR23,Funding!AR52)*(1-Debt!AR8)</f>
        <v/>
      </c>
      <c r="AS25" s="20">
        <f>MIN(Debt!AS23,Funding!AS52)*(1-Debt!AS8)</f>
        <v/>
      </c>
      <c r="AT25" s="20">
        <f>MIN(Debt!AT23,Funding!AT52)*(1-Debt!AT8)</f>
        <v/>
      </c>
      <c r="AU25" s="20">
        <f>MIN(Debt!AU23,Funding!AU52)*(1-Debt!AU8)</f>
        <v/>
      </c>
    </row>
    <row r="26">
      <c r="D26" t="inlineStr">
        <is>
          <t>Prepayment from refinancing</t>
        </is>
      </c>
      <c r="E26" t="inlineStr">
        <is>
          <t>USD m</t>
        </is>
      </c>
      <c r="J26" s="20">
        <f>Debt!J9*(Debt!J23-Debt!J25)</f>
        <v/>
      </c>
      <c r="K26" s="20">
        <f>Debt!K9*(Debt!K23-Debt!K25)</f>
        <v/>
      </c>
      <c r="L26" s="20">
        <f>Debt!L9*(Debt!L23-Debt!L25)</f>
        <v/>
      </c>
      <c r="M26" s="20">
        <f>Debt!M9*(Debt!M23-Debt!M25)</f>
        <v/>
      </c>
      <c r="N26" s="20">
        <f>Debt!N9*(Debt!N23-Debt!N25)</f>
        <v/>
      </c>
      <c r="O26" s="20">
        <f>Debt!O9*(Debt!O23-Debt!O25)</f>
        <v/>
      </c>
      <c r="P26" s="20">
        <f>Debt!P9*(Debt!P23-Debt!P25)</f>
        <v/>
      </c>
      <c r="Q26" s="20">
        <f>Debt!Q9*(Debt!Q23-Debt!Q25)</f>
        <v/>
      </c>
      <c r="R26" s="20">
        <f>Debt!R9*(Debt!R23-Debt!R25)</f>
        <v/>
      </c>
      <c r="S26" s="20">
        <f>Debt!S9*(Debt!S23-Debt!S25)</f>
        <v/>
      </c>
      <c r="T26" s="20">
        <f>Debt!T9*(Debt!T23-Debt!T25)</f>
        <v/>
      </c>
      <c r="U26" s="20">
        <f>Debt!U9*(Debt!U23-Debt!U25)</f>
        <v/>
      </c>
      <c r="V26" s="20">
        <f>Debt!V9*(Debt!V23-Debt!V25)</f>
        <v/>
      </c>
      <c r="W26" s="20">
        <f>Debt!W9*(Debt!W23-Debt!W25)</f>
        <v/>
      </c>
      <c r="X26" s="20">
        <f>Debt!X9*(Debt!X23-Debt!X25)</f>
        <v/>
      </c>
      <c r="Y26" s="20">
        <f>Debt!Y9*(Debt!Y23-Debt!Y25)</f>
        <v/>
      </c>
      <c r="Z26" s="20">
        <f>Debt!Z9*(Debt!Z23-Debt!Z25)</f>
        <v/>
      </c>
      <c r="AA26" s="20">
        <f>Debt!AA9*(Debt!AA23-Debt!AA25)</f>
        <v/>
      </c>
      <c r="AB26" s="20">
        <f>Debt!AB9*(Debt!AB23-Debt!AB25)</f>
        <v/>
      </c>
      <c r="AC26" s="20">
        <f>Debt!AC9*(Debt!AC23-Debt!AC25)</f>
        <v/>
      </c>
      <c r="AD26" s="20">
        <f>Debt!AD9*(Debt!AD23-Debt!AD25)</f>
        <v/>
      </c>
      <c r="AE26" s="20">
        <f>Debt!AE9*(Debt!AE23-Debt!AE25)</f>
        <v/>
      </c>
      <c r="AF26" s="20">
        <f>Debt!AF9*(Debt!AF23-Debt!AF25)</f>
        <v/>
      </c>
      <c r="AG26" s="20">
        <f>Debt!AG9*(Debt!AG23-Debt!AG25)</f>
        <v/>
      </c>
      <c r="AH26" s="20">
        <f>Debt!AH9*(Debt!AH23-Debt!AH25)</f>
        <v/>
      </c>
      <c r="AI26" s="20">
        <f>Debt!AI9*(Debt!AI23-Debt!AI25)</f>
        <v/>
      </c>
      <c r="AJ26" s="20">
        <f>Debt!AJ9*(Debt!AJ23-Debt!AJ25)</f>
        <v/>
      </c>
      <c r="AK26" s="20">
        <f>Debt!AK9*(Debt!AK23-Debt!AK25)</f>
        <v/>
      </c>
      <c r="AL26" s="20">
        <f>Debt!AL9*(Debt!AL23-Debt!AL25)</f>
        <v/>
      </c>
      <c r="AM26" s="20">
        <f>Debt!AM9*(Debt!AM23-Debt!AM25)</f>
        <v/>
      </c>
      <c r="AN26" s="20">
        <f>Debt!AN9*(Debt!AN23-Debt!AN25)</f>
        <v/>
      </c>
      <c r="AO26" s="20">
        <f>Debt!AO9*(Debt!AO23-Debt!AO25)</f>
        <v/>
      </c>
      <c r="AP26" s="20">
        <f>Debt!AP9*(Debt!AP23-Debt!AP25)</f>
        <v/>
      </c>
      <c r="AQ26" s="20">
        <f>Debt!AQ9*(Debt!AQ23-Debt!AQ25)</f>
        <v/>
      </c>
      <c r="AR26" s="20">
        <f>Debt!AR9*(Debt!AR23-Debt!AR25)</f>
        <v/>
      </c>
      <c r="AS26" s="20">
        <f>Debt!AS9*(Debt!AS23-Debt!AS25)</f>
        <v/>
      </c>
      <c r="AT26" s="20">
        <f>Debt!AT9*(Debt!AT23-Debt!AT25)</f>
        <v/>
      </c>
      <c r="AU26" s="20">
        <f>Debt!AU9*(Debt!AU23-Debt!AU25)</f>
        <v/>
      </c>
    </row>
    <row r="27">
      <c r="D27" t="inlineStr">
        <is>
          <t>Debt service</t>
        </is>
      </c>
      <c r="E27" t="inlineStr">
        <is>
          <t>USD m</t>
        </is>
      </c>
      <c r="G27" s="20">
        <f>SUM(J27:AU27)</f>
        <v/>
      </c>
      <c r="J27" s="20">
        <f>Debt!J24+Debt!J25</f>
        <v/>
      </c>
      <c r="K27" s="20">
        <f>Debt!K24+Debt!K25</f>
        <v/>
      </c>
      <c r="L27" s="20">
        <f>Debt!L24+Debt!L25</f>
        <v/>
      </c>
      <c r="M27" s="20">
        <f>Debt!M24+Debt!M25</f>
        <v/>
      </c>
      <c r="N27" s="20">
        <f>Debt!N24+Debt!N25</f>
        <v/>
      </c>
      <c r="O27" s="20">
        <f>Debt!O24+Debt!O25</f>
        <v/>
      </c>
      <c r="P27" s="20">
        <f>Debt!P24+Debt!P25</f>
        <v/>
      </c>
      <c r="Q27" s="20">
        <f>Debt!Q24+Debt!Q25</f>
        <v/>
      </c>
      <c r="R27" s="20">
        <f>Debt!R24+Debt!R25</f>
        <v/>
      </c>
      <c r="S27" s="20">
        <f>Debt!S24+Debt!S25</f>
        <v/>
      </c>
      <c r="T27" s="20">
        <f>Debt!T24+Debt!T25</f>
        <v/>
      </c>
      <c r="U27" s="20">
        <f>Debt!U24+Debt!U25</f>
        <v/>
      </c>
      <c r="V27" s="20">
        <f>Debt!V24+Debt!V25</f>
        <v/>
      </c>
      <c r="W27" s="20">
        <f>Debt!W24+Debt!W25</f>
        <v/>
      </c>
      <c r="X27" s="20">
        <f>Debt!X24+Debt!X25</f>
        <v/>
      </c>
      <c r="Y27" s="20">
        <f>Debt!Y24+Debt!Y25</f>
        <v/>
      </c>
      <c r="Z27" s="20">
        <f>Debt!Z24+Debt!Z25</f>
        <v/>
      </c>
      <c r="AA27" s="20">
        <f>Debt!AA24+Debt!AA25</f>
        <v/>
      </c>
      <c r="AB27" s="20">
        <f>Debt!AB24+Debt!AB25</f>
        <v/>
      </c>
      <c r="AC27" s="20">
        <f>Debt!AC24+Debt!AC25</f>
        <v/>
      </c>
      <c r="AD27" s="20">
        <f>Debt!AD24+Debt!AD25</f>
        <v/>
      </c>
      <c r="AE27" s="20">
        <f>Debt!AE24+Debt!AE25</f>
        <v/>
      </c>
      <c r="AF27" s="20">
        <f>Debt!AF24+Debt!AF25</f>
        <v/>
      </c>
      <c r="AG27" s="20">
        <f>Debt!AG24+Debt!AG25</f>
        <v/>
      </c>
      <c r="AH27" s="20">
        <f>Debt!AH24+Debt!AH25</f>
        <v/>
      </c>
      <c r="AI27" s="20">
        <f>Debt!AI24+Debt!AI25</f>
        <v/>
      </c>
      <c r="AJ27" s="20">
        <f>Debt!AJ24+Debt!AJ25</f>
        <v/>
      </c>
      <c r="AK27" s="20">
        <f>Debt!AK24+Debt!AK25</f>
        <v/>
      </c>
      <c r="AL27" s="20">
        <f>Debt!AL24+Debt!AL25</f>
        <v/>
      </c>
      <c r="AM27" s="20">
        <f>Debt!AM24+Debt!AM25</f>
        <v/>
      </c>
      <c r="AN27" s="20">
        <f>Debt!AN24+Debt!AN25</f>
        <v/>
      </c>
      <c r="AO27" s="20">
        <f>Debt!AO24+Debt!AO25</f>
        <v/>
      </c>
      <c r="AP27" s="20">
        <f>Debt!AP24+Debt!AP25</f>
        <v/>
      </c>
      <c r="AQ27" s="20">
        <f>Debt!AQ24+Debt!AQ25</f>
        <v/>
      </c>
      <c r="AR27" s="20">
        <f>Debt!AR24+Debt!AR25</f>
        <v/>
      </c>
      <c r="AS27" s="20">
        <f>Debt!AS24+Debt!AS25</f>
        <v/>
      </c>
      <c r="AT27" s="20">
        <f>Debt!AT24+Debt!AT25</f>
        <v/>
      </c>
      <c r="AU27" s="20">
        <f>Debt!AU24+Debt!AU25</f>
        <v/>
      </c>
    </row>
    <row r="28">
      <c r="D28" t="inlineStr">
        <is>
          <t>Closing balance</t>
        </is>
      </c>
      <c r="E28" t="inlineStr">
        <is>
          <t>USD m</t>
        </is>
      </c>
      <c r="J28" s="20">
        <f>Debt!J23-Debt!J25-Debt!J26</f>
        <v/>
      </c>
      <c r="K28" s="20">
        <f>Debt!K23-Debt!K25-Debt!K26</f>
        <v/>
      </c>
      <c r="L28" s="20">
        <f>Debt!L23-Debt!L25-Debt!L26</f>
        <v/>
      </c>
      <c r="M28" s="20">
        <f>Debt!M23-Debt!M25-Debt!M26</f>
        <v/>
      </c>
      <c r="N28" s="20">
        <f>Debt!N23-Debt!N25-Debt!N26</f>
        <v/>
      </c>
      <c r="O28" s="20">
        <f>Debt!O23-Debt!O25-Debt!O26</f>
        <v/>
      </c>
      <c r="P28" s="20">
        <f>Debt!P23-Debt!P25-Debt!P26</f>
        <v/>
      </c>
      <c r="Q28" s="20">
        <f>Debt!Q23-Debt!Q25-Debt!Q26</f>
        <v/>
      </c>
      <c r="R28" s="20">
        <f>Debt!R23-Debt!R25-Debt!R26</f>
        <v/>
      </c>
      <c r="S28" s="20">
        <f>Debt!S23-Debt!S25-Debt!S26</f>
        <v/>
      </c>
      <c r="T28" s="20">
        <f>Debt!T23-Debt!T25-Debt!T26</f>
        <v/>
      </c>
      <c r="U28" s="20">
        <f>Debt!U23-Debt!U25-Debt!U26</f>
        <v/>
      </c>
      <c r="V28" s="20">
        <f>Debt!V23-Debt!V25-Debt!V26</f>
        <v/>
      </c>
      <c r="W28" s="20">
        <f>Debt!W23-Debt!W25-Debt!W26</f>
        <v/>
      </c>
      <c r="X28" s="20">
        <f>Debt!X23-Debt!X25-Debt!X26</f>
        <v/>
      </c>
      <c r="Y28" s="20">
        <f>Debt!Y23-Debt!Y25-Debt!Y26</f>
        <v/>
      </c>
      <c r="Z28" s="20">
        <f>Debt!Z23-Debt!Z25-Debt!Z26</f>
        <v/>
      </c>
      <c r="AA28" s="20">
        <f>Debt!AA23-Debt!AA25-Debt!AA26</f>
        <v/>
      </c>
      <c r="AB28" s="20">
        <f>Debt!AB23-Debt!AB25-Debt!AB26</f>
        <v/>
      </c>
      <c r="AC28" s="20">
        <f>Debt!AC23-Debt!AC25-Debt!AC26</f>
        <v/>
      </c>
      <c r="AD28" s="20">
        <f>Debt!AD23-Debt!AD25-Debt!AD26</f>
        <v/>
      </c>
      <c r="AE28" s="20">
        <f>Debt!AE23-Debt!AE25-Debt!AE26</f>
        <v/>
      </c>
      <c r="AF28" s="20">
        <f>Debt!AF23-Debt!AF25-Debt!AF26</f>
        <v/>
      </c>
      <c r="AG28" s="20">
        <f>Debt!AG23-Debt!AG25-Debt!AG26</f>
        <v/>
      </c>
      <c r="AH28" s="20">
        <f>Debt!AH23-Debt!AH25-Debt!AH26</f>
        <v/>
      </c>
      <c r="AI28" s="20">
        <f>Debt!AI23-Debt!AI25-Debt!AI26</f>
        <v/>
      </c>
      <c r="AJ28" s="20">
        <f>Debt!AJ23-Debt!AJ25-Debt!AJ26</f>
        <v/>
      </c>
      <c r="AK28" s="20">
        <f>Debt!AK23-Debt!AK25-Debt!AK26</f>
        <v/>
      </c>
      <c r="AL28" s="20">
        <f>Debt!AL23-Debt!AL25-Debt!AL26</f>
        <v/>
      </c>
      <c r="AM28" s="20">
        <f>Debt!AM23-Debt!AM25-Debt!AM26</f>
        <v/>
      </c>
      <c r="AN28" s="20">
        <f>Debt!AN23-Debt!AN25-Debt!AN26</f>
        <v/>
      </c>
      <c r="AO28" s="20">
        <f>Debt!AO23-Debt!AO25-Debt!AO26</f>
        <v/>
      </c>
      <c r="AP28" s="20">
        <f>Debt!AP23-Debt!AP25-Debt!AP26</f>
        <v/>
      </c>
      <c r="AQ28" s="20">
        <f>Debt!AQ23-Debt!AQ25-Debt!AQ26</f>
        <v/>
      </c>
      <c r="AR28" s="20">
        <f>Debt!AR23-Debt!AR25-Debt!AR26</f>
        <v/>
      </c>
      <c r="AS28" s="20">
        <f>Debt!AS23-Debt!AS25-Debt!AS26</f>
        <v/>
      </c>
      <c r="AT28" s="20">
        <f>Debt!AT23-Debt!AT25-Debt!AT26</f>
        <v/>
      </c>
      <c r="AU28" s="20">
        <f>Debt!AU23-Debt!AU25-Debt!AU26</f>
        <v/>
      </c>
    </row>
    <row r="30">
      <c r="A30" s="4" t="inlineStr">
        <is>
          <t>USPP notes (fixed coupons; schedule as sized)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</row>
    <row r="31">
      <c r="D31" t="inlineStr">
        <is>
          <t>Opening balance</t>
        </is>
      </c>
      <c r="E31" t="inlineStr">
        <is>
          <t>USD m</t>
        </is>
      </c>
      <c r="J31" s="20">
        <f>Funding!J78*Inputs!$F$10</f>
        <v/>
      </c>
      <c r="K31" s="20">
        <f>Funding!K78*Inputs!$F$10</f>
        <v/>
      </c>
      <c r="L31" s="20">
        <f>Funding!L78*Inputs!$F$10</f>
        <v/>
      </c>
      <c r="M31" s="20">
        <f>Funding!M78*Inputs!$F$10</f>
        <v/>
      </c>
      <c r="N31" s="20">
        <f>Funding!N78*Inputs!$F$10</f>
        <v/>
      </c>
      <c r="O31" s="20">
        <f>Funding!O78*Inputs!$F$10</f>
        <v/>
      </c>
      <c r="P31" s="20">
        <f>Funding!P78*Inputs!$F$10</f>
        <v/>
      </c>
      <c r="Q31" s="20">
        <f>Funding!Q78*Inputs!$F$10</f>
        <v/>
      </c>
      <c r="R31" s="20">
        <f>Funding!R78*Inputs!$F$10</f>
        <v/>
      </c>
      <c r="S31" s="20">
        <f>Funding!S78*Inputs!$F$10</f>
        <v/>
      </c>
      <c r="T31" s="20">
        <f>Funding!T78*Inputs!$F$10</f>
        <v/>
      </c>
      <c r="U31" s="20">
        <f>Funding!U78*Inputs!$F$10</f>
        <v/>
      </c>
      <c r="V31" s="20">
        <f>Funding!V78*Inputs!$F$10</f>
        <v/>
      </c>
      <c r="W31" s="20">
        <f>Funding!W78*Inputs!$F$10</f>
        <v/>
      </c>
      <c r="X31" s="20">
        <f>Funding!X78*Inputs!$F$10</f>
        <v/>
      </c>
      <c r="Y31" s="20">
        <f>Funding!Y78*Inputs!$F$10</f>
        <v/>
      </c>
      <c r="Z31" s="20">
        <f>Funding!Z78*Inputs!$F$10</f>
        <v/>
      </c>
      <c r="AA31" s="20">
        <f>Funding!AA78*Inputs!$F$10</f>
        <v/>
      </c>
      <c r="AB31" s="20">
        <f>Funding!AB78*Inputs!$F$10</f>
        <v/>
      </c>
      <c r="AC31" s="20">
        <f>Funding!AC78*Inputs!$F$10</f>
        <v/>
      </c>
      <c r="AD31" s="20">
        <f>Funding!AD78*Inputs!$F$10</f>
        <v/>
      </c>
      <c r="AE31" s="20">
        <f>Funding!AE78*Inputs!$F$10</f>
        <v/>
      </c>
      <c r="AF31" s="20">
        <f>Funding!AF78*Inputs!$F$10</f>
        <v/>
      </c>
      <c r="AG31" s="20">
        <f>Funding!AG78*Inputs!$F$10</f>
        <v/>
      </c>
      <c r="AH31" s="20">
        <f>Funding!AH78*Inputs!$F$10</f>
        <v/>
      </c>
      <c r="AI31" s="20">
        <f>Funding!AI78*Inputs!$F$10</f>
        <v/>
      </c>
      <c r="AJ31" s="20">
        <f>Funding!AJ78*Inputs!$F$10</f>
        <v/>
      </c>
      <c r="AK31" s="20">
        <f>Funding!AK78*Inputs!$F$10</f>
        <v/>
      </c>
      <c r="AL31" s="20">
        <f>Funding!AL78*Inputs!$F$10</f>
        <v/>
      </c>
      <c r="AM31" s="20">
        <f>Funding!AM78*Inputs!$F$10</f>
        <v/>
      </c>
      <c r="AN31" s="20">
        <f>Funding!AN78*Inputs!$F$10</f>
        <v/>
      </c>
      <c r="AO31" s="20">
        <f>Funding!AO78*Inputs!$F$10</f>
        <v/>
      </c>
      <c r="AP31" s="20">
        <f>Funding!AP78*Inputs!$F$10</f>
        <v/>
      </c>
      <c r="AQ31" s="20">
        <f>Funding!AQ78*Inputs!$F$10</f>
        <v/>
      </c>
      <c r="AR31" s="20">
        <f>Funding!AR78*Inputs!$F$10</f>
        <v/>
      </c>
      <c r="AS31" s="20">
        <f>Funding!AS78*Inputs!$F$10</f>
        <v/>
      </c>
      <c r="AT31" s="20">
        <f>Funding!AT78*Inputs!$F$10</f>
        <v/>
      </c>
      <c r="AU31" s="20">
        <f>Funding!AU78*Inputs!$F$10</f>
        <v/>
      </c>
    </row>
    <row r="32">
      <c r="D32" t="inlineStr">
        <is>
          <t>Interest</t>
        </is>
      </c>
      <c r="E32" t="inlineStr">
        <is>
          <t>USD m</t>
        </is>
      </c>
      <c r="G32" s="20">
        <f>SUM(J32:AU32)</f>
        <v/>
      </c>
      <c r="J32" s="20">
        <f>Funding!J79*Inputs!$F$10</f>
        <v/>
      </c>
      <c r="K32" s="20">
        <f>Funding!K79*Inputs!$F$10</f>
        <v/>
      </c>
      <c r="L32" s="20">
        <f>Funding!L79*Inputs!$F$10</f>
        <v/>
      </c>
      <c r="M32" s="20">
        <f>Funding!M79*Inputs!$F$10</f>
        <v/>
      </c>
      <c r="N32" s="20">
        <f>Funding!N79*Inputs!$F$10</f>
        <v/>
      </c>
      <c r="O32" s="20">
        <f>Funding!O79*Inputs!$F$10</f>
        <v/>
      </c>
      <c r="P32" s="20">
        <f>Funding!P79*Inputs!$F$10</f>
        <v/>
      </c>
      <c r="Q32" s="20">
        <f>Funding!Q79*Inputs!$F$10</f>
        <v/>
      </c>
      <c r="R32" s="20">
        <f>Funding!R79*Inputs!$F$10</f>
        <v/>
      </c>
      <c r="S32" s="20">
        <f>Funding!S79*Inputs!$F$10</f>
        <v/>
      </c>
      <c r="T32" s="20">
        <f>Funding!T79*Inputs!$F$10</f>
        <v/>
      </c>
      <c r="U32" s="20">
        <f>Funding!U79*Inputs!$F$10</f>
        <v/>
      </c>
      <c r="V32" s="20">
        <f>Funding!V79*Inputs!$F$10</f>
        <v/>
      </c>
      <c r="W32" s="20">
        <f>Funding!W79*Inputs!$F$10</f>
        <v/>
      </c>
      <c r="X32" s="20">
        <f>Funding!X79*Inputs!$F$10</f>
        <v/>
      </c>
      <c r="Y32" s="20">
        <f>Funding!Y79*Inputs!$F$10</f>
        <v/>
      </c>
      <c r="Z32" s="20">
        <f>Funding!Z79*Inputs!$F$10</f>
        <v/>
      </c>
      <c r="AA32" s="20">
        <f>Funding!AA79*Inputs!$F$10</f>
        <v/>
      </c>
      <c r="AB32" s="20">
        <f>Funding!AB79*Inputs!$F$10</f>
        <v/>
      </c>
      <c r="AC32" s="20">
        <f>Funding!AC79*Inputs!$F$10</f>
        <v/>
      </c>
      <c r="AD32" s="20">
        <f>Funding!AD79*Inputs!$F$10</f>
        <v/>
      </c>
      <c r="AE32" s="20">
        <f>Funding!AE79*Inputs!$F$10</f>
        <v/>
      </c>
      <c r="AF32" s="20">
        <f>Funding!AF79*Inputs!$F$10</f>
        <v/>
      </c>
      <c r="AG32" s="20">
        <f>Funding!AG79*Inputs!$F$10</f>
        <v/>
      </c>
      <c r="AH32" s="20">
        <f>Funding!AH79*Inputs!$F$10</f>
        <v/>
      </c>
      <c r="AI32" s="20">
        <f>Funding!AI79*Inputs!$F$10</f>
        <v/>
      </c>
      <c r="AJ32" s="20">
        <f>Funding!AJ79*Inputs!$F$10</f>
        <v/>
      </c>
      <c r="AK32" s="20">
        <f>Funding!AK79*Inputs!$F$10</f>
        <v/>
      </c>
      <c r="AL32" s="20">
        <f>Funding!AL79*Inputs!$F$10</f>
        <v/>
      </c>
      <c r="AM32" s="20">
        <f>Funding!AM79*Inputs!$F$10</f>
        <v/>
      </c>
      <c r="AN32" s="20">
        <f>Funding!AN79*Inputs!$F$10</f>
        <v/>
      </c>
      <c r="AO32" s="20">
        <f>Funding!AO79*Inputs!$F$10</f>
        <v/>
      </c>
      <c r="AP32" s="20">
        <f>Funding!AP79*Inputs!$F$10</f>
        <v/>
      </c>
      <c r="AQ32" s="20">
        <f>Funding!AQ79*Inputs!$F$10</f>
        <v/>
      </c>
      <c r="AR32" s="20">
        <f>Funding!AR79*Inputs!$F$10</f>
        <v/>
      </c>
      <c r="AS32" s="20">
        <f>Funding!AS79*Inputs!$F$10</f>
        <v/>
      </c>
      <c r="AT32" s="20">
        <f>Funding!AT79*Inputs!$F$10</f>
        <v/>
      </c>
      <c r="AU32" s="20">
        <f>Funding!AU79*Inputs!$F$10</f>
        <v/>
      </c>
    </row>
    <row r="33">
      <c r="D33" t="inlineStr">
        <is>
          <t>Principal</t>
        </is>
      </c>
      <c r="E33" t="inlineStr">
        <is>
          <t>USD m</t>
        </is>
      </c>
      <c r="G33" s="20">
        <f>SUM(J33:AU33)</f>
        <v/>
      </c>
      <c r="J33" s="20">
        <f>Funding!J74*Inputs!$F$10</f>
        <v/>
      </c>
      <c r="K33" s="20">
        <f>Funding!K74*Inputs!$F$10</f>
        <v/>
      </c>
      <c r="L33" s="20">
        <f>Funding!L74*Inputs!$F$10</f>
        <v/>
      </c>
      <c r="M33" s="20">
        <f>Funding!M74*Inputs!$F$10</f>
        <v/>
      </c>
      <c r="N33" s="20">
        <f>Funding!N74*Inputs!$F$10</f>
        <v/>
      </c>
      <c r="O33" s="20">
        <f>Funding!O74*Inputs!$F$10</f>
        <v/>
      </c>
      <c r="P33" s="20">
        <f>Funding!P74*Inputs!$F$10</f>
        <v/>
      </c>
      <c r="Q33" s="20">
        <f>Funding!Q74*Inputs!$F$10</f>
        <v/>
      </c>
      <c r="R33" s="20">
        <f>Funding!R74*Inputs!$F$10</f>
        <v/>
      </c>
      <c r="S33" s="20">
        <f>Funding!S74*Inputs!$F$10</f>
        <v/>
      </c>
      <c r="T33" s="20">
        <f>Funding!T74*Inputs!$F$10</f>
        <v/>
      </c>
      <c r="U33" s="20">
        <f>Funding!U74*Inputs!$F$10</f>
        <v/>
      </c>
      <c r="V33" s="20">
        <f>Funding!V74*Inputs!$F$10</f>
        <v/>
      </c>
      <c r="W33" s="20">
        <f>Funding!W74*Inputs!$F$10</f>
        <v/>
      </c>
      <c r="X33" s="20">
        <f>Funding!X74*Inputs!$F$10</f>
        <v/>
      </c>
      <c r="Y33" s="20">
        <f>Funding!Y74*Inputs!$F$10</f>
        <v/>
      </c>
      <c r="Z33" s="20">
        <f>Funding!Z74*Inputs!$F$10</f>
        <v/>
      </c>
      <c r="AA33" s="20">
        <f>Funding!AA74*Inputs!$F$10</f>
        <v/>
      </c>
      <c r="AB33" s="20">
        <f>Funding!AB74*Inputs!$F$10</f>
        <v/>
      </c>
      <c r="AC33" s="20">
        <f>Funding!AC74*Inputs!$F$10</f>
        <v/>
      </c>
      <c r="AD33" s="20">
        <f>Funding!AD74*Inputs!$F$10</f>
        <v/>
      </c>
      <c r="AE33" s="20">
        <f>Funding!AE74*Inputs!$F$10</f>
        <v/>
      </c>
      <c r="AF33" s="20">
        <f>Funding!AF74*Inputs!$F$10</f>
        <v/>
      </c>
      <c r="AG33" s="20">
        <f>Funding!AG74*Inputs!$F$10</f>
        <v/>
      </c>
      <c r="AH33" s="20">
        <f>Funding!AH74*Inputs!$F$10</f>
        <v/>
      </c>
      <c r="AI33" s="20">
        <f>Funding!AI74*Inputs!$F$10</f>
        <v/>
      </c>
      <c r="AJ33" s="20">
        <f>Funding!AJ74*Inputs!$F$10</f>
        <v/>
      </c>
      <c r="AK33" s="20">
        <f>Funding!AK74*Inputs!$F$10</f>
        <v/>
      </c>
      <c r="AL33" s="20">
        <f>Funding!AL74*Inputs!$F$10</f>
        <v/>
      </c>
      <c r="AM33" s="20">
        <f>Funding!AM74*Inputs!$F$10</f>
        <v/>
      </c>
      <c r="AN33" s="20">
        <f>Funding!AN74*Inputs!$F$10</f>
        <v/>
      </c>
      <c r="AO33" s="20">
        <f>Funding!AO74*Inputs!$F$10</f>
        <v/>
      </c>
      <c r="AP33" s="20">
        <f>Funding!AP74*Inputs!$F$10</f>
        <v/>
      </c>
      <c r="AQ33" s="20">
        <f>Funding!AQ74*Inputs!$F$10</f>
        <v/>
      </c>
      <c r="AR33" s="20">
        <f>Funding!AR74*Inputs!$F$10</f>
        <v/>
      </c>
      <c r="AS33" s="20">
        <f>Funding!AS74*Inputs!$F$10</f>
        <v/>
      </c>
      <c r="AT33" s="20">
        <f>Funding!AT74*Inputs!$F$10</f>
        <v/>
      </c>
      <c r="AU33" s="20">
        <f>Funding!AU74*Inputs!$F$10</f>
        <v/>
      </c>
    </row>
    <row r="34">
      <c r="D34" t="inlineStr">
        <is>
          <t>Debt service</t>
        </is>
      </c>
      <c r="E34" t="inlineStr">
        <is>
          <t>USD m</t>
        </is>
      </c>
      <c r="G34" s="20">
        <f>SUM(J34:AU34)</f>
        <v/>
      </c>
      <c r="J34" s="20">
        <f>Debt!J32+Debt!J33</f>
        <v/>
      </c>
      <c r="K34" s="20">
        <f>Debt!K32+Debt!K33</f>
        <v/>
      </c>
      <c r="L34" s="20">
        <f>Debt!L32+Debt!L33</f>
        <v/>
      </c>
      <c r="M34" s="20">
        <f>Debt!M32+Debt!M33</f>
        <v/>
      </c>
      <c r="N34" s="20">
        <f>Debt!N32+Debt!N33</f>
        <v/>
      </c>
      <c r="O34" s="20">
        <f>Debt!O32+Debt!O33</f>
        <v/>
      </c>
      <c r="P34" s="20">
        <f>Debt!P32+Debt!P33</f>
        <v/>
      </c>
      <c r="Q34" s="20">
        <f>Debt!Q32+Debt!Q33</f>
        <v/>
      </c>
      <c r="R34" s="20">
        <f>Debt!R32+Debt!R33</f>
        <v/>
      </c>
      <c r="S34" s="20">
        <f>Debt!S32+Debt!S33</f>
        <v/>
      </c>
      <c r="T34" s="20">
        <f>Debt!T32+Debt!T33</f>
        <v/>
      </c>
      <c r="U34" s="20">
        <f>Debt!U32+Debt!U33</f>
        <v/>
      </c>
      <c r="V34" s="20">
        <f>Debt!V32+Debt!V33</f>
        <v/>
      </c>
      <c r="W34" s="20">
        <f>Debt!W32+Debt!W33</f>
        <v/>
      </c>
      <c r="X34" s="20">
        <f>Debt!X32+Debt!X33</f>
        <v/>
      </c>
      <c r="Y34" s="20">
        <f>Debt!Y32+Debt!Y33</f>
        <v/>
      </c>
      <c r="Z34" s="20">
        <f>Debt!Z32+Debt!Z33</f>
        <v/>
      </c>
      <c r="AA34" s="20">
        <f>Debt!AA32+Debt!AA33</f>
        <v/>
      </c>
      <c r="AB34" s="20">
        <f>Debt!AB32+Debt!AB33</f>
        <v/>
      </c>
      <c r="AC34" s="20">
        <f>Debt!AC32+Debt!AC33</f>
        <v/>
      </c>
      <c r="AD34" s="20">
        <f>Debt!AD32+Debt!AD33</f>
        <v/>
      </c>
      <c r="AE34" s="20">
        <f>Debt!AE32+Debt!AE33</f>
        <v/>
      </c>
      <c r="AF34" s="20">
        <f>Debt!AF32+Debt!AF33</f>
        <v/>
      </c>
      <c r="AG34" s="20">
        <f>Debt!AG32+Debt!AG33</f>
        <v/>
      </c>
      <c r="AH34" s="20">
        <f>Debt!AH32+Debt!AH33</f>
        <v/>
      </c>
      <c r="AI34" s="20">
        <f>Debt!AI32+Debt!AI33</f>
        <v/>
      </c>
      <c r="AJ34" s="20">
        <f>Debt!AJ32+Debt!AJ33</f>
        <v/>
      </c>
      <c r="AK34" s="20">
        <f>Debt!AK32+Debt!AK33</f>
        <v/>
      </c>
      <c r="AL34" s="20">
        <f>Debt!AL32+Debt!AL33</f>
        <v/>
      </c>
      <c r="AM34" s="20">
        <f>Debt!AM32+Debt!AM33</f>
        <v/>
      </c>
      <c r="AN34" s="20">
        <f>Debt!AN32+Debt!AN33</f>
        <v/>
      </c>
      <c r="AO34" s="20">
        <f>Debt!AO32+Debt!AO33</f>
        <v/>
      </c>
      <c r="AP34" s="20">
        <f>Debt!AP32+Debt!AP33</f>
        <v/>
      </c>
      <c r="AQ34" s="20">
        <f>Debt!AQ32+Debt!AQ33</f>
        <v/>
      </c>
      <c r="AR34" s="20">
        <f>Debt!AR32+Debt!AR33</f>
        <v/>
      </c>
      <c r="AS34" s="20">
        <f>Debt!AS32+Debt!AS33</f>
        <v/>
      </c>
      <c r="AT34" s="20">
        <f>Debt!AT32+Debt!AT33</f>
        <v/>
      </c>
      <c r="AU34" s="20">
        <f>Debt!AU32+Debt!AU33</f>
        <v/>
      </c>
    </row>
    <row r="36">
      <c r="A36" s="4" t="inlineStr">
        <is>
          <t>Holdco tranches (sweep from the Waterfall sheet)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</row>
    <row r="37">
      <c r="D37" t="inlineStr">
        <is>
          <t>Holdco TLB 2022: interest period fraction</t>
        </is>
      </c>
      <c r="E37" t="inlineStr">
        <is>
          <t>fraction</t>
        </is>
      </c>
      <c r="J37" s="14">
        <f>MAX(0,MIN(Inputs!$F$26,Time!J$6)-MAX(Inputs!$F$282,Time!J$5))/Time!J$7</f>
        <v/>
      </c>
      <c r="K37" s="14">
        <f>MAX(0,MIN(Inputs!$F$26,Time!K$6)-MAX(Inputs!$F$282,Time!K$5))/Time!K$7</f>
        <v/>
      </c>
      <c r="L37" s="14">
        <f>MAX(0,MIN(Inputs!$F$26,Time!L$6)-MAX(Inputs!$F$282,Time!L$5))/Time!L$7</f>
        <v/>
      </c>
      <c r="M37" s="14">
        <f>MAX(0,MIN(Inputs!$F$26,Time!M$6)-MAX(Inputs!$F$282,Time!M$5))/Time!M$7</f>
        <v/>
      </c>
      <c r="N37" s="14">
        <f>MAX(0,MIN(Inputs!$F$26,Time!N$6)-MAX(Inputs!$F$282,Time!N$5))/Time!N$7</f>
        <v/>
      </c>
      <c r="O37" s="14">
        <f>MAX(0,MIN(Inputs!$F$26,Time!O$6)-MAX(Inputs!$F$282,Time!O$5))/Time!O$7</f>
        <v/>
      </c>
      <c r="P37" s="14">
        <f>MAX(0,MIN(Inputs!$F$26,Time!P$6)-MAX(Inputs!$F$282,Time!P$5))/Time!P$7</f>
        <v/>
      </c>
      <c r="Q37" s="14">
        <f>MAX(0,MIN(Inputs!$F$26,Time!Q$6)-MAX(Inputs!$F$282,Time!Q$5))/Time!Q$7</f>
        <v/>
      </c>
      <c r="R37" s="14">
        <f>MAX(0,MIN(Inputs!$F$26,Time!R$6)-MAX(Inputs!$F$282,Time!R$5))/Time!R$7</f>
        <v/>
      </c>
      <c r="S37" s="14">
        <f>MAX(0,MIN(Inputs!$F$26,Time!S$6)-MAX(Inputs!$F$282,Time!S$5))/Time!S$7</f>
        <v/>
      </c>
      <c r="T37" s="14">
        <f>MAX(0,MIN(Inputs!$F$26,Time!T$6)-MAX(Inputs!$F$282,Time!T$5))/Time!T$7</f>
        <v/>
      </c>
      <c r="U37" s="14">
        <f>MAX(0,MIN(Inputs!$F$26,Time!U$6)-MAX(Inputs!$F$282,Time!U$5))/Time!U$7</f>
        <v/>
      </c>
      <c r="V37" s="14">
        <f>MAX(0,MIN(Inputs!$F$26,Time!V$6)-MAX(Inputs!$F$282,Time!V$5))/Time!V$7</f>
        <v/>
      </c>
      <c r="W37" s="14">
        <f>MAX(0,MIN(Inputs!$F$26,Time!W$6)-MAX(Inputs!$F$282,Time!W$5))/Time!W$7</f>
        <v/>
      </c>
      <c r="X37" s="14">
        <f>MAX(0,MIN(Inputs!$F$26,Time!X$6)-MAX(Inputs!$F$282,Time!X$5))/Time!X$7</f>
        <v/>
      </c>
      <c r="Y37" s="14">
        <f>MAX(0,MIN(Inputs!$F$26,Time!Y$6)-MAX(Inputs!$F$282,Time!Y$5))/Time!Y$7</f>
        <v/>
      </c>
      <c r="Z37" s="14">
        <f>MAX(0,MIN(Inputs!$F$26,Time!Z$6)-MAX(Inputs!$F$282,Time!Z$5))/Time!Z$7</f>
        <v/>
      </c>
      <c r="AA37" s="14">
        <f>MAX(0,MIN(Inputs!$F$26,Time!AA$6)-MAX(Inputs!$F$282,Time!AA$5))/Time!AA$7</f>
        <v/>
      </c>
      <c r="AB37" s="14">
        <f>MAX(0,MIN(Inputs!$F$26,Time!AB$6)-MAX(Inputs!$F$282,Time!AB$5))/Time!AB$7</f>
        <v/>
      </c>
      <c r="AC37" s="14">
        <f>MAX(0,MIN(Inputs!$F$26,Time!AC$6)-MAX(Inputs!$F$282,Time!AC$5))/Time!AC$7</f>
        <v/>
      </c>
      <c r="AD37" s="14">
        <f>MAX(0,MIN(Inputs!$F$26,Time!AD$6)-MAX(Inputs!$F$282,Time!AD$5))/Time!AD$7</f>
        <v/>
      </c>
      <c r="AE37" s="14">
        <f>MAX(0,MIN(Inputs!$F$26,Time!AE$6)-MAX(Inputs!$F$282,Time!AE$5))/Time!AE$7</f>
        <v/>
      </c>
      <c r="AF37" s="14">
        <f>MAX(0,MIN(Inputs!$F$26,Time!AF$6)-MAX(Inputs!$F$282,Time!AF$5))/Time!AF$7</f>
        <v/>
      </c>
      <c r="AG37" s="14">
        <f>MAX(0,MIN(Inputs!$F$26,Time!AG$6)-MAX(Inputs!$F$282,Time!AG$5))/Time!AG$7</f>
        <v/>
      </c>
      <c r="AH37" s="14">
        <f>MAX(0,MIN(Inputs!$F$26,Time!AH$6)-MAX(Inputs!$F$282,Time!AH$5))/Time!AH$7</f>
        <v/>
      </c>
      <c r="AI37" s="14">
        <f>MAX(0,MIN(Inputs!$F$26,Time!AI$6)-MAX(Inputs!$F$282,Time!AI$5))/Time!AI$7</f>
        <v/>
      </c>
      <c r="AJ37" s="14">
        <f>MAX(0,MIN(Inputs!$F$26,Time!AJ$6)-MAX(Inputs!$F$282,Time!AJ$5))/Time!AJ$7</f>
        <v/>
      </c>
      <c r="AK37" s="14">
        <f>MAX(0,MIN(Inputs!$F$26,Time!AK$6)-MAX(Inputs!$F$282,Time!AK$5))/Time!AK$7</f>
        <v/>
      </c>
      <c r="AL37" s="14">
        <f>MAX(0,MIN(Inputs!$F$26,Time!AL$6)-MAX(Inputs!$F$282,Time!AL$5))/Time!AL$7</f>
        <v/>
      </c>
      <c r="AM37" s="14">
        <f>MAX(0,MIN(Inputs!$F$26,Time!AM$6)-MAX(Inputs!$F$282,Time!AM$5))/Time!AM$7</f>
        <v/>
      </c>
      <c r="AN37" s="14">
        <f>MAX(0,MIN(Inputs!$F$26,Time!AN$6)-MAX(Inputs!$F$282,Time!AN$5))/Time!AN$7</f>
        <v/>
      </c>
      <c r="AO37" s="14">
        <f>MAX(0,MIN(Inputs!$F$26,Time!AO$6)-MAX(Inputs!$F$282,Time!AO$5))/Time!AO$7</f>
        <v/>
      </c>
      <c r="AP37" s="14">
        <f>MAX(0,MIN(Inputs!$F$26,Time!AP$6)-MAX(Inputs!$F$282,Time!AP$5))/Time!AP$7</f>
        <v/>
      </c>
      <c r="AQ37" s="14">
        <f>MAX(0,MIN(Inputs!$F$26,Time!AQ$6)-MAX(Inputs!$F$282,Time!AQ$5))/Time!AQ$7</f>
        <v/>
      </c>
      <c r="AR37" s="14">
        <f>MAX(0,MIN(Inputs!$F$26,Time!AR$6)-MAX(Inputs!$F$282,Time!AR$5))/Time!AR$7</f>
        <v/>
      </c>
      <c r="AS37" s="14">
        <f>MAX(0,MIN(Inputs!$F$26,Time!AS$6)-MAX(Inputs!$F$282,Time!AS$5))/Time!AS$7</f>
        <v/>
      </c>
      <c r="AT37" s="14">
        <f>MAX(0,MIN(Inputs!$F$26,Time!AT$6)-MAX(Inputs!$F$282,Time!AT$5))/Time!AT$7</f>
        <v/>
      </c>
      <c r="AU37" s="14">
        <f>MAX(0,MIN(Inputs!$F$26,Time!AU$6)-MAX(Inputs!$F$282,Time!AU$5))/Time!AU$7</f>
        <v/>
      </c>
    </row>
    <row r="38">
      <c r="D38" t="inlineStr">
        <is>
          <t>Holdco TLB 2022: rate</t>
        </is>
      </c>
      <c r="E38" t="inlineStr">
        <is>
          <t>%</t>
        </is>
      </c>
      <c r="J38" s="15">
        <f>MAX(Debt!J10,Inputs!$F$285)+Inputs!$F$284</f>
        <v/>
      </c>
      <c r="K38" s="15">
        <f>MAX(Debt!K10,Inputs!$F$285)+Inputs!$F$284</f>
        <v/>
      </c>
      <c r="L38" s="15">
        <f>MAX(Debt!L10,Inputs!$F$285)+Inputs!$F$284</f>
        <v/>
      </c>
      <c r="M38" s="15">
        <f>MAX(Debt!M10,Inputs!$F$285)+Inputs!$F$284</f>
        <v/>
      </c>
      <c r="N38" s="15">
        <f>MAX(Debt!N10,Inputs!$F$285)+Inputs!$F$284</f>
        <v/>
      </c>
      <c r="O38" s="15">
        <f>MAX(Debt!O10,Inputs!$F$285)+Inputs!$F$284</f>
        <v/>
      </c>
      <c r="P38" s="15">
        <f>MAX(Debt!P10,Inputs!$F$285)+Inputs!$F$284</f>
        <v/>
      </c>
      <c r="Q38" s="15">
        <f>MAX(Debt!Q10,Inputs!$F$285)+Inputs!$F$284</f>
        <v/>
      </c>
      <c r="R38" s="15">
        <f>MAX(Debt!R10,Inputs!$F$285)+Inputs!$F$284</f>
        <v/>
      </c>
      <c r="S38" s="15">
        <f>MAX(Debt!S10,Inputs!$F$285)+Inputs!$F$284</f>
        <v/>
      </c>
      <c r="T38" s="15">
        <f>MAX(Debt!T10,Inputs!$F$285)+Inputs!$F$284</f>
        <v/>
      </c>
      <c r="U38" s="15">
        <f>MAX(Debt!U10,Inputs!$F$285)+Inputs!$F$284</f>
        <v/>
      </c>
      <c r="V38" s="15">
        <f>MAX(Debt!V10,Inputs!$F$285)+Inputs!$F$284</f>
        <v/>
      </c>
      <c r="W38" s="15">
        <f>MAX(Debt!W10,Inputs!$F$285)+Inputs!$F$284</f>
        <v/>
      </c>
      <c r="X38" s="15">
        <f>MAX(Debt!X10,Inputs!$F$285)+Inputs!$F$284</f>
        <v/>
      </c>
      <c r="Y38" s="15">
        <f>MAX(Debt!Y10,Inputs!$F$285)+Inputs!$F$284</f>
        <v/>
      </c>
      <c r="Z38" s="15">
        <f>MAX(Debt!Z10,Inputs!$F$285)+Inputs!$F$284</f>
        <v/>
      </c>
      <c r="AA38" s="15">
        <f>MAX(Debt!AA10,Inputs!$F$285)+Inputs!$F$284</f>
        <v/>
      </c>
      <c r="AB38" s="15">
        <f>MAX(Debt!AB10,Inputs!$F$285)+Inputs!$F$284</f>
        <v/>
      </c>
      <c r="AC38" s="15">
        <f>MAX(Debt!AC10,Inputs!$F$285)+Inputs!$F$284</f>
        <v/>
      </c>
      <c r="AD38" s="15">
        <f>MAX(Debt!AD10,Inputs!$F$285)+Inputs!$F$284</f>
        <v/>
      </c>
      <c r="AE38" s="15">
        <f>MAX(Debt!AE10,Inputs!$F$285)+Inputs!$F$284</f>
        <v/>
      </c>
      <c r="AF38" s="15">
        <f>MAX(Debt!AF10,Inputs!$F$285)+Inputs!$F$284</f>
        <v/>
      </c>
      <c r="AG38" s="15">
        <f>MAX(Debt!AG10,Inputs!$F$285)+Inputs!$F$284</f>
        <v/>
      </c>
      <c r="AH38" s="15">
        <f>MAX(Debt!AH10,Inputs!$F$285)+Inputs!$F$284</f>
        <v/>
      </c>
      <c r="AI38" s="15">
        <f>MAX(Debt!AI10,Inputs!$F$285)+Inputs!$F$284</f>
        <v/>
      </c>
      <c r="AJ38" s="15">
        <f>MAX(Debt!AJ10,Inputs!$F$285)+Inputs!$F$284</f>
        <v/>
      </c>
      <c r="AK38" s="15">
        <f>MAX(Debt!AK10,Inputs!$F$285)+Inputs!$F$284</f>
        <v/>
      </c>
      <c r="AL38" s="15">
        <f>MAX(Debt!AL10,Inputs!$F$285)+Inputs!$F$284</f>
        <v/>
      </c>
      <c r="AM38" s="15">
        <f>MAX(Debt!AM10,Inputs!$F$285)+Inputs!$F$284</f>
        <v/>
      </c>
      <c r="AN38" s="15">
        <f>MAX(Debt!AN10,Inputs!$F$285)+Inputs!$F$284</f>
        <v/>
      </c>
      <c r="AO38" s="15">
        <f>MAX(Debt!AO10,Inputs!$F$285)+Inputs!$F$284</f>
        <v/>
      </c>
      <c r="AP38" s="15">
        <f>MAX(Debt!AP10,Inputs!$F$285)+Inputs!$F$284</f>
        <v/>
      </c>
      <c r="AQ38" s="15">
        <f>MAX(Debt!AQ10,Inputs!$F$285)+Inputs!$F$284</f>
        <v/>
      </c>
      <c r="AR38" s="15">
        <f>MAX(Debt!AR10,Inputs!$F$285)+Inputs!$F$284</f>
        <v/>
      </c>
      <c r="AS38" s="15">
        <f>MAX(Debt!AS10,Inputs!$F$285)+Inputs!$F$284</f>
        <v/>
      </c>
      <c r="AT38" s="15">
        <f>MAX(Debt!AT10,Inputs!$F$285)+Inputs!$F$284</f>
        <v/>
      </c>
      <c r="AU38" s="15">
        <f>MAX(Debt!AU10,Inputs!$F$285)+Inputs!$F$284</f>
        <v/>
      </c>
    </row>
    <row r="39">
      <c r="D39" t="inlineStr">
        <is>
          <t>Holdco TLB 2022: face</t>
        </is>
      </c>
      <c r="E39" t="inlineStr">
        <is>
          <t>USD m</t>
        </is>
      </c>
      <c r="F39" s="21">
        <f>Funding!$F$41</f>
        <v/>
      </c>
    </row>
    <row r="40">
      <c r="D40" t="inlineStr">
        <is>
          <t>Holdco incremental 2024: interest period fraction</t>
        </is>
      </c>
      <c r="E40" t="inlineStr">
        <is>
          <t>fraction</t>
        </is>
      </c>
      <c r="J40" s="14">
        <f>MAX(0,MIN(Inputs!$F$26,Time!J$6)-MAX(Inputs!$F$300,Time!J$5))/Time!J$7</f>
        <v/>
      </c>
      <c r="K40" s="14">
        <f>MAX(0,MIN(Inputs!$F$26,Time!K$6)-MAX(Inputs!$F$300,Time!K$5))/Time!K$7</f>
        <v/>
      </c>
      <c r="L40" s="14">
        <f>MAX(0,MIN(Inputs!$F$26,Time!L$6)-MAX(Inputs!$F$300,Time!L$5))/Time!L$7</f>
        <v/>
      </c>
      <c r="M40" s="14">
        <f>MAX(0,MIN(Inputs!$F$26,Time!M$6)-MAX(Inputs!$F$300,Time!M$5))/Time!M$7</f>
        <v/>
      </c>
      <c r="N40" s="14">
        <f>MAX(0,MIN(Inputs!$F$26,Time!N$6)-MAX(Inputs!$F$300,Time!N$5))/Time!N$7</f>
        <v/>
      </c>
      <c r="O40" s="14">
        <f>MAX(0,MIN(Inputs!$F$26,Time!O$6)-MAX(Inputs!$F$300,Time!O$5))/Time!O$7</f>
        <v/>
      </c>
      <c r="P40" s="14">
        <f>MAX(0,MIN(Inputs!$F$26,Time!P$6)-MAX(Inputs!$F$300,Time!P$5))/Time!P$7</f>
        <v/>
      </c>
      <c r="Q40" s="14">
        <f>MAX(0,MIN(Inputs!$F$26,Time!Q$6)-MAX(Inputs!$F$300,Time!Q$5))/Time!Q$7</f>
        <v/>
      </c>
      <c r="R40" s="14">
        <f>MAX(0,MIN(Inputs!$F$26,Time!R$6)-MAX(Inputs!$F$300,Time!R$5))/Time!R$7</f>
        <v/>
      </c>
      <c r="S40" s="14">
        <f>MAX(0,MIN(Inputs!$F$26,Time!S$6)-MAX(Inputs!$F$300,Time!S$5))/Time!S$7</f>
        <v/>
      </c>
      <c r="T40" s="14">
        <f>MAX(0,MIN(Inputs!$F$26,Time!T$6)-MAX(Inputs!$F$300,Time!T$5))/Time!T$7</f>
        <v/>
      </c>
      <c r="U40" s="14">
        <f>MAX(0,MIN(Inputs!$F$26,Time!U$6)-MAX(Inputs!$F$300,Time!U$5))/Time!U$7</f>
        <v/>
      </c>
      <c r="V40" s="14">
        <f>MAX(0,MIN(Inputs!$F$26,Time!V$6)-MAX(Inputs!$F$300,Time!V$5))/Time!V$7</f>
        <v/>
      </c>
      <c r="W40" s="14">
        <f>MAX(0,MIN(Inputs!$F$26,Time!W$6)-MAX(Inputs!$F$300,Time!W$5))/Time!W$7</f>
        <v/>
      </c>
      <c r="X40" s="14">
        <f>MAX(0,MIN(Inputs!$F$26,Time!X$6)-MAX(Inputs!$F$300,Time!X$5))/Time!X$7</f>
        <v/>
      </c>
      <c r="Y40" s="14">
        <f>MAX(0,MIN(Inputs!$F$26,Time!Y$6)-MAX(Inputs!$F$300,Time!Y$5))/Time!Y$7</f>
        <v/>
      </c>
      <c r="Z40" s="14">
        <f>MAX(0,MIN(Inputs!$F$26,Time!Z$6)-MAX(Inputs!$F$300,Time!Z$5))/Time!Z$7</f>
        <v/>
      </c>
      <c r="AA40" s="14">
        <f>MAX(0,MIN(Inputs!$F$26,Time!AA$6)-MAX(Inputs!$F$300,Time!AA$5))/Time!AA$7</f>
        <v/>
      </c>
      <c r="AB40" s="14">
        <f>MAX(0,MIN(Inputs!$F$26,Time!AB$6)-MAX(Inputs!$F$300,Time!AB$5))/Time!AB$7</f>
        <v/>
      </c>
      <c r="AC40" s="14">
        <f>MAX(0,MIN(Inputs!$F$26,Time!AC$6)-MAX(Inputs!$F$300,Time!AC$5))/Time!AC$7</f>
        <v/>
      </c>
      <c r="AD40" s="14">
        <f>MAX(0,MIN(Inputs!$F$26,Time!AD$6)-MAX(Inputs!$F$300,Time!AD$5))/Time!AD$7</f>
        <v/>
      </c>
      <c r="AE40" s="14">
        <f>MAX(0,MIN(Inputs!$F$26,Time!AE$6)-MAX(Inputs!$F$300,Time!AE$5))/Time!AE$7</f>
        <v/>
      </c>
      <c r="AF40" s="14">
        <f>MAX(0,MIN(Inputs!$F$26,Time!AF$6)-MAX(Inputs!$F$300,Time!AF$5))/Time!AF$7</f>
        <v/>
      </c>
      <c r="AG40" s="14">
        <f>MAX(0,MIN(Inputs!$F$26,Time!AG$6)-MAX(Inputs!$F$300,Time!AG$5))/Time!AG$7</f>
        <v/>
      </c>
      <c r="AH40" s="14">
        <f>MAX(0,MIN(Inputs!$F$26,Time!AH$6)-MAX(Inputs!$F$300,Time!AH$5))/Time!AH$7</f>
        <v/>
      </c>
      <c r="AI40" s="14">
        <f>MAX(0,MIN(Inputs!$F$26,Time!AI$6)-MAX(Inputs!$F$300,Time!AI$5))/Time!AI$7</f>
        <v/>
      </c>
      <c r="AJ40" s="14">
        <f>MAX(0,MIN(Inputs!$F$26,Time!AJ$6)-MAX(Inputs!$F$300,Time!AJ$5))/Time!AJ$7</f>
        <v/>
      </c>
      <c r="AK40" s="14">
        <f>MAX(0,MIN(Inputs!$F$26,Time!AK$6)-MAX(Inputs!$F$300,Time!AK$5))/Time!AK$7</f>
        <v/>
      </c>
      <c r="AL40" s="14">
        <f>MAX(0,MIN(Inputs!$F$26,Time!AL$6)-MAX(Inputs!$F$300,Time!AL$5))/Time!AL$7</f>
        <v/>
      </c>
      <c r="AM40" s="14">
        <f>MAX(0,MIN(Inputs!$F$26,Time!AM$6)-MAX(Inputs!$F$300,Time!AM$5))/Time!AM$7</f>
        <v/>
      </c>
      <c r="AN40" s="14">
        <f>MAX(0,MIN(Inputs!$F$26,Time!AN$6)-MAX(Inputs!$F$300,Time!AN$5))/Time!AN$7</f>
        <v/>
      </c>
      <c r="AO40" s="14">
        <f>MAX(0,MIN(Inputs!$F$26,Time!AO$6)-MAX(Inputs!$F$300,Time!AO$5))/Time!AO$7</f>
        <v/>
      </c>
      <c r="AP40" s="14">
        <f>MAX(0,MIN(Inputs!$F$26,Time!AP$6)-MAX(Inputs!$F$300,Time!AP$5))/Time!AP$7</f>
        <v/>
      </c>
      <c r="AQ40" s="14">
        <f>MAX(0,MIN(Inputs!$F$26,Time!AQ$6)-MAX(Inputs!$F$300,Time!AQ$5))/Time!AQ$7</f>
        <v/>
      </c>
      <c r="AR40" s="14">
        <f>MAX(0,MIN(Inputs!$F$26,Time!AR$6)-MAX(Inputs!$F$300,Time!AR$5))/Time!AR$7</f>
        <v/>
      </c>
      <c r="AS40" s="14">
        <f>MAX(0,MIN(Inputs!$F$26,Time!AS$6)-MAX(Inputs!$F$300,Time!AS$5))/Time!AS$7</f>
        <v/>
      </c>
      <c r="AT40" s="14">
        <f>MAX(0,MIN(Inputs!$F$26,Time!AT$6)-MAX(Inputs!$F$300,Time!AT$5))/Time!AT$7</f>
        <v/>
      </c>
      <c r="AU40" s="14">
        <f>MAX(0,MIN(Inputs!$F$26,Time!AU$6)-MAX(Inputs!$F$300,Time!AU$5))/Time!AU$7</f>
        <v/>
      </c>
    </row>
    <row r="41">
      <c r="D41" t="inlineStr">
        <is>
          <t>Holdco incremental 2024: rate</t>
        </is>
      </c>
      <c r="E41" t="inlineStr">
        <is>
          <t>%</t>
        </is>
      </c>
      <c r="J41" s="15">
        <f>MAX(Debt!J10,Inputs!$F$285)+Inputs!$F$302</f>
        <v/>
      </c>
      <c r="K41" s="15">
        <f>MAX(Debt!K10,Inputs!$F$285)+Inputs!$F$302</f>
        <v/>
      </c>
      <c r="L41" s="15">
        <f>MAX(Debt!L10,Inputs!$F$285)+Inputs!$F$302</f>
        <v/>
      </c>
      <c r="M41" s="15">
        <f>MAX(Debt!M10,Inputs!$F$285)+Inputs!$F$302</f>
        <v/>
      </c>
      <c r="N41" s="15">
        <f>MAX(Debt!N10,Inputs!$F$285)+Inputs!$F$302</f>
        <v/>
      </c>
      <c r="O41" s="15">
        <f>MAX(Debt!O10,Inputs!$F$285)+Inputs!$F$302</f>
        <v/>
      </c>
      <c r="P41" s="15">
        <f>MAX(Debt!P10,Inputs!$F$285)+Inputs!$F$302</f>
        <v/>
      </c>
      <c r="Q41" s="15">
        <f>MAX(Debt!Q10,Inputs!$F$285)+Inputs!$F$302</f>
        <v/>
      </c>
      <c r="R41" s="15">
        <f>MAX(Debt!R10,Inputs!$F$285)+Inputs!$F$302</f>
        <v/>
      </c>
      <c r="S41" s="15">
        <f>MAX(Debt!S10,Inputs!$F$285)+Inputs!$F$302</f>
        <v/>
      </c>
      <c r="T41" s="15">
        <f>MAX(Debt!T10,Inputs!$F$285)+Inputs!$F$302</f>
        <v/>
      </c>
      <c r="U41" s="15">
        <f>MAX(Debt!U10,Inputs!$F$285)+Inputs!$F$302</f>
        <v/>
      </c>
      <c r="V41" s="15">
        <f>MAX(Debt!V10,Inputs!$F$285)+Inputs!$F$302</f>
        <v/>
      </c>
      <c r="W41" s="15">
        <f>MAX(Debt!W10,Inputs!$F$285)+Inputs!$F$302</f>
        <v/>
      </c>
      <c r="X41" s="15">
        <f>MAX(Debt!X10,Inputs!$F$285)+Inputs!$F$302</f>
        <v/>
      </c>
      <c r="Y41" s="15">
        <f>MAX(Debt!Y10,Inputs!$F$285)+Inputs!$F$302</f>
        <v/>
      </c>
      <c r="Z41" s="15">
        <f>MAX(Debt!Z10,Inputs!$F$285)+Inputs!$F$302</f>
        <v/>
      </c>
      <c r="AA41" s="15">
        <f>MAX(Debt!AA10,Inputs!$F$285)+Inputs!$F$302</f>
        <v/>
      </c>
      <c r="AB41" s="15">
        <f>MAX(Debt!AB10,Inputs!$F$285)+Inputs!$F$302</f>
        <v/>
      </c>
      <c r="AC41" s="15">
        <f>MAX(Debt!AC10,Inputs!$F$285)+Inputs!$F$302</f>
        <v/>
      </c>
      <c r="AD41" s="15">
        <f>MAX(Debt!AD10,Inputs!$F$285)+Inputs!$F$302</f>
        <v/>
      </c>
      <c r="AE41" s="15">
        <f>MAX(Debt!AE10,Inputs!$F$285)+Inputs!$F$302</f>
        <v/>
      </c>
      <c r="AF41" s="15">
        <f>MAX(Debt!AF10,Inputs!$F$285)+Inputs!$F$302</f>
        <v/>
      </c>
      <c r="AG41" s="15">
        <f>MAX(Debt!AG10,Inputs!$F$285)+Inputs!$F$302</f>
        <v/>
      </c>
      <c r="AH41" s="15">
        <f>MAX(Debt!AH10,Inputs!$F$285)+Inputs!$F$302</f>
        <v/>
      </c>
      <c r="AI41" s="15">
        <f>MAX(Debt!AI10,Inputs!$F$285)+Inputs!$F$302</f>
        <v/>
      </c>
      <c r="AJ41" s="15">
        <f>MAX(Debt!AJ10,Inputs!$F$285)+Inputs!$F$302</f>
        <v/>
      </c>
      <c r="AK41" s="15">
        <f>MAX(Debt!AK10,Inputs!$F$285)+Inputs!$F$302</f>
        <v/>
      </c>
      <c r="AL41" s="15">
        <f>MAX(Debt!AL10,Inputs!$F$285)+Inputs!$F$302</f>
        <v/>
      </c>
      <c r="AM41" s="15">
        <f>MAX(Debt!AM10,Inputs!$F$285)+Inputs!$F$302</f>
        <v/>
      </c>
      <c r="AN41" s="15">
        <f>MAX(Debt!AN10,Inputs!$F$285)+Inputs!$F$302</f>
        <v/>
      </c>
      <c r="AO41" s="15">
        <f>MAX(Debt!AO10,Inputs!$F$285)+Inputs!$F$302</f>
        <v/>
      </c>
      <c r="AP41" s="15">
        <f>MAX(Debt!AP10,Inputs!$F$285)+Inputs!$F$302</f>
        <v/>
      </c>
      <c r="AQ41" s="15">
        <f>MAX(Debt!AQ10,Inputs!$F$285)+Inputs!$F$302</f>
        <v/>
      </c>
      <c r="AR41" s="15">
        <f>MAX(Debt!AR10,Inputs!$F$285)+Inputs!$F$302</f>
        <v/>
      </c>
      <c r="AS41" s="15">
        <f>MAX(Debt!AS10,Inputs!$F$285)+Inputs!$F$302</f>
        <v/>
      </c>
      <c r="AT41" s="15">
        <f>MAX(Debt!AT10,Inputs!$F$285)+Inputs!$F$302</f>
        <v/>
      </c>
      <c r="AU41" s="15">
        <f>MAX(Debt!AU10,Inputs!$F$285)+Inputs!$F$302</f>
        <v/>
      </c>
    </row>
    <row r="42">
      <c r="D42" t="inlineStr">
        <is>
          <t>Holdco incremental 2024: face</t>
        </is>
      </c>
      <c r="E42" t="inlineStr">
        <is>
          <t>USD m</t>
        </is>
      </c>
      <c r="F42" s="21">
        <f>Funding!$F$63</f>
        <v/>
      </c>
    </row>
    <row r="43">
      <c r="D43" t="inlineStr">
        <is>
          <t>Repriced holdco TLB 2025: interest period fraction</t>
        </is>
      </c>
      <c r="E43" t="inlineStr">
        <is>
          <t>fraction</t>
        </is>
      </c>
      <c r="J43" s="14">
        <f>MAX(0,MIN(Inputs!$F$26,Time!J$6)-MAX(Inputs!$F$308,Time!J$5))/Time!J$7</f>
        <v/>
      </c>
      <c r="K43" s="14">
        <f>MAX(0,MIN(Inputs!$F$26,Time!K$6)-MAX(Inputs!$F$308,Time!K$5))/Time!K$7</f>
        <v/>
      </c>
      <c r="L43" s="14">
        <f>MAX(0,MIN(Inputs!$F$26,Time!L$6)-MAX(Inputs!$F$308,Time!L$5))/Time!L$7</f>
        <v/>
      </c>
      <c r="M43" s="14">
        <f>MAX(0,MIN(Inputs!$F$26,Time!M$6)-MAX(Inputs!$F$308,Time!M$5))/Time!M$7</f>
        <v/>
      </c>
      <c r="N43" s="14">
        <f>MAX(0,MIN(Inputs!$F$26,Time!N$6)-MAX(Inputs!$F$308,Time!N$5))/Time!N$7</f>
        <v/>
      </c>
      <c r="O43" s="14">
        <f>MAX(0,MIN(Inputs!$F$26,Time!O$6)-MAX(Inputs!$F$308,Time!O$5))/Time!O$7</f>
        <v/>
      </c>
      <c r="P43" s="14">
        <f>MAX(0,MIN(Inputs!$F$26,Time!P$6)-MAX(Inputs!$F$308,Time!P$5))/Time!P$7</f>
        <v/>
      </c>
      <c r="Q43" s="14">
        <f>MAX(0,MIN(Inputs!$F$26,Time!Q$6)-MAX(Inputs!$F$308,Time!Q$5))/Time!Q$7</f>
        <v/>
      </c>
      <c r="R43" s="14">
        <f>MAX(0,MIN(Inputs!$F$26,Time!R$6)-MAX(Inputs!$F$308,Time!R$5))/Time!R$7</f>
        <v/>
      </c>
      <c r="S43" s="14">
        <f>MAX(0,MIN(Inputs!$F$26,Time!S$6)-MAX(Inputs!$F$308,Time!S$5))/Time!S$7</f>
        <v/>
      </c>
      <c r="T43" s="14">
        <f>MAX(0,MIN(Inputs!$F$26,Time!T$6)-MAX(Inputs!$F$308,Time!T$5))/Time!T$7</f>
        <v/>
      </c>
      <c r="U43" s="14">
        <f>MAX(0,MIN(Inputs!$F$26,Time!U$6)-MAX(Inputs!$F$308,Time!U$5))/Time!U$7</f>
        <v/>
      </c>
      <c r="V43" s="14">
        <f>MAX(0,MIN(Inputs!$F$26,Time!V$6)-MAX(Inputs!$F$308,Time!V$5))/Time!V$7</f>
        <v/>
      </c>
      <c r="W43" s="14">
        <f>MAX(0,MIN(Inputs!$F$26,Time!W$6)-MAX(Inputs!$F$308,Time!W$5))/Time!W$7</f>
        <v/>
      </c>
      <c r="X43" s="14">
        <f>MAX(0,MIN(Inputs!$F$26,Time!X$6)-MAX(Inputs!$F$308,Time!X$5))/Time!X$7</f>
        <v/>
      </c>
      <c r="Y43" s="14">
        <f>MAX(0,MIN(Inputs!$F$26,Time!Y$6)-MAX(Inputs!$F$308,Time!Y$5))/Time!Y$7</f>
        <v/>
      </c>
      <c r="Z43" s="14">
        <f>MAX(0,MIN(Inputs!$F$26,Time!Z$6)-MAX(Inputs!$F$308,Time!Z$5))/Time!Z$7</f>
        <v/>
      </c>
      <c r="AA43" s="14">
        <f>MAX(0,MIN(Inputs!$F$26,Time!AA$6)-MAX(Inputs!$F$308,Time!AA$5))/Time!AA$7</f>
        <v/>
      </c>
      <c r="AB43" s="14">
        <f>MAX(0,MIN(Inputs!$F$26,Time!AB$6)-MAX(Inputs!$F$308,Time!AB$5))/Time!AB$7</f>
        <v/>
      </c>
      <c r="AC43" s="14">
        <f>MAX(0,MIN(Inputs!$F$26,Time!AC$6)-MAX(Inputs!$F$308,Time!AC$5))/Time!AC$7</f>
        <v/>
      </c>
      <c r="AD43" s="14">
        <f>MAX(0,MIN(Inputs!$F$26,Time!AD$6)-MAX(Inputs!$F$308,Time!AD$5))/Time!AD$7</f>
        <v/>
      </c>
      <c r="AE43" s="14">
        <f>MAX(0,MIN(Inputs!$F$26,Time!AE$6)-MAX(Inputs!$F$308,Time!AE$5))/Time!AE$7</f>
        <v/>
      </c>
      <c r="AF43" s="14">
        <f>MAX(0,MIN(Inputs!$F$26,Time!AF$6)-MAX(Inputs!$F$308,Time!AF$5))/Time!AF$7</f>
        <v/>
      </c>
      <c r="AG43" s="14">
        <f>MAX(0,MIN(Inputs!$F$26,Time!AG$6)-MAX(Inputs!$F$308,Time!AG$5))/Time!AG$7</f>
        <v/>
      </c>
      <c r="AH43" s="14">
        <f>MAX(0,MIN(Inputs!$F$26,Time!AH$6)-MAX(Inputs!$F$308,Time!AH$5))/Time!AH$7</f>
        <v/>
      </c>
      <c r="AI43" s="14">
        <f>MAX(0,MIN(Inputs!$F$26,Time!AI$6)-MAX(Inputs!$F$308,Time!AI$5))/Time!AI$7</f>
        <v/>
      </c>
      <c r="AJ43" s="14">
        <f>MAX(0,MIN(Inputs!$F$26,Time!AJ$6)-MAX(Inputs!$F$308,Time!AJ$5))/Time!AJ$7</f>
        <v/>
      </c>
      <c r="AK43" s="14">
        <f>MAX(0,MIN(Inputs!$F$26,Time!AK$6)-MAX(Inputs!$F$308,Time!AK$5))/Time!AK$7</f>
        <v/>
      </c>
      <c r="AL43" s="14">
        <f>MAX(0,MIN(Inputs!$F$26,Time!AL$6)-MAX(Inputs!$F$308,Time!AL$5))/Time!AL$7</f>
        <v/>
      </c>
      <c r="AM43" s="14">
        <f>MAX(0,MIN(Inputs!$F$26,Time!AM$6)-MAX(Inputs!$F$308,Time!AM$5))/Time!AM$7</f>
        <v/>
      </c>
      <c r="AN43" s="14">
        <f>MAX(0,MIN(Inputs!$F$26,Time!AN$6)-MAX(Inputs!$F$308,Time!AN$5))/Time!AN$7</f>
        <v/>
      </c>
      <c r="AO43" s="14">
        <f>MAX(0,MIN(Inputs!$F$26,Time!AO$6)-MAX(Inputs!$F$308,Time!AO$5))/Time!AO$7</f>
        <v/>
      </c>
      <c r="AP43" s="14">
        <f>MAX(0,MIN(Inputs!$F$26,Time!AP$6)-MAX(Inputs!$F$308,Time!AP$5))/Time!AP$7</f>
        <v/>
      </c>
      <c r="AQ43" s="14">
        <f>MAX(0,MIN(Inputs!$F$26,Time!AQ$6)-MAX(Inputs!$F$308,Time!AQ$5))/Time!AQ$7</f>
        <v/>
      </c>
      <c r="AR43" s="14">
        <f>MAX(0,MIN(Inputs!$F$26,Time!AR$6)-MAX(Inputs!$F$308,Time!AR$5))/Time!AR$7</f>
        <v/>
      </c>
      <c r="AS43" s="14">
        <f>MAX(0,MIN(Inputs!$F$26,Time!AS$6)-MAX(Inputs!$F$308,Time!AS$5))/Time!AS$7</f>
        <v/>
      </c>
      <c r="AT43" s="14">
        <f>MAX(0,MIN(Inputs!$F$26,Time!AT$6)-MAX(Inputs!$F$308,Time!AT$5))/Time!AT$7</f>
        <v/>
      </c>
      <c r="AU43" s="14">
        <f>MAX(0,MIN(Inputs!$F$26,Time!AU$6)-MAX(Inputs!$F$308,Time!AU$5))/Time!AU$7</f>
        <v/>
      </c>
    </row>
    <row r="44">
      <c r="D44" t="inlineStr">
        <is>
          <t>Repriced holdco TLB 2025: rate</t>
        </is>
      </c>
      <c r="E44" t="inlineStr">
        <is>
          <t>%</t>
        </is>
      </c>
      <c r="J44" s="15">
        <f>MAX(Debt!J10,Inputs!$F$285)+Inputs!$F$322</f>
        <v/>
      </c>
      <c r="K44" s="15">
        <f>MAX(Debt!K10,Inputs!$F$285)+Inputs!$F$322</f>
        <v/>
      </c>
      <c r="L44" s="15">
        <f>MAX(Debt!L10,Inputs!$F$285)+Inputs!$F$322</f>
        <v/>
      </c>
      <c r="M44" s="15">
        <f>MAX(Debt!M10,Inputs!$F$285)+Inputs!$F$322</f>
        <v/>
      </c>
      <c r="N44" s="15">
        <f>MAX(Debt!N10,Inputs!$F$285)+Inputs!$F$322</f>
        <v/>
      </c>
      <c r="O44" s="15">
        <f>MAX(Debt!O10,Inputs!$F$285)+Inputs!$F$322</f>
        <v/>
      </c>
      <c r="P44" s="15">
        <f>MAX(Debt!P10,Inputs!$F$285)+Inputs!$F$322</f>
        <v/>
      </c>
      <c r="Q44" s="15">
        <f>MAX(Debt!Q10,Inputs!$F$285)+Inputs!$F$322</f>
        <v/>
      </c>
      <c r="R44" s="15">
        <f>MAX(Debt!R10,Inputs!$F$285)+Inputs!$F$322</f>
        <v/>
      </c>
      <c r="S44" s="15">
        <f>MAX(Debt!S10,Inputs!$F$285)+Inputs!$F$322</f>
        <v/>
      </c>
      <c r="T44" s="15">
        <f>MAX(Debt!T10,Inputs!$F$285)+Inputs!$F$322</f>
        <v/>
      </c>
      <c r="U44" s="15">
        <f>MAX(Debt!U10,Inputs!$F$285)+Inputs!$F$322</f>
        <v/>
      </c>
      <c r="V44" s="15">
        <f>MAX(Debt!V10,Inputs!$F$285)+Inputs!$F$322</f>
        <v/>
      </c>
      <c r="W44" s="15">
        <f>MAX(Debt!W10,Inputs!$F$285)+Inputs!$F$322</f>
        <v/>
      </c>
      <c r="X44" s="15">
        <f>MAX(Debt!X10,Inputs!$F$285)+Inputs!$F$322</f>
        <v/>
      </c>
      <c r="Y44" s="15">
        <f>MAX(Debt!Y10,Inputs!$F$285)+Inputs!$F$322</f>
        <v/>
      </c>
      <c r="Z44" s="15">
        <f>MAX(Debt!Z10,Inputs!$F$285)+Inputs!$F$322</f>
        <v/>
      </c>
      <c r="AA44" s="15">
        <f>MAX(Debt!AA10,Inputs!$F$285)+Inputs!$F$322</f>
        <v/>
      </c>
      <c r="AB44" s="15">
        <f>MAX(Debt!AB10,Inputs!$F$285)+Inputs!$F$322</f>
        <v/>
      </c>
      <c r="AC44" s="15">
        <f>MAX(Debt!AC10,Inputs!$F$285)+Inputs!$F$322</f>
        <v/>
      </c>
      <c r="AD44" s="15">
        <f>MAX(Debt!AD10,Inputs!$F$285)+Inputs!$F$322</f>
        <v/>
      </c>
      <c r="AE44" s="15">
        <f>MAX(Debt!AE10,Inputs!$F$285)+Inputs!$F$322</f>
        <v/>
      </c>
      <c r="AF44" s="15">
        <f>MAX(Debt!AF10,Inputs!$F$285)+Inputs!$F$322</f>
        <v/>
      </c>
      <c r="AG44" s="15">
        <f>MAX(Debt!AG10,Inputs!$F$285)+Inputs!$F$322</f>
        <v/>
      </c>
      <c r="AH44" s="15">
        <f>MAX(Debt!AH10,Inputs!$F$285)+Inputs!$F$322</f>
        <v/>
      </c>
      <c r="AI44" s="15">
        <f>MAX(Debt!AI10,Inputs!$F$285)+Inputs!$F$322</f>
        <v/>
      </c>
      <c r="AJ44" s="15">
        <f>MAX(Debt!AJ10,Inputs!$F$285)+Inputs!$F$322</f>
        <v/>
      </c>
      <c r="AK44" s="15">
        <f>MAX(Debt!AK10,Inputs!$F$285)+Inputs!$F$322</f>
        <v/>
      </c>
      <c r="AL44" s="15">
        <f>MAX(Debt!AL10,Inputs!$F$285)+Inputs!$F$322</f>
        <v/>
      </c>
      <c r="AM44" s="15">
        <f>MAX(Debt!AM10,Inputs!$F$285)+Inputs!$F$322</f>
        <v/>
      </c>
      <c r="AN44" s="15">
        <f>MAX(Debt!AN10,Inputs!$F$285)+Inputs!$F$322</f>
        <v/>
      </c>
      <c r="AO44" s="15">
        <f>MAX(Debt!AO10,Inputs!$F$285)+Inputs!$F$322</f>
        <v/>
      </c>
      <c r="AP44" s="15">
        <f>MAX(Debt!AP10,Inputs!$F$285)+Inputs!$F$322</f>
        <v/>
      </c>
      <c r="AQ44" s="15">
        <f>MAX(Debt!AQ10,Inputs!$F$285)+Inputs!$F$322</f>
        <v/>
      </c>
      <c r="AR44" s="15">
        <f>MAX(Debt!AR10,Inputs!$F$285)+Inputs!$F$322</f>
        <v/>
      </c>
      <c r="AS44" s="15">
        <f>MAX(Debt!AS10,Inputs!$F$285)+Inputs!$F$322</f>
        <v/>
      </c>
      <c r="AT44" s="15">
        <f>MAX(Debt!AT10,Inputs!$F$285)+Inputs!$F$322</f>
        <v/>
      </c>
      <c r="AU44" s="15">
        <f>MAX(Debt!AU10,Inputs!$F$285)+Inputs!$F$322</f>
        <v/>
      </c>
    </row>
    <row r="45">
      <c r="D45" t="inlineStr">
        <is>
          <t>Repriced holdco TLB 2025: face</t>
        </is>
      </c>
      <c r="E45" t="inlineStr">
        <is>
          <t>USD m</t>
        </is>
      </c>
      <c r="F45" s="21">
        <f>Funding!$F$103*Inputs!$F$10</f>
        <v/>
      </c>
    </row>
    <row r="46">
      <c r="D46" t="inlineStr">
        <is>
          <t>Holdco TLB 2022: opening balance</t>
        </is>
      </c>
      <c r="E46" t="inlineStr">
        <is>
          <t>USD m</t>
        </is>
      </c>
      <c r="J46" s="20">
        <f>IF(Time!J$4=YEAR(Inputs!$F$282),Debt!$F$39,I52)</f>
        <v/>
      </c>
      <c r="K46" s="20">
        <f>IF(Time!K$4=YEAR(Inputs!$F$282),Debt!$F$39,J52)</f>
        <v/>
      </c>
      <c r="L46" s="20">
        <f>IF(Time!L$4=YEAR(Inputs!$F$282),Debt!$F$39,K52)</f>
        <v/>
      </c>
      <c r="M46" s="20">
        <f>IF(Time!M$4=YEAR(Inputs!$F$282),Debt!$F$39,L52)</f>
        <v/>
      </c>
      <c r="N46" s="20">
        <f>IF(Time!N$4=YEAR(Inputs!$F$282),Debt!$F$39,M52)</f>
        <v/>
      </c>
      <c r="O46" s="20">
        <f>IF(Time!O$4=YEAR(Inputs!$F$282),Debt!$F$39,N52)</f>
        <v/>
      </c>
      <c r="P46" s="20">
        <f>IF(Time!P$4=YEAR(Inputs!$F$282),Debt!$F$39,O52)</f>
        <v/>
      </c>
      <c r="Q46" s="20">
        <f>IF(Time!Q$4=YEAR(Inputs!$F$282),Debt!$F$39,P52)</f>
        <v/>
      </c>
      <c r="R46" s="20">
        <f>IF(Time!R$4=YEAR(Inputs!$F$282),Debt!$F$39,Q52)</f>
        <v/>
      </c>
      <c r="S46" s="20">
        <f>IF(Time!S$4=YEAR(Inputs!$F$282),Debt!$F$39,R52)</f>
        <v/>
      </c>
      <c r="T46" s="20">
        <f>IF(Time!T$4=YEAR(Inputs!$F$282),Debt!$F$39,S52)</f>
        <v/>
      </c>
      <c r="U46" s="20">
        <f>IF(Time!U$4=YEAR(Inputs!$F$282),Debt!$F$39,T52)</f>
        <v/>
      </c>
      <c r="V46" s="20">
        <f>IF(Time!V$4=YEAR(Inputs!$F$282),Debt!$F$39,U52)</f>
        <v/>
      </c>
      <c r="W46" s="20">
        <f>IF(Time!W$4=YEAR(Inputs!$F$282),Debt!$F$39,V52)</f>
        <v/>
      </c>
      <c r="X46" s="20">
        <f>IF(Time!X$4=YEAR(Inputs!$F$282),Debt!$F$39,W52)</f>
        <v/>
      </c>
      <c r="Y46" s="20">
        <f>IF(Time!Y$4=YEAR(Inputs!$F$282),Debt!$F$39,X52)</f>
        <v/>
      </c>
      <c r="Z46" s="20">
        <f>IF(Time!Z$4=YEAR(Inputs!$F$282),Debt!$F$39,Y52)</f>
        <v/>
      </c>
      <c r="AA46" s="20">
        <f>IF(Time!AA$4=YEAR(Inputs!$F$282),Debt!$F$39,Z52)</f>
        <v/>
      </c>
      <c r="AB46" s="20">
        <f>IF(Time!AB$4=YEAR(Inputs!$F$282),Debt!$F$39,AA52)</f>
        <v/>
      </c>
      <c r="AC46" s="20">
        <f>IF(Time!AC$4=YEAR(Inputs!$F$282),Debt!$F$39,AB52)</f>
        <v/>
      </c>
      <c r="AD46" s="20">
        <f>IF(Time!AD$4=YEAR(Inputs!$F$282),Debt!$F$39,AC52)</f>
        <v/>
      </c>
      <c r="AE46" s="20">
        <f>IF(Time!AE$4=YEAR(Inputs!$F$282),Debt!$F$39,AD52)</f>
        <v/>
      </c>
      <c r="AF46" s="20">
        <f>IF(Time!AF$4=YEAR(Inputs!$F$282),Debt!$F$39,AE52)</f>
        <v/>
      </c>
      <c r="AG46" s="20">
        <f>IF(Time!AG$4=YEAR(Inputs!$F$282),Debt!$F$39,AF52)</f>
        <v/>
      </c>
      <c r="AH46" s="20">
        <f>IF(Time!AH$4=YEAR(Inputs!$F$282),Debt!$F$39,AG52)</f>
        <v/>
      </c>
      <c r="AI46" s="20">
        <f>IF(Time!AI$4=YEAR(Inputs!$F$282),Debt!$F$39,AH52)</f>
        <v/>
      </c>
      <c r="AJ46" s="20">
        <f>IF(Time!AJ$4=YEAR(Inputs!$F$282),Debt!$F$39,AI52)</f>
        <v/>
      </c>
      <c r="AK46" s="20">
        <f>IF(Time!AK$4=YEAR(Inputs!$F$282),Debt!$F$39,AJ52)</f>
        <v/>
      </c>
      <c r="AL46" s="20">
        <f>IF(Time!AL$4=YEAR(Inputs!$F$282),Debt!$F$39,AK52)</f>
        <v/>
      </c>
      <c r="AM46" s="20">
        <f>IF(Time!AM$4=YEAR(Inputs!$F$282),Debt!$F$39,AL52)</f>
        <v/>
      </c>
      <c r="AN46" s="20">
        <f>IF(Time!AN$4=YEAR(Inputs!$F$282),Debt!$F$39,AM52)</f>
        <v/>
      </c>
      <c r="AO46" s="20">
        <f>IF(Time!AO$4=YEAR(Inputs!$F$282),Debt!$F$39,AN52)</f>
        <v/>
      </c>
      <c r="AP46" s="20">
        <f>IF(Time!AP$4=YEAR(Inputs!$F$282),Debt!$F$39,AO52)</f>
        <v/>
      </c>
      <c r="AQ46" s="20">
        <f>IF(Time!AQ$4=YEAR(Inputs!$F$282),Debt!$F$39,AP52)</f>
        <v/>
      </c>
      <c r="AR46" s="20">
        <f>IF(Time!AR$4=YEAR(Inputs!$F$282),Debt!$F$39,AQ52)</f>
        <v/>
      </c>
      <c r="AS46" s="20">
        <f>IF(Time!AS$4=YEAR(Inputs!$F$282),Debt!$F$39,AR52)</f>
        <v/>
      </c>
      <c r="AT46" s="20">
        <f>IF(Time!AT$4=YEAR(Inputs!$F$282),Debt!$F$39,AS52)</f>
        <v/>
      </c>
      <c r="AU46" s="20">
        <f>IF(Time!AU$4=YEAR(Inputs!$F$282),Debt!$F$39,AT52)</f>
        <v/>
      </c>
    </row>
    <row r="47">
      <c r="D47" t="inlineStr">
        <is>
          <t>Holdco TLB 2022: interest</t>
        </is>
      </c>
      <c r="E47" t="inlineStr">
        <is>
          <t>USD m</t>
        </is>
      </c>
      <c r="G47" s="20">
        <f>SUM(J47:AU47)</f>
        <v/>
      </c>
      <c r="J47" s="20">
        <f>Debt!J46*Debt!J38/100*Debt!J37</f>
        <v/>
      </c>
      <c r="K47" s="20">
        <f>Debt!K46*Debt!K38/100*Debt!K37</f>
        <v/>
      </c>
      <c r="L47" s="20">
        <f>Debt!L46*Debt!L38/100*Debt!L37</f>
        <v/>
      </c>
      <c r="M47" s="20">
        <f>Debt!M46*Debt!M38/100*Debt!M37</f>
        <v/>
      </c>
      <c r="N47" s="20">
        <f>Debt!N46*Debt!N38/100*Debt!N37</f>
        <v/>
      </c>
      <c r="O47" s="20">
        <f>Debt!O46*Debt!O38/100*Debt!O37</f>
        <v/>
      </c>
      <c r="P47" s="20">
        <f>Debt!P46*Debt!P38/100*Debt!P37</f>
        <v/>
      </c>
      <c r="Q47" s="20">
        <f>Debt!Q46*Debt!Q38/100*Debt!Q37</f>
        <v/>
      </c>
      <c r="R47" s="20">
        <f>Debt!R46*Debt!R38/100*Debt!R37</f>
        <v/>
      </c>
      <c r="S47" s="20">
        <f>Debt!S46*Debt!S38/100*Debt!S37</f>
        <v/>
      </c>
      <c r="T47" s="20">
        <f>Debt!T46*Debt!T38/100*Debt!T37</f>
        <v/>
      </c>
      <c r="U47" s="20">
        <f>Debt!U46*Debt!U38/100*Debt!U37</f>
        <v/>
      </c>
      <c r="V47" s="20">
        <f>Debt!V46*Debt!V38/100*Debt!V37</f>
        <v/>
      </c>
      <c r="W47" s="20">
        <f>Debt!W46*Debt!W38/100*Debt!W37</f>
        <v/>
      </c>
      <c r="X47" s="20">
        <f>Debt!X46*Debt!X38/100*Debt!X37</f>
        <v/>
      </c>
      <c r="Y47" s="20">
        <f>Debt!Y46*Debt!Y38/100*Debt!Y37</f>
        <v/>
      </c>
      <c r="Z47" s="20">
        <f>Debt!Z46*Debt!Z38/100*Debt!Z37</f>
        <v/>
      </c>
      <c r="AA47" s="20">
        <f>Debt!AA46*Debt!AA38/100*Debt!AA37</f>
        <v/>
      </c>
      <c r="AB47" s="20">
        <f>Debt!AB46*Debt!AB38/100*Debt!AB37</f>
        <v/>
      </c>
      <c r="AC47" s="20">
        <f>Debt!AC46*Debt!AC38/100*Debt!AC37</f>
        <v/>
      </c>
      <c r="AD47" s="20">
        <f>Debt!AD46*Debt!AD38/100*Debt!AD37</f>
        <v/>
      </c>
      <c r="AE47" s="20">
        <f>Debt!AE46*Debt!AE38/100*Debt!AE37</f>
        <v/>
      </c>
      <c r="AF47" s="20">
        <f>Debt!AF46*Debt!AF38/100*Debt!AF37</f>
        <v/>
      </c>
      <c r="AG47" s="20">
        <f>Debt!AG46*Debt!AG38/100*Debt!AG37</f>
        <v/>
      </c>
      <c r="AH47" s="20">
        <f>Debt!AH46*Debt!AH38/100*Debt!AH37</f>
        <v/>
      </c>
      <c r="AI47" s="20">
        <f>Debt!AI46*Debt!AI38/100*Debt!AI37</f>
        <v/>
      </c>
      <c r="AJ47" s="20">
        <f>Debt!AJ46*Debt!AJ38/100*Debt!AJ37</f>
        <v/>
      </c>
      <c r="AK47" s="20">
        <f>Debt!AK46*Debt!AK38/100*Debt!AK37</f>
        <v/>
      </c>
      <c r="AL47" s="20">
        <f>Debt!AL46*Debt!AL38/100*Debt!AL37</f>
        <v/>
      </c>
      <c r="AM47" s="20">
        <f>Debt!AM46*Debt!AM38/100*Debt!AM37</f>
        <v/>
      </c>
      <c r="AN47" s="20">
        <f>Debt!AN46*Debt!AN38/100*Debt!AN37</f>
        <v/>
      </c>
      <c r="AO47" s="20">
        <f>Debt!AO46*Debt!AO38/100*Debt!AO37</f>
        <v/>
      </c>
      <c r="AP47" s="20">
        <f>Debt!AP46*Debt!AP38/100*Debt!AP37</f>
        <v/>
      </c>
      <c r="AQ47" s="20">
        <f>Debt!AQ46*Debt!AQ38/100*Debt!AQ37</f>
        <v/>
      </c>
      <c r="AR47" s="20">
        <f>Debt!AR46*Debt!AR38/100*Debt!AR37</f>
        <v/>
      </c>
      <c r="AS47" s="20">
        <f>Debt!AS46*Debt!AS38/100*Debt!AS37</f>
        <v/>
      </c>
      <c r="AT47" s="20">
        <f>Debt!AT46*Debt!AT38/100*Debt!AT37</f>
        <v/>
      </c>
      <c r="AU47" s="20">
        <f>Debt!AU46*Debt!AU38/100*Debt!AU37</f>
        <v/>
      </c>
    </row>
    <row r="48">
      <c r="D48" t="inlineStr">
        <is>
          <t>Holdco TLB 2022: scheduled amortization</t>
        </is>
      </c>
      <c r="E48" t="inlineStr">
        <is>
          <t>USD m</t>
        </is>
      </c>
      <c r="G48" s="20">
        <f>SUM(J48:AU48)</f>
        <v/>
      </c>
      <c r="J48" s="20">
        <f>MIN(Debt!J46,Inputs!$F$287/100*Debt!$F$39*Debt!J37)</f>
        <v/>
      </c>
      <c r="K48" s="20">
        <f>MIN(Debt!K46,Inputs!$F$287/100*Debt!$F$39*Debt!K37)</f>
        <v/>
      </c>
      <c r="L48" s="20">
        <f>MIN(Debt!L46,Inputs!$F$287/100*Debt!$F$39*Debt!L37)</f>
        <v/>
      </c>
      <c r="M48" s="20">
        <f>MIN(Debt!M46,Inputs!$F$287/100*Debt!$F$39*Debt!M37)</f>
        <v/>
      </c>
      <c r="N48" s="20">
        <f>MIN(Debt!N46,Inputs!$F$287/100*Debt!$F$39*Debt!N37)</f>
        <v/>
      </c>
      <c r="O48" s="20">
        <f>MIN(Debt!O46,Inputs!$F$287/100*Debt!$F$39*Debt!O37)</f>
        <v/>
      </c>
      <c r="P48" s="20">
        <f>MIN(Debt!P46,Inputs!$F$287/100*Debt!$F$39*Debt!P37)</f>
        <v/>
      </c>
      <c r="Q48" s="20">
        <f>MIN(Debt!Q46,Inputs!$F$287/100*Debt!$F$39*Debt!Q37)</f>
        <v/>
      </c>
      <c r="R48" s="20">
        <f>MIN(Debt!R46,Inputs!$F$287/100*Debt!$F$39*Debt!R37)</f>
        <v/>
      </c>
      <c r="S48" s="20">
        <f>MIN(Debt!S46,Inputs!$F$287/100*Debt!$F$39*Debt!S37)</f>
        <v/>
      </c>
      <c r="T48" s="20">
        <f>MIN(Debt!T46,Inputs!$F$287/100*Debt!$F$39*Debt!T37)</f>
        <v/>
      </c>
      <c r="U48" s="20">
        <f>MIN(Debt!U46,Inputs!$F$287/100*Debt!$F$39*Debt!U37)</f>
        <v/>
      </c>
      <c r="V48" s="20">
        <f>MIN(Debt!V46,Inputs!$F$287/100*Debt!$F$39*Debt!V37)</f>
        <v/>
      </c>
      <c r="W48" s="20">
        <f>MIN(Debt!W46,Inputs!$F$287/100*Debt!$F$39*Debt!W37)</f>
        <v/>
      </c>
      <c r="X48" s="20">
        <f>MIN(Debt!X46,Inputs!$F$287/100*Debt!$F$39*Debt!X37)</f>
        <v/>
      </c>
      <c r="Y48" s="20">
        <f>MIN(Debt!Y46,Inputs!$F$287/100*Debt!$F$39*Debt!Y37)</f>
        <v/>
      </c>
      <c r="Z48" s="20">
        <f>MIN(Debt!Z46,Inputs!$F$287/100*Debt!$F$39*Debt!Z37)</f>
        <v/>
      </c>
      <c r="AA48" s="20">
        <f>MIN(Debt!AA46,Inputs!$F$287/100*Debt!$F$39*Debt!AA37)</f>
        <v/>
      </c>
      <c r="AB48" s="20">
        <f>MIN(Debt!AB46,Inputs!$F$287/100*Debt!$F$39*Debt!AB37)</f>
        <v/>
      </c>
      <c r="AC48" s="20">
        <f>MIN(Debt!AC46,Inputs!$F$287/100*Debt!$F$39*Debt!AC37)</f>
        <v/>
      </c>
      <c r="AD48" s="20">
        <f>MIN(Debt!AD46,Inputs!$F$287/100*Debt!$F$39*Debt!AD37)</f>
        <v/>
      </c>
      <c r="AE48" s="20">
        <f>MIN(Debt!AE46,Inputs!$F$287/100*Debt!$F$39*Debt!AE37)</f>
        <v/>
      </c>
      <c r="AF48" s="20">
        <f>MIN(Debt!AF46,Inputs!$F$287/100*Debt!$F$39*Debt!AF37)</f>
        <v/>
      </c>
      <c r="AG48" s="20">
        <f>MIN(Debt!AG46,Inputs!$F$287/100*Debt!$F$39*Debt!AG37)</f>
        <v/>
      </c>
      <c r="AH48" s="20">
        <f>MIN(Debt!AH46,Inputs!$F$287/100*Debt!$F$39*Debt!AH37)</f>
        <v/>
      </c>
      <c r="AI48" s="20">
        <f>MIN(Debt!AI46,Inputs!$F$287/100*Debt!$F$39*Debt!AI37)</f>
        <v/>
      </c>
      <c r="AJ48" s="20">
        <f>MIN(Debt!AJ46,Inputs!$F$287/100*Debt!$F$39*Debt!AJ37)</f>
        <v/>
      </c>
      <c r="AK48" s="20">
        <f>MIN(Debt!AK46,Inputs!$F$287/100*Debt!$F$39*Debt!AK37)</f>
        <v/>
      </c>
      <c r="AL48" s="20">
        <f>MIN(Debt!AL46,Inputs!$F$287/100*Debt!$F$39*Debt!AL37)</f>
        <v/>
      </c>
      <c r="AM48" s="20">
        <f>MIN(Debt!AM46,Inputs!$F$287/100*Debt!$F$39*Debt!AM37)</f>
        <v/>
      </c>
      <c r="AN48" s="20">
        <f>MIN(Debt!AN46,Inputs!$F$287/100*Debt!$F$39*Debt!AN37)</f>
        <v/>
      </c>
      <c r="AO48" s="20">
        <f>MIN(Debt!AO46,Inputs!$F$287/100*Debt!$F$39*Debt!AO37)</f>
        <v/>
      </c>
      <c r="AP48" s="20">
        <f>MIN(Debt!AP46,Inputs!$F$287/100*Debt!$F$39*Debt!AP37)</f>
        <v/>
      </c>
      <c r="AQ48" s="20">
        <f>MIN(Debt!AQ46,Inputs!$F$287/100*Debt!$F$39*Debt!AQ37)</f>
        <v/>
      </c>
      <c r="AR48" s="20">
        <f>MIN(Debt!AR46,Inputs!$F$287/100*Debt!$F$39*Debt!AR37)</f>
        <v/>
      </c>
      <c r="AS48" s="20">
        <f>MIN(Debt!AS46,Inputs!$F$287/100*Debt!$F$39*Debt!AS37)</f>
        <v/>
      </c>
      <c r="AT48" s="20">
        <f>MIN(Debt!AT46,Inputs!$F$287/100*Debt!$F$39*Debt!AT37)</f>
        <v/>
      </c>
      <c r="AU48" s="20">
        <f>MIN(Debt!AU46,Inputs!$F$287/100*Debt!$F$39*Debt!AU37)</f>
        <v/>
      </c>
    </row>
    <row r="49">
      <c r="D49" t="inlineStr">
        <is>
          <t>Holdco TLB 2022: excess cash sweep</t>
        </is>
      </c>
      <c r="E49" t="inlineStr">
        <is>
          <t>USD m</t>
        </is>
      </c>
      <c r="J49" s="20">
        <f>IF(Waterfall!J17&gt;0,Waterfall!J18*Debt!J50/Waterfall!J17,0)</f>
        <v/>
      </c>
      <c r="K49" s="20">
        <f>IF(Waterfall!K17&gt;0,Waterfall!K18*Debt!K50/Waterfall!K17,0)</f>
        <v/>
      </c>
      <c r="L49" s="20">
        <f>IF(Waterfall!L17&gt;0,Waterfall!L18*Debt!L50/Waterfall!L17,0)</f>
        <v/>
      </c>
      <c r="M49" s="20">
        <f>IF(Waterfall!M17&gt;0,Waterfall!M18*Debt!M50/Waterfall!M17,0)</f>
        <v/>
      </c>
      <c r="N49" s="20">
        <f>IF(Waterfall!N17&gt;0,Waterfall!N18*Debt!N50/Waterfall!N17,0)</f>
        <v/>
      </c>
      <c r="O49" s="20">
        <f>IF(Waterfall!O17&gt;0,Waterfall!O18*Debt!O50/Waterfall!O17,0)</f>
        <v/>
      </c>
      <c r="P49" s="20">
        <f>IF(Waterfall!P17&gt;0,Waterfall!P18*Debt!P50/Waterfall!P17,0)</f>
        <v/>
      </c>
      <c r="Q49" s="20">
        <f>IF(Waterfall!Q17&gt;0,Waterfall!Q18*Debt!Q50/Waterfall!Q17,0)</f>
        <v/>
      </c>
      <c r="R49" s="20">
        <f>IF(Waterfall!R17&gt;0,Waterfall!R18*Debt!R50/Waterfall!R17,0)</f>
        <v/>
      </c>
      <c r="S49" s="20">
        <f>IF(Waterfall!S17&gt;0,Waterfall!S18*Debt!S50/Waterfall!S17,0)</f>
        <v/>
      </c>
      <c r="T49" s="20">
        <f>IF(Waterfall!T17&gt;0,Waterfall!T18*Debt!T50/Waterfall!T17,0)</f>
        <v/>
      </c>
      <c r="U49" s="20">
        <f>IF(Waterfall!U17&gt;0,Waterfall!U18*Debt!U50/Waterfall!U17,0)</f>
        <v/>
      </c>
      <c r="V49" s="20">
        <f>IF(Waterfall!V17&gt;0,Waterfall!V18*Debt!V50/Waterfall!V17,0)</f>
        <v/>
      </c>
      <c r="W49" s="20">
        <f>IF(Waterfall!W17&gt;0,Waterfall!W18*Debt!W50/Waterfall!W17,0)</f>
        <v/>
      </c>
      <c r="X49" s="20">
        <f>IF(Waterfall!X17&gt;0,Waterfall!X18*Debt!X50/Waterfall!X17,0)</f>
        <v/>
      </c>
      <c r="Y49" s="20">
        <f>IF(Waterfall!Y17&gt;0,Waterfall!Y18*Debt!Y50/Waterfall!Y17,0)</f>
        <v/>
      </c>
      <c r="Z49" s="20">
        <f>IF(Waterfall!Z17&gt;0,Waterfall!Z18*Debt!Z50/Waterfall!Z17,0)</f>
        <v/>
      </c>
      <c r="AA49" s="20">
        <f>IF(Waterfall!AA17&gt;0,Waterfall!AA18*Debt!AA50/Waterfall!AA17,0)</f>
        <v/>
      </c>
      <c r="AB49" s="20">
        <f>IF(Waterfall!AB17&gt;0,Waterfall!AB18*Debt!AB50/Waterfall!AB17,0)</f>
        <v/>
      </c>
      <c r="AC49" s="20">
        <f>IF(Waterfall!AC17&gt;0,Waterfall!AC18*Debt!AC50/Waterfall!AC17,0)</f>
        <v/>
      </c>
      <c r="AD49" s="20">
        <f>IF(Waterfall!AD17&gt;0,Waterfall!AD18*Debt!AD50/Waterfall!AD17,0)</f>
        <v/>
      </c>
      <c r="AE49" s="20">
        <f>IF(Waterfall!AE17&gt;0,Waterfall!AE18*Debt!AE50/Waterfall!AE17,0)</f>
        <v/>
      </c>
      <c r="AF49" s="20">
        <f>IF(Waterfall!AF17&gt;0,Waterfall!AF18*Debt!AF50/Waterfall!AF17,0)</f>
        <v/>
      </c>
      <c r="AG49" s="20">
        <f>IF(Waterfall!AG17&gt;0,Waterfall!AG18*Debt!AG50/Waterfall!AG17,0)</f>
        <v/>
      </c>
      <c r="AH49" s="20">
        <f>IF(Waterfall!AH17&gt;0,Waterfall!AH18*Debt!AH50/Waterfall!AH17,0)</f>
        <v/>
      </c>
      <c r="AI49" s="20">
        <f>IF(Waterfall!AI17&gt;0,Waterfall!AI18*Debt!AI50/Waterfall!AI17,0)</f>
        <v/>
      </c>
      <c r="AJ49" s="20">
        <f>IF(Waterfall!AJ17&gt;0,Waterfall!AJ18*Debt!AJ50/Waterfall!AJ17,0)</f>
        <v/>
      </c>
      <c r="AK49" s="20">
        <f>IF(Waterfall!AK17&gt;0,Waterfall!AK18*Debt!AK50/Waterfall!AK17,0)</f>
        <v/>
      </c>
      <c r="AL49" s="20">
        <f>IF(Waterfall!AL17&gt;0,Waterfall!AL18*Debt!AL50/Waterfall!AL17,0)</f>
        <v/>
      </c>
      <c r="AM49" s="20">
        <f>IF(Waterfall!AM17&gt;0,Waterfall!AM18*Debt!AM50/Waterfall!AM17,0)</f>
        <v/>
      </c>
      <c r="AN49" s="20">
        <f>IF(Waterfall!AN17&gt;0,Waterfall!AN18*Debt!AN50/Waterfall!AN17,0)</f>
        <v/>
      </c>
      <c r="AO49" s="20">
        <f>IF(Waterfall!AO17&gt;0,Waterfall!AO18*Debt!AO50/Waterfall!AO17,0)</f>
        <v/>
      </c>
      <c r="AP49" s="20">
        <f>IF(Waterfall!AP17&gt;0,Waterfall!AP18*Debt!AP50/Waterfall!AP17,0)</f>
        <v/>
      </c>
      <c r="AQ49" s="20">
        <f>IF(Waterfall!AQ17&gt;0,Waterfall!AQ18*Debt!AQ50/Waterfall!AQ17,0)</f>
        <v/>
      </c>
      <c r="AR49" s="20">
        <f>IF(Waterfall!AR17&gt;0,Waterfall!AR18*Debt!AR50/Waterfall!AR17,0)</f>
        <v/>
      </c>
      <c r="AS49" s="20">
        <f>IF(Waterfall!AS17&gt;0,Waterfall!AS18*Debt!AS50/Waterfall!AS17,0)</f>
        <v/>
      </c>
      <c r="AT49" s="20">
        <f>IF(Waterfall!AT17&gt;0,Waterfall!AT18*Debt!AT50/Waterfall!AT17,0)</f>
        <v/>
      </c>
      <c r="AU49" s="20">
        <f>IF(Waterfall!AU17&gt;0,Waterfall!AU18*Debt!AU50/Waterfall!AU17,0)</f>
        <v/>
      </c>
    </row>
    <row r="50">
      <c r="D50" t="inlineStr">
        <is>
          <t>Holdco TLB 2022: balance after amortization</t>
        </is>
      </c>
      <c r="E50" t="inlineStr">
        <is>
          <t>USD m</t>
        </is>
      </c>
      <c r="J50" s="20">
        <f>Debt!J46-Debt!J48</f>
        <v/>
      </c>
      <c r="K50" s="20">
        <f>Debt!K46-Debt!K48</f>
        <v/>
      </c>
      <c r="L50" s="20">
        <f>Debt!L46-Debt!L48</f>
        <v/>
      </c>
      <c r="M50" s="20">
        <f>Debt!M46-Debt!M48</f>
        <v/>
      </c>
      <c r="N50" s="20">
        <f>Debt!N46-Debt!N48</f>
        <v/>
      </c>
      <c r="O50" s="20">
        <f>Debt!O46-Debt!O48</f>
        <v/>
      </c>
      <c r="P50" s="20">
        <f>Debt!P46-Debt!P48</f>
        <v/>
      </c>
      <c r="Q50" s="20">
        <f>Debt!Q46-Debt!Q48</f>
        <v/>
      </c>
      <c r="R50" s="20">
        <f>Debt!R46-Debt!R48</f>
        <v/>
      </c>
      <c r="S50" s="20">
        <f>Debt!S46-Debt!S48</f>
        <v/>
      </c>
      <c r="T50" s="20">
        <f>Debt!T46-Debt!T48</f>
        <v/>
      </c>
      <c r="U50" s="20">
        <f>Debt!U46-Debt!U48</f>
        <v/>
      </c>
      <c r="V50" s="20">
        <f>Debt!V46-Debt!V48</f>
        <v/>
      </c>
      <c r="W50" s="20">
        <f>Debt!W46-Debt!W48</f>
        <v/>
      </c>
      <c r="X50" s="20">
        <f>Debt!X46-Debt!X48</f>
        <v/>
      </c>
      <c r="Y50" s="20">
        <f>Debt!Y46-Debt!Y48</f>
        <v/>
      </c>
      <c r="Z50" s="20">
        <f>Debt!Z46-Debt!Z48</f>
        <v/>
      </c>
      <c r="AA50" s="20">
        <f>Debt!AA46-Debt!AA48</f>
        <v/>
      </c>
      <c r="AB50" s="20">
        <f>Debt!AB46-Debt!AB48</f>
        <v/>
      </c>
      <c r="AC50" s="20">
        <f>Debt!AC46-Debt!AC48</f>
        <v/>
      </c>
      <c r="AD50" s="20">
        <f>Debt!AD46-Debt!AD48</f>
        <v/>
      </c>
      <c r="AE50" s="20">
        <f>Debt!AE46-Debt!AE48</f>
        <v/>
      </c>
      <c r="AF50" s="20">
        <f>Debt!AF46-Debt!AF48</f>
        <v/>
      </c>
      <c r="AG50" s="20">
        <f>Debt!AG46-Debt!AG48</f>
        <v/>
      </c>
      <c r="AH50" s="20">
        <f>Debt!AH46-Debt!AH48</f>
        <v/>
      </c>
      <c r="AI50" s="20">
        <f>Debt!AI46-Debt!AI48</f>
        <v/>
      </c>
      <c r="AJ50" s="20">
        <f>Debt!AJ46-Debt!AJ48</f>
        <v/>
      </c>
      <c r="AK50" s="20">
        <f>Debt!AK46-Debt!AK48</f>
        <v/>
      </c>
      <c r="AL50" s="20">
        <f>Debt!AL46-Debt!AL48</f>
        <v/>
      </c>
      <c r="AM50" s="20">
        <f>Debt!AM46-Debt!AM48</f>
        <v/>
      </c>
      <c r="AN50" s="20">
        <f>Debt!AN46-Debt!AN48</f>
        <v/>
      </c>
      <c r="AO50" s="20">
        <f>Debt!AO46-Debt!AO48</f>
        <v/>
      </c>
      <c r="AP50" s="20">
        <f>Debt!AP46-Debt!AP48</f>
        <v/>
      </c>
      <c r="AQ50" s="20">
        <f>Debt!AQ46-Debt!AQ48</f>
        <v/>
      </c>
      <c r="AR50" s="20">
        <f>Debt!AR46-Debt!AR48</f>
        <v/>
      </c>
      <c r="AS50" s="20">
        <f>Debt!AS46-Debt!AS48</f>
        <v/>
      </c>
      <c r="AT50" s="20">
        <f>Debt!AT46-Debt!AT48</f>
        <v/>
      </c>
      <c r="AU50" s="20">
        <f>Debt!AU46-Debt!AU48</f>
        <v/>
      </c>
    </row>
    <row r="51">
      <c r="D51" t="inlineStr">
        <is>
          <t>Holdco TLB 2022: repaid at refinancing</t>
        </is>
      </c>
      <c r="E51" t="inlineStr">
        <is>
          <t>USD m</t>
        </is>
      </c>
      <c r="J51" s="20">
        <f>Debt!J9*(Debt!J50-Debt!J49)</f>
        <v/>
      </c>
      <c r="K51" s="20">
        <f>Debt!K9*(Debt!K50-Debt!K49)</f>
        <v/>
      </c>
      <c r="L51" s="20">
        <f>Debt!L9*(Debt!L50-Debt!L49)</f>
        <v/>
      </c>
      <c r="M51" s="20">
        <f>Debt!M9*(Debt!M50-Debt!M49)</f>
        <v/>
      </c>
      <c r="N51" s="20">
        <f>Debt!N9*(Debt!N50-Debt!N49)</f>
        <v/>
      </c>
      <c r="O51" s="20">
        <f>Debt!O9*(Debt!O50-Debt!O49)</f>
        <v/>
      </c>
      <c r="P51" s="20">
        <f>Debt!P9*(Debt!P50-Debt!P49)</f>
        <v/>
      </c>
      <c r="Q51" s="20">
        <f>Debt!Q9*(Debt!Q50-Debt!Q49)</f>
        <v/>
      </c>
      <c r="R51" s="20">
        <f>Debt!R9*(Debt!R50-Debt!R49)</f>
        <v/>
      </c>
      <c r="S51" s="20">
        <f>Debt!S9*(Debt!S50-Debt!S49)</f>
        <v/>
      </c>
      <c r="T51" s="20">
        <f>Debt!T9*(Debt!T50-Debt!T49)</f>
        <v/>
      </c>
      <c r="U51" s="20">
        <f>Debt!U9*(Debt!U50-Debt!U49)</f>
        <v/>
      </c>
      <c r="V51" s="20">
        <f>Debt!V9*(Debt!V50-Debt!V49)</f>
        <v/>
      </c>
      <c r="W51" s="20">
        <f>Debt!W9*(Debt!W50-Debt!W49)</f>
        <v/>
      </c>
      <c r="X51" s="20">
        <f>Debt!X9*(Debt!X50-Debt!X49)</f>
        <v/>
      </c>
      <c r="Y51" s="20">
        <f>Debt!Y9*(Debt!Y50-Debt!Y49)</f>
        <v/>
      </c>
      <c r="Z51" s="20">
        <f>Debt!Z9*(Debt!Z50-Debt!Z49)</f>
        <v/>
      </c>
      <c r="AA51" s="20">
        <f>Debt!AA9*(Debt!AA50-Debt!AA49)</f>
        <v/>
      </c>
      <c r="AB51" s="20">
        <f>Debt!AB9*(Debt!AB50-Debt!AB49)</f>
        <v/>
      </c>
      <c r="AC51" s="20">
        <f>Debt!AC9*(Debt!AC50-Debt!AC49)</f>
        <v/>
      </c>
      <c r="AD51" s="20">
        <f>Debt!AD9*(Debt!AD50-Debt!AD49)</f>
        <v/>
      </c>
      <c r="AE51" s="20">
        <f>Debt!AE9*(Debt!AE50-Debt!AE49)</f>
        <v/>
      </c>
      <c r="AF51" s="20">
        <f>Debt!AF9*(Debt!AF50-Debt!AF49)</f>
        <v/>
      </c>
      <c r="AG51" s="20">
        <f>Debt!AG9*(Debt!AG50-Debt!AG49)</f>
        <v/>
      </c>
      <c r="AH51" s="20">
        <f>Debt!AH9*(Debt!AH50-Debt!AH49)</f>
        <v/>
      </c>
      <c r="AI51" s="20">
        <f>Debt!AI9*(Debt!AI50-Debt!AI49)</f>
        <v/>
      </c>
      <c r="AJ51" s="20">
        <f>Debt!AJ9*(Debt!AJ50-Debt!AJ49)</f>
        <v/>
      </c>
      <c r="AK51" s="20">
        <f>Debt!AK9*(Debt!AK50-Debt!AK49)</f>
        <v/>
      </c>
      <c r="AL51" s="20">
        <f>Debt!AL9*(Debt!AL50-Debt!AL49)</f>
        <v/>
      </c>
      <c r="AM51" s="20">
        <f>Debt!AM9*(Debt!AM50-Debt!AM49)</f>
        <v/>
      </c>
      <c r="AN51" s="20">
        <f>Debt!AN9*(Debt!AN50-Debt!AN49)</f>
        <v/>
      </c>
      <c r="AO51" s="20">
        <f>Debt!AO9*(Debt!AO50-Debt!AO49)</f>
        <v/>
      </c>
      <c r="AP51" s="20">
        <f>Debt!AP9*(Debt!AP50-Debt!AP49)</f>
        <v/>
      </c>
      <c r="AQ51" s="20">
        <f>Debt!AQ9*(Debt!AQ50-Debt!AQ49)</f>
        <v/>
      </c>
      <c r="AR51" s="20">
        <f>Debt!AR9*(Debt!AR50-Debt!AR49)</f>
        <v/>
      </c>
      <c r="AS51" s="20">
        <f>Debt!AS9*(Debt!AS50-Debt!AS49)</f>
        <v/>
      </c>
      <c r="AT51" s="20">
        <f>Debt!AT9*(Debt!AT50-Debt!AT49)</f>
        <v/>
      </c>
      <c r="AU51" s="20">
        <f>Debt!AU9*(Debt!AU50-Debt!AU49)</f>
        <v/>
      </c>
    </row>
    <row r="52">
      <c r="D52" t="inlineStr">
        <is>
          <t>Holdco TLB 2022: closing balance</t>
        </is>
      </c>
      <c r="E52" t="inlineStr">
        <is>
          <t>USD m</t>
        </is>
      </c>
      <c r="J52" s="20">
        <f>Debt!J50-Debt!J49-Debt!J51</f>
        <v/>
      </c>
      <c r="K52" s="20">
        <f>Debt!K50-Debt!K49-Debt!K51</f>
        <v/>
      </c>
      <c r="L52" s="20">
        <f>Debt!L50-Debt!L49-Debt!L51</f>
        <v/>
      </c>
      <c r="M52" s="20">
        <f>Debt!M50-Debt!M49-Debt!M51</f>
        <v/>
      </c>
      <c r="N52" s="20">
        <f>Debt!N50-Debt!N49-Debt!N51</f>
        <v/>
      </c>
      <c r="O52" s="20">
        <f>Debt!O50-Debt!O49-Debt!O51</f>
        <v/>
      </c>
      <c r="P52" s="20">
        <f>Debt!P50-Debt!P49-Debt!P51</f>
        <v/>
      </c>
      <c r="Q52" s="20">
        <f>Debt!Q50-Debt!Q49-Debt!Q51</f>
        <v/>
      </c>
      <c r="R52" s="20">
        <f>Debt!R50-Debt!R49-Debt!R51</f>
        <v/>
      </c>
      <c r="S52" s="20">
        <f>Debt!S50-Debt!S49-Debt!S51</f>
        <v/>
      </c>
      <c r="T52" s="20">
        <f>Debt!T50-Debt!T49-Debt!T51</f>
        <v/>
      </c>
      <c r="U52" s="20">
        <f>Debt!U50-Debt!U49-Debt!U51</f>
        <v/>
      </c>
      <c r="V52" s="20">
        <f>Debt!V50-Debt!V49-Debt!V51</f>
        <v/>
      </c>
      <c r="W52" s="20">
        <f>Debt!W50-Debt!W49-Debt!W51</f>
        <v/>
      </c>
      <c r="X52" s="20">
        <f>Debt!X50-Debt!X49-Debt!X51</f>
        <v/>
      </c>
      <c r="Y52" s="20">
        <f>Debt!Y50-Debt!Y49-Debt!Y51</f>
        <v/>
      </c>
      <c r="Z52" s="20">
        <f>Debt!Z50-Debt!Z49-Debt!Z51</f>
        <v/>
      </c>
      <c r="AA52" s="20">
        <f>Debt!AA50-Debt!AA49-Debt!AA51</f>
        <v/>
      </c>
      <c r="AB52" s="20">
        <f>Debt!AB50-Debt!AB49-Debt!AB51</f>
        <v/>
      </c>
      <c r="AC52" s="20">
        <f>Debt!AC50-Debt!AC49-Debt!AC51</f>
        <v/>
      </c>
      <c r="AD52" s="20">
        <f>Debt!AD50-Debt!AD49-Debt!AD51</f>
        <v/>
      </c>
      <c r="AE52" s="20">
        <f>Debt!AE50-Debt!AE49-Debt!AE51</f>
        <v/>
      </c>
      <c r="AF52" s="20">
        <f>Debt!AF50-Debt!AF49-Debt!AF51</f>
        <v/>
      </c>
      <c r="AG52" s="20">
        <f>Debt!AG50-Debt!AG49-Debt!AG51</f>
        <v/>
      </c>
      <c r="AH52" s="20">
        <f>Debt!AH50-Debt!AH49-Debt!AH51</f>
        <v/>
      </c>
      <c r="AI52" s="20">
        <f>Debt!AI50-Debt!AI49-Debt!AI51</f>
        <v/>
      </c>
      <c r="AJ52" s="20">
        <f>Debt!AJ50-Debt!AJ49-Debt!AJ51</f>
        <v/>
      </c>
      <c r="AK52" s="20">
        <f>Debt!AK50-Debt!AK49-Debt!AK51</f>
        <v/>
      </c>
      <c r="AL52" s="20">
        <f>Debt!AL50-Debt!AL49-Debt!AL51</f>
        <v/>
      </c>
      <c r="AM52" s="20">
        <f>Debt!AM50-Debt!AM49-Debt!AM51</f>
        <v/>
      </c>
      <c r="AN52" s="20">
        <f>Debt!AN50-Debt!AN49-Debt!AN51</f>
        <v/>
      </c>
      <c r="AO52" s="20">
        <f>Debt!AO50-Debt!AO49-Debt!AO51</f>
        <v/>
      </c>
      <c r="AP52" s="20">
        <f>Debt!AP50-Debt!AP49-Debt!AP51</f>
        <v/>
      </c>
      <c r="AQ52" s="20">
        <f>Debt!AQ50-Debt!AQ49-Debt!AQ51</f>
        <v/>
      </c>
      <c r="AR52" s="20">
        <f>Debt!AR50-Debt!AR49-Debt!AR51</f>
        <v/>
      </c>
      <c r="AS52" s="20">
        <f>Debt!AS50-Debt!AS49-Debt!AS51</f>
        <v/>
      </c>
      <c r="AT52" s="20">
        <f>Debt!AT50-Debt!AT49-Debt!AT51</f>
        <v/>
      </c>
      <c r="AU52" s="20">
        <f>Debt!AU50-Debt!AU49-Debt!AU51</f>
        <v/>
      </c>
    </row>
    <row r="53">
      <c r="D53" t="inlineStr">
        <is>
          <t>Holdco incremental 2024: opening balance</t>
        </is>
      </c>
      <c r="E53" t="inlineStr">
        <is>
          <t>USD m</t>
        </is>
      </c>
      <c r="J53" s="20">
        <f>IF(Time!J$4=YEAR(Inputs!$F$300),Debt!$F$42,I59)</f>
        <v/>
      </c>
      <c r="K53" s="20">
        <f>IF(Time!K$4=YEAR(Inputs!$F$300),Debt!$F$42,J59)</f>
        <v/>
      </c>
      <c r="L53" s="20">
        <f>IF(Time!L$4=YEAR(Inputs!$F$300),Debt!$F$42,K59)</f>
        <v/>
      </c>
      <c r="M53" s="20">
        <f>IF(Time!M$4=YEAR(Inputs!$F$300),Debt!$F$42,L59)</f>
        <v/>
      </c>
      <c r="N53" s="20">
        <f>IF(Time!N$4=YEAR(Inputs!$F$300),Debt!$F$42,M59)</f>
        <v/>
      </c>
      <c r="O53" s="20">
        <f>IF(Time!O$4=YEAR(Inputs!$F$300),Debt!$F$42,N59)</f>
        <v/>
      </c>
      <c r="P53" s="20">
        <f>IF(Time!P$4=YEAR(Inputs!$F$300),Debt!$F$42,O59)</f>
        <v/>
      </c>
      <c r="Q53" s="20">
        <f>IF(Time!Q$4=YEAR(Inputs!$F$300),Debt!$F$42,P59)</f>
        <v/>
      </c>
      <c r="R53" s="20">
        <f>IF(Time!R$4=YEAR(Inputs!$F$300),Debt!$F$42,Q59)</f>
        <v/>
      </c>
      <c r="S53" s="20">
        <f>IF(Time!S$4=YEAR(Inputs!$F$300),Debt!$F$42,R59)</f>
        <v/>
      </c>
      <c r="T53" s="20">
        <f>IF(Time!T$4=YEAR(Inputs!$F$300),Debt!$F$42,S59)</f>
        <v/>
      </c>
      <c r="U53" s="20">
        <f>IF(Time!U$4=YEAR(Inputs!$F$300),Debt!$F$42,T59)</f>
        <v/>
      </c>
      <c r="V53" s="20">
        <f>IF(Time!V$4=YEAR(Inputs!$F$300),Debt!$F$42,U59)</f>
        <v/>
      </c>
      <c r="W53" s="20">
        <f>IF(Time!W$4=YEAR(Inputs!$F$300),Debt!$F$42,V59)</f>
        <v/>
      </c>
      <c r="X53" s="20">
        <f>IF(Time!X$4=YEAR(Inputs!$F$300),Debt!$F$42,W59)</f>
        <v/>
      </c>
      <c r="Y53" s="20">
        <f>IF(Time!Y$4=YEAR(Inputs!$F$300),Debt!$F$42,X59)</f>
        <v/>
      </c>
      <c r="Z53" s="20">
        <f>IF(Time!Z$4=YEAR(Inputs!$F$300),Debt!$F$42,Y59)</f>
        <v/>
      </c>
      <c r="AA53" s="20">
        <f>IF(Time!AA$4=YEAR(Inputs!$F$300),Debt!$F$42,Z59)</f>
        <v/>
      </c>
      <c r="AB53" s="20">
        <f>IF(Time!AB$4=YEAR(Inputs!$F$300),Debt!$F$42,AA59)</f>
        <v/>
      </c>
      <c r="AC53" s="20">
        <f>IF(Time!AC$4=YEAR(Inputs!$F$300),Debt!$F$42,AB59)</f>
        <v/>
      </c>
      <c r="AD53" s="20">
        <f>IF(Time!AD$4=YEAR(Inputs!$F$300),Debt!$F$42,AC59)</f>
        <v/>
      </c>
      <c r="AE53" s="20">
        <f>IF(Time!AE$4=YEAR(Inputs!$F$300),Debt!$F$42,AD59)</f>
        <v/>
      </c>
      <c r="AF53" s="20">
        <f>IF(Time!AF$4=YEAR(Inputs!$F$300),Debt!$F$42,AE59)</f>
        <v/>
      </c>
      <c r="AG53" s="20">
        <f>IF(Time!AG$4=YEAR(Inputs!$F$300),Debt!$F$42,AF59)</f>
        <v/>
      </c>
      <c r="AH53" s="20">
        <f>IF(Time!AH$4=YEAR(Inputs!$F$300),Debt!$F$42,AG59)</f>
        <v/>
      </c>
      <c r="AI53" s="20">
        <f>IF(Time!AI$4=YEAR(Inputs!$F$300),Debt!$F$42,AH59)</f>
        <v/>
      </c>
      <c r="AJ53" s="20">
        <f>IF(Time!AJ$4=YEAR(Inputs!$F$300),Debt!$F$42,AI59)</f>
        <v/>
      </c>
      <c r="AK53" s="20">
        <f>IF(Time!AK$4=YEAR(Inputs!$F$300),Debt!$F$42,AJ59)</f>
        <v/>
      </c>
      <c r="AL53" s="20">
        <f>IF(Time!AL$4=YEAR(Inputs!$F$300),Debt!$F$42,AK59)</f>
        <v/>
      </c>
      <c r="AM53" s="20">
        <f>IF(Time!AM$4=YEAR(Inputs!$F$300),Debt!$F$42,AL59)</f>
        <v/>
      </c>
      <c r="AN53" s="20">
        <f>IF(Time!AN$4=YEAR(Inputs!$F$300),Debt!$F$42,AM59)</f>
        <v/>
      </c>
      <c r="AO53" s="20">
        <f>IF(Time!AO$4=YEAR(Inputs!$F$300),Debt!$F$42,AN59)</f>
        <v/>
      </c>
      <c r="AP53" s="20">
        <f>IF(Time!AP$4=YEAR(Inputs!$F$300),Debt!$F$42,AO59)</f>
        <v/>
      </c>
      <c r="AQ53" s="20">
        <f>IF(Time!AQ$4=YEAR(Inputs!$F$300),Debt!$F$42,AP59)</f>
        <v/>
      </c>
      <c r="AR53" s="20">
        <f>IF(Time!AR$4=YEAR(Inputs!$F$300),Debt!$F$42,AQ59)</f>
        <v/>
      </c>
      <c r="AS53" s="20">
        <f>IF(Time!AS$4=YEAR(Inputs!$F$300),Debt!$F$42,AR59)</f>
        <v/>
      </c>
      <c r="AT53" s="20">
        <f>IF(Time!AT$4=YEAR(Inputs!$F$300),Debt!$F$42,AS59)</f>
        <v/>
      </c>
      <c r="AU53" s="20">
        <f>IF(Time!AU$4=YEAR(Inputs!$F$300),Debt!$F$42,AT59)</f>
        <v/>
      </c>
    </row>
    <row r="54">
      <c r="D54" t="inlineStr">
        <is>
          <t>Holdco incremental 2024: interest</t>
        </is>
      </c>
      <c r="E54" t="inlineStr">
        <is>
          <t>USD m</t>
        </is>
      </c>
      <c r="G54" s="20">
        <f>SUM(J54:AU54)</f>
        <v/>
      </c>
      <c r="J54" s="20">
        <f>Debt!J53*Debt!J41/100*Debt!J40</f>
        <v/>
      </c>
      <c r="K54" s="20">
        <f>Debt!K53*Debt!K41/100*Debt!K40</f>
        <v/>
      </c>
      <c r="L54" s="20">
        <f>Debt!L53*Debt!L41/100*Debt!L40</f>
        <v/>
      </c>
      <c r="M54" s="20">
        <f>Debt!M53*Debt!M41/100*Debt!M40</f>
        <v/>
      </c>
      <c r="N54" s="20">
        <f>Debt!N53*Debt!N41/100*Debt!N40</f>
        <v/>
      </c>
      <c r="O54" s="20">
        <f>Debt!O53*Debt!O41/100*Debt!O40</f>
        <v/>
      </c>
      <c r="P54" s="20">
        <f>Debt!P53*Debt!P41/100*Debt!P40</f>
        <v/>
      </c>
      <c r="Q54" s="20">
        <f>Debt!Q53*Debt!Q41/100*Debt!Q40</f>
        <v/>
      </c>
      <c r="R54" s="20">
        <f>Debt!R53*Debt!R41/100*Debt!R40</f>
        <v/>
      </c>
      <c r="S54" s="20">
        <f>Debt!S53*Debt!S41/100*Debt!S40</f>
        <v/>
      </c>
      <c r="T54" s="20">
        <f>Debt!T53*Debt!T41/100*Debt!T40</f>
        <v/>
      </c>
      <c r="U54" s="20">
        <f>Debt!U53*Debt!U41/100*Debt!U40</f>
        <v/>
      </c>
      <c r="V54" s="20">
        <f>Debt!V53*Debt!V41/100*Debt!V40</f>
        <v/>
      </c>
      <c r="W54" s="20">
        <f>Debt!W53*Debt!W41/100*Debt!W40</f>
        <v/>
      </c>
      <c r="X54" s="20">
        <f>Debt!X53*Debt!X41/100*Debt!X40</f>
        <v/>
      </c>
      <c r="Y54" s="20">
        <f>Debt!Y53*Debt!Y41/100*Debt!Y40</f>
        <v/>
      </c>
      <c r="Z54" s="20">
        <f>Debt!Z53*Debt!Z41/100*Debt!Z40</f>
        <v/>
      </c>
      <c r="AA54" s="20">
        <f>Debt!AA53*Debt!AA41/100*Debt!AA40</f>
        <v/>
      </c>
      <c r="AB54" s="20">
        <f>Debt!AB53*Debt!AB41/100*Debt!AB40</f>
        <v/>
      </c>
      <c r="AC54" s="20">
        <f>Debt!AC53*Debt!AC41/100*Debt!AC40</f>
        <v/>
      </c>
      <c r="AD54" s="20">
        <f>Debt!AD53*Debt!AD41/100*Debt!AD40</f>
        <v/>
      </c>
      <c r="AE54" s="20">
        <f>Debt!AE53*Debt!AE41/100*Debt!AE40</f>
        <v/>
      </c>
      <c r="AF54" s="20">
        <f>Debt!AF53*Debt!AF41/100*Debt!AF40</f>
        <v/>
      </c>
      <c r="AG54" s="20">
        <f>Debt!AG53*Debt!AG41/100*Debt!AG40</f>
        <v/>
      </c>
      <c r="AH54" s="20">
        <f>Debt!AH53*Debt!AH41/100*Debt!AH40</f>
        <v/>
      </c>
      <c r="AI54" s="20">
        <f>Debt!AI53*Debt!AI41/100*Debt!AI40</f>
        <v/>
      </c>
      <c r="AJ54" s="20">
        <f>Debt!AJ53*Debt!AJ41/100*Debt!AJ40</f>
        <v/>
      </c>
      <c r="AK54" s="20">
        <f>Debt!AK53*Debt!AK41/100*Debt!AK40</f>
        <v/>
      </c>
      <c r="AL54" s="20">
        <f>Debt!AL53*Debt!AL41/100*Debt!AL40</f>
        <v/>
      </c>
      <c r="AM54" s="20">
        <f>Debt!AM53*Debt!AM41/100*Debt!AM40</f>
        <v/>
      </c>
      <c r="AN54" s="20">
        <f>Debt!AN53*Debt!AN41/100*Debt!AN40</f>
        <v/>
      </c>
      <c r="AO54" s="20">
        <f>Debt!AO53*Debt!AO41/100*Debt!AO40</f>
        <v/>
      </c>
      <c r="AP54" s="20">
        <f>Debt!AP53*Debt!AP41/100*Debt!AP40</f>
        <v/>
      </c>
      <c r="AQ54" s="20">
        <f>Debt!AQ53*Debt!AQ41/100*Debt!AQ40</f>
        <v/>
      </c>
      <c r="AR54" s="20">
        <f>Debt!AR53*Debt!AR41/100*Debt!AR40</f>
        <v/>
      </c>
      <c r="AS54" s="20">
        <f>Debt!AS53*Debt!AS41/100*Debt!AS40</f>
        <v/>
      </c>
      <c r="AT54" s="20">
        <f>Debt!AT53*Debt!AT41/100*Debt!AT40</f>
        <v/>
      </c>
      <c r="AU54" s="20">
        <f>Debt!AU53*Debt!AU41/100*Debt!AU40</f>
        <v/>
      </c>
    </row>
    <row r="55">
      <c r="D55" t="inlineStr">
        <is>
          <t>Holdco incremental 2024: scheduled amortization</t>
        </is>
      </c>
      <c r="E55" t="inlineStr">
        <is>
          <t>USD m</t>
        </is>
      </c>
      <c r="G55" s="20">
        <f>SUM(J55:AU55)</f>
        <v/>
      </c>
      <c r="J55" s="20">
        <f>MIN(Debt!J53,Inputs!$F$304/100*Debt!$F$42*Debt!J40)</f>
        <v/>
      </c>
      <c r="K55" s="20">
        <f>MIN(Debt!K53,Inputs!$F$304/100*Debt!$F$42*Debt!K40)</f>
        <v/>
      </c>
      <c r="L55" s="20">
        <f>MIN(Debt!L53,Inputs!$F$304/100*Debt!$F$42*Debt!L40)</f>
        <v/>
      </c>
      <c r="M55" s="20">
        <f>MIN(Debt!M53,Inputs!$F$304/100*Debt!$F$42*Debt!M40)</f>
        <v/>
      </c>
      <c r="N55" s="20">
        <f>MIN(Debt!N53,Inputs!$F$304/100*Debt!$F$42*Debt!N40)</f>
        <v/>
      </c>
      <c r="O55" s="20">
        <f>MIN(Debt!O53,Inputs!$F$304/100*Debt!$F$42*Debt!O40)</f>
        <v/>
      </c>
      <c r="P55" s="20">
        <f>MIN(Debt!P53,Inputs!$F$304/100*Debt!$F$42*Debt!P40)</f>
        <v/>
      </c>
      <c r="Q55" s="20">
        <f>MIN(Debt!Q53,Inputs!$F$304/100*Debt!$F$42*Debt!Q40)</f>
        <v/>
      </c>
      <c r="R55" s="20">
        <f>MIN(Debt!R53,Inputs!$F$304/100*Debt!$F$42*Debt!R40)</f>
        <v/>
      </c>
      <c r="S55" s="20">
        <f>MIN(Debt!S53,Inputs!$F$304/100*Debt!$F$42*Debt!S40)</f>
        <v/>
      </c>
      <c r="T55" s="20">
        <f>MIN(Debt!T53,Inputs!$F$304/100*Debt!$F$42*Debt!T40)</f>
        <v/>
      </c>
      <c r="U55" s="20">
        <f>MIN(Debt!U53,Inputs!$F$304/100*Debt!$F$42*Debt!U40)</f>
        <v/>
      </c>
      <c r="V55" s="20">
        <f>MIN(Debt!V53,Inputs!$F$304/100*Debt!$F$42*Debt!V40)</f>
        <v/>
      </c>
      <c r="W55" s="20">
        <f>MIN(Debt!W53,Inputs!$F$304/100*Debt!$F$42*Debt!W40)</f>
        <v/>
      </c>
      <c r="X55" s="20">
        <f>MIN(Debt!X53,Inputs!$F$304/100*Debt!$F$42*Debt!X40)</f>
        <v/>
      </c>
      <c r="Y55" s="20">
        <f>MIN(Debt!Y53,Inputs!$F$304/100*Debt!$F$42*Debt!Y40)</f>
        <v/>
      </c>
      <c r="Z55" s="20">
        <f>MIN(Debt!Z53,Inputs!$F$304/100*Debt!$F$42*Debt!Z40)</f>
        <v/>
      </c>
      <c r="AA55" s="20">
        <f>MIN(Debt!AA53,Inputs!$F$304/100*Debt!$F$42*Debt!AA40)</f>
        <v/>
      </c>
      <c r="AB55" s="20">
        <f>MIN(Debt!AB53,Inputs!$F$304/100*Debt!$F$42*Debt!AB40)</f>
        <v/>
      </c>
      <c r="AC55" s="20">
        <f>MIN(Debt!AC53,Inputs!$F$304/100*Debt!$F$42*Debt!AC40)</f>
        <v/>
      </c>
      <c r="AD55" s="20">
        <f>MIN(Debt!AD53,Inputs!$F$304/100*Debt!$F$42*Debt!AD40)</f>
        <v/>
      </c>
      <c r="AE55" s="20">
        <f>MIN(Debt!AE53,Inputs!$F$304/100*Debt!$F$42*Debt!AE40)</f>
        <v/>
      </c>
      <c r="AF55" s="20">
        <f>MIN(Debt!AF53,Inputs!$F$304/100*Debt!$F$42*Debt!AF40)</f>
        <v/>
      </c>
      <c r="AG55" s="20">
        <f>MIN(Debt!AG53,Inputs!$F$304/100*Debt!$F$42*Debt!AG40)</f>
        <v/>
      </c>
      <c r="AH55" s="20">
        <f>MIN(Debt!AH53,Inputs!$F$304/100*Debt!$F$42*Debt!AH40)</f>
        <v/>
      </c>
      <c r="AI55" s="20">
        <f>MIN(Debt!AI53,Inputs!$F$304/100*Debt!$F$42*Debt!AI40)</f>
        <v/>
      </c>
      <c r="AJ55" s="20">
        <f>MIN(Debt!AJ53,Inputs!$F$304/100*Debt!$F$42*Debt!AJ40)</f>
        <v/>
      </c>
      <c r="AK55" s="20">
        <f>MIN(Debt!AK53,Inputs!$F$304/100*Debt!$F$42*Debt!AK40)</f>
        <v/>
      </c>
      <c r="AL55" s="20">
        <f>MIN(Debt!AL53,Inputs!$F$304/100*Debt!$F$42*Debt!AL40)</f>
        <v/>
      </c>
      <c r="AM55" s="20">
        <f>MIN(Debt!AM53,Inputs!$F$304/100*Debt!$F$42*Debt!AM40)</f>
        <v/>
      </c>
      <c r="AN55" s="20">
        <f>MIN(Debt!AN53,Inputs!$F$304/100*Debt!$F$42*Debt!AN40)</f>
        <v/>
      </c>
      <c r="AO55" s="20">
        <f>MIN(Debt!AO53,Inputs!$F$304/100*Debt!$F$42*Debt!AO40)</f>
        <v/>
      </c>
      <c r="AP55" s="20">
        <f>MIN(Debt!AP53,Inputs!$F$304/100*Debt!$F$42*Debt!AP40)</f>
        <v/>
      </c>
      <c r="AQ55" s="20">
        <f>MIN(Debt!AQ53,Inputs!$F$304/100*Debt!$F$42*Debt!AQ40)</f>
        <v/>
      </c>
      <c r="AR55" s="20">
        <f>MIN(Debt!AR53,Inputs!$F$304/100*Debt!$F$42*Debt!AR40)</f>
        <v/>
      </c>
      <c r="AS55" s="20">
        <f>MIN(Debt!AS53,Inputs!$F$304/100*Debt!$F$42*Debt!AS40)</f>
        <v/>
      </c>
      <c r="AT55" s="20">
        <f>MIN(Debt!AT53,Inputs!$F$304/100*Debt!$F$42*Debt!AT40)</f>
        <v/>
      </c>
      <c r="AU55" s="20">
        <f>MIN(Debt!AU53,Inputs!$F$304/100*Debt!$F$42*Debt!AU40)</f>
        <v/>
      </c>
    </row>
    <row r="56">
      <c r="D56" t="inlineStr">
        <is>
          <t>Holdco incremental 2024: excess cash sweep</t>
        </is>
      </c>
      <c r="E56" t="inlineStr">
        <is>
          <t>USD m</t>
        </is>
      </c>
      <c r="J56" s="20">
        <f>IF(Waterfall!J17&gt;0,Waterfall!J18*Debt!J57/Waterfall!J17,0)</f>
        <v/>
      </c>
      <c r="K56" s="20">
        <f>IF(Waterfall!K17&gt;0,Waterfall!K18*Debt!K57/Waterfall!K17,0)</f>
        <v/>
      </c>
      <c r="L56" s="20">
        <f>IF(Waterfall!L17&gt;0,Waterfall!L18*Debt!L57/Waterfall!L17,0)</f>
        <v/>
      </c>
      <c r="M56" s="20">
        <f>IF(Waterfall!M17&gt;0,Waterfall!M18*Debt!M57/Waterfall!M17,0)</f>
        <v/>
      </c>
      <c r="N56" s="20">
        <f>IF(Waterfall!N17&gt;0,Waterfall!N18*Debt!N57/Waterfall!N17,0)</f>
        <v/>
      </c>
      <c r="O56" s="20">
        <f>IF(Waterfall!O17&gt;0,Waterfall!O18*Debt!O57/Waterfall!O17,0)</f>
        <v/>
      </c>
      <c r="P56" s="20">
        <f>IF(Waterfall!P17&gt;0,Waterfall!P18*Debt!P57/Waterfall!P17,0)</f>
        <v/>
      </c>
      <c r="Q56" s="20">
        <f>IF(Waterfall!Q17&gt;0,Waterfall!Q18*Debt!Q57/Waterfall!Q17,0)</f>
        <v/>
      </c>
      <c r="R56" s="20">
        <f>IF(Waterfall!R17&gt;0,Waterfall!R18*Debt!R57/Waterfall!R17,0)</f>
        <v/>
      </c>
      <c r="S56" s="20">
        <f>IF(Waterfall!S17&gt;0,Waterfall!S18*Debt!S57/Waterfall!S17,0)</f>
        <v/>
      </c>
      <c r="T56" s="20">
        <f>IF(Waterfall!T17&gt;0,Waterfall!T18*Debt!T57/Waterfall!T17,0)</f>
        <v/>
      </c>
      <c r="U56" s="20">
        <f>IF(Waterfall!U17&gt;0,Waterfall!U18*Debt!U57/Waterfall!U17,0)</f>
        <v/>
      </c>
      <c r="V56" s="20">
        <f>IF(Waterfall!V17&gt;0,Waterfall!V18*Debt!V57/Waterfall!V17,0)</f>
        <v/>
      </c>
      <c r="W56" s="20">
        <f>IF(Waterfall!W17&gt;0,Waterfall!W18*Debt!W57/Waterfall!W17,0)</f>
        <v/>
      </c>
      <c r="X56" s="20">
        <f>IF(Waterfall!X17&gt;0,Waterfall!X18*Debt!X57/Waterfall!X17,0)</f>
        <v/>
      </c>
      <c r="Y56" s="20">
        <f>IF(Waterfall!Y17&gt;0,Waterfall!Y18*Debt!Y57/Waterfall!Y17,0)</f>
        <v/>
      </c>
      <c r="Z56" s="20">
        <f>IF(Waterfall!Z17&gt;0,Waterfall!Z18*Debt!Z57/Waterfall!Z17,0)</f>
        <v/>
      </c>
      <c r="AA56" s="20">
        <f>IF(Waterfall!AA17&gt;0,Waterfall!AA18*Debt!AA57/Waterfall!AA17,0)</f>
        <v/>
      </c>
      <c r="AB56" s="20">
        <f>IF(Waterfall!AB17&gt;0,Waterfall!AB18*Debt!AB57/Waterfall!AB17,0)</f>
        <v/>
      </c>
      <c r="AC56" s="20">
        <f>IF(Waterfall!AC17&gt;0,Waterfall!AC18*Debt!AC57/Waterfall!AC17,0)</f>
        <v/>
      </c>
      <c r="AD56" s="20">
        <f>IF(Waterfall!AD17&gt;0,Waterfall!AD18*Debt!AD57/Waterfall!AD17,0)</f>
        <v/>
      </c>
      <c r="AE56" s="20">
        <f>IF(Waterfall!AE17&gt;0,Waterfall!AE18*Debt!AE57/Waterfall!AE17,0)</f>
        <v/>
      </c>
      <c r="AF56" s="20">
        <f>IF(Waterfall!AF17&gt;0,Waterfall!AF18*Debt!AF57/Waterfall!AF17,0)</f>
        <v/>
      </c>
      <c r="AG56" s="20">
        <f>IF(Waterfall!AG17&gt;0,Waterfall!AG18*Debt!AG57/Waterfall!AG17,0)</f>
        <v/>
      </c>
      <c r="AH56" s="20">
        <f>IF(Waterfall!AH17&gt;0,Waterfall!AH18*Debt!AH57/Waterfall!AH17,0)</f>
        <v/>
      </c>
      <c r="AI56" s="20">
        <f>IF(Waterfall!AI17&gt;0,Waterfall!AI18*Debt!AI57/Waterfall!AI17,0)</f>
        <v/>
      </c>
      <c r="AJ56" s="20">
        <f>IF(Waterfall!AJ17&gt;0,Waterfall!AJ18*Debt!AJ57/Waterfall!AJ17,0)</f>
        <v/>
      </c>
      <c r="AK56" s="20">
        <f>IF(Waterfall!AK17&gt;0,Waterfall!AK18*Debt!AK57/Waterfall!AK17,0)</f>
        <v/>
      </c>
      <c r="AL56" s="20">
        <f>IF(Waterfall!AL17&gt;0,Waterfall!AL18*Debt!AL57/Waterfall!AL17,0)</f>
        <v/>
      </c>
      <c r="AM56" s="20">
        <f>IF(Waterfall!AM17&gt;0,Waterfall!AM18*Debt!AM57/Waterfall!AM17,0)</f>
        <v/>
      </c>
      <c r="AN56" s="20">
        <f>IF(Waterfall!AN17&gt;0,Waterfall!AN18*Debt!AN57/Waterfall!AN17,0)</f>
        <v/>
      </c>
      <c r="AO56" s="20">
        <f>IF(Waterfall!AO17&gt;0,Waterfall!AO18*Debt!AO57/Waterfall!AO17,0)</f>
        <v/>
      </c>
      <c r="AP56" s="20">
        <f>IF(Waterfall!AP17&gt;0,Waterfall!AP18*Debt!AP57/Waterfall!AP17,0)</f>
        <v/>
      </c>
      <c r="AQ56" s="20">
        <f>IF(Waterfall!AQ17&gt;0,Waterfall!AQ18*Debt!AQ57/Waterfall!AQ17,0)</f>
        <v/>
      </c>
      <c r="AR56" s="20">
        <f>IF(Waterfall!AR17&gt;0,Waterfall!AR18*Debt!AR57/Waterfall!AR17,0)</f>
        <v/>
      </c>
      <c r="AS56" s="20">
        <f>IF(Waterfall!AS17&gt;0,Waterfall!AS18*Debt!AS57/Waterfall!AS17,0)</f>
        <v/>
      </c>
      <c r="AT56" s="20">
        <f>IF(Waterfall!AT17&gt;0,Waterfall!AT18*Debt!AT57/Waterfall!AT17,0)</f>
        <v/>
      </c>
      <c r="AU56" s="20">
        <f>IF(Waterfall!AU17&gt;0,Waterfall!AU18*Debt!AU57/Waterfall!AU17,0)</f>
        <v/>
      </c>
    </row>
    <row r="57">
      <c r="D57" t="inlineStr">
        <is>
          <t>Holdco incremental 2024: balance after amortization</t>
        </is>
      </c>
      <c r="E57" t="inlineStr">
        <is>
          <t>USD m</t>
        </is>
      </c>
      <c r="J57" s="20">
        <f>Debt!J53-Debt!J55</f>
        <v/>
      </c>
      <c r="K57" s="20">
        <f>Debt!K53-Debt!K55</f>
        <v/>
      </c>
      <c r="L57" s="20">
        <f>Debt!L53-Debt!L55</f>
        <v/>
      </c>
      <c r="M57" s="20">
        <f>Debt!M53-Debt!M55</f>
        <v/>
      </c>
      <c r="N57" s="20">
        <f>Debt!N53-Debt!N55</f>
        <v/>
      </c>
      <c r="O57" s="20">
        <f>Debt!O53-Debt!O55</f>
        <v/>
      </c>
      <c r="P57" s="20">
        <f>Debt!P53-Debt!P55</f>
        <v/>
      </c>
      <c r="Q57" s="20">
        <f>Debt!Q53-Debt!Q55</f>
        <v/>
      </c>
      <c r="R57" s="20">
        <f>Debt!R53-Debt!R55</f>
        <v/>
      </c>
      <c r="S57" s="20">
        <f>Debt!S53-Debt!S55</f>
        <v/>
      </c>
      <c r="T57" s="20">
        <f>Debt!T53-Debt!T55</f>
        <v/>
      </c>
      <c r="U57" s="20">
        <f>Debt!U53-Debt!U55</f>
        <v/>
      </c>
      <c r="V57" s="20">
        <f>Debt!V53-Debt!V55</f>
        <v/>
      </c>
      <c r="W57" s="20">
        <f>Debt!W53-Debt!W55</f>
        <v/>
      </c>
      <c r="X57" s="20">
        <f>Debt!X53-Debt!X55</f>
        <v/>
      </c>
      <c r="Y57" s="20">
        <f>Debt!Y53-Debt!Y55</f>
        <v/>
      </c>
      <c r="Z57" s="20">
        <f>Debt!Z53-Debt!Z55</f>
        <v/>
      </c>
      <c r="AA57" s="20">
        <f>Debt!AA53-Debt!AA55</f>
        <v/>
      </c>
      <c r="AB57" s="20">
        <f>Debt!AB53-Debt!AB55</f>
        <v/>
      </c>
      <c r="AC57" s="20">
        <f>Debt!AC53-Debt!AC55</f>
        <v/>
      </c>
      <c r="AD57" s="20">
        <f>Debt!AD53-Debt!AD55</f>
        <v/>
      </c>
      <c r="AE57" s="20">
        <f>Debt!AE53-Debt!AE55</f>
        <v/>
      </c>
      <c r="AF57" s="20">
        <f>Debt!AF53-Debt!AF55</f>
        <v/>
      </c>
      <c r="AG57" s="20">
        <f>Debt!AG53-Debt!AG55</f>
        <v/>
      </c>
      <c r="AH57" s="20">
        <f>Debt!AH53-Debt!AH55</f>
        <v/>
      </c>
      <c r="AI57" s="20">
        <f>Debt!AI53-Debt!AI55</f>
        <v/>
      </c>
      <c r="AJ57" s="20">
        <f>Debt!AJ53-Debt!AJ55</f>
        <v/>
      </c>
      <c r="AK57" s="20">
        <f>Debt!AK53-Debt!AK55</f>
        <v/>
      </c>
      <c r="AL57" s="20">
        <f>Debt!AL53-Debt!AL55</f>
        <v/>
      </c>
      <c r="AM57" s="20">
        <f>Debt!AM53-Debt!AM55</f>
        <v/>
      </c>
      <c r="AN57" s="20">
        <f>Debt!AN53-Debt!AN55</f>
        <v/>
      </c>
      <c r="AO57" s="20">
        <f>Debt!AO53-Debt!AO55</f>
        <v/>
      </c>
      <c r="AP57" s="20">
        <f>Debt!AP53-Debt!AP55</f>
        <v/>
      </c>
      <c r="AQ57" s="20">
        <f>Debt!AQ53-Debt!AQ55</f>
        <v/>
      </c>
      <c r="AR57" s="20">
        <f>Debt!AR53-Debt!AR55</f>
        <v/>
      </c>
      <c r="AS57" s="20">
        <f>Debt!AS53-Debt!AS55</f>
        <v/>
      </c>
      <c r="AT57" s="20">
        <f>Debt!AT53-Debt!AT55</f>
        <v/>
      </c>
      <c r="AU57" s="20">
        <f>Debt!AU53-Debt!AU55</f>
        <v/>
      </c>
    </row>
    <row r="58">
      <c r="D58" t="inlineStr">
        <is>
          <t>Holdco incremental 2024: repaid at refinancing</t>
        </is>
      </c>
      <c r="E58" t="inlineStr">
        <is>
          <t>USD m</t>
        </is>
      </c>
      <c r="J58" s="20">
        <f>Debt!J9*(Debt!J57-Debt!J56)</f>
        <v/>
      </c>
      <c r="K58" s="20">
        <f>Debt!K9*(Debt!K57-Debt!K56)</f>
        <v/>
      </c>
      <c r="L58" s="20">
        <f>Debt!L9*(Debt!L57-Debt!L56)</f>
        <v/>
      </c>
      <c r="M58" s="20">
        <f>Debt!M9*(Debt!M57-Debt!M56)</f>
        <v/>
      </c>
      <c r="N58" s="20">
        <f>Debt!N9*(Debt!N57-Debt!N56)</f>
        <v/>
      </c>
      <c r="O58" s="20">
        <f>Debt!O9*(Debt!O57-Debt!O56)</f>
        <v/>
      </c>
      <c r="P58" s="20">
        <f>Debt!P9*(Debt!P57-Debt!P56)</f>
        <v/>
      </c>
      <c r="Q58" s="20">
        <f>Debt!Q9*(Debt!Q57-Debt!Q56)</f>
        <v/>
      </c>
      <c r="R58" s="20">
        <f>Debt!R9*(Debt!R57-Debt!R56)</f>
        <v/>
      </c>
      <c r="S58" s="20">
        <f>Debt!S9*(Debt!S57-Debt!S56)</f>
        <v/>
      </c>
      <c r="T58" s="20">
        <f>Debt!T9*(Debt!T57-Debt!T56)</f>
        <v/>
      </c>
      <c r="U58" s="20">
        <f>Debt!U9*(Debt!U57-Debt!U56)</f>
        <v/>
      </c>
      <c r="V58" s="20">
        <f>Debt!V9*(Debt!V57-Debt!V56)</f>
        <v/>
      </c>
      <c r="W58" s="20">
        <f>Debt!W9*(Debt!W57-Debt!W56)</f>
        <v/>
      </c>
      <c r="X58" s="20">
        <f>Debt!X9*(Debt!X57-Debt!X56)</f>
        <v/>
      </c>
      <c r="Y58" s="20">
        <f>Debt!Y9*(Debt!Y57-Debt!Y56)</f>
        <v/>
      </c>
      <c r="Z58" s="20">
        <f>Debt!Z9*(Debt!Z57-Debt!Z56)</f>
        <v/>
      </c>
      <c r="AA58" s="20">
        <f>Debt!AA9*(Debt!AA57-Debt!AA56)</f>
        <v/>
      </c>
      <c r="AB58" s="20">
        <f>Debt!AB9*(Debt!AB57-Debt!AB56)</f>
        <v/>
      </c>
      <c r="AC58" s="20">
        <f>Debt!AC9*(Debt!AC57-Debt!AC56)</f>
        <v/>
      </c>
      <c r="AD58" s="20">
        <f>Debt!AD9*(Debt!AD57-Debt!AD56)</f>
        <v/>
      </c>
      <c r="AE58" s="20">
        <f>Debt!AE9*(Debt!AE57-Debt!AE56)</f>
        <v/>
      </c>
      <c r="AF58" s="20">
        <f>Debt!AF9*(Debt!AF57-Debt!AF56)</f>
        <v/>
      </c>
      <c r="AG58" s="20">
        <f>Debt!AG9*(Debt!AG57-Debt!AG56)</f>
        <v/>
      </c>
      <c r="AH58" s="20">
        <f>Debt!AH9*(Debt!AH57-Debt!AH56)</f>
        <v/>
      </c>
      <c r="AI58" s="20">
        <f>Debt!AI9*(Debt!AI57-Debt!AI56)</f>
        <v/>
      </c>
      <c r="AJ58" s="20">
        <f>Debt!AJ9*(Debt!AJ57-Debt!AJ56)</f>
        <v/>
      </c>
      <c r="AK58" s="20">
        <f>Debt!AK9*(Debt!AK57-Debt!AK56)</f>
        <v/>
      </c>
      <c r="AL58" s="20">
        <f>Debt!AL9*(Debt!AL57-Debt!AL56)</f>
        <v/>
      </c>
      <c r="AM58" s="20">
        <f>Debt!AM9*(Debt!AM57-Debt!AM56)</f>
        <v/>
      </c>
      <c r="AN58" s="20">
        <f>Debt!AN9*(Debt!AN57-Debt!AN56)</f>
        <v/>
      </c>
      <c r="AO58" s="20">
        <f>Debt!AO9*(Debt!AO57-Debt!AO56)</f>
        <v/>
      </c>
      <c r="AP58" s="20">
        <f>Debt!AP9*(Debt!AP57-Debt!AP56)</f>
        <v/>
      </c>
      <c r="AQ58" s="20">
        <f>Debt!AQ9*(Debt!AQ57-Debt!AQ56)</f>
        <v/>
      </c>
      <c r="AR58" s="20">
        <f>Debt!AR9*(Debt!AR57-Debt!AR56)</f>
        <v/>
      </c>
      <c r="AS58" s="20">
        <f>Debt!AS9*(Debt!AS57-Debt!AS56)</f>
        <v/>
      </c>
      <c r="AT58" s="20">
        <f>Debt!AT9*(Debt!AT57-Debt!AT56)</f>
        <v/>
      </c>
      <c r="AU58" s="20">
        <f>Debt!AU9*(Debt!AU57-Debt!AU56)</f>
        <v/>
      </c>
    </row>
    <row r="59">
      <c r="D59" t="inlineStr">
        <is>
          <t>Holdco incremental 2024: closing balance</t>
        </is>
      </c>
      <c r="E59" t="inlineStr">
        <is>
          <t>USD m</t>
        </is>
      </c>
      <c r="J59" s="20">
        <f>Debt!J57-Debt!J56-Debt!J58</f>
        <v/>
      </c>
      <c r="K59" s="20">
        <f>Debt!K57-Debt!K56-Debt!K58</f>
        <v/>
      </c>
      <c r="L59" s="20">
        <f>Debt!L57-Debt!L56-Debt!L58</f>
        <v/>
      </c>
      <c r="M59" s="20">
        <f>Debt!M57-Debt!M56-Debt!M58</f>
        <v/>
      </c>
      <c r="N59" s="20">
        <f>Debt!N57-Debt!N56-Debt!N58</f>
        <v/>
      </c>
      <c r="O59" s="20">
        <f>Debt!O57-Debt!O56-Debt!O58</f>
        <v/>
      </c>
      <c r="P59" s="20">
        <f>Debt!P57-Debt!P56-Debt!P58</f>
        <v/>
      </c>
      <c r="Q59" s="20">
        <f>Debt!Q57-Debt!Q56-Debt!Q58</f>
        <v/>
      </c>
      <c r="R59" s="20">
        <f>Debt!R57-Debt!R56-Debt!R58</f>
        <v/>
      </c>
      <c r="S59" s="20">
        <f>Debt!S57-Debt!S56-Debt!S58</f>
        <v/>
      </c>
      <c r="T59" s="20">
        <f>Debt!T57-Debt!T56-Debt!T58</f>
        <v/>
      </c>
      <c r="U59" s="20">
        <f>Debt!U57-Debt!U56-Debt!U58</f>
        <v/>
      </c>
      <c r="V59" s="20">
        <f>Debt!V57-Debt!V56-Debt!V58</f>
        <v/>
      </c>
      <c r="W59" s="20">
        <f>Debt!W57-Debt!W56-Debt!W58</f>
        <v/>
      </c>
      <c r="X59" s="20">
        <f>Debt!X57-Debt!X56-Debt!X58</f>
        <v/>
      </c>
      <c r="Y59" s="20">
        <f>Debt!Y57-Debt!Y56-Debt!Y58</f>
        <v/>
      </c>
      <c r="Z59" s="20">
        <f>Debt!Z57-Debt!Z56-Debt!Z58</f>
        <v/>
      </c>
      <c r="AA59" s="20">
        <f>Debt!AA57-Debt!AA56-Debt!AA58</f>
        <v/>
      </c>
      <c r="AB59" s="20">
        <f>Debt!AB57-Debt!AB56-Debt!AB58</f>
        <v/>
      </c>
      <c r="AC59" s="20">
        <f>Debt!AC57-Debt!AC56-Debt!AC58</f>
        <v/>
      </c>
      <c r="AD59" s="20">
        <f>Debt!AD57-Debt!AD56-Debt!AD58</f>
        <v/>
      </c>
      <c r="AE59" s="20">
        <f>Debt!AE57-Debt!AE56-Debt!AE58</f>
        <v/>
      </c>
      <c r="AF59" s="20">
        <f>Debt!AF57-Debt!AF56-Debt!AF58</f>
        <v/>
      </c>
      <c r="AG59" s="20">
        <f>Debt!AG57-Debt!AG56-Debt!AG58</f>
        <v/>
      </c>
      <c r="AH59" s="20">
        <f>Debt!AH57-Debt!AH56-Debt!AH58</f>
        <v/>
      </c>
      <c r="AI59" s="20">
        <f>Debt!AI57-Debt!AI56-Debt!AI58</f>
        <v/>
      </c>
      <c r="AJ59" s="20">
        <f>Debt!AJ57-Debt!AJ56-Debt!AJ58</f>
        <v/>
      </c>
      <c r="AK59" s="20">
        <f>Debt!AK57-Debt!AK56-Debt!AK58</f>
        <v/>
      </c>
      <c r="AL59" s="20">
        <f>Debt!AL57-Debt!AL56-Debt!AL58</f>
        <v/>
      </c>
      <c r="AM59" s="20">
        <f>Debt!AM57-Debt!AM56-Debt!AM58</f>
        <v/>
      </c>
      <c r="AN59" s="20">
        <f>Debt!AN57-Debt!AN56-Debt!AN58</f>
        <v/>
      </c>
      <c r="AO59" s="20">
        <f>Debt!AO57-Debt!AO56-Debt!AO58</f>
        <v/>
      </c>
      <c r="AP59" s="20">
        <f>Debt!AP57-Debt!AP56-Debt!AP58</f>
        <v/>
      </c>
      <c r="AQ59" s="20">
        <f>Debt!AQ57-Debt!AQ56-Debt!AQ58</f>
        <v/>
      </c>
      <c r="AR59" s="20">
        <f>Debt!AR57-Debt!AR56-Debt!AR58</f>
        <v/>
      </c>
      <c r="AS59" s="20">
        <f>Debt!AS57-Debt!AS56-Debt!AS58</f>
        <v/>
      </c>
      <c r="AT59" s="20">
        <f>Debt!AT57-Debt!AT56-Debt!AT58</f>
        <v/>
      </c>
      <c r="AU59" s="20">
        <f>Debt!AU57-Debt!AU56-Debt!AU58</f>
        <v/>
      </c>
    </row>
    <row r="60">
      <c r="D60" t="inlineStr">
        <is>
          <t>Repriced holdco TLB 2025: opening balance</t>
        </is>
      </c>
      <c r="E60" t="inlineStr">
        <is>
          <t>USD m</t>
        </is>
      </c>
      <c r="J60" s="20">
        <f>IF(AND(Inputs!$F$10=1,Time!J$4=Inputs!$F$307+1),Debt!$F$45,I66)</f>
        <v/>
      </c>
      <c r="K60" s="20">
        <f>IF(AND(Inputs!$F$10=1,Time!K$4=Inputs!$F$307+1),Debt!$F$45,J66)</f>
        <v/>
      </c>
      <c r="L60" s="20">
        <f>IF(AND(Inputs!$F$10=1,Time!L$4=Inputs!$F$307+1),Debt!$F$45,K66)</f>
        <v/>
      </c>
      <c r="M60" s="20">
        <f>IF(AND(Inputs!$F$10=1,Time!M$4=Inputs!$F$307+1),Debt!$F$45,L66)</f>
        <v/>
      </c>
      <c r="N60" s="20">
        <f>IF(AND(Inputs!$F$10=1,Time!N$4=Inputs!$F$307+1),Debt!$F$45,M66)</f>
        <v/>
      </c>
      <c r="O60" s="20">
        <f>IF(AND(Inputs!$F$10=1,Time!O$4=Inputs!$F$307+1),Debt!$F$45,N66)</f>
        <v/>
      </c>
      <c r="P60" s="20">
        <f>IF(AND(Inputs!$F$10=1,Time!P$4=Inputs!$F$307+1),Debt!$F$45,O66)</f>
        <v/>
      </c>
      <c r="Q60" s="20">
        <f>IF(AND(Inputs!$F$10=1,Time!Q$4=Inputs!$F$307+1),Debt!$F$45,P66)</f>
        <v/>
      </c>
      <c r="R60" s="20">
        <f>IF(AND(Inputs!$F$10=1,Time!R$4=Inputs!$F$307+1),Debt!$F$45,Q66)</f>
        <v/>
      </c>
      <c r="S60" s="20">
        <f>IF(AND(Inputs!$F$10=1,Time!S$4=Inputs!$F$307+1),Debt!$F$45,R66)</f>
        <v/>
      </c>
      <c r="T60" s="20">
        <f>IF(AND(Inputs!$F$10=1,Time!T$4=Inputs!$F$307+1),Debt!$F$45,S66)</f>
        <v/>
      </c>
      <c r="U60" s="20">
        <f>IF(AND(Inputs!$F$10=1,Time!U$4=Inputs!$F$307+1),Debt!$F$45,T66)</f>
        <v/>
      </c>
      <c r="V60" s="20">
        <f>IF(AND(Inputs!$F$10=1,Time!V$4=Inputs!$F$307+1),Debt!$F$45,U66)</f>
        <v/>
      </c>
      <c r="W60" s="20">
        <f>IF(AND(Inputs!$F$10=1,Time!W$4=Inputs!$F$307+1),Debt!$F$45,V66)</f>
        <v/>
      </c>
      <c r="X60" s="20">
        <f>IF(AND(Inputs!$F$10=1,Time!X$4=Inputs!$F$307+1),Debt!$F$45,W66)</f>
        <v/>
      </c>
      <c r="Y60" s="20">
        <f>IF(AND(Inputs!$F$10=1,Time!Y$4=Inputs!$F$307+1),Debt!$F$45,X66)</f>
        <v/>
      </c>
      <c r="Z60" s="20">
        <f>IF(AND(Inputs!$F$10=1,Time!Z$4=Inputs!$F$307+1),Debt!$F$45,Y66)</f>
        <v/>
      </c>
      <c r="AA60" s="20">
        <f>IF(AND(Inputs!$F$10=1,Time!AA$4=Inputs!$F$307+1),Debt!$F$45,Z66)</f>
        <v/>
      </c>
      <c r="AB60" s="20">
        <f>IF(AND(Inputs!$F$10=1,Time!AB$4=Inputs!$F$307+1),Debt!$F$45,AA66)</f>
        <v/>
      </c>
      <c r="AC60" s="20">
        <f>IF(AND(Inputs!$F$10=1,Time!AC$4=Inputs!$F$307+1),Debt!$F$45,AB66)</f>
        <v/>
      </c>
      <c r="AD60" s="20">
        <f>IF(AND(Inputs!$F$10=1,Time!AD$4=Inputs!$F$307+1),Debt!$F$45,AC66)</f>
        <v/>
      </c>
      <c r="AE60" s="20">
        <f>IF(AND(Inputs!$F$10=1,Time!AE$4=Inputs!$F$307+1),Debt!$F$45,AD66)</f>
        <v/>
      </c>
      <c r="AF60" s="20">
        <f>IF(AND(Inputs!$F$10=1,Time!AF$4=Inputs!$F$307+1),Debt!$F$45,AE66)</f>
        <v/>
      </c>
      <c r="AG60" s="20">
        <f>IF(AND(Inputs!$F$10=1,Time!AG$4=Inputs!$F$307+1),Debt!$F$45,AF66)</f>
        <v/>
      </c>
      <c r="AH60" s="20">
        <f>IF(AND(Inputs!$F$10=1,Time!AH$4=Inputs!$F$307+1),Debt!$F$45,AG66)</f>
        <v/>
      </c>
      <c r="AI60" s="20">
        <f>IF(AND(Inputs!$F$10=1,Time!AI$4=Inputs!$F$307+1),Debt!$F$45,AH66)</f>
        <v/>
      </c>
      <c r="AJ60" s="20">
        <f>IF(AND(Inputs!$F$10=1,Time!AJ$4=Inputs!$F$307+1),Debt!$F$45,AI66)</f>
        <v/>
      </c>
      <c r="AK60" s="20">
        <f>IF(AND(Inputs!$F$10=1,Time!AK$4=Inputs!$F$307+1),Debt!$F$45,AJ66)</f>
        <v/>
      </c>
      <c r="AL60" s="20">
        <f>IF(AND(Inputs!$F$10=1,Time!AL$4=Inputs!$F$307+1),Debt!$F$45,AK66)</f>
        <v/>
      </c>
      <c r="AM60" s="20">
        <f>IF(AND(Inputs!$F$10=1,Time!AM$4=Inputs!$F$307+1),Debt!$F$45,AL66)</f>
        <v/>
      </c>
      <c r="AN60" s="20">
        <f>IF(AND(Inputs!$F$10=1,Time!AN$4=Inputs!$F$307+1),Debt!$F$45,AM66)</f>
        <v/>
      </c>
      <c r="AO60" s="20">
        <f>IF(AND(Inputs!$F$10=1,Time!AO$4=Inputs!$F$307+1),Debt!$F$45,AN66)</f>
        <v/>
      </c>
      <c r="AP60" s="20">
        <f>IF(AND(Inputs!$F$10=1,Time!AP$4=Inputs!$F$307+1),Debt!$F$45,AO66)</f>
        <v/>
      </c>
      <c r="AQ60" s="20">
        <f>IF(AND(Inputs!$F$10=1,Time!AQ$4=Inputs!$F$307+1),Debt!$F$45,AP66)</f>
        <v/>
      </c>
      <c r="AR60" s="20">
        <f>IF(AND(Inputs!$F$10=1,Time!AR$4=Inputs!$F$307+1),Debt!$F$45,AQ66)</f>
        <v/>
      </c>
      <c r="AS60" s="20">
        <f>IF(AND(Inputs!$F$10=1,Time!AS$4=Inputs!$F$307+1),Debt!$F$45,AR66)</f>
        <v/>
      </c>
      <c r="AT60" s="20">
        <f>IF(AND(Inputs!$F$10=1,Time!AT$4=Inputs!$F$307+1),Debt!$F$45,AS66)</f>
        <v/>
      </c>
      <c r="AU60" s="20">
        <f>IF(AND(Inputs!$F$10=1,Time!AU$4=Inputs!$F$307+1),Debt!$F$45,AT66)</f>
        <v/>
      </c>
    </row>
    <row r="61">
      <c r="D61" t="inlineStr">
        <is>
          <t>Repriced holdco TLB 2025: interest</t>
        </is>
      </c>
      <c r="E61" t="inlineStr">
        <is>
          <t>USD m</t>
        </is>
      </c>
      <c r="G61" s="20">
        <f>SUM(J61:AU61)</f>
        <v/>
      </c>
      <c r="J61" s="20">
        <f>Debt!J60*Debt!J44/100*Debt!J43</f>
        <v/>
      </c>
      <c r="K61" s="20">
        <f>Debt!K60*Debt!K44/100*Debt!K43</f>
        <v/>
      </c>
      <c r="L61" s="20">
        <f>Debt!L60*Debt!L44/100*Debt!L43</f>
        <v/>
      </c>
      <c r="M61" s="20">
        <f>Debt!M60*Debt!M44/100*Debt!M43</f>
        <v/>
      </c>
      <c r="N61" s="20">
        <f>Debt!N60*Debt!N44/100*Debt!N43</f>
        <v/>
      </c>
      <c r="O61" s="20">
        <f>Debt!O60*Debt!O44/100*Debt!O43</f>
        <v/>
      </c>
      <c r="P61" s="20">
        <f>Debt!P60*Debt!P44/100*Debt!P43</f>
        <v/>
      </c>
      <c r="Q61" s="20">
        <f>Debt!Q60*Debt!Q44/100*Debt!Q43</f>
        <v/>
      </c>
      <c r="R61" s="20">
        <f>Debt!R60*Debt!R44/100*Debt!R43</f>
        <v/>
      </c>
      <c r="S61" s="20">
        <f>Debt!S60*Debt!S44/100*Debt!S43</f>
        <v/>
      </c>
      <c r="T61" s="20">
        <f>Debt!T60*Debt!T44/100*Debt!T43</f>
        <v/>
      </c>
      <c r="U61" s="20">
        <f>Debt!U60*Debt!U44/100*Debt!U43</f>
        <v/>
      </c>
      <c r="V61" s="20">
        <f>Debt!V60*Debt!V44/100*Debt!V43</f>
        <v/>
      </c>
      <c r="W61" s="20">
        <f>Debt!W60*Debt!W44/100*Debt!W43</f>
        <v/>
      </c>
      <c r="X61" s="20">
        <f>Debt!X60*Debt!X44/100*Debt!X43</f>
        <v/>
      </c>
      <c r="Y61" s="20">
        <f>Debt!Y60*Debt!Y44/100*Debt!Y43</f>
        <v/>
      </c>
      <c r="Z61" s="20">
        <f>Debt!Z60*Debt!Z44/100*Debt!Z43</f>
        <v/>
      </c>
      <c r="AA61" s="20">
        <f>Debt!AA60*Debt!AA44/100*Debt!AA43</f>
        <v/>
      </c>
      <c r="AB61" s="20">
        <f>Debt!AB60*Debt!AB44/100*Debt!AB43</f>
        <v/>
      </c>
      <c r="AC61" s="20">
        <f>Debt!AC60*Debt!AC44/100*Debt!AC43</f>
        <v/>
      </c>
      <c r="AD61" s="20">
        <f>Debt!AD60*Debt!AD44/100*Debt!AD43</f>
        <v/>
      </c>
      <c r="AE61" s="20">
        <f>Debt!AE60*Debt!AE44/100*Debt!AE43</f>
        <v/>
      </c>
      <c r="AF61" s="20">
        <f>Debt!AF60*Debt!AF44/100*Debt!AF43</f>
        <v/>
      </c>
      <c r="AG61" s="20">
        <f>Debt!AG60*Debt!AG44/100*Debt!AG43</f>
        <v/>
      </c>
      <c r="AH61" s="20">
        <f>Debt!AH60*Debt!AH44/100*Debt!AH43</f>
        <v/>
      </c>
      <c r="AI61" s="20">
        <f>Debt!AI60*Debt!AI44/100*Debt!AI43</f>
        <v/>
      </c>
      <c r="AJ61" s="20">
        <f>Debt!AJ60*Debt!AJ44/100*Debt!AJ43</f>
        <v/>
      </c>
      <c r="AK61" s="20">
        <f>Debt!AK60*Debt!AK44/100*Debt!AK43</f>
        <v/>
      </c>
      <c r="AL61" s="20">
        <f>Debt!AL60*Debt!AL44/100*Debt!AL43</f>
        <v/>
      </c>
      <c r="AM61" s="20">
        <f>Debt!AM60*Debt!AM44/100*Debt!AM43</f>
        <v/>
      </c>
      <c r="AN61" s="20">
        <f>Debt!AN60*Debt!AN44/100*Debt!AN43</f>
        <v/>
      </c>
      <c r="AO61" s="20">
        <f>Debt!AO60*Debt!AO44/100*Debt!AO43</f>
        <v/>
      </c>
      <c r="AP61" s="20">
        <f>Debt!AP60*Debt!AP44/100*Debt!AP43</f>
        <v/>
      </c>
      <c r="AQ61" s="20">
        <f>Debt!AQ60*Debt!AQ44/100*Debt!AQ43</f>
        <v/>
      </c>
      <c r="AR61" s="20">
        <f>Debt!AR60*Debt!AR44/100*Debt!AR43</f>
        <v/>
      </c>
      <c r="AS61" s="20">
        <f>Debt!AS60*Debt!AS44/100*Debt!AS43</f>
        <v/>
      </c>
      <c r="AT61" s="20">
        <f>Debt!AT60*Debt!AT44/100*Debt!AT43</f>
        <v/>
      </c>
      <c r="AU61" s="20">
        <f>Debt!AU60*Debt!AU44/100*Debt!AU43</f>
        <v/>
      </c>
    </row>
    <row r="62">
      <c r="D62" t="inlineStr">
        <is>
          <t>Repriced holdco TLB 2025: scheduled amortization</t>
        </is>
      </c>
      <c r="E62" t="inlineStr">
        <is>
          <t>USD m</t>
        </is>
      </c>
      <c r="G62" s="20">
        <f>SUM(J62:AU62)</f>
        <v/>
      </c>
      <c r="J62" s="20">
        <f>MIN(Debt!J60,Inputs!$F$325/100*Debt!$F$45*Debt!J43)</f>
        <v/>
      </c>
      <c r="K62" s="20">
        <f>MIN(Debt!K60,Inputs!$F$325/100*Debt!$F$45*Debt!K43)</f>
        <v/>
      </c>
      <c r="L62" s="20">
        <f>MIN(Debt!L60,Inputs!$F$325/100*Debt!$F$45*Debt!L43)</f>
        <v/>
      </c>
      <c r="M62" s="20">
        <f>MIN(Debt!M60,Inputs!$F$325/100*Debt!$F$45*Debt!M43)</f>
        <v/>
      </c>
      <c r="N62" s="20">
        <f>MIN(Debt!N60,Inputs!$F$325/100*Debt!$F$45*Debt!N43)</f>
        <v/>
      </c>
      <c r="O62" s="20">
        <f>MIN(Debt!O60,Inputs!$F$325/100*Debt!$F$45*Debt!O43)</f>
        <v/>
      </c>
      <c r="P62" s="20">
        <f>MIN(Debt!P60,Inputs!$F$325/100*Debt!$F$45*Debt!P43)</f>
        <v/>
      </c>
      <c r="Q62" s="20">
        <f>MIN(Debt!Q60,Inputs!$F$325/100*Debt!$F$45*Debt!Q43)</f>
        <v/>
      </c>
      <c r="R62" s="20">
        <f>MIN(Debt!R60,Inputs!$F$325/100*Debt!$F$45*Debt!R43)</f>
        <v/>
      </c>
      <c r="S62" s="20">
        <f>MIN(Debt!S60,Inputs!$F$325/100*Debt!$F$45*Debt!S43)</f>
        <v/>
      </c>
      <c r="T62" s="20">
        <f>MIN(Debt!T60,Inputs!$F$325/100*Debt!$F$45*Debt!T43)</f>
        <v/>
      </c>
      <c r="U62" s="20">
        <f>MIN(Debt!U60,Inputs!$F$325/100*Debt!$F$45*Debt!U43)</f>
        <v/>
      </c>
      <c r="V62" s="20">
        <f>MIN(Debt!V60,Inputs!$F$325/100*Debt!$F$45*Debt!V43)</f>
        <v/>
      </c>
      <c r="W62" s="20">
        <f>MIN(Debt!W60,Inputs!$F$325/100*Debt!$F$45*Debt!W43)</f>
        <v/>
      </c>
      <c r="X62" s="20">
        <f>MIN(Debt!X60,Inputs!$F$325/100*Debt!$F$45*Debt!X43)</f>
        <v/>
      </c>
      <c r="Y62" s="20">
        <f>MIN(Debt!Y60,Inputs!$F$325/100*Debt!$F$45*Debt!Y43)</f>
        <v/>
      </c>
      <c r="Z62" s="20">
        <f>MIN(Debt!Z60,Inputs!$F$325/100*Debt!$F$45*Debt!Z43)</f>
        <v/>
      </c>
      <c r="AA62" s="20">
        <f>MIN(Debt!AA60,Inputs!$F$325/100*Debt!$F$45*Debt!AA43)</f>
        <v/>
      </c>
      <c r="AB62" s="20">
        <f>MIN(Debt!AB60,Inputs!$F$325/100*Debt!$F$45*Debt!AB43)</f>
        <v/>
      </c>
      <c r="AC62" s="20">
        <f>MIN(Debt!AC60,Inputs!$F$325/100*Debt!$F$45*Debt!AC43)</f>
        <v/>
      </c>
      <c r="AD62" s="20">
        <f>MIN(Debt!AD60,Inputs!$F$325/100*Debt!$F$45*Debt!AD43)</f>
        <v/>
      </c>
      <c r="AE62" s="20">
        <f>MIN(Debt!AE60,Inputs!$F$325/100*Debt!$F$45*Debt!AE43)</f>
        <v/>
      </c>
      <c r="AF62" s="20">
        <f>MIN(Debt!AF60,Inputs!$F$325/100*Debt!$F$45*Debt!AF43)</f>
        <v/>
      </c>
      <c r="AG62" s="20">
        <f>MIN(Debt!AG60,Inputs!$F$325/100*Debt!$F$45*Debt!AG43)</f>
        <v/>
      </c>
      <c r="AH62" s="20">
        <f>MIN(Debt!AH60,Inputs!$F$325/100*Debt!$F$45*Debt!AH43)</f>
        <v/>
      </c>
      <c r="AI62" s="20">
        <f>MIN(Debt!AI60,Inputs!$F$325/100*Debt!$F$45*Debt!AI43)</f>
        <v/>
      </c>
      <c r="AJ62" s="20">
        <f>MIN(Debt!AJ60,Inputs!$F$325/100*Debt!$F$45*Debt!AJ43)</f>
        <v/>
      </c>
      <c r="AK62" s="20">
        <f>MIN(Debt!AK60,Inputs!$F$325/100*Debt!$F$45*Debt!AK43)</f>
        <v/>
      </c>
      <c r="AL62" s="20">
        <f>MIN(Debt!AL60,Inputs!$F$325/100*Debt!$F$45*Debt!AL43)</f>
        <v/>
      </c>
      <c r="AM62" s="20">
        <f>MIN(Debt!AM60,Inputs!$F$325/100*Debt!$F$45*Debt!AM43)</f>
        <v/>
      </c>
      <c r="AN62" s="20">
        <f>MIN(Debt!AN60,Inputs!$F$325/100*Debt!$F$45*Debt!AN43)</f>
        <v/>
      </c>
      <c r="AO62" s="20">
        <f>MIN(Debt!AO60,Inputs!$F$325/100*Debt!$F$45*Debt!AO43)</f>
        <v/>
      </c>
      <c r="AP62" s="20">
        <f>MIN(Debt!AP60,Inputs!$F$325/100*Debt!$F$45*Debt!AP43)</f>
        <v/>
      </c>
      <c r="AQ62" s="20">
        <f>MIN(Debt!AQ60,Inputs!$F$325/100*Debt!$F$45*Debt!AQ43)</f>
        <v/>
      </c>
      <c r="AR62" s="20">
        <f>MIN(Debt!AR60,Inputs!$F$325/100*Debt!$F$45*Debt!AR43)</f>
        <v/>
      </c>
      <c r="AS62" s="20">
        <f>MIN(Debt!AS60,Inputs!$F$325/100*Debt!$F$45*Debt!AS43)</f>
        <v/>
      </c>
      <c r="AT62" s="20">
        <f>MIN(Debt!AT60,Inputs!$F$325/100*Debt!$F$45*Debt!AT43)</f>
        <v/>
      </c>
      <c r="AU62" s="20">
        <f>MIN(Debt!AU60,Inputs!$F$325/100*Debt!$F$45*Debt!AU43)</f>
        <v/>
      </c>
    </row>
    <row r="63">
      <c r="D63" t="inlineStr">
        <is>
          <t>Repriced holdco TLB 2025: excess cash sweep</t>
        </is>
      </c>
      <c r="E63" t="inlineStr">
        <is>
          <t>USD m</t>
        </is>
      </c>
      <c r="J63" s="20">
        <f>IF(Waterfall!J17&gt;0,Waterfall!J18*Debt!J64/Waterfall!J17,0)</f>
        <v/>
      </c>
      <c r="K63" s="20">
        <f>IF(Waterfall!K17&gt;0,Waterfall!K18*Debt!K64/Waterfall!K17,0)</f>
        <v/>
      </c>
      <c r="L63" s="20">
        <f>IF(Waterfall!L17&gt;0,Waterfall!L18*Debt!L64/Waterfall!L17,0)</f>
        <v/>
      </c>
      <c r="M63" s="20">
        <f>IF(Waterfall!M17&gt;0,Waterfall!M18*Debt!M64/Waterfall!M17,0)</f>
        <v/>
      </c>
      <c r="N63" s="20">
        <f>IF(Waterfall!N17&gt;0,Waterfall!N18*Debt!N64/Waterfall!N17,0)</f>
        <v/>
      </c>
      <c r="O63" s="20">
        <f>IF(Waterfall!O17&gt;0,Waterfall!O18*Debt!O64/Waterfall!O17,0)</f>
        <v/>
      </c>
      <c r="P63" s="20">
        <f>IF(Waterfall!P17&gt;0,Waterfall!P18*Debt!P64/Waterfall!P17,0)</f>
        <v/>
      </c>
      <c r="Q63" s="20">
        <f>IF(Waterfall!Q17&gt;0,Waterfall!Q18*Debt!Q64/Waterfall!Q17,0)</f>
        <v/>
      </c>
      <c r="R63" s="20">
        <f>IF(Waterfall!R17&gt;0,Waterfall!R18*Debt!R64/Waterfall!R17,0)</f>
        <v/>
      </c>
      <c r="S63" s="20">
        <f>IF(Waterfall!S17&gt;0,Waterfall!S18*Debt!S64/Waterfall!S17,0)</f>
        <v/>
      </c>
      <c r="T63" s="20">
        <f>IF(Waterfall!T17&gt;0,Waterfall!T18*Debt!T64/Waterfall!T17,0)</f>
        <v/>
      </c>
      <c r="U63" s="20">
        <f>IF(Waterfall!U17&gt;0,Waterfall!U18*Debt!U64/Waterfall!U17,0)</f>
        <v/>
      </c>
      <c r="V63" s="20">
        <f>IF(Waterfall!V17&gt;0,Waterfall!V18*Debt!V64/Waterfall!V17,0)</f>
        <v/>
      </c>
      <c r="W63" s="20">
        <f>IF(Waterfall!W17&gt;0,Waterfall!W18*Debt!W64/Waterfall!W17,0)</f>
        <v/>
      </c>
      <c r="X63" s="20">
        <f>IF(Waterfall!X17&gt;0,Waterfall!X18*Debt!X64/Waterfall!X17,0)</f>
        <v/>
      </c>
      <c r="Y63" s="20">
        <f>IF(Waterfall!Y17&gt;0,Waterfall!Y18*Debt!Y64/Waterfall!Y17,0)</f>
        <v/>
      </c>
      <c r="Z63" s="20">
        <f>IF(Waterfall!Z17&gt;0,Waterfall!Z18*Debt!Z64/Waterfall!Z17,0)</f>
        <v/>
      </c>
      <c r="AA63" s="20">
        <f>IF(Waterfall!AA17&gt;0,Waterfall!AA18*Debt!AA64/Waterfall!AA17,0)</f>
        <v/>
      </c>
      <c r="AB63" s="20">
        <f>IF(Waterfall!AB17&gt;0,Waterfall!AB18*Debt!AB64/Waterfall!AB17,0)</f>
        <v/>
      </c>
      <c r="AC63" s="20">
        <f>IF(Waterfall!AC17&gt;0,Waterfall!AC18*Debt!AC64/Waterfall!AC17,0)</f>
        <v/>
      </c>
      <c r="AD63" s="20">
        <f>IF(Waterfall!AD17&gt;0,Waterfall!AD18*Debt!AD64/Waterfall!AD17,0)</f>
        <v/>
      </c>
      <c r="AE63" s="20">
        <f>IF(Waterfall!AE17&gt;0,Waterfall!AE18*Debt!AE64/Waterfall!AE17,0)</f>
        <v/>
      </c>
      <c r="AF63" s="20">
        <f>IF(Waterfall!AF17&gt;0,Waterfall!AF18*Debt!AF64/Waterfall!AF17,0)</f>
        <v/>
      </c>
      <c r="AG63" s="20">
        <f>IF(Waterfall!AG17&gt;0,Waterfall!AG18*Debt!AG64/Waterfall!AG17,0)</f>
        <v/>
      </c>
      <c r="AH63" s="20">
        <f>IF(Waterfall!AH17&gt;0,Waterfall!AH18*Debt!AH64/Waterfall!AH17,0)</f>
        <v/>
      </c>
      <c r="AI63" s="20">
        <f>IF(Waterfall!AI17&gt;0,Waterfall!AI18*Debt!AI64/Waterfall!AI17,0)</f>
        <v/>
      </c>
      <c r="AJ63" s="20">
        <f>IF(Waterfall!AJ17&gt;0,Waterfall!AJ18*Debt!AJ64/Waterfall!AJ17,0)</f>
        <v/>
      </c>
      <c r="AK63" s="20">
        <f>IF(Waterfall!AK17&gt;0,Waterfall!AK18*Debt!AK64/Waterfall!AK17,0)</f>
        <v/>
      </c>
      <c r="AL63" s="20">
        <f>IF(Waterfall!AL17&gt;0,Waterfall!AL18*Debt!AL64/Waterfall!AL17,0)</f>
        <v/>
      </c>
      <c r="AM63" s="20">
        <f>IF(Waterfall!AM17&gt;0,Waterfall!AM18*Debt!AM64/Waterfall!AM17,0)</f>
        <v/>
      </c>
      <c r="AN63" s="20">
        <f>IF(Waterfall!AN17&gt;0,Waterfall!AN18*Debt!AN64/Waterfall!AN17,0)</f>
        <v/>
      </c>
      <c r="AO63" s="20">
        <f>IF(Waterfall!AO17&gt;0,Waterfall!AO18*Debt!AO64/Waterfall!AO17,0)</f>
        <v/>
      </c>
      <c r="AP63" s="20">
        <f>IF(Waterfall!AP17&gt;0,Waterfall!AP18*Debt!AP64/Waterfall!AP17,0)</f>
        <v/>
      </c>
      <c r="AQ63" s="20">
        <f>IF(Waterfall!AQ17&gt;0,Waterfall!AQ18*Debt!AQ64/Waterfall!AQ17,0)</f>
        <v/>
      </c>
      <c r="AR63" s="20">
        <f>IF(Waterfall!AR17&gt;0,Waterfall!AR18*Debt!AR64/Waterfall!AR17,0)</f>
        <v/>
      </c>
      <c r="AS63" s="20">
        <f>IF(Waterfall!AS17&gt;0,Waterfall!AS18*Debt!AS64/Waterfall!AS17,0)</f>
        <v/>
      </c>
      <c r="AT63" s="20">
        <f>IF(Waterfall!AT17&gt;0,Waterfall!AT18*Debt!AT64/Waterfall!AT17,0)</f>
        <v/>
      </c>
      <c r="AU63" s="20">
        <f>IF(Waterfall!AU17&gt;0,Waterfall!AU18*Debt!AU64/Waterfall!AU17,0)</f>
        <v/>
      </c>
    </row>
    <row r="64">
      <c r="D64" t="inlineStr">
        <is>
          <t>Repriced holdco TLB 2025: balance after amortization</t>
        </is>
      </c>
      <c r="E64" t="inlineStr">
        <is>
          <t>USD m</t>
        </is>
      </c>
      <c r="J64" s="20">
        <f>Debt!J60-Debt!J62</f>
        <v/>
      </c>
      <c r="K64" s="20">
        <f>Debt!K60-Debt!K62</f>
        <v/>
      </c>
      <c r="L64" s="20">
        <f>Debt!L60-Debt!L62</f>
        <v/>
      </c>
      <c r="M64" s="20">
        <f>Debt!M60-Debt!M62</f>
        <v/>
      </c>
      <c r="N64" s="20">
        <f>Debt!N60-Debt!N62</f>
        <v/>
      </c>
      <c r="O64" s="20">
        <f>Debt!O60-Debt!O62</f>
        <v/>
      </c>
      <c r="P64" s="20">
        <f>Debt!P60-Debt!P62</f>
        <v/>
      </c>
      <c r="Q64" s="20">
        <f>Debt!Q60-Debt!Q62</f>
        <v/>
      </c>
      <c r="R64" s="20">
        <f>Debt!R60-Debt!R62</f>
        <v/>
      </c>
      <c r="S64" s="20">
        <f>Debt!S60-Debt!S62</f>
        <v/>
      </c>
      <c r="T64" s="20">
        <f>Debt!T60-Debt!T62</f>
        <v/>
      </c>
      <c r="U64" s="20">
        <f>Debt!U60-Debt!U62</f>
        <v/>
      </c>
      <c r="V64" s="20">
        <f>Debt!V60-Debt!V62</f>
        <v/>
      </c>
      <c r="W64" s="20">
        <f>Debt!W60-Debt!W62</f>
        <v/>
      </c>
      <c r="X64" s="20">
        <f>Debt!X60-Debt!X62</f>
        <v/>
      </c>
      <c r="Y64" s="20">
        <f>Debt!Y60-Debt!Y62</f>
        <v/>
      </c>
      <c r="Z64" s="20">
        <f>Debt!Z60-Debt!Z62</f>
        <v/>
      </c>
      <c r="AA64" s="20">
        <f>Debt!AA60-Debt!AA62</f>
        <v/>
      </c>
      <c r="AB64" s="20">
        <f>Debt!AB60-Debt!AB62</f>
        <v/>
      </c>
      <c r="AC64" s="20">
        <f>Debt!AC60-Debt!AC62</f>
        <v/>
      </c>
      <c r="AD64" s="20">
        <f>Debt!AD60-Debt!AD62</f>
        <v/>
      </c>
      <c r="AE64" s="20">
        <f>Debt!AE60-Debt!AE62</f>
        <v/>
      </c>
      <c r="AF64" s="20">
        <f>Debt!AF60-Debt!AF62</f>
        <v/>
      </c>
      <c r="AG64" s="20">
        <f>Debt!AG60-Debt!AG62</f>
        <v/>
      </c>
      <c r="AH64" s="20">
        <f>Debt!AH60-Debt!AH62</f>
        <v/>
      </c>
      <c r="AI64" s="20">
        <f>Debt!AI60-Debt!AI62</f>
        <v/>
      </c>
      <c r="AJ64" s="20">
        <f>Debt!AJ60-Debt!AJ62</f>
        <v/>
      </c>
      <c r="AK64" s="20">
        <f>Debt!AK60-Debt!AK62</f>
        <v/>
      </c>
      <c r="AL64" s="20">
        <f>Debt!AL60-Debt!AL62</f>
        <v/>
      </c>
      <c r="AM64" s="20">
        <f>Debt!AM60-Debt!AM62</f>
        <v/>
      </c>
      <c r="AN64" s="20">
        <f>Debt!AN60-Debt!AN62</f>
        <v/>
      </c>
      <c r="AO64" s="20">
        <f>Debt!AO60-Debt!AO62</f>
        <v/>
      </c>
      <c r="AP64" s="20">
        <f>Debt!AP60-Debt!AP62</f>
        <v/>
      </c>
      <c r="AQ64" s="20">
        <f>Debt!AQ60-Debt!AQ62</f>
        <v/>
      </c>
      <c r="AR64" s="20">
        <f>Debt!AR60-Debt!AR62</f>
        <v/>
      </c>
      <c r="AS64" s="20">
        <f>Debt!AS60-Debt!AS62</f>
        <v/>
      </c>
      <c r="AT64" s="20">
        <f>Debt!AT60-Debt!AT62</f>
        <v/>
      </c>
      <c r="AU64" s="20">
        <f>Debt!AU60-Debt!AU62</f>
        <v/>
      </c>
    </row>
    <row r="65">
      <c r="D65" t="inlineStr">
        <is>
          <t>Repriced holdco TLB 2025: repaid at refinancing</t>
        </is>
      </c>
      <c r="E65" t="inlineStr">
        <is>
          <t>USD m</t>
        </is>
      </c>
      <c r="J65" s="20">
        <f>0</f>
        <v/>
      </c>
      <c r="K65" s="20">
        <f>0</f>
        <v/>
      </c>
      <c r="L65" s="20">
        <f>0</f>
        <v/>
      </c>
      <c r="M65" s="20">
        <f>0</f>
        <v/>
      </c>
      <c r="N65" s="20">
        <f>0</f>
        <v/>
      </c>
      <c r="O65" s="20">
        <f>0</f>
        <v/>
      </c>
      <c r="P65" s="20">
        <f>0</f>
        <v/>
      </c>
      <c r="Q65" s="20">
        <f>0</f>
        <v/>
      </c>
      <c r="R65" s="20">
        <f>0</f>
        <v/>
      </c>
      <c r="S65" s="20">
        <f>0</f>
        <v/>
      </c>
      <c r="T65" s="20">
        <f>0</f>
        <v/>
      </c>
      <c r="U65" s="20">
        <f>0</f>
        <v/>
      </c>
      <c r="V65" s="20">
        <f>0</f>
        <v/>
      </c>
      <c r="W65" s="20">
        <f>0</f>
        <v/>
      </c>
      <c r="X65" s="20">
        <f>0</f>
        <v/>
      </c>
      <c r="Y65" s="20">
        <f>0</f>
        <v/>
      </c>
      <c r="Z65" s="20">
        <f>0</f>
        <v/>
      </c>
      <c r="AA65" s="20">
        <f>0</f>
        <v/>
      </c>
      <c r="AB65" s="20">
        <f>0</f>
        <v/>
      </c>
      <c r="AC65" s="20">
        <f>0</f>
        <v/>
      </c>
      <c r="AD65" s="20">
        <f>0</f>
        <v/>
      </c>
      <c r="AE65" s="20">
        <f>0</f>
        <v/>
      </c>
      <c r="AF65" s="20">
        <f>0</f>
        <v/>
      </c>
      <c r="AG65" s="20">
        <f>0</f>
        <v/>
      </c>
      <c r="AH65" s="20">
        <f>0</f>
        <v/>
      </c>
      <c r="AI65" s="20">
        <f>0</f>
        <v/>
      </c>
      <c r="AJ65" s="20">
        <f>0</f>
        <v/>
      </c>
      <c r="AK65" s="20">
        <f>0</f>
        <v/>
      </c>
      <c r="AL65" s="20">
        <f>0</f>
        <v/>
      </c>
      <c r="AM65" s="20">
        <f>0</f>
        <v/>
      </c>
      <c r="AN65" s="20">
        <f>0</f>
        <v/>
      </c>
      <c r="AO65" s="20">
        <f>0</f>
        <v/>
      </c>
      <c r="AP65" s="20">
        <f>0</f>
        <v/>
      </c>
      <c r="AQ65" s="20">
        <f>0</f>
        <v/>
      </c>
      <c r="AR65" s="20">
        <f>0</f>
        <v/>
      </c>
      <c r="AS65" s="20">
        <f>0</f>
        <v/>
      </c>
      <c r="AT65" s="20">
        <f>0</f>
        <v/>
      </c>
      <c r="AU65" s="20">
        <f>0</f>
        <v/>
      </c>
    </row>
    <row r="66">
      <c r="D66" t="inlineStr">
        <is>
          <t>Repriced holdco TLB 2025: closing balance</t>
        </is>
      </c>
      <c r="E66" t="inlineStr">
        <is>
          <t>USD m</t>
        </is>
      </c>
      <c r="J66" s="20">
        <f>Debt!J64-Debt!J63-Debt!J65</f>
        <v/>
      </c>
      <c r="K66" s="20">
        <f>Debt!K64-Debt!K63-Debt!K65</f>
        <v/>
      </c>
      <c r="L66" s="20">
        <f>Debt!L64-Debt!L63-Debt!L65</f>
        <v/>
      </c>
      <c r="M66" s="20">
        <f>Debt!M64-Debt!M63-Debt!M65</f>
        <v/>
      </c>
      <c r="N66" s="20">
        <f>Debt!N64-Debt!N63-Debt!N65</f>
        <v/>
      </c>
      <c r="O66" s="20">
        <f>Debt!O64-Debt!O63-Debt!O65</f>
        <v/>
      </c>
      <c r="P66" s="20">
        <f>Debt!P64-Debt!P63-Debt!P65</f>
        <v/>
      </c>
      <c r="Q66" s="20">
        <f>Debt!Q64-Debt!Q63-Debt!Q65</f>
        <v/>
      </c>
      <c r="R66" s="20">
        <f>Debt!R64-Debt!R63-Debt!R65</f>
        <v/>
      </c>
      <c r="S66" s="20">
        <f>Debt!S64-Debt!S63-Debt!S65</f>
        <v/>
      </c>
      <c r="T66" s="20">
        <f>Debt!T64-Debt!T63-Debt!T65</f>
        <v/>
      </c>
      <c r="U66" s="20">
        <f>Debt!U64-Debt!U63-Debt!U65</f>
        <v/>
      </c>
      <c r="V66" s="20">
        <f>Debt!V64-Debt!V63-Debt!V65</f>
        <v/>
      </c>
      <c r="W66" s="20">
        <f>Debt!W64-Debt!W63-Debt!W65</f>
        <v/>
      </c>
      <c r="X66" s="20">
        <f>Debt!X64-Debt!X63-Debt!X65</f>
        <v/>
      </c>
      <c r="Y66" s="20">
        <f>Debt!Y64-Debt!Y63-Debt!Y65</f>
        <v/>
      </c>
      <c r="Z66" s="20">
        <f>Debt!Z64-Debt!Z63-Debt!Z65</f>
        <v/>
      </c>
      <c r="AA66" s="20">
        <f>Debt!AA64-Debt!AA63-Debt!AA65</f>
        <v/>
      </c>
      <c r="AB66" s="20">
        <f>Debt!AB64-Debt!AB63-Debt!AB65</f>
        <v/>
      </c>
      <c r="AC66" s="20">
        <f>Debt!AC64-Debt!AC63-Debt!AC65</f>
        <v/>
      </c>
      <c r="AD66" s="20">
        <f>Debt!AD64-Debt!AD63-Debt!AD65</f>
        <v/>
      </c>
      <c r="AE66" s="20">
        <f>Debt!AE64-Debt!AE63-Debt!AE65</f>
        <v/>
      </c>
      <c r="AF66" s="20">
        <f>Debt!AF64-Debt!AF63-Debt!AF65</f>
        <v/>
      </c>
      <c r="AG66" s="20">
        <f>Debt!AG64-Debt!AG63-Debt!AG65</f>
        <v/>
      </c>
      <c r="AH66" s="20">
        <f>Debt!AH64-Debt!AH63-Debt!AH65</f>
        <v/>
      </c>
      <c r="AI66" s="20">
        <f>Debt!AI64-Debt!AI63-Debt!AI65</f>
        <v/>
      </c>
      <c r="AJ66" s="20">
        <f>Debt!AJ64-Debt!AJ63-Debt!AJ65</f>
        <v/>
      </c>
      <c r="AK66" s="20">
        <f>Debt!AK64-Debt!AK63-Debt!AK65</f>
        <v/>
      </c>
      <c r="AL66" s="20">
        <f>Debt!AL64-Debt!AL63-Debt!AL65</f>
        <v/>
      </c>
      <c r="AM66" s="20">
        <f>Debt!AM64-Debt!AM63-Debt!AM65</f>
        <v/>
      </c>
      <c r="AN66" s="20">
        <f>Debt!AN64-Debt!AN63-Debt!AN65</f>
        <v/>
      </c>
      <c r="AO66" s="20">
        <f>Debt!AO64-Debt!AO63-Debt!AO65</f>
        <v/>
      </c>
      <c r="AP66" s="20">
        <f>Debt!AP64-Debt!AP63-Debt!AP65</f>
        <v/>
      </c>
      <c r="AQ66" s="20">
        <f>Debt!AQ64-Debt!AQ63-Debt!AQ65</f>
        <v/>
      </c>
      <c r="AR66" s="20">
        <f>Debt!AR64-Debt!AR63-Debt!AR65</f>
        <v/>
      </c>
      <c r="AS66" s="20">
        <f>Debt!AS64-Debt!AS63-Debt!AS65</f>
        <v/>
      </c>
      <c r="AT66" s="20">
        <f>Debt!AT64-Debt!AT63-Debt!AT65</f>
        <v/>
      </c>
      <c r="AU66" s="20">
        <f>Debt!AU64-Debt!AU63-Debt!AU65</f>
        <v/>
      </c>
    </row>
    <row r="67">
      <c r="D67" t="inlineStr">
        <is>
          <t>Holdco debt service (interest and scheduled amortization)</t>
        </is>
      </c>
      <c r="E67" t="inlineStr">
        <is>
          <t>USD m</t>
        </is>
      </c>
      <c r="G67" s="20">
        <f>SUM(J67:AU67)</f>
        <v/>
      </c>
      <c r="J67" s="20">
        <f>Debt!J47+Debt!J48+Debt!J54+Debt!J55+Debt!J61+Debt!J62</f>
        <v/>
      </c>
      <c r="K67" s="20">
        <f>Debt!K47+Debt!K48+Debt!K54+Debt!K55+Debt!K61+Debt!K62</f>
        <v/>
      </c>
      <c r="L67" s="20">
        <f>Debt!L47+Debt!L48+Debt!L54+Debt!L55+Debt!L61+Debt!L62</f>
        <v/>
      </c>
      <c r="M67" s="20">
        <f>Debt!M47+Debt!M48+Debt!M54+Debt!M55+Debt!M61+Debt!M62</f>
        <v/>
      </c>
      <c r="N67" s="20">
        <f>Debt!N47+Debt!N48+Debt!N54+Debt!N55+Debt!N61+Debt!N62</f>
        <v/>
      </c>
      <c r="O67" s="20">
        <f>Debt!O47+Debt!O48+Debt!O54+Debt!O55+Debt!O61+Debt!O62</f>
        <v/>
      </c>
      <c r="P67" s="20">
        <f>Debt!P47+Debt!P48+Debt!P54+Debt!P55+Debt!P61+Debt!P62</f>
        <v/>
      </c>
      <c r="Q67" s="20">
        <f>Debt!Q47+Debt!Q48+Debt!Q54+Debt!Q55+Debt!Q61+Debt!Q62</f>
        <v/>
      </c>
      <c r="R67" s="20">
        <f>Debt!R47+Debt!R48+Debt!R54+Debt!R55+Debt!R61+Debt!R62</f>
        <v/>
      </c>
      <c r="S67" s="20">
        <f>Debt!S47+Debt!S48+Debt!S54+Debt!S55+Debt!S61+Debt!S62</f>
        <v/>
      </c>
      <c r="T67" s="20">
        <f>Debt!T47+Debt!T48+Debt!T54+Debt!T55+Debt!T61+Debt!T62</f>
        <v/>
      </c>
      <c r="U67" s="20">
        <f>Debt!U47+Debt!U48+Debt!U54+Debt!U55+Debt!U61+Debt!U62</f>
        <v/>
      </c>
      <c r="V67" s="20">
        <f>Debt!V47+Debt!V48+Debt!V54+Debt!V55+Debt!V61+Debt!V62</f>
        <v/>
      </c>
      <c r="W67" s="20">
        <f>Debt!W47+Debt!W48+Debt!W54+Debt!W55+Debt!W61+Debt!W62</f>
        <v/>
      </c>
      <c r="X67" s="20">
        <f>Debt!X47+Debt!X48+Debt!X54+Debt!X55+Debt!X61+Debt!X62</f>
        <v/>
      </c>
      <c r="Y67" s="20">
        <f>Debt!Y47+Debt!Y48+Debt!Y54+Debt!Y55+Debt!Y61+Debt!Y62</f>
        <v/>
      </c>
      <c r="Z67" s="20">
        <f>Debt!Z47+Debt!Z48+Debt!Z54+Debt!Z55+Debt!Z61+Debt!Z62</f>
        <v/>
      </c>
      <c r="AA67" s="20">
        <f>Debt!AA47+Debt!AA48+Debt!AA54+Debt!AA55+Debt!AA61+Debt!AA62</f>
        <v/>
      </c>
      <c r="AB67" s="20">
        <f>Debt!AB47+Debt!AB48+Debt!AB54+Debt!AB55+Debt!AB61+Debt!AB62</f>
        <v/>
      </c>
      <c r="AC67" s="20">
        <f>Debt!AC47+Debt!AC48+Debt!AC54+Debt!AC55+Debt!AC61+Debt!AC62</f>
        <v/>
      </c>
      <c r="AD67" s="20">
        <f>Debt!AD47+Debt!AD48+Debt!AD54+Debt!AD55+Debt!AD61+Debt!AD62</f>
        <v/>
      </c>
      <c r="AE67" s="20">
        <f>Debt!AE47+Debt!AE48+Debt!AE54+Debt!AE55+Debt!AE61+Debt!AE62</f>
        <v/>
      </c>
      <c r="AF67" s="20">
        <f>Debt!AF47+Debt!AF48+Debt!AF54+Debt!AF55+Debt!AF61+Debt!AF62</f>
        <v/>
      </c>
      <c r="AG67" s="20">
        <f>Debt!AG47+Debt!AG48+Debt!AG54+Debt!AG55+Debt!AG61+Debt!AG62</f>
        <v/>
      </c>
      <c r="AH67" s="20">
        <f>Debt!AH47+Debt!AH48+Debt!AH54+Debt!AH55+Debt!AH61+Debt!AH62</f>
        <v/>
      </c>
      <c r="AI67" s="20">
        <f>Debt!AI47+Debt!AI48+Debt!AI54+Debt!AI55+Debt!AI61+Debt!AI62</f>
        <v/>
      </c>
      <c r="AJ67" s="20">
        <f>Debt!AJ47+Debt!AJ48+Debt!AJ54+Debt!AJ55+Debt!AJ61+Debt!AJ62</f>
        <v/>
      </c>
      <c r="AK67" s="20">
        <f>Debt!AK47+Debt!AK48+Debt!AK54+Debt!AK55+Debt!AK61+Debt!AK62</f>
        <v/>
      </c>
      <c r="AL67" s="20">
        <f>Debt!AL47+Debt!AL48+Debt!AL54+Debt!AL55+Debt!AL61+Debt!AL62</f>
        <v/>
      </c>
      <c r="AM67" s="20">
        <f>Debt!AM47+Debt!AM48+Debt!AM54+Debt!AM55+Debt!AM61+Debt!AM62</f>
        <v/>
      </c>
      <c r="AN67" s="20">
        <f>Debt!AN47+Debt!AN48+Debt!AN54+Debt!AN55+Debt!AN61+Debt!AN62</f>
        <v/>
      </c>
      <c r="AO67" s="20">
        <f>Debt!AO47+Debt!AO48+Debt!AO54+Debt!AO55+Debt!AO61+Debt!AO62</f>
        <v/>
      </c>
      <c r="AP67" s="20">
        <f>Debt!AP47+Debt!AP48+Debt!AP54+Debt!AP55+Debt!AP61+Debt!AP62</f>
        <v/>
      </c>
      <c r="AQ67" s="20">
        <f>Debt!AQ47+Debt!AQ48+Debt!AQ54+Debt!AQ55+Debt!AQ61+Debt!AQ62</f>
        <v/>
      </c>
      <c r="AR67" s="20">
        <f>Debt!AR47+Debt!AR48+Debt!AR54+Debt!AR55+Debt!AR61+Debt!AR62</f>
        <v/>
      </c>
      <c r="AS67" s="20">
        <f>Debt!AS47+Debt!AS48+Debt!AS54+Debt!AS55+Debt!AS61+Debt!AS62</f>
        <v/>
      </c>
      <c r="AT67" s="20">
        <f>Debt!AT47+Debt!AT48+Debt!AT54+Debt!AT55+Debt!AT61+Debt!AT62</f>
        <v/>
      </c>
      <c r="AU67" s="20">
        <f>Debt!AU47+Debt!AU48+Debt!AU54+Debt!AU55+Debt!AU61+Debt!AU62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Waterfall: opco to holdco to fund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D4" t="inlineStr">
        <is>
          <t>Year</t>
        </is>
      </c>
      <c r="J4" s="2">
        <f>Time!J$4</f>
        <v/>
      </c>
      <c r="K4" s="2">
        <f>Time!K$4</f>
        <v/>
      </c>
      <c r="L4" s="2">
        <f>Time!L$4</f>
        <v/>
      </c>
      <c r="M4" s="2">
        <f>Time!M$4</f>
        <v/>
      </c>
      <c r="N4" s="2">
        <f>Time!N$4</f>
        <v/>
      </c>
      <c r="O4" s="2">
        <f>Time!O$4</f>
        <v/>
      </c>
      <c r="P4" s="2">
        <f>Time!P$4</f>
        <v/>
      </c>
      <c r="Q4" s="2">
        <f>Time!Q$4</f>
        <v/>
      </c>
      <c r="R4" s="2">
        <f>Time!R$4</f>
        <v/>
      </c>
      <c r="S4" s="2">
        <f>Time!S$4</f>
        <v/>
      </c>
      <c r="T4" s="2">
        <f>Time!T$4</f>
        <v/>
      </c>
      <c r="U4" s="2">
        <f>Time!U$4</f>
        <v/>
      </c>
      <c r="V4" s="2">
        <f>Time!V$4</f>
        <v/>
      </c>
      <c r="W4" s="2">
        <f>Time!W$4</f>
        <v/>
      </c>
      <c r="X4" s="2">
        <f>Time!X$4</f>
        <v/>
      </c>
      <c r="Y4" s="2">
        <f>Time!Y$4</f>
        <v/>
      </c>
      <c r="Z4" s="2">
        <f>Time!Z$4</f>
        <v/>
      </c>
      <c r="AA4" s="2">
        <f>Time!AA$4</f>
        <v/>
      </c>
      <c r="AB4" s="2">
        <f>Time!AB$4</f>
        <v/>
      </c>
      <c r="AC4" s="2">
        <f>Time!AC$4</f>
        <v/>
      </c>
      <c r="AD4" s="2">
        <f>Time!AD$4</f>
        <v/>
      </c>
      <c r="AE4" s="2">
        <f>Time!AE$4</f>
        <v/>
      </c>
      <c r="AF4" s="2">
        <f>Time!AF$4</f>
        <v/>
      </c>
      <c r="AG4" s="2">
        <f>Time!AG$4</f>
        <v/>
      </c>
      <c r="AH4" s="2">
        <f>Time!AH$4</f>
        <v/>
      </c>
      <c r="AI4" s="2">
        <f>Time!AI$4</f>
        <v/>
      </c>
      <c r="AJ4" s="2">
        <f>Time!AJ$4</f>
        <v/>
      </c>
      <c r="AK4" s="2">
        <f>Time!AK$4</f>
        <v/>
      </c>
      <c r="AL4" s="2">
        <f>Time!AL$4</f>
        <v/>
      </c>
      <c r="AM4" s="2">
        <f>Time!AM$4</f>
        <v/>
      </c>
      <c r="AN4" s="2">
        <f>Time!AN$4</f>
        <v/>
      </c>
      <c r="AO4" s="2">
        <f>Time!AO$4</f>
        <v/>
      </c>
      <c r="AP4" s="2">
        <f>Time!AP$4</f>
        <v/>
      </c>
      <c r="AQ4" s="2">
        <f>Time!AQ$4</f>
        <v/>
      </c>
      <c r="AR4" s="2">
        <f>Time!AR$4</f>
        <v/>
      </c>
      <c r="AS4" s="2">
        <f>Time!AS$4</f>
        <v/>
      </c>
      <c r="AT4" s="2">
        <f>Time!AT$4</f>
        <v/>
      </c>
      <c r="AU4" s="2">
        <f>Time!AU$4</f>
        <v/>
      </c>
    </row>
    <row r="5">
      <c r="D5" t="inlineStr">
        <is>
          <t>Period end</t>
        </is>
      </c>
      <c r="J5" s="3">
        <f>Time!J$6</f>
        <v/>
      </c>
      <c r="K5" s="3">
        <f>Time!K$6</f>
        <v/>
      </c>
      <c r="L5" s="3">
        <f>Time!L$6</f>
        <v/>
      </c>
      <c r="M5" s="3">
        <f>Time!M$6</f>
        <v/>
      </c>
      <c r="N5" s="3">
        <f>Time!N$6</f>
        <v/>
      </c>
      <c r="O5" s="3">
        <f>Time!O$6</f>
        <v/>
      </c>
      <c r="P5" s="3">
        <f>Time!P$6</f>
        <v/>
      </c>
      <c r="Q5" s="3">
        <f>Time!Q$6</f>
        <v/>
      </c>
      <c r="R5" s="3">
        <f>Time!R$6</f>
        <v/>
      </c>
      <c r="S5" s="3">
        <f>Time!S$6</f>
        <v/>
      </c>
      <c r="T5" s="3">
        <f>Time!T$6</f>
        <v/>
      </c>
      <c r="U5" s="3">
        <f>Time!U$6</f>
        <v/>
      </c>
      <c r="V5" s="3">
        <f>Time!V$6</f>
        <v/>
      </c>
      <c r="W5" s="3">
        <f>Time!W$6</f>
        <v/>
      </c>
      <c r="X5" s="3">
        <f>Time!X$6</f>
        <v/>
      </c>
      <c r="Y5" s="3">
        <f>Time!Y$6</f>
        <v/>
      </c>
      <c r="Z5" s="3">
        <f>Time!Z$6</f>
        <v/>
      </c>
      <c r="AA5" s="3">
        <f>Time!AA$6</f>
        <v/>
      </c>
      <c r="AB5" s="3">
        <f>Time!AB$6</f>
        <v/>
      </c>
      <c r="AC5" s="3">
        <f>Time!AC$6</f>
        <v/>
      </c>
      <c r="AD5" s="3">
        <f>Time!AD$6</f>
        <v/>
      </c>
      <c r="AE5" s="3">
        <f>Time!AE$6</f>
        <v/>
      </c>
      <c r="AF5" s="3">
        <f>Time!AF$6</f>
        <v/>
      </c>
      <c r="AG5" s="3">
        <f>Time!AG$6</f>
        <v/>
      </c>
      <c r="AH5" s="3">
        <f>Time!AH$6</f>
        <v/>
      </c>
      <c r="AI5" s="3">
        <f>Time!AI$6</f>
        <v/>
      </c>
      <c r="AJ5" s="3">
        <f>Time!AJ$6</f>
        <v/>
      </c>
      <c r="AK5" s="3">
        <f>Time!AK$6</f>
        <v/>
      </c>
      <c r="AL5" s="3">
        <f>Time!AL$6</f>
        <v/>
      </c>
      <c r="AM5" s="3">
        <f>Time!AM$6</f>
        <v/>
      </c>
      <c r="AN5" s="3">
        <f>Time!AN$6</f>
        <v/>
      </c>
      <c r="AO5" s="3">
        <f>Time!AO$6</f>
        <v/>
      </c>
      <c r="AP5" s="3">
        <f>Time!AP$6</f>
        <v/>
      </c>
      <c r="AQ5" s="3">
        <f>Time!AQ$6</f>
        <v/>
      </c>
      <c r="AR5" s="3">
        <f>Time!AR$6</f>
        <v/>
      </c>
      <c r="AS5" s="3">
        <f>Time!AS$6</f>
        <v/>
      </c>
      <c r="AT5" s="3">
        <f>Time!AT$6</f>
        <v/>
      </c>
      <c r="AU5" s="3">
        <f>Time!AU$6</f>
        <v/>
      </c>
    </row>
    <row r="7">
      <c r="A7" s="4" t="inlineStr">
        <is>
          <t>Opco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D8" t="inlineStr">
        <is>
          <t>CFADS (portfolio, Mesa share)</t>
        </is>
      </c>
      <c r="E8" t="inlineStr">
        <is>
          <t>USD m</t>
        </is>
      </c>
      <c r="G8" s="20">
        <f>SUM(J8:AU8)</f>
        <v/>
      </c>
      <c r="J8" s="21">
        <f>Operations!J401</f>
        <v/>
      </c>
      <c r="K8" s="21">
        <f>Operations!K401</f>
        <v/>
      </c>
      <c r="L8" s="21">
        <f>Operations!L401</f>
        <v/>
      </c>
      <c r="M8" s="21">
        <f>Operations!M401</f>
        <v/>
      </c>
      <c r="N8" s="21">
        <f>Operations!N401</f>
        <v/>
      </c>
      <c r="O8" s="21">
        <f>Operations!O401</f>
        <v/>
      </c>
      <c r="P8" s="21">
        <f>Operations!P401</f>
        <v/>
      </c>
      <c r="Q8" s="21">
        <f>Operations!Q401</f>
        <v/>
      </c>
      <c r="R8" s="21">
        <f>Operations!R401</f>
        <v/>
      </c>
      <c r="S8" s="21">
        <f>Operations!S401</f>
        <v/>
      </c>
      <c r="T8" s="21">
        <f>Operations!T401</f>
        <v/>
      </c>
      <c r="U8" s="21">
        <f>Operations!U401</f>
        <v/>
      </c>
      <c r="V8" s="21">
        <f>Operations!V401</f>
        <v/>
      </c>
      <c r="W8" s="21">
        <f>Operations!W401</f>
        <v/>
      </c>
      <c r="X8" s="21">
        <f>Operations!X401</f>
        <v/>
      </c>
      <c r="Y8" s="21">
        <f>Operations!Y401</f>
        <v/>
      </c>
      <c r="Z8" s="21">
        <f>Operations!Z401</f>
        <v/>
      </c>
      <c r="AA8" s="21">
        <f>Operations!AA401</f>
        <v/>
      </c>
      <c r="AB8" s="21">
        <f>Operations!AB401</f>
        <v/>
      </c>
      <c r="AC8" s="21">
        <f>Operations!AC401</f>
        <v/>
      </c>
      <c r="AD8" s="21">
        <f>Operations!AD401</f>
        <v/>
      </c>
      <c r="AE8" s="21">
        <f>Operations!AE401</f>
        <v/>
      </c>
      <c r="AF8" s="21">
        <f>Operations!AF401</f>
        <v/>
      </c>
      <c r="AG8" s="21">
        <f>Operations!AG401</f>
        <v/>
      </c>
      <c r="AH8" s="21">
        <f>Operations!AH401</f>
        <v/>
      </c>
      <c r="AI8" s="21">
        <f>Operations!AI401</f>
        <v/>
      </c>
      <c r="AJ8" s="21">
        <f>Operations!AJ401</f>
        <v/>
      </c>
      <c r="AK8" s="21">
        <f>Operations!AK401</f>
        <v/>
      </c>
      <c r="AL8" s="21">
        <f>Operations!AL401</f>
        <v/>
      </c>
      <c r="AM8" s="21">
        <f>Operations!AM401</f>
        <v/>
      </c>
      <c r="AN8" s="21">
        <f>Operations!AN401</f>
        <v/>
      </c>
      <c r="AO8" s="21">
        <f>Operations!AO401</f>
        <v/>
      </c>
      <c r="AP8" s="21">
        <f>Operations!AP401</f>
        <v/>
      </c>
      <c r="AQ8" s="21">
        <f>Operations!AQ401</f>
        <v/>
      </c>
      <c r="AR8" s="21">
        <f>Operations!AR401</f>
        <v/>
      </c>
      <c r="AS8" s="21">
        <f>Operations!AS401</f>
        <v/>
      </c>
      <c r="AT8" s="21">
        <f>Operations!AT401</f>
        <v/>
      </c>
      <c r="AU8" s="21">
        <f>Operations!AU401</f>
        <v/>
      </c>
    </row>
    <row r="9">
      <c r="D9" t="inlineStr">
        <is>
          <t>Opco debt service (term loan, Redfern, USPP)</t>
        </is>
      </c>
      <c r="E9" t="inlineStr">
        <is>
          <t>USD m</t>
        </is>
      </c>
      <c r="G9" s="20">
        <f>SUM(J9:AU9)</f>
        <v/>
      </c>
      <c r="J9" s="20">
        <f>Debt!J18+Debt!J27+Debt!J34</f>
        <v/>
      </c>
      <c r="K9" s="20">
        <f>Debt!K18+Debt!K27+Debt!K34</f>
        <v/>
      </c>
      <c r="L9" s="20">
        <f>Debt!L18+Debt!L27+Debt!L34</f>
        <v/>
      </c>
      <c r="M9" s="20">
        <f>Debt!M18+Debt!M27+Debt!M34</f>
        <v/>
      </c>
      <c r="N9" s="20">
        <f>Debt!N18+Debt!N27+Debt!N34</f>
        <v/>
      </c>
      <c r="O9" s="20">
        <f>Debt!O18+Debt!O27+Debt!O34</f>
        <v/>
      </c>
      <c r="P9" s="20">
        <f>Debt!P18+Debt!P27+Debt!P34</f>
        <v/>
      </c>
      <c r="Q9" s="20">
        <f>Debt!Q18+Debt!Q27+Debt!Q34</f>
        <v/>
      </c>
      <c r="R9" s="20">
        <f>Debt!R18+Debt!R27+Debt!R34</f>
        <v/>
      </c>
      <c r="S9" s="20">
        <f>Debt!S18+Debt!S27+Debt!S34</f>
        <v/>
      </c>
      <c r="T9" s="20">
        <f>Debt!T18+Debt!T27+Debt!T34</f>
        <v/>
      </c>
      <c r="U9" s="20">
        <f>Debt!U18+Debt!U27+Debt!U34</f>
        <v/>
      </c>
      <c r="V9" s="20">
        <f>Debt!V18+Debt!V27+Debt!V34</f>
        <v/>
      </c>
      <c r="W9" s="20">
        <f>Debt!W18+Debt!W27+Debt!W34</f>
        <v/>
      </c>
      <c r="X9" s="20">
        <f>Debt!X18+Debt!X27+Debt!X34</f>
        <v/>
      </c>
      <c r="Y9" s="20">
        <f>Debt!Y18+Debt!Y27+Debt!Y34</f>
        <v/>
      </c>
      <c r="Z9" s="20">
        <f>Debt!Z18+Debt!Z27+Debt!Z34</f>
        <v/>
      </c>
      <c r="AA9" s="20">
        <f>Debt!AA18+Debt!AA27+Debt!AA34</f>
        <v/>
      </c>
      <c r="AB9" s="20">
        <f>Debt!AB18+Debt!AB27+Debt!AB34</f>
        <v/>
      </c>
      <c r="AC9" s="20">
        <f>Debt!AC18+Debt!AC27+Debt!AC34</f>
        <v/>
      </c>
      <c r="AD9" s="20">
        <f>Debt!AD18+Debt!AD27+Debt!AD34</f>
        <v/>
      </c>
      <c r="AE9" s="20">
        <f>Debt!AE18+Debt!AE27+Debt!AE34</f>
        <v/>
      </c>
      <c r="AF9" s="20">
        <f>Debt!AF18+Debt!AF27+Debt!AF34</f>
        <v/>
      </c>
      <c r="AG9" s="20">
        <f>Debt!AG18+Debt!AG27+Debt!AG34</f>
        <v/>
      </c>
      <c r="AH9" s="20">
        <f>Debt!AH18+Debt!AH27+Debt!AH34</f>
        <v/>
      </c>
      <c r="AI9" s="20">
        <f>Debt!AI18+Debt!AI27+Debt!AI34</f>
        <v/>
      </c>
      <c r="AJ9" s="20">
        <f>Debt!AJ18+Debt!AJ27+Debt!AJ34</f>
        <v/>
      </c>
      <c r="AK9" s="20">
        <f>Debt!AK18+Debt!AK27+Debt!AK34</f>
        <v/>
      </c>
      <c r="AL9" s="20">
        <f>Debt!AL18+Debt!AL27+Debt!AL34</f>
        <v/>
      </c>
      <c r="AM9" s="20">
        <f>Debt!AM18+Debt!AM27+Debt!AM34</f>
        <v/>
      </c>
      <c r="AN9" s="20">
        <f>Debt!AN18+Debt!AN27+Debt!AN34</f>
        <v/>
      </c>
      <c r="AO9" s="20">
        <f>Debt!AO18+Debt!AO27+Debt!AO34</f>
        <v/>
      </c>
      <c r="AP9" s="20">
        <f>Debt!AP18+Debt!AP27+Debt!AP34</f>
        <v/>
      </c>
      <c r="AQ9" s="20">
        <f>Debt!AQ18+Debt!AQ27+Debt!AQ34</f>
        <v/>
      </c>
      <c r="AR9" s="20">
        <f>Debt!AR18+Debt!AR27+Debt!AR34</f>
        <v/>
      </c>
      <c r="AS9" s="20">
        <f>Debt!AS18+Debt!AS27+Debt!AS34</f>
        <v/>
      </c>
      <c r="AT9" s="20">
        <f>Debt!AT18+Debt!AT27+Debt!AT34</f>
        <v/>
      </c>
      <c r="AU9" s="20">
        <f>Debt!AU18+Debt!AU27+Debt!AU34</f>
        <v/>
      </c>
    </row>
    <row r="10">
      <c r="D10" t="inlineStr">
        <is>
          <t>Opco distributions to holdco</t>
        </is>
      </c>
      <c r="E10" t="inlineStr">
        <is>
          <t>USD m</t>
        </is>
      </c>
      <c r="G10" s="20">
        <f>SUM(J10:AU10)</f>
        <v/>
      </c>
      <c r="J10" s="20">
        <f>Waterfall!J8-Waterfall!J9</f>
        <v/>
      </c>
      <c r="K10" s="20">
        <f>Waterfall!K8-Waterfall!K9</f>
        <v/>
      </c>
      <c r="L10" s="20">
        <f>Waterfall!L8-Waterfall!L9</f>
        <v/>
      </c>
      <c r="M10" s="20">
        <f>Waterfall!M8-Waterfall!M9</f>
        <v/>
      </c>
      <c r="N10" s="20">
        <f>Waterfall!N8-Waterfall!N9</f>
        <v/>
      </c>
      <c r="O10" s="20">
        <f>Waterfall!O8-Waterfall!O9</f>
        <v/>
      </c>
      <c r="P10" s="20">
        <f>Waterfall!P8-Waterfall!P9</f>
        <v/>
      </c>
      <c r="Q10" s="20">
        <f>Waterfall!Q8-Waterfall!Q9</f>
        <v/>
      </c>
      <c r="R10" s="20">
        <f>Waterfall!R8-Waterfall!R9</f>
        <v/>
      </c>
      <c r="S10" s="20">
        <f>Waterfall!S8-Waterfall!S9</f>
        <v/>
      </c>
      <c r="T10" s="20">
        <f>Waterfall!T8-Waterfall!T9</f>
        <v/>
      </c>
      <c r="U10" s="20">
        <f>Waterfall!U8-Waterfall!U9</f>
        <v/>
      </c>
      <c r="V10" s="20">
        <f>Waterfall!V8-Waterfall!V9</f>
        <v/>
      </c>
      <c r="W10" s="20">
        <f>Waterfall!W8-Waterfall!W9</f>
        <v/>
      </c>
      <c r="X10" s="20">
        <f>Waterfall!X8-Waterfall!X9</f>
        <v/>
      </c>
      <c r="Y10" s="20">
        <f>Waterfall!Y8-Waterfall!Y9</f>
        <v/>
      </c>
      <c r="Z10" s="20">
        <f>Waterfall!Z8-Waterfall!Z9</f>
        <v/>
      </c>
      <c r="AA10" s="20">
        <f>Waterfall!AA8-Waterfall!AA9</f>
        <v/>
      </c>
      <c r="AB10" s="20">
        <f>Waterfall!AB8-Waterfall!AB9</f>
        <v/>
      </c>
      <c r="AC10" s="20">
        <f>Waterfall!AC8-Waterfall!AC9</f>
        <v/>
      </c>
      <c r="AD10" s="20">
        <f>Waterfall!AD8-Waterfall!AD9</f>
        <v/>
      </c>
      <c r="AE10" s="20">
        <f>Waterfall!AE8-Waterfall!AE9</f>
        <v/>
      </c>
      <c r="AF10" s="20">
        <f>Waterfall!AF8-Waterfall!AF9</f>
        <v/>
      </c>
      <c r="AG10" s="20">
        <f>Waterfall!AG8-Waterfall!AG9</f>
        <v/>
      </c>
      <c r="AH10" s="20">
        <f>Waterfall!AH8-Waterfall!AH9</f>
        <v/>
      </c>
      <c r="AI10" s="20">
        <f>Waterfall!AI8-Waterfall!AI9</f>
        <v/>
      </c>
      <c r="AJ10" s="20">
        <f>Waterfall!AJ8-Waterfall!AJ9</f>
        <v/>
      </c>
      <c r="AK10" s="20">
        <f>Waterfall!AK8-Waterfall!AK9</f>
        <v/>
      </c>
      <c r="AL10" s="20">
        <f>Waterfall!AL8-Waterfall!AL9</f>
        <v/>
      </c>
      <c r="AM10" s="20">
        <f>Waterfall!AM8-Waterfall!AM9</f>
        <v/>
      </c>
      <c r="AN10" s="20">
        <f>Waterfall!AN8-Waterfall!AN9</f>
        <v/>
      </c>
      <c r="AO10" s="20">
        <f>Waterfall!AO8-Waterfall!AO9</f>
        <v/>
      </c>
      <c r="AP10" s="20">
        <f>Waterfall!AP8-Waterfall!AP9</f>
        <v/>
      </c>
      <c r="AQ10" s="20">
        <f>Waterfall!AQ8-Waterfall!AQ9</f>
        <v/>
      </c>
      <c r="AR10" s="20">
        <f>Waterfall!AR8-Waterfall!AR9</f>
        <v/>
      </c>
      <c r="AS10" s="20">
        <f>Waterfall!AS8-Waterfall!AS9</f>
        <v/>
      </c>
      <c r="AT10" s="20">
        <f>Waterfall!AT8-Waterfall!AT9</f>
        <v/>
      </c>
      <c r="AU10" s="20">
        <f>Waterfall!AU8-Waterfall!AU9</f>
        <v/>
      </c>
    </row>
    <row r="11">
      <c r="D11" t="inlineStr">
        <is>
          <t>Refinancing proceeds distributed by opco</t>
        </is>
      </c>
      <c r="E11" t="inlineStr">
        <is>
          <t>USD m</t>
        </is>
      </c>
      <c r="G11" s="20">
        <f>SUM(J11:AU11)</f>
        <v/>
      </c>
      <c r="J11" s="20">
        <f>Debt!J9*Funding!$F$179</f>
        <v/>
      </c>
      <c r="K11" s="20">
        <f>Debt!K9*Funding!$F$179</f>
        <v/>
      </c>
      <c r="L11" s="20">
        <f>Debt!L9*Funding!$F$179</f>
        <v/>
      </c>
      <c r="M11" s="20">
        <f>Debt!M9*Funding!$F$179</f>
        <v/>
      </c>
      <c r="N11" s="20">
        <f>Debt!N9*Funding!$F$179</f>
        <v/>
      </c>
      <c r="O11" s="20">
        <f>Debt!O9*Funding!$F$179</f>
        <v/>
      </c>
      <c r="P11" s="20">
        <f>Debt!P9*Funding!$F$179</f>
        <v/>
      </c>
      <c r="Q11" s="20">
        <f>Debt!Q9*Funding!$F$179</f>
        <v/>
      </c>
      <c r="R11" s="20">
        <f>Debt!R9*Funding!$F$179</f>
        <v/>
      </c>
      <c r="S11" s="20">
        <f>Debt!S9*Funding!$F$179</f>
        <v/>
      </c>
      <c r="T11" s="20">
        <f>Debt!T9*Funding!$F$179</f>
        <v/>
      </c>
      <c r="U11" s="20">
        <f>Debt!U9*Funding!$F$179</f>
        <v/>
      </c>
      <c r="V11" s="20">
        <f>Debt!V9*Funding!$F$179</f>
        <v/>
      </c>
      <c r="W11" s="20">
        <f>Debt!W9*Funding!$F$179</f>
        <v/>
      </c>
      <c r="X11" s="20">
        <f>Debt!X9*Funding!$F$179</f>
        <v/>
      </c>
      <c r="Y11" s="20">
        <f>Debt!Y9*Funding!$F$179</f>
        <v/>
      </c>
      <c r="Z11" s="20">
        <f>Debt!Z9*Funding!$F$179</f>
        <v/>
      </c>
      <c r="AA11" s="20">
        <f>Debt!AA9*Funding!$F$179</f>
        <v/>
      </c>
      <c r="AB11" s="20">
        <f>Debt!AB9*Funding!$F$179</f>
        <v/>
      </c>
      <c r="AC11" s="20">
        <f>Debt!AC9*Funding!$F$179</f>
        <v/>
      </c>
      <c r="AD11" s="20">
        <f>Debt!AD9*Funding!$F$179</f>
        <v/>
      </c>
      <c r="AE11" s="20">
        <f>Debt!AE9*Funding!$F$179</f>
        <v/>
      </c>
      <c r="AF11" s="20">
        <f>Debt!AF9*Funding!$F$179</f>
        <v/>
      </c>
      <c r="AG11" s="20">
        <f>Debt!AG9*Funding!$F$179</f>
        <v/>
      </c>
      <c r="AH11" s="20">
        <f>Debt!AH9*Funding!$F$179</f>
        <v/>
      </c>
      <c r="AI11" s="20">
        <f>Debt!AI9*Funding!$F$179</f>
        <v/>
      </c>
      <c r="AJ11" s="20">
        <f>Debt!AJ9*Funding!$F$179</f>
        <v/>
      </c>
      <c r="AK11" s="20">
        <f>Debt!AK9*Funding!$F$179</f>
        <v/>
      </c>
      <c r="AL11" s="20">
        <f>Debt!AL9*Funding!$F$179</f>
        <v/>
      </c>
      <c r="AM11" s="20">
        <f>Debt!AM9*Funding!$F$179</f>
        <v/>
      </c>
      <c r="AN11" s="20">
        <f>Debt!AN9*Funding!$F$179</f>
        <v/>
      </c>
      <c r="AO11" s="20">
        <f>Debt!AO9*Funding!$F$179</f>
        <v/>
      </c>
      <c r="AP11" s="20">
        <f>Debt!AP9*Funding!$F$179</f>
        <v/>
      </c>
      <c r="AQ11" s="20">
        <f>Debt!AQ9*Funding!$F$179</f>
        <v/>
      </c>
      <c r="AR11" s="20">
        <f>Debt!AR9*Funding!$F$179</f>
        <v/>
      </c>
      <c r="AS11" s="20">
        <f>Debt!AS9*Funding!$F$179</f>
        <v/>
      </c>
      <c r="AT11" s="20">
        <f>Debt!AT9*Funding!$F$179</f>
        <v/>
      </c>
      <c r="AU11" s="20">
        <f>Debt!AU9*Funding!$F$179</f>
        <v/>
      </c>
    </row>
    <row r="13">
      <c r="A13" s="4" t="inlineStr">
        <is>
          <t>Holdco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</row>
    <row r="14">
      <c r="D14" t="inlineStr">
        <is>
          <t>Cash tax</t>
        </is>
      </c>
      <c r="E14" t="inlineStr">
        <is>
          <t>USD m</t>
        </is>
      </c>
      <c r="J14" s="21">
        <f>Tax!J32</f>
        <v/>
      </c>
      <c r="K14" s="21">
        <f>Tax!K32</f>
        <v/>
      </c>
      <c r="L14" s="21">
        <f>Tax!L32</f>
        <v/>
      </c>
      <c r="M14" s="21">
        <f>Tax!M32</f>
        <v/>
      </c>
      <c r="N14" s="21">
        <f>Tax!N32</f>
        <v/>
      </c>
      <c r="O14" s="21">
        <f>Tax!O32</f>
        <v/>
      </c>
      <c r="P14" s="21">
        <f>Tax!P32</f>
        <v/>
      </c>
      <c r="Q14" s="21">
        <f>Tax!Q32</f>
        <v/>
      </c>
      <c r="R14" s="21">
        <f>Tax!R32</f>
        <v/>
      </c>
      <c r="S14" s="21">
        <f>Tax!S32</f>
        <v/>
      </c>
      <c r="T14" s="21">
        <f>Tax!T32</f>
        <v/>
      </c>
      <c r="U14" s="21">
        <f>Tax!U32</f>
        <v/>
      </c>
      <c r="V14" s="21">
        <f>Tax!V32</f>
        <v/>
      </c>
      <c r="W14" s="21">
        <f>Tax!W32</f>
        <v/>
      </c>
      <c r="X14" s="21">
        <f>Tax!X32</f>
        <v/>
      </c>
      <c r="Y14" s="21">
        <f>Tax!Y32</f>
        <v/>
      </c>
      <c r="Z14" s="21">
        <f>Tax!Z32</f>
        <v/>
      </c>
      <c r="AA14" s="21">
        <f>Tax!AA32</f>
        <v/>
      </c>
      <c r="AB14" s="21">
        <f>Tax!AB32</f>
        <v/>
      </c>
      <c r="AC14" s="21">
        <f>Tax!AC32</f>
        <v/>
      </c>
      <c r="AD14" s="21">
        <f>Tax!AD32</f>
        <v/>
      </c>
      <c r="AE14" s="21">
        <f>Tax!AE32</f>
        <v/>
      </c>
      <c r="AF14" s="21">
        <f>Tax!AF32</f>
        <v/>
      </c>
      <c r="AG14" s="21">
        <f>Tax!AG32</f>
        <v/>
      </c>
      <c r="AH14" s="21">
        <f>Tax!AH32</f>
        <v/>
      </c>
      <c r="AI14" s="21">
        <f>Tax!AI32</f>
        <v/>
      </c>
      <c r="AJ14" s="21">
        <f>Tax!AJ32</f>
        <v/>
      </c>
      <c r="AK14" s="21">
        <f>Tax!AK32</f>
        <v/>
      </c>
      <c r="AL14" s="21">
        <f>Tax!AL32</f>
        <v/>
      </c>
      <c r="AM14" s="21">
        <f>Tax!AM32</f>
        <v/>
      </c>
      <c r="AN14" s="21">
        <f>Tax!AN32</f>
        <v/>
      </c>
      <c r="AO14" s="21">
        <f>Tax!AO32</f>
        <v/>
      </c>
      <c r="AP14" s="21">
        <f>Tax!AP32</f>
        <v/>
      </c>
      <c r="AQ14" s="21">
        <f>Tax!AQ32</f>
        <v/>
      </c>
      <c r="AR14" s="21">
        <f>Tax!AR32</f>
        <v/>
      </c>
      <c r="AS14" s="21">
        <f>Tax!AS32</f>
        <v/>
      </c>
      <c r="AT14" s="21">
        <f>Tax!AT32</f>
        <v/>
      </c>
      <c r="AU14" s="21">
        <f>Tax!AU32</f>
        <v/>
      </c>
    </row>
    <row r="15">
      <c r="D15" t="inlineStr">
        <is>
          <t>Holdco debt service</t>
        </is>
      </c>
      <c r="E15" t="inlineStr">
        <is>
          <t>USD m</t>
        </is>
      </c>
      <c r="J15" s="21">
        <f>Debt!J67</f>
        <v/>
      </c>
      <c r="K15" s="21">
        <f>Debt!K67</f>
        <v/>
      </c>
      <c r="L15" s="21">
        <f>Debt!L67</f>
        <v/>
      </c>
      <c r="M15" s="21">
        <f>Debt!M67</f>
        <v/>
      </c>
      <c r="N15" s="21">
        <f>Debt!N67</f>
        <v/>
      </c>
      <c r="O15" s="21">
        <f>Debt!O67</f>
        <v/>
      </c>
      <c r="P15" s="21">
        <f>Debt!P67</f>
        <v/>
      </c>
      <c r="Q15" s="21">
        <f>Debt!Q67</f>
        <v/>
      </c>
      <c r="R15" s="21">
        <f>Debt!R67</f>
        <v/>
      </c>
      <c r="S15" s="21">
        <f>Debt!S67</f>
        <v/>
      </c>
      <c r="T15" s="21">
        <f>Debt!T67</f>
        <v/>
      </c>
      <c r="U15" s="21">
        <f>Debt!U67</f>
        <v/>
      </c>
      <c r="V15" s="21">
        <f>Debt!V67</f>
        <v/>
      </c>
      <c r="W15" s="21">
        <f>Debt!W67</f>
        <v/>
      </c>
      <c r="X15" s="21">
        <f>Debt!X67</f>
        <v/>
      </c>
      <c r="Y15" s="21">
        <f>Debt!Y67</f>
        <v/>
      </c>
      <c r="Z15" s="21">
        <f>Debt!Z67</f>
        <v/>
      </c>
      <c r="AA15" s="21">
        <f>Debt!AA67</f>
        <v/>
      </c>
      <c r="AB15" s="21">
        <f>Debt!AB67</f>
        <v/>
      </c>
      <c r="AC15" s="21">
        <f>Debt!AC67</f>
        <v/>
      </c>
      <c r="AD15" s="21">
        <f>Debt!AD67</f>
        <v/>
      </c>
      <c r="AE15" s="21">
        <f>Debt!AE67</f>
        <v/>
      </c>
      <c r="AF15" s="21">
        <f>Debt!AF67</f>
        <v/>
      </c>
      <c r="AG15" s="21">
        <f>Debt!AG67</f>
        <v/>
      </c>
      <c r="AH15" s="21">
        <f>Debt!AH67</f>
        <v/>
      </c>
      <c r="AI15" s="21">
        <f>Debt!AI67</f>
        <v/>
      </c>
      <c r="AJ15" s="21">
        <f>Debt!AJ67</f>
        <v/>
      </c>
      <c r="AK15" s="21">
        <f>Debt!AK67</f>
        <v/>
      </c>
      <c r="AL15" s="21">
        <f>Debt!AL67</f>
        <v/>
      </c>
      <c r="AM15" s="21">
        <f>Debt!AM67</f>
        <v/>
      </c>
      <c r="AN15" s="21">
        <f>Debt!AN67</f>
        <v/>
      </c>
      <c r="AO15" s="21">
        <f>Debt!AO67</f>
        <v/>
      </c>
      <c r="AP15" s="21">
        <f>Debt!AP67</f>
        <v/>
      </c>
      <c r="AQ15" s="21">
        <f>Debt!AQ67</f>
        <v/>
      </c>
      <c r="AR15" s="21">
        <f>Debt!AR67</f>
        <v/>
      </c>
      <c r="AS15" s="21">
        <f>Debt!AS67</f>
        <v/>
      </c>
      <c r="AT15" s="21">
        <f>Debt!AT67</f>
        <v/>
      </c>
      <c r="AU15" s="21">
        <f>Debt!AU67</f>
        <v/>
      </c>
    </row>
    <row r="16">
      <c r="D16" t="inlineStr">
        <is>
          <t>Excess cash after tax and holdco debt service</t>
        </is>
      </c>
      <c r="E16" t="inlineStr">
        <is>
          <t>USD m</t>
        </is>
      </c>
      <c r="G16" s="20">
        <f>SUM(J16:AU16)</f>
        <v/>
      </c>
      <c r="J16" s="20">
        <f>Waterfall!J10-Waterfall!J14-Waterfall!J15</f>
        <v/>
      </c>
      <c r="K16" s="20">
        <f>Waterfall!K10-Waterfall!K14-Waterfall!K15</f>
        <v/>
      </c>
      <c r="L16" s="20">
        <f>Waterfall!L10-Waterfall!L14-Waterfall!L15</f>
        <v/>
      </c>
      <c r="M16" s="20">
        <f>Waterfall!M10-Waterfall!M14-Waterfall!M15</f>
        <v/>
      </c>
      <c r="N16" s="20">
        <f>Waterfall!N10-Waterfall!N14-Waterfall!N15</f>
        <v/>
      </c>
      <c r="O16" s="20">
        <f>Waterfall!O10-Waterfall!O14-Waterfall!O15</f>
        <v/>
      </c>
      <c r="P16" s="20">
        <f>Waterfall!P10-Waterfall!P14-Waterfall!P15</f>
        <v/>
      </c>
      <c r="Q16" s="20">
        <f>Waterfall!Q10-Waterfall!Q14-Waterfall!Q15</f>
        <v/>
      </c>
      <c r="R16" s="20">
        <f>Waterfall!R10-Waterfall!R14-Waterfall!R15</f>
        <v/>
      </c>
      <c r="S16" s="20">
        <f>Waterfall!S10-Waterfall!S14-Waterfall!S15</f>
        <v/>
      </c>
      <c r="T16" s="20">
        <f>Waterfall!T10-Waterfall!T14-Waterfall!T15</f>
        <v/>
      </c>
      <c r="U16" s="20">
        <f>Waterfall!U10-Waterfall!U14-Waterfall!U15</f>
        <v/>
      </c>
      <c r="V16" s="20">
        <f>Waterfall!V10-Waterfall!V14-Waterfall!V15</f>
        <v/>
      </c>
      <c r="W16" s="20">
        <f>Waterfall!W10-Waterfall!W14-Waterfall!W15</f>
        <v/>
      </c>
      <c r="X16" s="20">
        <f>Waterfall!X10-Waterfall!X14-Waterfall!X15</f>
        <v/>
      </c>
      <c r="Y16" s="20">
        <f>Waterfall!Y10-Waterfall!Y14-Waterfall!Y15</f>
        <v/>
      </c>
      <c r="Z16" s="20">
        <f>Waterfall!Z10-Waterfall!Z14-Waterfall!Z15</f>
        <v/>
      </c>
      <c r="AA16" s="20">
        <f>Waterfall!AA10-Waterfall!AA14-Waterfall!AA15</f>
        <v/>
      </c>
      <c r="AB16" s="20">
        <f>Waterfall!AB10-Waterfall!AB14-Waterfall!AB15</f>
        <v/>
      </c>
      <c r="AC16" s="20">
        <f>Waterfall!AC10-Waterfall!AC14-Waterfall!AC15</f>
        <v/>
      </c>
      <c r="AD16" s="20">
        <f>Waterfall!AD10-Waterfall!AD14-Waterfall!AD15</f>
        <v/>
      </c>
      <c r="AE16" s="20">
        <f>Waterfall!AE10-Waterfall!AE14-Waterfall!AE15</f>
        <v/>
      </c>
      <c r="AF16" s="20">
        <f>Waterfall!AF10-Waterfall!AF14-Waterfall!AF15</f>
        <v/>
      </c>
      <c r="AG16" s="20">
        <f>Waterfall!AG10-Waterfall!AG14-Waterfall!AG15</f>
        <v/>
      </c>
      <c r="AH16" s="20">
        <f>Waterfall!AH10-Waterfall!AH14-Waterfall!AH15</f>
        <v/>
      </c>
      <c r="AI16" s="20">
        <f>Waterfall!AI10-Waterfall!AI14-Waterfall!AI15</f>
        <v/>
      </c>
      <c r="AJ16" s="20">
        <f>Waterfall!AJ10-Waterfall!AJ14-Waterfall!AJ15</f>
        <v/>
      </c>
      <c r="AK16" s="20">
        <f>Waterfall!AK10-Waterfall!AK14-Waterfall!AK15</f>
        <v/>
      </c>
      <c r="AL16" s="20">
        <f>Waterfall!AL10-Waterfall!AL14-Waterfall!AL15</f>
        <v/>
      </c>
      <c r="AM16" s="20">
        <f>Waterfall!AM10-Waterfall!AM14-Waterfall!AM15</f>
        <v/>
      </c>
      <c r="AN16" s="20">
        <f>Waterfall!AN10-Waterfall!AN14-Waterfall!AN15</f>
        <v/>
      </c>
      <c r="AO16" s="20">
        <f>Waterfall!AO10-Waterfall!AO14-Waterfall!AO15</f>
        <v/>
      </c>
      <c r="AP16" s="20">
        <f>Waterfall!AP10-Waterfall!AP14-Waterfall!AP15</f>
        <v/>
      </c>
      <c r="AQ16" s="20">
        <f>Waterfall!AQ10-Waterfall!AQ14-Waterfall!AQ15</f>
        <v/>
      </c>
      <c r="AR16" s="20">
        <f>Waterfall!AR10-Waterfall!AR14-Waterfall!AR15</f>
        <v/>
      </c>
      <c r="AS16" s="20">
        <f>Waterfall!AS10-Waterfall!AS14-Waterfall!AS15</f>
        <v/>
      </c>
      <c r="AT16" s="20">
        <f>Waterfall!AT10-Waterfall!AT14-Waterfall!AT15</f>
        <v/>
      </c>
      <c r="AU16" s="20">
        <f>Waterfall!AU10-Waterfall!AU14-Waterfall!AU15</f>
        <v/>
      </c>
    </row>
    <row r="17">
      <c r="D17" t="inlineStr">
        <is>
          <t>Holdco balances after scheduled amortization</t>
        </is>
      </c>
      <c r="E17" t="inlineStr">
        <is>
          <t>USD m</t>
        </is>
      </c>
      <c r="J17" s="20">
        <f>Debt!J50+Debt!J57+Debt!J64</f>
        <v/>
      </c>
      <c r="K17" s="20">
        <f>Debt!K50+Debt!K57+Debt!K64</f>
        <v/>
      </c>
      <c r="L17" s="20">
        <f>Debt!L50+Debt!L57+Debt!L64</f>
        <v/>
      </c>
      <c r="M17" s="20">
        <f>Debt!M50+Debt!M57+Debt!M64</f>
        <v/>
      </c>
      <c r="N17" s="20">
        <f>Debt!N50+Debt!N57+Debt!N64</f>
        <v/>
      </c>
      <c r="O17" s="20">
        <f>Debt!O50+Debt!O57+Debt!O64</f>
        <v/>
      </c>
      <c r="P17" s="20">
        <f>Debt!P50+Debt!P57+Debt!P64</f>
        <v/>
      </c>
      <c r="Q17" s="20">
        <f>Debt!Q50+Debt!Q57+Debt!Q64</f>
        <v/>
      </c>
      <c r="R17" s="20">
        <f>Debt!R50+Debt!R57+Debt!R64</f>
        <v/>
      </c>
      <c r="S17" s="20">
        <f>Debt!S50+Debt!S57+Debt!S64</f>
        <v/>
      </c>
      <c r="T17" s="20">
        <f>Debt!T50+Debt!T57+Debt!T64</f>
        <v/>
      </c>
      <c r="U17" s="20">
        <f>Debt!U50+Debt!U57+Debt!U64</f>
        <v/>
      </c>
      <c r="V17" s="20">
        <f>Debt!V50+Debt!V57+Debt!V64</f>
        <v/>
      </c>
      <c r="W17" s="20">
        <f>Debt!W50+Debt!W57+Debt!W64</f>
        <v/>
      </c>
      <c r="X17" s="20">
        <f>Debt!X50+Debt!X57+Debt!X64</f>
        <v/>
      </c>
      <c r="Y17" s="20">
        <f>Debt!Y50+Debt!Y57+Debt!Y64</f>
        <v/>
      </c>
      <c r="Z17" s="20">
        <f>Debt!Z50+Debt!Z57+Debt!Z64</f>
        <v/>
      </c>
      <c r="AA17" s="20">
        <f>Debt!AA50+Debt!AA57+Debt!AA64</f>
        <v/>
      </c>
      <c r="AB17" s="20">
        <f>Debt!AB50+Debt!AB57+Debt!AB64</f>
        <v/>
      </c>
      <c r="AC17" s="20">
        <f>Debt!AC50+Debt!AC57+Debt!AC64</f>
        <v/>
      </c>
      <c r="AD17" s="20">
        <f>Debt!AD50+Debt!AD57+Debt!AD64</f>
        <v/>
      </c>
      <c r="AE17" s="20">
        <f>Debt!AE50+Debt!AE57+Debt!AE64</f>
        <v/>
      </c>
      <c r="AF17" s="20">
        <f>Debt!AF50+Debt!AF57+Debt!AF64</f>
        <v/>
      </c>
      <c r="AG17" s="20">
        <f>Debt!AG50+Debt!AG57+Debt!AG64</f>
        <v/>
      </c>
      <c r="AH17" s="20">
        <f>Debt!AH50+Debt!AH57+Debt!AH64</f>
        <v/>
      </c>
      <c r="AI17" s="20">
        <f>Debt!AI50+Debt!AI57+Debt!AI64</f>
        <v/>
      </c>
      <c r="AJ17" s="20">
        <f>Debt!AJ50+Debt!AJ57+Debt!AJ64</f>
        <v/>
      </c>
      <c r="AK17" s="20">
        <f>Debt!AK50+Debt!AK57+Debt!AK64</f>
        <v/>
      </c>
      <c r="AL17" s="20">
        <f>Debt!AL50+Debt!AL57+Debt!AL64</f>
        <v/>
      </c>
      <c r="AM17" s="20">
        <f>Debt!AM50+Debt!AM57+Debt!AM64</f>
        <v/>
      </c>
      <c r="AN17" s="20">
        <f>Debt!AN50+Debt!AN57+Debt!AN64</f>
        <v/>
      </c>
      <c r="AO17" s="20">
        <f>Debt!AO50+Debt!AO57+Debt!AO64</f>
        <v/>
      </c>
      <c r="AP17" s="20">
        <f>Debt!AP50+Debt!AP57+Debt!AP64</f>
        <v/>
      </c>
      <c r="AQ17" s="20">
        <f>Debt!AQ50+Debt!AQ57+Debt!AQ64</f>
        <v/>
      </c>
      <c r="AR17" s="20">
        <f>Debt!AR50+Debt!AR57+Debt!AR64</f>
        <v/>
      </c>
      <c r="AS17" s="20">
        <f>Debt!AS50+Debt!AS57+Debt!AS64</f>
        <v/>
      </c>
      <c r="AT17" s="20">
        <f>Debt!AT50+Debt!AT57+Debt!AT64</f>
        <v/>
      </c>
      <c r="AU17" s="20">
        <f>Debt!AU50+Debt!AU57+Debt!AU64</f>
        <v/>
      </c>
    </row>
    <row r="18">
      <c r="D18" t="inlineStr">
        <is>
          <t>Excess cash sweep (50%, capped at balances)</t>
        </is>
      </c>
      <c r="E18" t="inlineStr">
        <is>
          <t>USD m</t>
        </is>
      </c>
      <c r="G18" s="20">
        <f>SUM(J18:AU18)</f>
        <v/>
      </c>
      <c r="J18" s="20">
        <f>MIN(Inputs!$F$288/100*MAX(Waterfall!J16,0),Waterfall!J17)</f>
        <v/>
      </c>
      <c r="K18" s="20">
        <f>MIN(Inputs!$F$288/100*MAX(Waterfall!K16,0),Waterfall!K17)</f>
        <v/>
      </c>
      <c r="L18" s="20">
        <f>MIN(Inputs!$F$288/100*MAX(Waterfall!L16,0),Waterfall!L17)</f>
        <v/>
      </c>
      <c r="M18" s="20">
        <f>MIN(Inputs!$F$288/100*MAX(Waterfall!M16,0),Waterfall!M17)</f>
        <v/>
      </c>
      <c r="N18" s="20">
        <f>MIN(Inputs!$F$288/100*MAX(Waterfall!N16,0),Waterfall!N17)</f>
        <v/>
      </c>
      <c r="O18" s="20">
        <f>MIN(Inputs!$F$288/100*MAX(Waterfall!O16,0),Waterfall!O17)</f>
        <v/>
      </c>
      <c r="P18" s="20">
        <f>MIN(Inputs!$F$288/100*MAX(Waterfall!P16,0),Waterfall!P17)</f>
        <v/>
      </c>
      <c r="Q18" s="20">
        <f>MIN(Inputs!$F$288/100*MAX(Waterfall!Q16,0),Waterfall!Q17)</f>
        <v/>
      </c>
      <c r="R18" s="20">
        <f>MIN(Inputs!$F$288/100*MAX(Waterfall!R16,0),Waterfall!R17)</f>
        <v/>
      </c>
      <c r="S18" s="20">
        <f>MIN(Inputs!$F$288/100*MAX(Waterfall!S16,0),Waterfall!S17)</f>
        <v/>
      </c>
      <c r="T18" s="20">
        <f>MIN(Inputs!$F$288/100*MAX(Waterfall!T16,0),Waterfall!T17)</f>
        <v/>
      </c>
      <c r="U18" s="20">
        <f>MIN(Inputs!$F$288/100*MAX(Waterfall!U16,0),Waterfall!U17)</f>
        <v/>
      </c>
      <c r="V18" s="20">
        <f>MIN(Inputs!$F$288/100*MAX(Waterfall!V16,0),Waterfall!V17)</f>
        <v/>
      </c>
      <c r="W18" s="20">
        <f>MIN(Inputs!$F$288/100*MAX(Waterfall!W16,0),Waterfall!W17)</f>
        <v/>
      </c>
      <c r="X18" s="20">
        <f>MIN(Inputs!$F$288/100*MAX(Waterfall!X16,0),Waterfall!X17)</f>
        <v/>
      </c>
      <c r="Y18" s="20">
        <f>MIN(Inputs!$F$288/100*MAX(Waterfall!Y16,0),Waterfall!Y17)</f>
        <v/>
      </c>
      <c r="Z18" s="20">
        <f>MIN(Inputs!$F$288/100*MAX(Waterfall!Z16,0),Waterfall!Z17)</f>
        <v/>
      </c>
      <c r="AA18" s="20">
        <f>MIN(Inputs!$F$288/100*MAX(Waterfall!AA16,0),Waterfall!AA17)</f>
        <v/>
      </c>
      <c r="AB18" s="20">
        <f>MIN(Inputs!$F$288/100*MAX(Waterfall!AB16,0),Waterfall!AB17)</f>
        <v/>
      </c>
      <c r="AC18" s="20">
        <f>MIN(Inputs!$F$288/100*MAX(Waterfall!AC16,0),Waterfall!AC17)</f>
        <v/>
      </c>
      <c r="AD18" s="20">
        <f>MIN(Inputs!$F$288/100*MAX(Waterfall!AD16,0),Waterfall!AD17)</f>
        <v/>
      </c>
      <c r="AE18" s="20">
        <f>MIN(Inputs!$F$288/100*MAX(Waterfall!AE16,0),Waterfall!AE17)</f>
        <v/>
      </c>
      <c r="AF18" s="20">
        <f>MIN(Inputs!$F$288/100*MAX(Waterfall!AF16,0),Waterfall!AF17)</f>
        <v/>
      </c>
      <c r="AG18" s="20">
        <f>MIN(Inputs!$F$288/100*MAX(Waterfall!AG16,0),Waterfall!AG17)</f>
        <v/>
      </c>
      <c r="AH18" s="20">
        <f>MIN(Inputs!$F$288/100*MAX(Waterfall!AH16,0),Waterfall!AH17)</f>
        <v/>
      </c>
      <c r="AI18" s="20">
        <f>MIN(Inputs!$F$288/100*MAX(Waterfall!AI16,0),Waterfall!AI17)</f>
        <v/>
      </c>
      <c r="AJ18" s="20">
        <f>MIN(Inputs!$F$288/100*MAX(Waterfall!AJ16,0),Waterfall!AJ17)</f>
        <v/>
      </c>
      <c r="AK18" s="20">
        <f>MIN(Inputs!$F$288/100*MAX(Waterfall!AK16,0),Waterfall!AK17)</f>
        <v/>
      </c>
      <c r="AL18" s="20">
        <f>MIN(Inputs!$F$288/100*MAX(Waterfall!AL16,0),Waterfall!AL17)</f>
        <v/>
      </c>
      <c r="AM18" s="20">
        <f>MIN(Inputs!$F$288/100*MAX(Waterfall!AM16,0),Waterfall!AM17)</f>
        <v/>
      </c>
      <c r="AN18" s="20">
        <f>MIN(Inputs!$F$288/100*MAX(Waterfall!AN16,0),Waterfall!AN17)</f>
        <v/>
      </c>
      <c r="AO18" s="20">
        <f>MIN(Inputs!$F$288/100*MAX(Waterfall!AO16,0),Waterfall!AO17)</f>
        <v/>
      </c>
      <c r="AP18" s="20">
        <f>MIN(Inputs!$F$288/100*MAX(Waterfall!AP16,0),Waterfall!AP17)</f>
        <v/>
      </c>
      <c r="AQ18" s="20">
        <f>MIN(Inputs!$F$288/100*MAX(Waterfall!AQ16,0),Waterfall!AQ17)</f>
        <v/>
      </c>
      <c r="AR18" s="20">
        <f>MIN(Inputs!$F$288/100*MAX(Waterfall!AR16,0),Waterfall!AR17)</f>
        <v/>
      </c>
      <c r="AS18" s="20">
        <f>MIN(Inputs!$F$288/100*MAX(Waterfall!AS16,0),Waterfall!AS17)</f>
        <v/>
      </c>
      <c r="AT18" s="20">
        <f>MIN(Inputs!$F$288/100*MAX(Waterfall!AT16,0),Waterfall!AT17)</f>
        <v/>
      </c>
      <c r="AU18" s="20">
        <f>MIN(Inputs!$F$288/100*MAX(Waterfall!AU16,0),Waterfall!AU17)</f>
        <v/>
      </c>
    </row>
    <row r="19">
      <c r="D19" t="inlineStr">
        <is>
          <t>Distribution to the fund from operations (floored at zero)</t>
        </is>
      </c>
      <c r="E19" t="inlineStr">
        <is>
          <t>USD m</t>
        </is>
      </c>
      <c r="G19" s="20">
        <f>SUM(J19:AU19)</f>
        <v/>
      </c>
      <c r="J19" s="20">
        <f>MAX(0,Waterfall!J16-Waterfall!J18)</f>
        <v/>
      </c>
      <c r="K19" s="20">
        <f>MAX(0,Waterfall!K16-Waterfall!K18)</f>
        <v/>
      </c>
      <c r="L19" s="20">
        <f>MAX(0,Waterfall!L16-Waterfall!L18)</f>
        <v/>
      </c>
      <c r="M19" s="20">
        <f>MAX(0,Waterfall!M16-Waterfall!M18)</f>
        <v/>
      </c>
      <c r="N19" s="20">
        <f>MAX(0,Waterfall!N16-Waterfall!N18)</f>
        <v/>
      </c>
      <c r="O19" s="20">
        <f>MAX(0,Waterfall!O16-Waterfall!O18)</f>
        <v/>
      </c>
      <c r="P19" s="20">
        <f>MAX(0,Waterfall!P16-Waterfall!P18)</f>
        <v/>
      </c>
      <c r="Q19" s="20">
        <f>MAX(0,Waterfall!Q16-Waterfall!Q18)</f>
        <v/>
      </c>
      <c r="R19" s="20">
        <f>MAX(0,Waterfall!R16-Waterfall!R18)</f>
        <v/>
      </c>
      <c r="S19" s="20">
        <f>MAX(0,Waterfall!S16-Waterfall!S18)</f>
        <v/>
      </c>
      <c r="T19" s="20">
        <f>MAX(0,Waterfall!T16-Waterfall!T18)</f>
        <v/>
      </c>
      <c r="U19" s="20">
        <f>MAX(0,Waterfall!U16-Waterfall!U18)</f>
        <v/>
      </c>
      <c r="V19" s="20">
        <f>MAX(0,Waterfall!V16-Waterfall!V18)</f>
        <v/>
      </c>
      <c r="W19" s="20">
        <f>MAX(0,Waterfall!W16-Waterfall!W18)</f>
        <v/>
      </c>
      <c r="X19" s="20">
        <f>MAX(0,Waterfall!X16-Waterfall!X18)</f>
        <v/>
      </c>
      <c r="Y19" s="20">
        <f>MAX(0,Waterfall!Y16-Waterfall!Y18)</f>
        <v/>
      </c>
      <c r="Z19" s="20">
        <f>MAX(0,Waterfall!Z16-Waterfall!Z18)</f>
        <v/>
      </c>
      <c r="AA19" s="20">
        <f>MAX(0,Waterfall!AA16-Waterfall!AA18)</f>
        <v/>
      </c>
      <c r="AB19" s="20">
        <f>MAX(0,Waterfall!AB16-Waterfall!AB18)</f>
        <v/>
      </c>
      <c r="AC19" s="20">
        <f>MAX(0,Waterfall!AC16-Waterfall!AC18)</f>
        <v/>
      </c>
      <c r="AD19" s="20">
        <f>MAX(0,Waterfall!AD16-Waterfall!AD18)</f>
        <v/>
      </c>
      <c r="AE19" s="20">
        <f>MAX(0,Waterfall!AE16-Waterfall!AE18)</f>
        <v/>
      </c>
      <c r="AF19" s="20">
        <f>MAX(0,Waterfall!AF16-Waterfall!AF18)</f>
        <v/>
      </c>
      <c r="AG19" s="20">
        <f>MAX(0,Waterfall!AG16-Waterfall!AG18)</f>
        <v/>
      </c>
      <c r="AH19" s="20">
        <f>MAX(0,Waterfall!AH16-Waterfall!AH18)</f>
        <v/>
      </c>
      <c r="AI19" s="20">
        <f>MAX(0,Waterfall!AI16-Waterfall!AI18)</f>
        <v/>
      </c>
      <c r="AJ19" s="20">
        <f>MAX(0,Waterfall!AJ16-Waterfall!AJ18)</f>
        <v/>
      </c>
      <c r="AK19" s="20">
        <f>MAX(0,Waterfall!AK16-Waterfall!AK18)</f>
        <v/>
      </c>
      <c r="AL19" s="20">
        <f>MAX(0,Waterfall!AL16-Waterfall!AL18)</f>
        <v/>
      </c>
      <c r="AM19" s="20">
        <f>MAX(0,Waterfall!AM16-Waterfall!AM18)</f>
        <v/>
      </c>
      <c r="AN19" s="20">
        <f>MAX(0,Waterfall!AN16-Waterfall!AN18)</f>
        <v/>
      </c>
      <c r="AO19" s="20">
        <f>MAX(0,Waterfall!AO16-Waterfall!AO18)</f>
        <v/>
      </c>
      <c r="AP19" s="20">
        <f>MAX(0,Waterfall!AP16-Waterfall!AP18)</f>
        <v/>
      </c>
      <c r="AQ19" s="20">
        <f>MAX(0,Waterfall!AQ16-Waterfall!AQ18)</f>
        <v/>
      </c>
      <c r="AR19" s="20">
        <f>MAX(0,Waterfall!AR16-Waterfall!AR18)</f>
        <v/>
      </c>
      <c r="AS19" s="20">
        <f>MAX(0,Waterfall!AS16-Waterfall!AS18)</f>
        <v/>
      </c>
      <c r="AT19" s="20">
        <f>MAX(0,Waterfall!AT16-Waterfall!AT18)</f>
        <v/>
      </c>
      <c r="AU19" s="20">
        <f>MAX(0,Waterfall!AU16-Waterfall!AU18)</f>
        <v/>
      </c>
    </row>
    <row r="20">
      <c r="D20" t="inlineStr">
        <is>
          <t>Holdco repricing net proceeds (new face x OID less tranches repaid)</t>
        </is>
      </c>
      <c r="E20" t="inlineStr">
        <is>
          <t>USD m</t>
        </is>
      </c>
      <c r="G20" s="20">
        <f>SUM(J20:AU20)</f>
        <v/>
      </c>
      <c r="J20" s="20">
        <f>Debt!J9*(Funding!$F$103*Inputs!$F$324/100-Debt!J51-Debt!J58)</f>
        <v/>
      </c>
      <c r="K20" s="20">
        <f>Debt!K9*(Funding!$F$103*Inputs!$F$324/100-Debt!K51-Debt!K58)</f>
        <v/>
      </c>
      <c r="L20" s="20">
        <f>Debt!L9*(Funding!$F$103*Inputs!$F$324/100-Debt!L51-Debt!L58)</f>
        <v/>
      </c>
      <c r="M20" s="20">
        <f>Debt!M9*(Funding!$F$103*Inputs!$F$324/100-Debt!M51-Debt!M58)</f>
        <v/>
      </c>
      <c r="N20" s="20">
        <f>Debt!N9*(Funding!$F$103*Inputs!$F$324/100-Debt!N51-Debt!N58)</f>
        <v/>
      </c>
      <c r="O20" s="20">
        <f>Debt!O9*(Funding!$F$103*Inputs!$F$324/100-Debt!O51-Debt!O58)</f>
        <v/>
      </c>
      <c r="P20" s="20">
        <f>Debt!P9*(Funding!$F$103*Inputs!$F$324/100-Debt!P51-Debt!P58)</f>
        <v/>
      </c>
      <c r="Q20" s="20">
        <f>Debt!Q9*(Funding!$F$103*Inputs!$F$324/100-Debt!Q51-Debt!Q58)</f>
        <v/>
      </c>
      <c r="R20" s="20">
        <f>Debt!R9*(Funding!$F$103*Inputs!$F$324/100-Debt!R51-Debt!R58)</f>
        <v/>
      </c>
      <c r="S20" s="20">
        <f>Debt!S9*(Funding!$F$103*Inputs!$F$324/100-Debt!S51-Debt!S58)</f>
        <v/>
      </c>
      <c r="T20" s="20">
        <f>Debt!T9*(Funding!$F$103*Inputs!$F$324/100-Debt!T51-Debt!T58)</f>
        <v/>
      </c>
      <c r="U20" s="20">
        <f>Debt!U9*(Funding!$F$103*Inputs!$F$324/100-Debt!U51-Debt!U58)</f>
        <v/>
      </c>
      <c r="V20" s="20">
        <f>Debt!V9*(Funding!$F$103*Inputs!$F$324/100-Debt!V51-Debt!V58)</f>
        <v/>
      </c>
      <c r="W20" s="20">
        <f>Debt!W9*(Funding!$F$103*Inputs!$F$324/100-Debt!W51-Debt!W58)</f>
        <v/>
      </c>
      <c r="X20" s="20">
        <f>Debt!X9*(Funding!$F$103*Inputs!$F$324/100-Debt!X51-Debt!X58)</f>
        <v/>
      </c>
      <c r="Y20" s="20">
        <f>Debt!Y9*(Funding!$F$103*Inputs!$F$324/100-Debt!Y51-Debt!Y58)</f>
        <v/>
      </c>
      <c r="Z20" s="20">
        <f>Debt!Z9*(Funding!$F$103*Inputs!$F$324/100-Debt!Z51-Debt!Z58)</f>
        <v/>
      </c>
      <c r="AA20" s="20">
        <f>Debt!AA9*(Funding!$F$103*Inputs!$F$324/100-Debt!AA51-Debt!AA58)</f>
        <v/>
      </c>
      <c r="AB20" s="20">
        <f>Debt!AB9*(Funding!$F$103*Inputs!$F$324/100-Debt!AB51-Debt!AB58)</f>
        <v/>
      </c>
      <c r="AC20" s="20">
        <f>Debt!AC9*(Funding!$F$103*Inputs!$F$324/100-Debt!AC51-Debt!AC58)</f>
        <v/>
      </c>
      <c r="AD20" s="20">
        <f>Debt!AD9*(Funding!$F$103*Inputs!$F$324/100-Debt!AD51-Debt!AD58)</f>
        <v/>
      </c>
      <c r="AE20" s="20">
        <f>Debt!AE9*(Funding!$F$103*Inputs!$F$324/100-Debt!AE51-Debt!AE58)</f>
        <v/>
      </c>
      <c r="AF20" s="20">
        <f>Debt!AF9*(Funding!$F$103*Inputs!$F$324/100-Debt!AF51-Debt!AF58)</f>
        <v/>
      </c>
      <c r="AG20" s="20">
        <f>Debt!AG9*(Funding!$F$103*Inputs!$F$324/100-Debt!AG51-Debt!AG58)</f>
        <v/>
      </c>
      <c r="AH20" s="20">
        <f>Debt!AH9*(Funding!$F$103*Inputs!$F$324/100-Debt!AH51-Debt!AH58)</f>
        <v/>
      </c>
      <c r="AI20" s="20">
        <f>Debt!AI9*(Funding!$F$103*Inputs!$F$324/100-Debt!AI51-Debt!AI58)</f>
        <v/>
      </c>
      <c r="AJ20" s="20">
        <f>Debt!AJ9*(Funding!$F$103*Inputs!$F$324/100-Debt!AJ51-Debt!AJ58)</f>
        <v/>
      </c>
      <c r="AK20" s="20">
        <f>Debt!AK9*(Funding!$F$103*Inputs!$F$324/100-Debt!AK51-Debt!AK58)</f>
        <v/>
      </c>
      <c r="AL20" s="20">
        <f>Debt!AL9*(Funding!$F$103*Inputs!$F$324/100-Debt!AL51-Debt!AL58)</f>
        <v/>
      </c>
      <c r="AM20" s="20">
        <f>Debt!AM9*(Funding!$F$103*Inputs!$F$324/100-Debt!AM51-Debt!AM58)</f>
        <v/>
      </c>
      <c r="AN20" s="20">
        <f>Debt!AN9*(Funding!$F$103*Inputs!$F$324/100-Debt!AN51-Debt!AN58)</f>
        <v/>
      </c>
      <c r="AO20" s="20">
        <f>Debt!AO9*(Funding!$F$103*Inputs!$F$324/100-Debt!AO51-Debt!AO58)</f>
        <v/>
      </c>
      <c r="AP20" s="20">
        <f>Debt!AP9*(Funding!$F$103*Inputs!$F$324/100-Debt!AP51-Debt!AP58)</f>
        <v/>
      </c>
      <c r="AQ20" s="20">
        <f>Debt!AQ9*(Funding!$F$103*Inputs!$F$324/100-Debt!AQ51-Debt!AQ58)</f>
        <v/>
      </c>
      <c r="AR20" s="20">
        <f>Debt!AR9*(Funding!$F$103*Inputs!$F$324/100-Debt!AR51-Debt!AR58)</f>
        <v/>
      </c>
      <c r="AS20" s="20">
        <f>Debt!AS9*(Funding!$F$103*Inputs!$F$324/100-Debt!AS51-Debt!AS58)</f>
        <v/>
      </c>
      <c r="AT20" s="20">
        <f>Debt!AT9*(Funding!$F$103*Inputs!$F$324/100-Debt!AT51-Debt!AT58)</f>
        <v/>
      </c>
      <c r="AU20" s="20">
        <f>Debt!AU9*(Funding!$F$103*Inputs!$F$324/100-Debt!AU51-Debt!AU58)</f>
        <v/>
      </c>
    </row>
    <row r="21">
      <c r="D21" t="inlineStr">
        <is>
          <t>Recapitalization distribution</t>
        </is>
      </c>
      <c r="E21" t="inlineStr">
        <is>
          <t>USD m</t>
        </is>
      </c>
      <c r="G21" s="20">
        <f>SUM(J21:AU21)</f>
        <v/>
      </c>
      <c r="J21" s="20">
        <f>Waterfall!J11+Waterfall!J20</f>
        <v/>
      </c>
      <c r="K21" s="20">
        <f>Waterfall!K11+Waterfall!K20</f>
        <v/>
      </c>
      <c r="L21" s="20">
        <f>Waterfall!L11+Waterfall!L20</f>
        <v/>
      </c>
      <c r="M21" s="20">
        <f>Waterfall!M11+Waterfall!M20</f>
        <v/>
      </c>
      <c r="N21" s="20">
        <f>Waterfall!N11+Waterfall!N20</f>
        <v/>
      </c>
      <c r="O21" s="20">
        <f>Waterfall!O11+Waterfall!O20</f>
        <v/>
      </c>
      <c r="P21" s="20">
        <f>Waterfall!P11+Waterfall!P20</f>
        <v/>
      </c>
      <c r="Q21" s="20">
        <f>Waterfall!Q11+Waterfall!Q20</f>
        <v/>
      </c>
      <c r="R21" s="20">
        <f>Waterfall!R11+Waterfall!R20</f>
        <v/>
      </c>
      <c r="S21" s="20">
        <f>Waterfall!S11+Waterfall!S20</f>
        <v/>
      </c>
      <c r="T21" s="20">
        <f>Waterfall!T11+Waterfall!T20</f>
        <v/>
      </c>
      <c r="U21" s="20">
        <f>Waterfall!U11+Waterfall!U20</f>
        <v/>
      </c>
      <c r="V21" s="20">
        <f>Waterfall!V11+Waterfall!V20</f>
        <v/>
      </c>
      <c r="W21" s="20">
        <f>Waterfall!W11+Waterfall!W20</f>
        <v/>
      </c>
      <c r="X21" s="20">
        <f>Waterfall!X11+Waterfall!X20</f>
        <v/>
      </c>
      <c r="Y21" s="20">
        <f>Waterfall!Y11+Waterfall!Y20</f>
        <v/>
      </c>
      <c r="Z21" s="20">
        <f>Waterfall!Z11+Waterfall!Z20</f>
        <v/>
      </c>
      <c r="AA21" s="20">
        <f>Waterfall!AA11+Waterfall!AA20</f>
        <v/>
      </c>
      <c r="AB21" s="20">
        <f>Waterfall!AB11+Waterfall!AB20</f>
        <v/>
      </c>
      <c r="AC21" s="20">
        <f>Waterfall!AC11+Waterfall!AC20</f>
        <v/>
      </c>
      <c r="AD21" s="20">
        <f>Waterfall!AD11+Waterfall!AD20</f>
        <v/>
      </c>
      <c r="AE21" s="20">
        <f>Waterfall!AE11+Waterfall!AE20</f>
        <v/>
      </c>
      <c r="AF21" s="20">
        <f>Waterfall!AF11+Waterfall!AF20</f>
        <v/>
      </c>
      <c r="AG21" s="20">
        <f>Waterfall!AG11+Waterfall!AG20</f>
        <v/>
      </c>
      <c r="AH21" s="20">
        <f>Waterfall!AH11+Waterfall!AH20</f>
        <v/>
      </c>
      <c r="AI21" s="20">
        <f>Waterfall!AI11+Waterfall!AI20</f>
        <v/>
      </c>
      <c r="AJ21" s="20">
        <f>Waterfall!AJ11+Waterfall!AJ20</f>
        <v/>
      </c>
      <c r="AK21" s="20">
        <f>Waterfall!AK11+Waterfall!AK20</f>
        <v/>
      </c>
      <c r="AL21" s="20">
        <f>Waterfall!AL11+Waterfall!AL20</f>
        <v/>
      </c>
      <c r="AM21" s="20">
        <f>Waterfall!AM11+Waterfall!AM20</f>
        <v/>
      </c>
      <c r="AN21" s="20">
        <f>Waterfall!AN11+Waterfall!AN20</f>
        <v/>
      </c>
      <c r="AO21" s="20">
        <f>Waterfall!AO11+Waterfall!AO20</f>
        <v/>
      </c>
      <c r="AP21" s="20">
        <f>Waterfall!AP11+Waterfall!AP20</f>
        <v/>
      </c>
      <c r="AQ21" s="20">
        <f>Waterfall!AQ11+Waterfall!AQ20</f>
        <v/>
      </c>
      <c r="AR21" s="20">
        <f>Waterfall!AR11+Waterfall!AR20</f>
        <v/>
      </c>
      <c r="AS21" s="20">
        <f>Waterfall!AS11+Waterfall!AS20</f>
        <v/>
      </c>
      <c r="AT21" s="20">
        <f>Waterfall!AT11+Waterfall!AT20</f>
        <v/>
      </c>
      <c r="AU21" s="20">
        <f>Waterfall!AU11+Waterfall!AU20</f>
        <v/>
      </c>
    </row>
    <row r="22">
      <c r="D22" t="inlineStr">
        <is>
          <t>Total distribution to the fund</t>
        </is>
      </c>
      <c r="E22" t="inlineStr">
        <is>
          <t>USD m</t>
        </is>
      </c>
      <c r="G22" s="20">
        <f>SUM(J22:AU22)</f>
        <v/>
      </c>
      <c r="J22" s="20">
        <f>Waterfall!J19+Waterfall!J21</f>
        <v/>
      </c>
      <c r="K22" s="20">
        <f>Waterfall!K19+Waterfall!K21</f>
        <v/>
      </c>
      <c r="L22" s="20">
        <f>Waterfall!L19+Waterfall!L21</f>
        <v/>
      </c>
      <c r="M22" s="20">
        <f>Waterfall!M19+Waterfall!M21</f>
        <v/>
      </c>
      <c r="N22" s="20">
        <f>Waterfall!N19+Waterfall!N21</f>
        <v/>
      </c>
      <c r="O22" s="20">
        <f>Waterfall!O19+Waterfall!O21</f>
        <v/>
      </c>
      <c r="P22" s="20">
        <f>Waterfall!P19+Waterfall!P21</f>
        <v/>
      </c>
      <c r="Q22" s="20">
        <f>Waterfall!Q19+Waterfall!Q21</f>
        <v/>
      </c>
      <c r="R22" s="20">
        <f>Waterfall!R19+Waterfall!R21</f>
        <v/>
      </c>
      <c r="S22" s="20">
        <f>Waterfall!S19+Waterfall!S21</f>
        <v/>
      </c>
      <c r="T22" s="20">
        <f>Waterfall!T19+Waterfall!T21</f>
        <v/>
      </c>
      <c r="U22" s="20">
        <f>Waterfall!U19+Waterfall!U21</f>
        <v/>
      </c>
      <c r="V22" s="20">
        <f>Waterfall!V19+Waterfall!V21</f>
        <v/>
      </c>
      <c r="W22" s="20">
        <f>Waterfall!W19+Waterfall!W21</f>
        <v/>
      </c>
      <c r="X22" s="20">
        <f>Waterfall!X19+Waterfall!X21</f>
        <v/>
      </c>
      <c r="Y22" s="20">
        <f>Waterfall!Y19+Waterfall!Y21</f>
        <v/>
      </c>
      <c r="Z22" s="20">
        <f>Waterfall!Z19+Waterfall!Z21</f>
        <v/>
      </c>
      <c r="AA22" s="20">
        <f>Waterfall!AA19+Waterfall!AA21</f>
        <v/>
      </c>
      <c r="AB22" s="20">
        <f>Waterfall!AB19+Waterfall!AB21</f>
        <v/>
      </c>
      <c r="AC22" s="20">
        <f>Waterfall!AC19+Waterfall!AC21</f>
        <v/>
      </c>
      <c r="AD22" s="20">
        <f>Waterfall!AD19+Waterfall!AD21</f>
        <v/>
      </c>
      <c r="AE22" s="20">
        <f>Waterfall!AE19+Waterfall!AE21</f>
        <v/>
      </c>
      <c r="AF22" s="20">
        <f>Waterfall!AF19+Waterfall!AF21</f>
        <v/>
      </c>
      <c r="AG22" s="20">
        <f>Waterfall!AG19+Waterfall!AG21</f>
        <v/>
      </c>
      <c r="AH22" s="20">
        <f>Waterfall!AH19+Waterfall!AH21</f>
        <v/>
      </c>
      <c r="AI22" s="20">
        <f>Waterfall!AI19+Waterfall!AI21</f>
        <v/>
      </c>
      <c r="AJ22" s="20">
        <f>Waterfall!AJ19+Waterfall!AJ21</f>
        <v/>
      </c>
      <c r="AK22" s="20">
        <f>Waterfall!AK19+Waterfall!AK21</f>
        <v/>
      </c>
      <c r="AL22" s="20">
        <f>Waterfall!AL19+Waterfall!AL21</f>
        <v/>
      </c>
      <c r="AM22" s="20">
        <f>Waterfall!AM19+Waterfall!AM21</f>
        <v/>
      </c>
      <c r="AN22" s="20">
        <f>Waterfall!AN19+Waterfall!AN21</f>
        <v/>
      </c>
      <c r="AO22" s="20">
        <f>Waterfall!AO19+Waterfall!AO21</f>
        <v/>
      </c>
      <c r="AP22" s="20">
        <f>Waterfall!AP19+Waterfall!AP21</f>
        <v/>
      </c>
      <c r="AQ22" s="20">
        <f>Waterfall!AQ19+Waterfall!AQ21</f>
        <v/>
      </c>
      <c r="AR22" s="20">
        <f>Waterfall!AR19+Waterfall!AR21</f>
        <v/>
      </c>
      <c r="AS22" s="20">
        <f>Waterfall!AS19+Waterfall!AS21</f>
        <v/>
      </c>
      <c r="AT22" s="20">
        <f>Waterfall!AT19+Waterfall!AT21</f>
        <v/>
      </c>
      <c r="AU22" s="20">
        <f>Waterfall!AU19+Waterfall!AU21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Ratios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D4" t="inlineStr">
        <is>
          <t>Year</t>
        </is>
      </c>
      <c r="J4" s="2">
        <f>Time!J$4</f>
        <v/>
      </c>
      <c r="K4" s="2">
        <f>Time!K$4</f>
        <v/>
      </c>
      <c r="L4" s="2">
        <f>Time!L$4</f>
        <v/>
      </c>
      <c r="M4" s="2">
        <f>Time!M$4</f>
        <v/>
      </c>
      <c r="N4" s="2">
        <f>Time!N$4</f>
        <v/>
      </c>
      <c r="O4" s="2">
        <f>Time!O$4</f>
        <v/>
      </c>
      <c r="P4" s="2">
        <f>Time!P$4</f>
        <v/>
      </c>
      <c r="Q4" s="2">
        <f>Time!Q$4</f>
        <v/>
      </c>
      <c r="R4" s="2">
        <f>Time!R$4</f>
        <v/>
      </c>
      <c r="S4" s="2">
        <f>Time!S$4</f>
        <v/>
      </c>
      <c r="T4" s="2">
        <f>Time!T$4</f>
        <v/>
      </c>
      <c r="U4" s="2">
        <f>Time!U$4</f>
        <v/>
      </c>
      <c r="V4" s="2">
        <f>Time!V$4</f>
        <v/>
      </c>
      <c r="W4" s="2">
        <f>Time!W$4</f>
        <v/>
      </c>
      <c r="X4" s="2">
        <f>Time!X$4</f>
        <v/>
      </c>
      <c r="Y4" s="2">
        <f>Time!Y$4</f>
        <v/>
      </c>
      <c r="Z4" s="2">
        <f>Time!Z$4</f>
        <v/>
      </c>
      <c r="AA4" s="2">
        <f>Time!AA$4</f>
        <v/>
      </c>
      <c r="AB4" s="2">
        <f>Time!AB$4</f>
        <v/>
      </c>
      <c r="AC4" s="2">
        <f>Time!AC$4</f>
        <v/>
      </c>
      <c r="AD4" s="2">
        <f>Time!AD$4</f>
        <v/>
      </c>
      <c r="AE4" s="2">
        <f>Time!AE$4</f>
        <v/>
      </c>
      <c r="AF4" s="2">
        <f>Time!AF$4</f>
        <v/>
      </c>
      <c r="AG4" s="2">
        <f>Time!AG$4</f>
        <v/>
      </c>
      <c r="AH4" s="2">
        <f>Time!AH$4</f>
        <v/>
      </c>
      <c r="AI4" s="2">
        <f>Time!AI$4</f>
        <v/>
      </c>
      <c r="AJ4" s="2">
        <f>Time!AJ$4</f>
        <v/>
      </c>
      <c r="AK4" s="2">
        <f>Time!AK$4</f>
        <v/>
      </c>
      <c r="AL4" s="2">
        <f>Time!AL$4</f>
        <v/>
      </c>
      <c r="AM4" s="2">
        <f>Time!AM$4</f>
        <v/>
      </c>
      <c r="AN4" s="2">
        <f>Time!AN$4</f>
        <v/>
      </c>
      <c r="AO4" s="2">
        <f>Time!AO$4</f>
        <v/>
      </c>
      <c r="AP4" s="2">
        <f>Time!AP$4</f>
        <v/>
      </c>
      <c r="AQ4" s="2">
        <f>Time!AQ$4</f>
        <v/>
      </c>
      <c r="AR4" s="2">
        <f>Time!AR$4</f>
        <v/>
      </c>
      <c r="AS4" s="2">
        <f>Time!AS$4</f>
        <v/>
      </c>
      <c r="AT4" s="2">
        <f>Time!AT$4</f>
        <v/>
      </c>
      <c r="AU4" s="2">
        <f>Time!AU$4</f>
        <v/>
      </c>
    </row>
    <row r="5">
      <c r="D5" t="inlineStr">
        <is>
          <t>Period end</t>
        </is>
      </c>
      <c r="J5" s="3">
        <f>Time!J$6</f>
        <v/>
      </c>
      <c r="K5" s="3">
        <f>Time!K$6</f>
        <v/>
      </c>
      <c r="L5" s="3">
        <f>Time!L$6</f>
        <v/>
      </c>
      <c r="M5" s="3">
        <f>Time!M$6</f>
        <v/>
      </c>
      <c r="N5" s="3">
        <f>Time!N$6</f>
        <v/>
      </c>
      <c r="O5" s="3">
        <f>Time!O$6</f>
        <v/>
      </c>
      <c r="P5" s="3">
        <f>Time!P$6</f>
        <v/>
      </c>
      <c r="Q5" s="3">
        <f>Time!Q$6</f>
        <v/>
      </c>
      <c r="R5" s="3">
        <f>Time!R$6</f>
        <v/>
      </c>
      <c r="S5" s="3">
        <f>Time!S$6</f>
        <v/>
      </c>
      <c r="T5" s="3">
        <f>Time!T$6</f>
        <v/>
      </c>
      <c r="U5" s="3">
        <f>Time!U$6</f>
        <v/>
      </c>
      <c r="V5" s="3">
        <f>Time!V$6</f>
        <v/>
      </c>
      <c r="W5" s="3">
        <f>Time!W$6</f>
        <v/>
      </c>
      <c r="X5" s="3">
        <f>Time!X$6</f>
        <v/>
      </c>
      <c r="Y5" s="3">
        <f>Time!Y$6</f>
        <v/>
      </c>
      <c r="Z5" s="3">
        <f>Time!Z$6</f>
        <v/>
      </c>
      <c r="AA5" s="3">
        <f>Time!AA$6</f>
        <v/>
      </c>
      <c r="AB5" s="3">
        <f>Time!AB$6</f>
        <v/>
      </c>
      <c r="AC5" s="3">
        <f>Time!AC$6</f>
        <v/>
      </c>
      <c r="AD5" s="3">
        <f>Time!AD$6</f>
        <v/>
      </c>
      <c r="AE5" s="3">
        <f>Time!AE$6</f>
        <v/>
      </c>
      <c r="AF5" s="3">
        <f>Time!AF$6</f>
        <v/>
      </c>
      <c r="AG5" s="3">
        <f>Time!AG$6</f>
        <v/>
      </c>
      <c r="AH5" s="3">
        <f>Time!AH$6</f>
        <v/>
      </c>
      <c r="AI5" s="3">
        <f>Time!AI$6</f>
        <v/>
      </c>
      <c r="AJ5" s="3">
        <f>Time!AJ$6</f>
        <v/>
      </c>
      <c r="AK5" s="3">
        <f>Time!AK$6</f>
        <v/>
      </c>
      <c r="AL5" s="3">
        <f>Time!AL$6</f>
        <v/>
      </c>
      <c r="AM5" s="3">
        <f>Time!AM$6</f>
        <v/>
      </c>
      <c r="AN5" s="3">
        <f>Time!AN$6</f>
        <v/>
      </c>
      <c r="AO5" s="3">
        <f>Time!AO$6</f>
        <v/>
      </c>
      <c r="AP5" s="3">
        <f>Time!AP$6</f>
        <v/>
      </c>
      <c r="AQ5" s="3">
        <f>Time!AQ$6</f>
        <v/>
      </c>
      <c r="AR5" s="3">
        <f>Time!AR$6</f>
        <v/>
      </c>
      <c r="AS5" s="3">
        <f>Time!AS$6</f>
        <v/>
      </c>
      <c r="AT5" s="3">
        <f>Time!AT$6</f>
        <v/>
      </c>
      <c r="AU5" s="3">
        <f>Time!AU$6</f>
        <v/>
      </c>
    </row>
    <row r="7">
      <c r="A7" s="4" t="inlineStr">
        <is>
          <t>Cover ratios (shown where debt service exceeds the threshold)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D8" t="inlineStr">
        <is>
          <t>Opco term loan DSCR (A1 group CFADS)</t>
        </is>
      </c>
      <c r="E8" t="inlineStr">
        <is>
          <t>x</t>
        </is>
      </c>
      <c r="J8" s="22">
        <f>IF(Debt!J18&gt;Inputs!$F$29,Operations!J400/Debt!J18,"")</f>
        <v/>
      </c>
      <c r="K8" s="22">
        <f>IF(Debt!K18&gt;Inputs!$F$29,Operations!K400/Debt!K18,"")</f>
        <v/>
      </c>
      <c r="L8" s="22">
        <f>IF(Debt!L18&gt;Inputs!$F$29,Operations!L400/Debt!L18,"")</f>
        <v/>
      </c>
      <c r="M8" s="22">
        <f>IF(Debt!M18&gt;Inputs!$F$29,Operations!M400/Debt!M18,"")</f>
        <v/>
      </c>
      <c r="N8" s="22">
        <f>IF(Debt!N18&gt;Inputs!$F$29,Operations!N400/Debt!N18,"")</f>
        <v/>
      </c>
      <c r="O8" s="22">
        <f>IF(Debt!O18&gt;Inputs!$F$29,Operations!O400/Debt!O18,"")</f>
        <v/>
      </c>
      <c r="P8" s="22">
        <f>IF(Debt!P18&gt;Inputs!$F$29,Operations!P400/Debt!P18,"")</f>
        <v/>
      </c>
      <c r="Q8" s="22">
        <f>IF(Debt!Q18&gt;Inputs!$F$29,Operations!Q400/Debt!Q18,"")</f>
        <v/>
      </c>
      <c r="R8" s="22">
        <f>IF(Debt!R18&gt;Inputs!$F$29,Operations!R400/Debt!R18,"")</f>
        <v/>
      </c>
      <c r="S8" s="22">
        <f>IF(Debt!S18&gt;Inputs!$F$29,Operations!S400/Debt!S18,"")</f>
        <v/>
      </c>
      <c r="T8" s="22">
        <f>IF(Debt!T18&gt;Inputs!$F$29,Operations!T400/Debt!T18,"")</f>
        <v/>
      </c>
      <c r="U8" s="22">
        <f>IF(Debt!U18&gt;Inputs!$F$29,Operations!U400/Debt!U18,"")</f>
        <v/>
      </c>
      <c r="V8" s="22">
        <f>IF(Debt!V18&gt;Inputs!$F$29,Operations!V400/Debt!V18,"")</f>
        <v/>
      </c>
      <c r="W8" s="22">
        <f>IF(Debt!W18&gt;Inputs!$F$29,Operations!W400/Debt!W18,"")</f>
        <v/>
      </c>
      <c r="X8" s="22">
        <f>IF(Debt!X18&gt;Inputs!$F$29,Operations!X400/Debt!X18,"")</f>
        <v/>
      </c>
      <c r="Y8" s="22">
        <f>IF(Debt!Y18&gt;Inputs!$F$29,Operations!Y400/Debt!Y18,"")</f>
        <v/>
      </c>
      <c r="Z8" s="22">
        <f>IF(Debt!Z18&gt;Inputs!$F$29,Operations!Z400/Debt!Z18,"")</f>
        <v/>
      </c>
      <c r="AA8" s="22">
        <f>IF(Debt!AA18&gt;Inputs!$F$29,Operations!AA400/Debt!AA18,"")</f>
        <v/>
      </c>
      <c r="AB8" s="22">
        <f>IF(Debt!AB18&gt;Inputs!$F$29,Operations!AB400/Debt!AB18,"")</f>
        <v/>
      </c>
      <c r="AC8" s="22">
        <f>IF(Debt!AC18&gt;Inputs!$F$29,Operations!AC400/Debt!AC18,"")</f>
        <v/>
      </c>
      <c r="AD8" s="22">
        <f>IF(Debt!AD18&gt;Inputs!$F$29,Operations!AD400/Debt!AD18,"")</f>
        <v/>
      </c>
      <c r="AE8" s="22">
        <f>IF(Debt!AE18&gt;Inputs!$F$29,Operations!AE400/Debt!AE18,"")</f>
        <v/>
      </c>
      <c r="AF8" s="22">
        <f>IF(Debt!AF18&gt;Inputs!$F$29,Operations!AF400/Debt!AF18,"")</f>
        <v/>
      </c>
      <c r="AG8" s="22">
        <f>IF(Debt!AG18&gt;Inputs!$F$29,Operations!AG400/Debt!AG18,"")</f>
        <v/>
      </c>
      <c r="AH8" s="22">
        <f>IF(Debt!AH18&gt;Inputs!$F$29,Operations!AH400/Debt!AH18,"")</f>
        <v/>
      </c>
      <c r="AI8" s="22">
        <f>IF(Debt!AI18&gt;Inputs!$F$29,Operations!AI400/Debt!AI18,"")</f>
        <v/>
      </c>
      <c r="AJ8" s="22">
        <f>IF(Debt!AJ18&gt;Inputs!$F$29,Operations!AJ400/Debt!AJ18,"")</f>
        <v/>
      </c>
      <c r="AK8" s="22">
        <f>IF(Debt!AK18&gt;Inputs!$F$29,Operations!AK400/Debt!AK18,"")</f>
        <v/>
      </c>
      <c r="AL8" s="22">
        <f>IF(Debt!AL18&gt;Inputs!$F$29,Operations!AL400/Debt!AL18,"")</f>
        <v/>
      </c>
      <c r="AM8" s="22">
        <f>IF(Debt!AM18&gt;Inputs!$F$29,Operations!AM400/Debt!AM18,"")</f>
        <v/>
      </c>
      <c r="AN8" s="22">
        <f>IF(Debt!AN18&gt;Inputs!$F$29,Operations!AN400/Debt!AN18,"")</f>
        <v/>
      </c>
      <c r="AO8" s="22">
        <f>IF(Debt!AO18&gt;Inputs!$F$29,Operations!AO400/Debt!AO18,"")</f>
        <v/>
      </c>
      <c r="AP8" s="22">
        <f>IF(Debt!AP18&gt;Inputs!$F$29,Operations!AP400/Debt!AP18,"")</f>
        <v/>
      </c>
      <c r="AQ8" s="22">
        <f>IF(Debt!AQ18&gt;Inputs!$F$29,Operations!AQ400/Debt!AQ18,"")</f>
        <v/>
      </c>
      <c r="AR8" s="22">
        <f>IF(Debt!AR18&gt;Inputs!$F$29,Operations!AR400/Debt!AR18,"")</f>
        <v/>
      </c>
      <c r="AS8" s="22">
        <f>IF(Debt!AS18&gt;Inputs!$F$29,Operations!AS400/Debt!AS18,"")</f>
        <v/>
      </c>
      <c r="AT8" s="22">
        <f>IF(Debt!AT18&gt;Inputs!$F$29,Operations!AT400/Debt!AT18,"")</f>
        <v/>
      </c>
      <c r="AU8" s="22">
        <f>IF(Debt!AU18&gt;Inputs!$F$29,Operations!AU400/Debt!AU18,"")</f>
        <v/>
      </c>
    </row>
    <row r="9">
      <c r="D9" t="inlineStr">
        <is>
          <t>Redfern DSCR (R6 Mesa cash flow)</t>
        </is>
      </c>
      <c r="E9" t="inlineStr">
        <is>
          <t>x</t>
        </is>
      </c>
      <c r="J9" s="22">
        <f>IF(Debt!J27&gt;Inputs!$F$29,Operations!J297/Debt!J27,"")</f>
        <v/>
      </c>
      <c r="K9" s="22">
        <f>IF(Debt!K27&gt;Inputs!$F$29,Operations!K297/Debt!K27,"")</f>
        <v/>
      </c>
      <c r="L9" s="22">
        <f>IF(Debt!L27&gt;Inputs!$F$29,Operations!L297/Debt!L27,"")</f>
        <v/>
      </c>
      <c r="M9" s="22">
        <f>IF(Debt!M27&gt;Inputs!$F$29,Operations!M297/Debt!M27,"")</f>
        <v/>
      </c>
      <c r="N9" s="22">
        <f>IF(Debt!N27&gt;Inputs!$F$29,Operations!N297/Debt!N27,"")</f>
        <v/>
      </c>
      <c r="O9" s="22">
        <f>IF(Debt!O27&gt;Inputs!$F$29,Operations!O297/Debt!O27,"")</f>
        <v/>
      </c>
      <c r="P9" s="22">
        <f>IF(Debt!P27&gt;Inputs!$F$29,Operations!P297/Debt!P27,"")</f>
        <v/>
      </c>
      <c r="Q9" s="22">
        <f>IF(Debt!Q27&gt;Inputs!$F$29,Operations!Q297/Debt!Q27,"")</f>
        <v/>
      </c>
      <c r="R9" s="22">
        <f>IF(Debt!R27&gt;Inputs!$F$29,Operations!R297/Debt!R27,"")</f>
        <v/>
      </c>
      <c r="S9" s="22">
        <f>IF(Debt!S27&gt;Inputs!$F$29,Operations!S297/Debt!S27,"")</f>
        <v/>
      </c>
      <c r="T9" s="22">
        <f>IF(Debt!T27&gt;Inputs!$F$29,Operations!T297/Debt!T27,"")</f>
        <v/>
      </c>
      <c r="U9" s="22">
        <f>IF(Debt!U27&gt;Inputs!$F$29,Operations!U297/Debt!U27,"")</f>
        <v/>
      </c>
      <c r="V9" s="22">
        <f>IF(Debt!V27&gt;Inputs!$F$29,Operations!V297/Debt!V27,"")</f>
        <v/>
      </c>
      <c r="W9" s="22">
        <f>IF(Debt!W27&gt;Inputs!$F$29,Operations!W297/Debt!W27,"")</f>
        <v/>
      </c>
      <c r="X9" s="22">
        <f>IF(Debt!X27&gt;Inputs!$F$29,Operations!X297/Debt!X27,"")</f>
        <v/>
      </c>
      <c r="Y9" s="22">
        <f>IF(Debt!Y27&gt;Inputs!$F$29,Operations!Y297/Debt!Y27,"")</f>
        <v/>
      </c>
      <c r="Z9" s="22">
        <f>IF(Debt!Z27&gt;Inputs!$F$29,Operations!Z297/Debt!Z27,"")</f>
        <v/>
      </c>
      <c r="AA9" s="22">
        <f>IF(Debt!AA27&gt;Inputs!$F$29,Operations!AA297/Debt!AA27,"")</f>
        <v/>
      </c>
      <c r="AB9" s="22">
        <f>IF(Debt!AB27&gt;Inputs!$F$29,Operations!AB297/Debt!AB27,"")</f>
        <v/>
      </c>
      <c r="AC9" s="22">
        <f>IF(Debt!AC27&gt;Inputs!$F$29,Operations!AC297/Debt!AC27,"")</f>
        <v/>
      </c>
      <c r="AD9" s="22">
        <f>IF(Debt!AD27&gt;Inputs!$F$29,Operations!AD297/Debt!AD27,"")</f>
        <v/>
      </c>
      <c r="AE9" s="22">
        <f>IF(Debt!AE27&gt;Inputs!$F$29,Operations!AE297/Debt!AE27,"")</f>
        <v/>
      </c>
      <c r="AF9" s="22">
        <f>IF(Debt!AF27&gt;Inputs!$F$29,Operations!AF297/Debt!AF27,"")</f>
        <v/>
      </c>
      <c r="AG9" s="22">
        <f>IF(Debt!AG27&gt;Inputs!$F$29,Operations!AG297/Debt!AG27,"")</f>
        <v/>
      </c>
      <c r="AH9" s="22">
        <f>IF(Debt!AH27&gt;Inputs!$F$29,Operations!AH297/Debt!AH27,"")</f>
        <v/>
      </c>
      <c r="AI9" s="22">
        <f>IF(Debt!AI27&gt;Inputs!$F$29,Operations!AI297/Debt!AI27,"")</f>
        <v/>
      </c>
      <c r="AJ9" s="22">
        <f>IF(Debt!AJ27&gt;Inputs!$F$29,Operations!AJ297/Debt!AJ27,"")</f>
        <v/>
      </c>
      <c r="AK9" s="22">
        <f>IF(Debt!AK27&gt;Inputs!$F$29,Operations!AK297/Debt!AK27,"")</f>
        <v/>
      </c>
      <c r="AL9" s="22">
        <f>IF(Debt!AL27&gt;Inputs!$F$29,Operations!AL297/Debt!AL27,"")</f>
        <v/>
      </c>
      <c r="AM9" s="22">
        <f>IF(Debt!AM27&gt;Inputs!$F$29,Operations!AM297/Debt!AM27,"")</f>
        <v/>
      </c>
      <c r="AN9" s="22">
        <f>IF(Debt!AN27&gt;Inputs!$F$29,Operations!AN297/Debt!AN27,"")</f>
        <v/>
      </c>
      <c r="AO9" s="22">
        <f>IF(Debt!AO27&gt;Inputs!$F$29,Operations!AO297/Debt!AO27,"")</f>
        <v/>
      </c>
      <c r="AP9" s="22">
        <f>IF(Debt!AP27&gt;Inputs!$F$29,Operations!AP297/Debt!AP27,"")</f>
        <v/>
      </c>
      <c r="AQ9" s="22">
        <f>IF(Debt!AQ27&gt;Inputs!$F$29,Operations!AQ297/Debt!AQ27,"")</f>
        <v/>
      </c>
      <c r="AR9" s="22">
        <f>IF(Debt!AR27&gt;Inputs!$F$29,Operations!AR297/Debt!AR27,"")</f>
        <v/>
      </c>
      <c r="AS9" s="22">
        <f>IF(Debt!AS27&gt;Inputs!$F$29,Operations!AS297/Debt!AS27,"")</f>
        <v/>
      </c>
      <c r="AT9" s="22">
        <f>IF(Debt!AT27&gt;Inputs!$F$29,Operations!AT297/Debt!AT27,"")</f>
        <v/>
      </c>
      <c r="AU9" s="22">
        <f>IF(Debt!AU27&gt;Inputs!$F$29,Operations!AU297/Debt!AU27,"")</f>
        <v/>
      </c>
    </row>
    <row r="10">
      <c r="D10" t="inlineStr">
        <is>
          <t>USPP DSCR (portfolio CFADS)</t>
        </is>
      </c>
      <c r="E10" t="inlineStr">
        <is>
          <t>x</t>
        </is>
      </c>
      <c r="J10" s="22">
        <f>IF(Debt!J34&gt;Inputs!$F$29,Operations!J401/Debt!J34,"")</f>
        <v/>
      </c>
      <c r="K10" s="22">
        <f>IF(Debt!K34&gt;Inputs!$F$29,Operations!K401/Debt!K34,"")</f>
        <v/>
      </c>
      <c r="L10" s="22">
        <f>IF(Debt!L34&gt;Inputs!$F$29,Operations!L401/Debt!L34,"")</f>
        <v/>
      </c>
      <c r="M10" s="22">
        <f>IF(Debt!M34&gt;Inputs!$F$29,Operations!M401/Debt!M34,"")</f>
        <v/>
      </c>
      <c r="N10" s="22">
        <f>IF(Debt!N34&gt;Inputs!$F$29,Operations!N401/Debt!N34,"")</f>
        <v/>
      </c>
      <c r="O10" s="22">
        <f>IF(Debt!O34&gt;Inputs!$F$29,Operations!O401/Debt!O34,"")</f>
        <v/>
      </c>
      <c r="P10" s="22">
        <f>IF(Debt!P34&gt;Inputs!$F$29,Operations!P401/Debt!P34,"")</f>
        <v/>
      </c>
      <c r="Q10" s="22">
        <f>IF(Debt!Q34&gt;Inputs!$F$29,Operations!Q401/Debt!Q34,"")</f>
        <v/>
      </c>
      <c r="R10" s="22">
        <f>IF(Debt!R34&gt;Inputs!$F$29,Operations!R401/Debt!R34,"")</f>
        <v/>
      </c>
      <c r="S10" s="22">
        <f>IF(Debt!S34&gt;Inputs!$F$29,Operations!S401/Debt!S34,"")</f>
        <v/>
      </c>
      <c r="T10" s="22">
        <f>IF(Debt!T34&gt;Inputs!$F$29,Operations!T401/Debt!T34,"")</f>
        <v/>
      </c>
      <c r="U10" s="22">
        <f>IF(Debt!U34&gt;Inputs!$F$29,Operations!U401/Debt!U34,"")</f>
        <v/>
      </c>
      <c r="V10" s="22">
        <f>IF(Debt!V34&gt;Inputs!$F$29,Operations!V401/Debt!V34,"")</f>
        <v/>
      </c>
      <c r="W10" s="22">
        <f>IF(Debt!W34&gt;Inputs!$F$29,Operations!W401/Debt!W34,"")</f>
        <v/>
      </c>
      <c r="X10" s="22">
        <f>IF(Debt!X34&gt;Inputs!$F$29,Operations!X401/Debt!X34,"")</f>
        <v/>
      </c>
      <c r="Y10" s="22">
        <f>IF(Debt!Y34&gt;Inputs!$F$29,Operations!Y401/Debt!Y34,"")</f>
        <v/>
      </c>
      <c r="Z10" s="22">
        <f>IF(Debt!Z34&gt;Inputs!$F$29,Operations!Z401/Debt!Z34,"")</f>
        <v/>
      </c>
      <c r="AA10" s="22">
        <f>IF(Debt!AA34&gt;Inputs!$F$29,Operations!AA401/Debt!AA34,"")</f>
        <v/>
      </c>
      <c r="AB10" s="22">
        <f>IF(Debt!AB34&gt;Inputs!$F$29,Operations!AB401/Debt!AB34,"")</f>
        <v/>
      </c>
      <c r="AC10" s="22">
        <f>IF(Debt!AC34&gt;Inputs!$F$29,Operations!AC401/Debt!AC34,"")</f>
        <v/>
      </c>
      <c r="AD10" s="22">
        <f>IF(Debt!AD34&gt;Inputs!$F$29,Operations!AD401/Debt!AD34,"")</f>
        <v/>
      </c>
      <c r="AE10" s="22">
        <f>IF(Debt!AE34&gt;Inputs!$F$29,Operations!AE401/Debt!AE34,"")</f>
        <v/>
      </c>
      <c r="AF10" s="22">
        <f>IF(Debt!AF34&gt;Inputs!$F$29,Operations!AF401/Debt!AF34,"")</f>
        <v/>
      </c>
      <c r="AG10" s="22">
        <f>IF(Debt!AG34&gt;Inputs!$F$29,Operations!AG401/Debt!AG34,"")</f>
        <v/>
      </c>
      <c r="AH10" s="22">
        <f>IF(Debt!AH34&gt;Inputs!$F$29,Operations!AH401/Debt!AH34,"")</f>
        <v/>
      </c>
      <c r="AI10" s="22">
        <f>IF(Debt!AI34&gt;Inputs!$F$29,Operations!AI401/Debt!AI34,"")</f>
        <v/>
      </c>
      <c r="AJ10" s="22">
        <f>IF(Debt!AJ34&gt;Inputs!$F$29,Operations!AJ401/Debt!AJ34,"")</f>
        <v/>
      </c>
      <c r="AK10" s="22">
        <f>IF(Debt!AK34&gt;Inputs!$F$29,Operations!AK401/Debt!AK34,"")</f>
        <v/>
      </c>
      <c r="AL10" s="22">
        <f>IF(Debt!AL34&gt;Inputs!$F$29,Operations!AL401/Debt!AL34,"")</f>
        <v/>
      </c>
      <c r="AM10" s="22">
        <f>IF(Debt!AM34&gt;Inputs!$F$29,Operations!AM401/Debt!AM34,"")</f>
        <v/>
      </c>
      <c r="AN10" s="22">
        <f>IF(Debt!AN34&gt;Inputs!$F$29,Operations!AN401/Debt!AN34,"")</f>
        <v/>
      </c>
      <c r="AO10" s="22">
        <f>IF(Debt!AO34&gt;Inputs!$F$29,Operations!AO401/Debt!AO34,"")</f>
        <v/>
      </c>
      <c r="AP10" s="22">
        <f>IF(Debt!AP34&gt;Inputs!$F$29,Operations!AP401/Debt!AP34,"")</f>
        <v/>
      </c>
      <c r="AQ10" s="22">
        <f>IF(Debt!AQ34&gt;Inputs!$F$29,Operations!AQ401/Debt!AQ34,"")</f>
        <v/>
      </c>
      <c r="AR10" s="22">
        <f>IF(Debt!AR34&gt;Inputs!$F$29,Operations!AR401/Debt!AR34,"")</f>
        <v/>
      </c>
      <c r="AS10" s="22">
        <f>IF(Debt!AS34&gt;Inputs!$F$29,Operations!AS401/Debt!AS34,"")</f>
        <v/>
      </c>
      <c r="AT10" s="22">
        <f>IF(Debt!AT34&gt;Inputs!$F$29,Operations!AT401/Debt!AT34,"")</f>
        <v/>
      </c>
      <c r="AU10" s="22">
        <f>IF(Debt!AU34&gt;Inputs!$F$29,Operations!AU401/Debt!AU34,"")</f>
        <v/>
      </c>
    </row>
    <row r="11">
      <c r="D11" t="inlineStr">
        <is>
          <t>Opco aggregate DSCR</t>
        </is>
      </c>
      <c r="E11" t="inlineStr">
        <is>
          <t>x</t>
        </is>
      </c>
      <c r="J11" s="22">
        <f>IF(Waterfall!J9&gt;Inputs!$F$29,Operations!J401/Waterfall!J9,"")</f>
        <v/>
      </c>
      <c r="K11" s="22">
        <f>IF(Waterfall!K9&gt;Inputs!$F$29,Operations!K401/Waterfall!K9,"")</f>
        <v/>
      </c>
      <c r="L11" s="22">
        <f>IF(Waterfall!L9&gt;Inputs!$F$29,Operations!L401/Waterfall!L9,"")</f>
        <v/>
      </c>
      <c r="M11" s="22">
        <f>IF(Waterfall!M9&gt;Inputs!$F$29,Operations!M401/Waterfall!M9,"")</f>
        <v/>
      </c>
      <c r="N11" s="22">
        <f>IF(Waterfall!N9&gt;Inputs!$F$29,Operations!N401/Waterfall!N9,"")</f>
        <v/>
      </c>
      <c r="O11" s="22">
        <f>IF(Waterfall!O9&gt;Inputs!$F$29,Operations!O401/Waterfall!O9,"")</f>
        <v/>
      </c>
      <c r="P11" s="22">
        <f>IF(Waterfall!P9&gt;Inputs!$F$29,Operations!P401/Waterfall!P9,"")</f>
        <v/>
      </c>
      <c r="Q11" s="22">
        <f>IF(Waterfall!Q9&gt;Inputs!$F$29,Operations!Q401/Waterfall!Q9,"")</f>
        <v/>
      </c>
      <c r="R11" s="22">
        <f>IF(Waterfall!R9&gt;Inputs!$F$29,Operations!R401/Waterfall!R9,"")</f>
        <v/>
      </c>
      <c r="S11" s="22">
        <f>IF(Waterfall!S9&gt;Inputs!$F$29,Operations!S401/Waterfall!S9,"")</f>
        <v/>
      </c>
      <c r="T11" s="22">
        <f>IF(Waterfall!T9&gt;Inputs!$F$29,Operations!T401/Waterfall!T9,"")</f>
        <v/>
      </c>
      <c r="U11" s="22">
        <f>IF(Waterfall!U9&gt;Inputs!$F$29,Operations!U401/Waterfall!U9,"")</f>
        <v/>
      </c>
      <c r="V11" s="22">
        <f>IF(Waterfall!V9&gt;Inputs!$F$29,Operations!V401/Waterfall!V9,"")</f>
        <v/>
      </c>
      <c r="W11" s="22">
        <f>IF(Waterfall!W9&gt;Inputs!$F$29,Operations!W401/Waterfall!W9,"")</f>
        <v/>
      </c>
      <c r="X11" s="22">
        <f>IF(Waterfall!X9&gt;Inputs!$F$29,Operations!X401/Waterfall!X9,"")</f>
        <v/>
      </c>
      <c r="Y11" s="22">
        <f>IF(Waterfall!Y9&gt;Inputs!$F$29,Operations!Y401/Waterfall!Y9,"")</f>
        <v/>
      </c>
      <c r="Z11" s="22">
        <f>IF(Waterfall!Z9&gt;Inputs!$F$29,Operations!Z401/Waterfall!Z9,"")</f>
        <v/>
      </c>
      <c r="AA11" s="22">
        <f>IF(Waterfall!AA9&gt;Inputs!$F$29,Operations!AA401/Waterfall!AA9,"")</f>
        <v/>
      </c>
      <c r="AB11" s="22">
        <f>IF(Waterfall!AB9&gt;Inputs!$F$29,Operations!AB401/Waterfall!AB9,"")</f>
        <v/>
      </c>
      <c r="AC11" s="22">
        <f>IF(Waterfall!AC9&gt;Inputs!$F$29,Operations!AC401/Waterfall!AC9,"")</f>
        <v/>
      </c>
      <c r="AD11" s="22">
        <f>IF(Waterfall!AD9&gt;Inputs!$F$29,Operations!AD401/Waterfall!AD9,"")</f>
        <v/>
      </c>
      <c r="AE11" s="22">
        <f>IF(Waterfall!AE9&gt;Inputs!$F$29,Operations!AE401/Waterfall!AE9,"")</f>
        <v/>
      </c>
      <c r="AF11" s="22">
        <f>IF(Waterfall!AF9&gt;Inputs!$F$29,Operations!AF401/Waterfall!AF9,"")</f>
        <v/>
      </c>
      <c r="AG11" s="22">
        <f>IF(Waterfall!AG9&gt;Inputs!$F$29,Operations!AG401/Waterfall!AG9,"")</f>
        <v/>
      </c>
      <c r="AH11" s="22">
        <f>IF(Waterfall!AH9&gt;Inputs!$F$29,Operations!AH401/Waterfall!AH9,"")</f>
        <v/>
      </c>
      <c r="AI11" s="22">
        <f>IF(Waterfall!AI9&gt;Inputs!$F$29,Operations!AI401/Waterfall!AI9,"")</f>
        <v/>
      </c>
      <c r="AJ11" s="22">
        <f>IF(Waterfall!AJ9&gt;Inputs!$F$29,Operations!AJ401/Waterfall!AJ9,"")</f>
        <v/>
      </c>
      <c r="AK11" s="22">
        <f>IF(Waterfall!AK9&gt;Inputs!$F$29,Operations!AK401/Waterfall!AK9,"")</f>
        <v/>
      </c>
      <c r="AL11" s="22">
        <f>IF(Waterfall!AL9&gt;Inputs!$F$29,Operations!AL401/Waterfall!AL9,"")</f>
        <v/>
      </c>
      <c r="AM11" s="22">
        <f>IF(Waterfall!AM9&gt;Inputs!$F$29,Operations!AM401/Waterfall!AM9,"")</f>
        <v/>
      </c>
      <c r="AN11" s="22">
        <f>IF(Waterfall!AN9&gt;Inputs!$F$29,Operations!AN401/Waterfall!AN9,"")</f>
        <v/>
      </c>
      <c r="AO11" s="22">
        <f>IF(Waterfall!AO9&gt;Inputs!$F$29,Operations!AO401/Waterfall!AO9,"")</f>
        <v/>
      </c>
      <c r="AP11" s="22">
        <f>IF(Waterfall!AP9&gt;Inputs!$F$29,Operations!AP401/Waterfall!AP9,"")</f>
        <v/>
      </c>
      <c r="AQ11" s="22">
        <f>IF(Waterfall!AQ9&gt;Inputs!$F$29,Operations!AQ401/Waterfall!AQ9,"")</f>
        <v/>
      </c>
      <c r="AR11" s="22">
        <f>IF(Waterfall!AR9&gt;Inputs!$F$29,Operations!AR401/Waterfall!AR9,"")</f>
        <v/>
      </c>
      <c r="AS11" s="22">
        <f>IF(Waterfall!AS9&gt;Inputs!$F$29,Operations!AS401/Waterfall!AS9,"")</f>
        <v/>
      </c>
      <c r="AT11" s="22">
        <f>IF(Waterfall!AT9&gt;Inputs!$F$29,Operations!AT401/Waterfall!AT9,"")</f>
        <v/>
      </c>
      <c r="AU11" s="22">
        <f>IF(Waterfall!AU9&gt;Inputs!$F$29,Operations!AU401/Waterfall!AU9,"")</f>
        <v/>
      </c>
    </row>
    <row r="12">
      <c r="D12" t="inlineStr">
        <is>
          <t>Holdco coverage (opco distributions / holdco debt service)</t>
        </is>
      </c>
      <c r="E12" t="inlineStr">
        <is>
          <t>x</t>
        </is>
      </c>
      <c r="J12" s="22">
        <f>IF(Debt!J67&gt;Inputs!$F$29,Waterfall!J10/Debt!J67,"")</f>
        <v/>
      </c>
      <c r="K12" s="22">
        <f>IF(Debt!K67&gt;Inputs!$F$29,Waterfall!K10/Debt!K67,"")</f>
        <v/>
      </c>
      <c r="L12" s="22">
        <f>IF(Debt!L67&gt;Inputs!$F$29,Waterfall!L10/Debt!L67,"")</f>
        <v/>
      </c>
      <c r="M12" s="22">
        <f>IF(Debt!M67&gt;Inputs!$F$29,Waterfall!M10/Debt!M67,"")</f>
        <v/>
      </c>
      <c r="N12" s="22">
        <f>IF(Debt!N67&gt;Inputs!$F$29,Waterfall!N10/Debt!N67,"")</f>
        <v/>
      </c>
      <c r="O12" s="22">
        <f>IF(Debt!O67&gt;Inputs!$F$29,Waterfall!O10/Debt!O67,"")</f>
        <v/>
      </c>
      <c r="P12" s="22">
        <f>IF(Debt!P67&gt;Inputs!$F$29,Waterfall!P10/Debt!P67,"")</f>
        <v/>
      </c>
      <c r="Q12" s="22">
        <f>IF(Debt!Q67&gt;Inputs!$F$29,Waterfall!Q10/Debt!Q67,"")</f>
        <v/>
      </c>
      <c r="R12" s="22">
        <f>IF(Debt!R67&gt;Inputs!$F$29,Waterfall!R10/Debt!R67,"")</f>
        <v/>
      </c>
      <c r="S12" s="22">
        <f>IF(Debt!S67&gt;Inputs!$F$29,Waterfall!S10/Debt!S67,"")</f>
        <v/>
      </c>
      <c r="T12" s="22">
        <f>IF(Debt!T67&gt;Inputs!$F$29,Waterfall!T10/Debt!T67,"")</f>
        <v/>
      </c>
      <c r="U12" s="22">
        <f>IF(Debt!U67&gt;Inputs!$F$29,Waterfall!U10/Debt!U67,"")</f>
        <v/>
      </c>
      <c r="V12" s="22">
        <f>IF(Debt!V67&gt;Inputs!$F$29,Waterfall!V10/Debt!V67,"")</f>
        <v/>
      </c>
      <c r="W12" s="22">
        <f>IF(Debt!W67&gt;Inputs!$F$29,Waterfall!W10/Debt!W67,"")</f>
        <v/>
      </c>
      <c r="X12" s="22">
        <f>IF(Debt!X67&gt;Inputs!$F$29,Waterfall!X10/Debt!X67,"")</f>
        <v/>
      </c>
      <c r="Y12" s="22">
        <f>IF(Debt!Y67&gt;Inputs!$F$29,Waterfall!Y10/Debt!Y67,"")</f>
        <v/>
      </c>
      <c r="Z12" s="22">
        <f>IF(Debt!Z67&gt;Inputs!$F$29,Waterfall!Z10/Debt!Z67,"")</f>
        <v/>
      </c>
      <c r="AA12" s="22">
        <f>IF(Debt!AA67&gt;Inputs!$F$29,Waterfall!AA10/Debt!AA67,"")</f>
        <v/>
      </c>
      <c r="AB12" s="22">
        <f>IF(Debt!AB67&gt;Inputs!$F$29,Waterfall!AB10/Debt!AB67,"")</f>
        <v/>
      </c>
      <c r="AC12" s="22">
        <f>IF(Debt!AC67&gt;Inputs!$F$29,Waterfall!AC10/Debt!AC67,"")</f>
        <v/>
      </c>
      <c r="AD12" s="22">
        <f>IF(Debt!AD67&gt;Inputs!$F$29,Waterfall!AD10/Debt!AD67,"")</f>
        <v/>
      </c>
      <c r="AE12" s="22">
        <f>IF(Debt!AE67&gt;Inputs!$F$29,Waterfall!AE10/Debt!AE67,"")</f>
        <v/>
      </c>
      <c r="AF12" s="22">
        <f>IF(Debt!AF67&gt;Inputs!$F$29,Waterfall!AF10/Debt!AF67,"")</f>
        <v/>
      </c>
      <c r="AG12" s="22">
        <f>IF(Debt!AG67&gt;Inputs!$F$29,Waterfall!AG10/Debt!AG67,"")</f>
        <v/>
      </c>
      <c r="AH12" s="22">
        <f>IF(Debt!AH67&gt;Inputs!$F$29,Waterfall!AH10/Debt!AH67,"")</f>
        <v/>
      </c>
      <c r="AI12" s="22">
        <f>IF(Debt!AI67&gt;Inputs!$F$29,Waterfall!AI10/Debt!AI67,"")</f>
        <v/>
      </c>
      <c r="AJ12" s="22">
        <f>IF(Debt!AJ67&gt;Inputs!$F$29,Waterfall!AJ10/Debt!AJ67,"")</f>
        <v/>
      </c>
      <c r="AK12" s="22">
        <f>IF(Debt!AK67&gt;Inputs!$F$29,Waterfall!AK10/Debt!AK67,"")</f>
        <v/>
      </c>
      <c r="AL12" s="22">
        <f>IF(Debt!AL67&gt;Inputs!$F$29,Waterfall!AL10/Debt!AL67,"")</f>
        <v/>
      </c>
      <c r="AM12" s="22">
        <f>IF(Debt!AM67&gt;Inputs!$F$29,Waterfall!AM10/Debt!AM67,"")</f>
        <v/>
      </c>
      <c r="AN12" s="22">
        <f>IF(Debt!AN67&gt;Inputs!$F$29,Waterfall!AN10/Debt!AN67,"")</f>
        <v/>
      </c>
      <c r="AO12" s="22">
        <f>IF(Debt!AO67&gt;Inputs!$F$29,Waterfall!AO10/Debt!AO67,"")</f>
        <v/>
      </c>
      <c r="AP12" s="22">
        <f>IF(Debt!AP67&gt;Inputs!$F$29,Waterfall!AP10/Debt!AP67,"")</f>
        <v/>
      </c>
      <c r="AQ12" s="22">
        <f>IF(Debt!AQ67&gt;Inputs!$F$29,Waterfall!AQ10/Debt!AQ67,"")</f>
        <v/>
      </c>
      <c r="AR12" s="22">
        <f>IF(Debt!AR67&gt;Inputs!$F$29,Waterfall!AR10/Debt!AR67,"")</f>
        <v/>
      </c>
      <c r="AS12" s="22">
        <f>IF(Debt!AS67&gt;Inputs!$F$29,Waterfall!AS10/Debt!AS67,"")</f>
        <v/>
      </c>
      <c r="AT12" s="22">
        <f>IF(Debt!AT67&gt;Inputs!$F$29,Waterfall!AT10/Debt!AT67,"")</f>
        <v/>
      </c>
      <c r="AU12" s="22">
        <f>IF(Debt!AU67&gt;Inputs!$F$29,Waterfall!AU10/Debt!AU67,"")</f>
        <v/>
      </c>
    </row>
    <row r="14">
      <c r="A14" s="4" t="inlineStr">
        <is>
          <t>Summary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</row>
    <row r="15">
      <c r="D15" t="inlineStr">
        <is>
          <t>Minimum dscr_tl, 2022-2025</t>
        </is>
      </c>
      <c r="E15" t="inlineStr">
        <is>
          <t>x</t>
        </is>
      </c>
      <c r="F15" s="22">
        <f>IF(SUMPRODUCT(ISNUMBER(Ratios!$J$8:$AU$8)*(Time!$J$4:$AU$4&gt;=2022)*(Time!$J$4:$AU$4&lt;=2025))=0,"",_xlfn.MINIFS(Ratios!$J$8:$AU$8,Time!$J$4:$AU$4,"&gt;="&amp;2022,Time!$J$4:$AU$4,"&lt;="&amp;2025))</f>
        <v/>
      </c>
    </row>
    <row r="16">
      <c r="D16" t="inlineStr">
        <is>
          <t>Average dscr_tl, 2022-2025</t>
        </is>
      </c>
      <c r="E16" t="inlineStr">
        <is>
          <t>x</t>
        </is>
      </c>
      <c r="F16" s="22">
        <f>IFERROR(AVERAGEIFS(Ratios!$J$8:$AU$8,Time!$J$4:$AU$4,"&gt;="&amp;2022,Time!$J$4:$AU$4,"&lt;="&amp;2025),"")</f>
        <v/>
      </c>
    </row>
    <row r="17">
      <c r="D17" t="inlineStr">
        <is>
          <t>Minimum dscr_u, 2026-2043</t>
        </is>
      </c>
      <c r="E17" t="inlineStr">
        <is>
          <t>x</t>
        </is>
      </c>
      <c r="F17" s="22">
        <f>IF(SUMPRODUCT(ISNUMBER(Ratios!$J$10:$AU$10)*(Time!$J$4:$AU$4&gt;=2026)*(Time!$J$4:$AU$4&lt;=2043))=0,"",_xlfn.MINIFS(Ratios!$J$10:$AU$10,Time!$J$4:$AU$4,"&gt;="&amp;2026,Time!$J$4:$AU$4,"&lt;="&amp;2043))</f>
        <v/>
      </c>
    </row>
    <row r="18">
      <c r="D18" t="inlineStr">
        <is>
          <t>Average dscr_u, 2026-2043</t>
        </is>
      </c>
      <c r="E18" t="inlineStr">
        <is>
          <t>x</t>
        </is>
      </c>
      <c r="F18" s="22">
        <f>IFERROR(AVERAGEIFS(Ratios!$J$10:$AU$10,Time!$J$4:$AU$4,"&gt;="&amp;2026,Time!$J$4:$AU$4,"&lt;="&amp;2043),"")</f>
        <v/>
      </c>
    </row>
    <row r="19">
      <c r="D19" t="inlineStr">
        <is>
          <t>Minimum dscr_rf, 2024-2029</t>
        </is>
      </c>
      <c r="E19" t="inlineStr">
        <is>
          <t>x</t>
        </is>
      </c>
      <c r="F19" s="22">
        <f>IF(SUMPRODUCT(ISNUMBER(Ratios!$J$9:$AU$9)*(Time!$J$4:$AU$4&gt;=2024)*(Time!$J$4:$AU$4&lt;=2029))=0,"",_xlfn.MINIFS(Ratios!$J$9:$AU$9,Time!$J$4:$AU$4,"&gt;="&amp;2024,Time!$J$4:$AU$4,"&lt;="&amp;2029))</f>
        <v/>
      </c>
    </row>
    <row r="20">
      <c r="D20" t="inlineStr">
        <is>
          <t>Average dscr_rf, 2024-2029</t>
        </is>
      </c>
      <c r="E20" t="inlineStr">
        <is>
          <t>x</t>
        </is>
      </c>
      <c r="F20" s="22">
        <f>IFERROR(AVERAGEIFS(Ratios!$J$9:$AU$9,Time!$J$4:$AU$4,"&gt;="&amp;2024,Time!$J$4:$AU$4,"&lt;="&amp;2029),"")</f>
        <v/>
      </c>
    </row>
    <row r="21">
      <c r="D21" t="inlineStr">
        <is>
          <t>Minimum hc_cov, 2023-2031</t>
        </is>
      </c>
      <c r="E21" t="inlineStr">
        <is>
          <t>x</t>
        </is>
      </c>
      <c r="F21" s="22">
        <f>IF(SUMPRODUCT(ISNUMBER(Ratios!$J$12:$AU$12)*(Time!$J$4:$AU$4&gt;=2023)*(Time!$J$4:$AU$4&lt;=2031))=0,"",_xlfn.MINIFS(Ratios!$J$12:$AU$12,Time!$J$4:$AU$4,"&gt;="&amp;2023,Time!$J$4:$AU$4,"&lt;="&amp;2031))</f>
        <v/>
      </c>
    </row>
    <row r="22">
      <c r="D22" t="inlineStr">
        <is>
          <t>Average hc_cov, 2023-2031</t>
        </is>
      </c>
      <c r="E22" t="inlineStr">
        <is>
          <t>x</t>
        </is>
      </c>
      <c r="F22" s="22">
        <f>IFERROR(AVERAGEIFS(Ratios!$J$12:$AU$12,Time!$J$4:$AU$4,"&gt;="&amp;2023,Time!$J$4:$AU$4,"&lt;="&amp;2031),"")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15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Returns: bid valuations by risk bucket and fund returns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D4" t="inlineStr">
        <is>
          <t>Year</t>
        </is>
      </c>
      <c r="J4" s="2">
        <f>Time!J$4</f>
        <v/>
      </c>
      <c r="K4" s="2">
        <f>Time!K$4</f>
        <v/>
      </c>
      <c r="L4" s="2">
        <f>Time!L$4</f>
        <v/>
      </c>
      <c r="M4" s="2">
        <f>Time!M$4</f>
        <v/>
      </c>
      <c r="N4" s="2">
        <f>Time!N$4</f>
        <v/>
      </c>
      <c r="O4" s="2">
        <f>Time!O$4</f>
        <v/>
      </c>
      <c r="P4" s="2">
        <f>Time!P$4</f>
        <v/>
      </c>
      <c r="Q4" s="2">
        <f>Time!Q$4</f>
        <v/>
      </c>
      <c r="R4" s="2">
        <f>Time!R$4</f>
        <v/>
      </c>
      <c r="S4" s="2">
        <f>Time!S$4</f>
        <v/>
      </c>
      <c r="T4" s="2">
        <f>Time!T$4</f>
        <v/>
      </c>
      <c r="U4" s="2">
        <f>Time!U$4</f>
        <v/>
      </c>
      <c r="V4" s="2">
        <f>Time!V$4</f>
        <v/>
      </c>
      <c r="W4" s="2">
        <f>Time!W$4</f>
        <v/>
      </c>
      <c r="X4" s="2">
        <f>Time!X$4</f>
        <v/>
      </c>
      <c r="Y4" s="2">
        <f>Time!Y$4</f>
        <v/>
      </c>
      <c r="Z4" s="2">
        <f>Time!Z$4</f>
        <v/>
      </c>
      <c r="AA4" s="2">
        <f>Time!AA$4</f>
        <v/>
      </c>
      <c r="AB4" s="2">
        <f>Time!AB$4</f>
        <v/>
      </c>
      <c r="AC4" s="2">
        <f>Time!AC$4</f>
        <v/>
      </c>
      <c r="AD4" s="2">
        <f>Time!AD$4</f>
        <v/>
      </c>
      <c r="AE4" s="2">
        <f>Time!AE$4</f>
        <v/>
      </c>
      <c r="AF4" s="2">
        <f>Time!AF$4</f>
        <v/>
      </c>
      <c r="AG4" s="2">
        <f>Time!AG$4</f>
        <v/>
      </c>
      <c r="AH4" s="2">
        <f>Time!AH$4</f>
        <v/>
      </c>
      <c r="AI4" s="2">
        <f>Time!AI$4</f>
        <v/>
      </c>
      <c r="AJ4" s="2">
        <f>Time!AJ$4</f>
        <v/>
      </c>
      <c r="AK4" s="2">
        <f>Time!AK$4</f>
        <v/>
      </c>
      <c r="AL4" s="2">
        <f>Time!AL$4</f>
        <v/>
      </c>
      <c r="AM4" s="2">
        <f>Time!AM$4</f>
        <v/>
      </c>
      <c r="AN4" s="2">
        <f>Time!AN$4</f>
        <v/>
      </c>
      <c r="AO4" s="2">
        <f>Time!AO$4</f>
        <v/>
      </c>
      <c r="AP4" s="2">
        <f>Time!AP$4</f>
        <v/>
      </c>
      <c r="AQ4" s="2">
        <f>Time!AQ$4</f>
        <v/>
      </c>
      <c r="AR4" s="2">
        <f>Time!AR$4</f>
        <v/>
      </c>
      <c r="AS4" s="2">
        <f>Time!AS$4</f>
        <v/>
      </c>
      <c r="AT4" s="2">
        <f>Time!AT$4</f>
        <v/>
      </c>
      <c r="AU4" s="2">
        <f>Time!AU$4</f>
        <v/>
      </c>
    </row>
    <row r="5">
      <c r="D5" t="inlineStr">
        <is>
          <t>Period end</t>
        </is>
      </c>
      <c r="J5" s="3">
        <f>Time!J$6</f>
        <v/>
      </c>
      <c r="K5" s="3">
        <f>Time!K$6</f>
        <v/>
      </c>
      <c r="L5" s="3">
        <f>Time!L$6</f>
        <v/>
      </c>
      <c r="M5" s="3">
        <f>Time!M$6</f>
        <v/>
      </c>
      <c r="N5" s="3">
        <f>Time!N$6</f>
        <v/>
      </c>
      <c r="O5" s="3">
        <f>Time!O$6</f>
        <v/>
      </c>
      <c r="P5" s="3">
        <f>Time!P$6</f>
        <v/>
      </c>
      <c r="Q5" s="3">
        <f>Time!Q$6</f>
        <v/>
      </c>
      <c r="R5" s="3">
        <f>Time!R$6</f>
        <v/>
      </c>
      <c r="S5" s="3">
        <f>Time!S$6</f>
        <v/>
      </c>
      <c r="T5" s="3">
        <f>Time!T$6</f>
        <v/>
      </c>
      <c r="U5" s="3">
        <f>Time!U$6</f>
        <v/>
      </c>
      <c r="V5" s="3">
        <f>Time!V$6</f>
        <v/>
      </c>
      <c r="W5" s="3">
        <f>Time!W$6</f>
        <v/>
      </c>
      <c r="X5" s="3">
        <f>Time!X$6</f>
        <v/>
      </c>
      <c r="Y5" s="3">
        <f>Time!Y$6</f>
        <v/>
      </c>
      <c r="Z5" s="3">
        <f>Time!Z$6</f>
        <v/>
      </c>
      <c r="AA5" s="3">
        <f>Time!AA$6</f>
        <v/>
      </c>
      <c r="AB5" s="3">
        <f>Time!AB$6</f>
        <v/>
      </c>
      <c r="AC5" s="3">
        <f>Time!AC$6</f>
        <v/>
      </c>
      <c r="AD5" s="3">
        <f>Time!AD$6</f>
        <v/>
      </c>
      <c r="AE5" s="3">
        <f>Time!AE$6</f>
        <v/>
      </c>
      <c r="AF5" s="3">
        <f>Time!AF$6</f>
        <v/>
      </c>
      <c r="AG5" s="3">
        <f>Time!AG$6</f>
        <v/>
      </c>
      <c r="AH5" s="3">
        <f>Time!AH$6</f>
        <v/>
      </c>
      <c r="AI5" s="3">
        <f>Time!AI$6</f>
        <v/>
      </c>
      <c r="AJ5" s="3">
        <f>Time!AJ$6</f>
        <v/>
      </c>
      <c r="AK5" s="3">
        <f>Time!AK$6</f>
        <v/>
      </c>
      <c r="AL5" s="3">
        <f>Time!AL$6</f>
        <v/>
      </c>
      <c r="AM5" s="3">
        <f>Time!AM$6</f>
        <v/>
      </c>
      <c r="AN5" s="3">
        <f>Time!AN$6</f>
        <v/>
      </c>
      <c r="AO5" s="3">
        <f>Time!AO$6</f>
        <v/>
      </c>
      <c r="AP5" s="3">
        <f>Time!AP$6</f>
        <v/>
      </c>
      <c r="AQ5" s="3">
        <f>Time!AQ$6</f>
        <v/>
      </c>
      <c r="AR5" s="3">
        <f>Time!AR$6</f>
        <v/>
      </c>
      <c r="AS5" s="3">
        <f>Time!AS$6</f>
        <v/>
      </c>
      <c r="AT5" s="3">
        <f>Time!AT$6</f>
        <v/>
      </c>
      <c r="AU5" s="3">
        <f>Time!AU$6</f>
        <v/>
      </c>
    </row>
    <row r="7">
      <c r="A7" s="4" t="inlineStr">
        <is>
          <t>Unlevered discount factors (bucket rates to 2040, terminal rate after)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D8" t="inlineStr">
        <is>
          <t>Years from valuation date (a1_date)</t>
        </is>
      </c>
      <c r="E8" t="inlineStr">
        <is>
          <t>years</t>
        </is>
      </c>
      <c r="J8" s="14">
        <f>MAX(0,(Time!J$6-Inputs!$F$256)/Inputs!$F$27)</f>
        <v/>
      </c>
      <c r="K8" s="14">
        <f>MAX(0,(Time!K$6-Inputs!$F$256)/Inputs!$F$27)</f>
        <v/>
      </c>
      <c r="L8" s="14">
        <f>MAX(0,(Time!L$6-Inputs!$F$256)/Inputs!$F$27)</f>
        <v/>
      </c>
      <c r="M8" s="14">
        <f>MAX(0,(Time!M$6-Inputs!$F$256)/Inputs!$F$27)</f>
        <v/>
      </c>
      <c r="N8" s="14">
        <f>MAX(0,(Time!N$6-Inputs!$F$256)/Inputs!$F$27)</f>
        <v/>
      </c>
      <c r="O8" s="14">
        <f>MAX(0,(Time!O$6-Inputs!$F$256)/Inputs!$F$27)</f>
        <v/>
      </c>
      <c r="P8" s="14">
        <f>MAX(0,(Time!P$6-Inputs!$F$256)/Inputs!$F$27)</f>
        <v/>
      </c>
      <c r="Q8" s="14">
        <f>MAX(0,(Time!Q$6-Inputs!$F$256)/Inputs!$F$27)</f>
        <v/>
      </c>
      <c r="R8" s="14">
        <f>MAX(0,(Time!R$6-Inputs!$F$256)/Inputs!$F$27)</f>
        <v/>
      </c>
      <c r="S8" s="14">
        <f>MAX(0,(Time!S$6-Inputs!$F$256)/Inputs!$F$27)</f>
        <v/>
      </c>
      <c r="T8" s="14">
        <f>MAX(0,(Time!T$6-Inputs!$F$256)/Inputs!$F$27)</f>
        <v/>
      </c>
      <c r="U8" s="14">
        <f>MAX(0,(Time!U$6-Inputs!$F$256)/Inputs!$F$27)</f>
        <v/>
      </c>
      <c r="V8" s="14">
        <f>MAX(0,(Time!V$6-Inputs!$F$256)/Inputs!$F$27)</f>
        <v/>
      </c>
      <c r="W8" s="14">
        <f>MAX(0,(Time!W$6-Inputs!$F$256)/Inputs!$F$27)</f>
        <v/>
      </c>
      <c r="X8" s="14">
        <f>MAX(0,(Time!X$6-Inputs!$F$256)/Inputs!$F$27)</f>
        <v/>
      </c>
      <c r="Y8" s="14">
        <f>MAX(0,(Time!Y$6-Inputs!$F$256)/Inputs!$F$27)</f>
        <v/>
      </c>
      <c r="Z8" s="14">
        <f>MAX(0,(Time!Z$6-Inputs!$F$256)/Inputs!$F$27)</f>
        <v/>
      </c>
      <c r="AA8" s="14">
        <f>MAX(0,(Time!AA$6-Inputs!$F$256)/Inputs!$F$27)</f>
        <v/>
      </c>
      <c r="AB8" s="14">
        <f>MAX(0,(Time!AB$6-Inputs!$F$256)/Inputs!$F$27)</f>
        <v/>
      </c>
      <c r="AC8" s="14">
        <f>MAX(0,(Time!AC$6-Inputs!$F$256)/Inputs!$F$27)</f>
        <v/>
      </c>
      <c r="AD8" s="14">
        <f>MAX(0,(Time!AD$6-Inputs!$F$256)/Inputs!$F$27)</f>
        <v/>
      </c>
      <c r="AE8" s="14">
        <f>MAX(0,(Time!AE$6-Inputs!$F$256)/Inputs!$F$27)</f>
        <v/>
      </c>
      <c r="AF8" s="14">
        <f>MAX(0,(Time!AF$6-Inputs!$F$256)/Inputs!$F$27)</f>
        <v/>
      </c>
      <c r="AG8" s="14">
        <f>MAX(0,(Time!AG$6-Inputs!$F$256)/Inputs!$F$27)</f>
        <v/>
      </c>
      <c r="AH8" s="14">
        <f>MAX(0,(Time!AH$6-Inputs!$F$256)/Inputs!$F$27)</f>
        <v/>
      </c>
      <c r="AI8" s="14">
        <f>MAX(0,(Time!AI$6-Inputs!$F$256)/Inputs!$F$27)</f>
        <v/>
      </c>
      <c r="AJ8" s="14">
        <f>MAX(0,(Time!AJ$6-Inputs!$F$256)/Inputs!$F$27)</f>
        <v/>
      </c>
      <c r="AK8" s="14">
        <f>MAX(0,(Time!AK$6-Inputs!$F$256)/Inputs!$F$27)</f>
        <v/>
      </c>
      <c r="AL8" s="14">
        <f>MAX(0,(Time!AL$6-Inputs!$F$256)/Inputs!$F$27)</f>
        <v/>
      </c>
      <c r="AM8" s="14">
        <f>MAX(0,(Time!AM$6-Inputs!$F$256)/Inputs!$F$27)</f>
        <v/>
      </c>
      <c r="AN8" s="14">
        <f>MAX(0,(Time!AN$6-Inputs!$F$256)/Inputs!$F$27)</f>
        <v/>
      </c>
      <c r="AO8" s="14">
        <f>MAX(0,(Time!AO$6-Inputs!$F$256)/Inputs!$F$27)</f>
        <v/>
      </c>
      <c r="AP8" s="14">
        <f>MAX(0,(Time!AP$6-Inputs!$F$256)/Inputs!$F$27)</f>
        <v/>
      </c>
      <c r="AQ8" s="14">
        <f>MAX(0,(Time!AQ$6-Inputs!$F$256)/Inputs!$F$27)</f>
        <v/>
      </c>
      <c r="AR8" s="14">
        <f>MAX(0,(Time!AR$6-Inputs!$F$256)/Inputs!$F$27)</f>
        <v/>
      </c>
      <c r="AS8" s="14">
        <f>MAX(0,(Time!AS$6-Inputs!$F$256)/Inputs!$F$27)</f>
        <v/>
      </c>
      <c r="AT8" s="14">
        <f>MAX(0,(Time!AT$6-Inputs!$F$256)/Inputs!$F$27)</f>
        <v/>
      </c>
      <c r="AU8" s="14">
        <f>MAX(0,(Time!AU$6-Inputs!$F$256)/Inputs!$F$27)</f>
        <v/>
      </c>
    </row>
    <row r="9">
      <c r="D9" t="inlineStr">
        <is>
          <t>Cash flow on or after valuation date</t>
        </is>
      </c>
      <c r="E9" t="inlineStr">
        <is>
          <t>flag</t>
        </is>
      </c>
      <c r="J9" s="12">
        <f>--(Time!J$6&gt;=Inputs!$F$256)</f>
        <v/>
      </c>
      <c r="K9" s="12">
        <f>--(Time!K$6&gt;=Inputs!$F$256)</f>
        <v/>
      </c>
      <c r="L9" s="12">
        <f>--(Time!L$6&gt;=Inputs!$F$256)</f>
        <v/>
      </c>
      <c r="M9" s="12">
        <f>--(Time!M$6&gt;=Inputs!$F$256)</f>
        <v/>
      </c>
      <c r="N9" s="12">
        <f>--(Time!N$6&gt;=Inputs!$F$256)</f>
        <v/>
      </c>
      <c r="O9" s="12">
        <f>--(Time!O$6&gt;=Inputs!$F$256)</f>
        <v/>
      </c>
      <c r="P9" s="12">
        <f>--(Time!P$6&gt;=Inputs!$F$256)</f>
        <v/>
      </c>
      <c r="Q9" s="12">
        <f>--(Time!Q$6&gt;=Inputs!$F$256)</f>
        <v/>
      </c>
      <c r="R9" s="12">
        <f>--(Time!R$6&gt;=Inputs!$F$256)</f>
        <v/>
      </c>
      <c r="S9" s="12">
        <f>--(Time!S$6&gt;=Inputs!$F$256)</f>
        <v/>
      </c>
      <c r="T9" s="12">
        <f>--(Time!T$6&gt;=Inputs!$F$256)</f>
        <v/>
      </c>
      <c r="U9" s="12">
        <f>--(Time!U$6&gt;=Inputs!$F$256)</f>
        <v/>
      </c>
      <c r="V9" s="12">
        <f>--(Time!V$6&gt;=Inputs!$F$256)</f>
        <v/>
      </c>
      <c r="W9" s="12">
        <f>--(Time!W$6&gt;=Inputs!$F$256)</f>
        <v/>
      </c>
      <c r="X9" s="12">
        <f>--(Time!X$6&gt;=Inputs!$F$256)</f>
        <v/>
      </c>
      <c r="Y9" s="12">
        <f>--(Time!Y$6&gt;=Inputs!$F$256)</f>
        <v/>
      </c>
      <c r="Z9" s="12">
        <f>--(Time!Z$6&gt;=Inputs!$F$256)</f>
        <v/>
      </c>
      <c r="AA9" s="12">
        <f>--(Time!AA$6&gt;=Inputs!$F$256)</f>
        <v/>
      </c>
      <c r="AB9" s="12">
        <f>--(Time!AB$6&gt;=Inputs!$F$256)</f>
        <v/>
      </c>
      <c r="AC9" s="12">
        <f>--(Time!AC$6&gt;=Inputs!$F$256)</f>
        <v/>
      </c>
      <c r="AD9" s="12">
        <f>--(Time!AD$6&gt;=Inputs!$F$256)</f>
        <v/>
      </c>
      <c r="AE9" s="12">
        <f>--(Time!AE$6&gt;=Inputs!$F$256)</f>
        <v/>
      </c>
      <c r="AF9" s="12">
        <f>--(Time!AF$6&gt;=Inputs!$F$256)</f>
        <v/>
      </c>
      <c r="AG9" s="12">
        <f>--(Time!AG$6&gt;=Inputs!$F$256)</f>
        <v/>
      </c>
      <c r="AH9" s="12">
        <f>--(Time!AH$6&gt;=Inputs!$F$256)</f>
        <v/>
      </c>
      <c r="AI9" s="12">
        <f>--(Time!AI$6&gt;=Inputs!$F$256)</f>
        <v/>
      </c>
      <c r="AJ9" s="12">
        <f>--(Time!AJ$6&gt;=Inputs!$F$256)</f>
        <v/>
      </c>
      <c r="AK9" s="12">
        <f>--(Time!AK$6&gt;=Inputs!$F$256)</f>
        <v/>
      </c>
      <c r="AL9" s="12">
        <f>--(Time!AL$6&gt;=Inputs!$F$256)</f>
        <v/>
      </c>
      <c r="AM9" s="12">
        <f>--(Time!AM$6&gt;=Inputs!$F$256)</f>
        <v/>
      </c>
      <c r="AN9" s="12">
        <f>--(Time!AN$6&gt;=Inputs!$F$256)</f>
        <v/>
      </c>
      <c r="AO9" s="12">
        <f>--(Time!AO$6&gt;=Inputs!$F$256)</f>
        <v/>
      </c>
      <c r="AP9" s="12">
        <f>--(Time!AP$6&gt;=Inputs!$F$256)</f>
        <v/>
      </c>
      <c r="AQ9" s="12">
        <f>--(Time!AQ$6&gt;=Inputs!$F$256)</f>
        <v/>
      </c>
      <c r="AR9" s="12">
        <f>--(Time!AR$6&gt;=Inputs!$F$256)</f>
        <v/>
      </c>
      <c r="AS9" s="12">
        <f>--(Time!AS$6&gt;=Inputs!$F$256)</f>
        <v/>
      </c>
      <c r="AT9" s="12">
        <f>--(Time!AT$6&gt;=Inputs!$F$256)</f>
        <v/>
      </c>
      <c r="AU9" s="12">
        <f>--(Time!AU$6&gt;=Inputs!$F$256)</f>
        <v/>
      </c>
    </row>
    <row r="10">
      <c r="D10" t="inlineStr">
        <is>
          <t>DF contracted (v1)</t>
        </is>
      </c>
      <c r="E10" t="inlineStr">
        <is>
          <t>factor</t>
        </is>
      </c>
      <c r="J10" s="14">
        <f>IF(Time!J$4&gt;Inputs!$F$335,(1+Inputs!$F$334/100)^(-Returns!J8),(1+Inputs!$F$330/100)^(-Returns!J8))*Returns!J9</f>
        <v/>
      </c>
      <c r="K10" s="14">
        <f>IF(Time!K$4&gt;Inputs!$F$335,(1+Inputs!$F$334/100)^(-Returns!K8),(1+Inputs!$F$330/100)^(-Returns!K8))*Returns!K9</f>
        <v/>
      </c>
      <c r="L10" s="14">
        <f>IF(Time!L$4&gt;Inputs!$F$335,(1+Inputs!$F$334/100)^(-Returns!L8),(1+Inputs!$F$330/100)^(-Returns!L8))*Returns!L9</f>
        <v/>
      </c>
      <c r="M10" s="14">
        <f>IF(Time!M$4&gt;Inputs!$F$335,(1+Inputs!$F$334/100)^(-Returns!M8),(1+Inputs!$F$330/100)^(-Returns!M8))*Returns!M9</f>
        <v/>
      </c>
      <c r="N10" s="14">
        <f>IF(Time!N$4&gt;Inputs!$F$335,(1+Inputs!$F$334/100)^(-Returns!N8),(1+Inputs!$F$330/100)^(-Returns!N8))*Returns!N9</f>
        <v/>
      </c>
      <c r="O10" s="14">
        <f>IF(Time!O$4&gt;Inputs!$F$335,(1+Inputs!$F$334/100)^(-Returns!O8),(1+Inputs!$F$330/100)^(-Returns!O8))*Returns!O9</f>
        <v/>
      </c>
      <c r="P10" s="14">
        <f>IF(Time!P$4&gt;Inputs!$F$335,(1+Inputs!$F$334/100)^(-Returns!P8),(1+Inputs!$F$330/100)^(-Returns!P8))*Returns!P9</f>
        <v/>
      </c>
      <c r="Q10" s="14">
        <f>IF(Time!Q$4&gt;Inputs!$F$335,(1+Inputs!$F$334/100)^(-Returns!Q8),(1+Inputs!$F$330/100)^(-Returns!Q8))*Returns!Q9</f>
        <v/>
      </c>
      <c r="R10" s="14">
        <f>IF(Time!R$4&gt;Inputs!$F$335,(1+Inputs!$F$334/100)^(-Returns!R8),(1+Inputs!$F$330/100)^(-Returns!R8))*Returns!R9</f>
        <v/>
      </c>
      <c r="S10" s="14">
        <f>IF(Time!S$4&gt;Inputs!$F$335,(1+Inputs!$F$334/100)^(-Returns!S8),(1+Inputs!$F$330/100)^(-Returns!S8))*Returns!S9</f>
        <v/>
      </c>
      <c r="T10" s="14">
        <f>IF(Time!T$4&gt;Inputs!$F$335,(1+Inputs!$F$334/100)^(-Returns!T8),(1+Inputs!$F$330/100)^(-Returns!T8))*Returns!T9</f>
        <v/>
      </c>
      <c r="U10" s="14">
        <f>IF(Time!U$4&gt;Inputs!$F$335,(1+Inputs!$F$334/100)^(-Returns!U8),(1+Inputs!$F$330/100)^(-Returns!U8))*Returns!U9</f>
        <v/>
      </c>
      <c r="V10" s="14">
        <f>IF(Time!V$4&gt;Inputs!$F$335,(1+Inputs!$F$334/100)^(-Returns!V8),(1+Inputs!$F$330/100)^(-Returns!V8))*Returns!V9</f>
        <v/>
      </c>
      <c r="W10" s="14">
        <f>IF(Time!W$4&gt;Inputs!$F$335,(1+Inputs!$F$334/100)^(-Returns!W8),(1+Inputs!$F$330/100)^(-Returns!W8))*Returns!W9</f>
        <v/>
      </c>
      <c r="X10" s="14">
        <f>IF(Time!X$4&gt;Inputs!$F$335,(1+Inputs!$F$334/100)^(-Returns!X8),(1+Inputs!$F$330/100)^(-Returns!X8))*Returns!X9</f>
        <v/>
      </c>
      <c r="Y10" s="14">
        <f>IF(Time!Y$4&gt;Inputs!$F$335,(1+Inputs!$F$334/100)^(-Returns!Y8),(1+Inputs!$F$330/100)^(-Returns!Y8))*Returns!Y9</f>
        <v/>
      </c>
      <c r="Z10" s="14">
        <f>IF(Time!Z$4&gt;Inputs!$F$335,(1+Inputs!$F$334/100)^(-Returns!Z8),(1+Inputs!$F$330/100)^(-Returns!Z8))*Returns!Z9</f>
        <v/>
      </c>
      <c r="AA10" s="14">
        <f>IF(Time!AA$4&gt;Inputs!$F$335,(1+Inputs!$F$334/100)^(-Returns!AA8),(1+Inputs!$F$330/100)^(-Returns!AA8))*Returns!AA9</f>
        <v/>
      </c>
      <c r="AB10" s="14">
        <f>IF(Time!AB$4&gt;Inputs!$F$335,(1+Inputs!$F$334/100)^(-Returns!AB8),(1+Inputs!$F$330/100)^(-Returns!AB8))*Returns!AB9</f>
        <v/>
      </c>
      <c r="AC10" s="14">
        <f>IF(Time!AC$4&gt;Inputs!$F$335,(1+Inputs!$F$334/100)^(-Returns!AC8),(1+Inputs!$F$330/100)^(-Returns!AC8))*Returns!AC9</f>
        <v/>
      </c>
      <c r="AD10" s="14">
        <f>IF(Time!AD$4&gt;Inputs!$F$335,(1+Inputs!$F$334/100)^(-Returns!AD8),(1+Inputs!$F$330/100)^(-Returns!AD8))*Returns!AD9</f>
        <v/>
      </c>
      <c r="AE10" s="14">
        <f>IF(Time!AE$4&gt;Inputs!$F$335,(1+Inputs!$F$334/100)^(-Returns!AE8),(1+Inputs!$F$330/100)^(-Returns!AE8))*Returns!AE9</f>
        <v/>
      </c>
      <c r="AF10" s="14">
        <f>IF(Time!AF$4&gt;Inputs!$F$335,(1+Inputs!$F$334/100)^(-Returns!AF8),(1+Inputs!$F$330/100)^(-Returns!AF8))*Returns!AF9</f>
        <v/>
      </c>
      <c r="AG10" s="14">
        <f>IF(Time!AG$4&gt;Inputs!$F$335,(1+Inputs!$F$334/100)^(-Returns!AG8),(1+Inputs!$F$330/100)^(-Returns!AG8))*Returns!AG9</f>
        <v/>
      </c>
      <c r="AH10" s="14">
        <f>IF(Time!AH$4&gt;Inputs!$F$335,(1+Inputs!$F$334/100)^(-Returns!AH8),(1+Inputs!$F$330/100)^(-Returns!AH8))*Returns!AH9</f>
        <v/>
      </c>
      <c r="AI10" s="14">
        <f>IF(Time!AI$4&gt;Inputs!$F$335,(1+Inputs!$F$334/100)^(-Returns!AI8),(1+Inputs!$F$330/100)^(-Returns!AI8))*Returns!AI9</f>
        <v/>
      </c>
      <c r="AJ10" s="14">
        <f>IF(Time!AJ$4&gt;Inputs!$F$335,(1+Inputs!$F$334/100)^(-Returns!AJ8),(1+Inputs!$F$330/100)^(-Returns!AJ8))*Returns!AJ9</f>
        <v/>
      </c>
      <c r="AK10" s="14">
        <f>IF(Time!AK$4&gt;Inputs!$F$335,(1+Inputs!$F$334/100)^(-Returns!AK8),(1+Inputs!$F$330/100)^(-Returns!AK8))*Returns!AK9</f>
        <v/>
      </c>
      <c r="AL10" s="14">
        <f>IF(Time!AL$4&gt;Inputs!$F$335,(1+Inputs!$F$334/100)^(-Returns!AL8),(1+Inputs!$F$330/100)^(-Returns!AL8))*Returns!AL9</f>
        <v/>
      </c>
      <c r="AM10" s="14">
        <f>IF(Time!AM$4&gt;Inputs!$F$335,(1+Inputs!$F$334/100)^(-Returns!AM8),(1+Inputs!$F$330/100)^(-Returns!AM8))*Returns!AM9</f>
        <v/>
      </c>
      <c r="AN10" s="14">
        <f>IF(Time!AN$4&gt;Inputs!$F$335,(1+Inputs!$F$334/100)^(-Returns!AN8),(1+Inputs!$F$330/100)^(-Returns!AN8))*Returns!AN9</f>
        <v/>
      </c>
      <c r="AO10" s="14">
        <f>IF(Time!AO$4&gt;Inputs!$F$335,(1+Inputs!$F$334/100)^(-Returns!AO8),(1+Inputs!$F$330/100)^(-Returns!AO8))*Returns!AO9</f>
        <v/>
      </c>
      <c r="AP10" s="14">
        <f>IF(Time!AP$4&gt;Inputs!$F$335,(1+Inputs!$F$334/100)^(-Returns!AP8),(1+Inputs!$F$330/100)^(-Returns!AP8))*Returns!AP9</f>
        <v/>
      </c>
      <c r="AQ10" s="14">
        <f>IF(Time!AQ$4&gt;Inputs!$F$335,(1+Inputs!$F$334/100)^(-Returns!AQ8),(1+Inputs!$F$330/100)^(-Returns!AQ8))*Returns!AQ9</f>
        <v/>
      </c>
      <c r="AR10" s="14">
        <f>IF(Time!AR$4&gt;Inputs!$F$335,(1+Inputs!$F$334/100)^(-Returns!AR8),(1+Inputs!$F$330/100)^(-Returns!AR8))*Returns!AR9</f>
        <v/>
      </c>
      <c r="AS10" s="14">
        <f>IF(Time!AS$4&gt;Inputs!$F$335,(1+Inputs!$F$334/100)^(-Returns!AS8),(1+Inputs!$F$330/100)^(-Returns!AS8))*Returns!AS9</f>
        <v/>
      </c>
      <c r="AT10" s="14">
        <f>IF(Time!AT$4&gt;Inputs!$F$335,(1+Inputs!$F$334/100)^(-Returns!AT8),(1+Inputs!$F$330/100)^(-Returns!AT8))*Returns!AT9</f>
        <v/>
      </c>
      <c r="AU10" s="14">
        <f>IF(Time!AU$4&gt;Inputs!$F$335,(1+Inputs!$F$334/100)^(-Returns!AU8),(1+Inputs!$F$330/100)^(-Returns!AU8))*Returns!AU9</f>
        <v/>
      </c>
    </row>
    <row r="11">
      <c r="D11" t="inlineStr">
        <is>
          <t>DF hedged (v1)</t>
        </is>
      </c>
      <c r="E11" t="inlineStr">
        <is>
          <t>factor</t>
        </is>
      </c>
      <c r="J11" s="14">
        <f>IF(Time!J$4&gt;Inputs!$F$335,(1+Inputs!$F$334/100)^(-Returns!J8),(1+Inputs!$F$331/100)^(-Returns!J8))*Returns!J9</f>
        <v/>
      </c>
      <c r="K11" s="14">
        <f>IF(Time!K$4&gt;Inputs!$F$335,(1+Inputs!$F$334/100)^(-Returns!K8),(1+Inputs!$F$331/100)^(-Returns!K8))*Returns!K9</f>
        <v/>
      </c>
      <c r="L11" s="14">
        <f>IF(Time!L$4&gt;Inputs!$F$335,(1+Inputs!$F$334/100)^(-Returns!L8),(1+Inputs!$F$331/100)^(-Returns!L8))*Returns!L9</f>
        <v/>
      </c>
      <c r="M11" s="14">
        <f>IF(Time!M$4&gt;Inputs!$F$335,(1+Inputs!$F$334/100)^(-Returns!M8),(1+Inputs!$F$331/100)^(-Returns!M8))*Returns!M9</f>
        <v/>
      </c>
      <c r="N11" s="14">
        <f>IF(Time!N$4&gt;Inputs!$F$335,(1+Inputs!$F$334/100)^(-Returns!N8),(1+Inputs!$F$331/100)^(-Returns!N8))*Returns!N9</f>
        <v/>
      </c>
      <c r="O11" s="14">
        <f>IF(Time!O$4&gt;Inputs!$F$335,(1+Inputs!$F$334/100)^(-Returns!O8),(1+Inputs!$F$331/100)^(-Returns!O8))*Returns!O9</f>
        <v/>
      </c>
      <c r="P11" s="14">
        <f>IF(Time!P$4&gt;Inputs!$F$335,(1+Inputs!$F$334/100)^(-Returns!P8),(1+Inputs!$F$331/100)^(-Returns!P8))*Returns!P9</f>
        <v/>
      </c>
      <c r="Q11" s="14">
        <f>IF(Time!Q$4&gt;Inputs!$F$335,(1+Inputs!$F$334/100)^(-Returns!Q8),(1+Inputs!$F$331/100)^(-Returns!Q8))*Returns!Q9</f>
        <v/>
      </c>
      <c r="R11" s="14">
        <f>IF(Time!R$4&gt;Inputs!$F$335,(1+Inputs!$F$334/100)^(-Returns!R8),(1+Inputs!$F$331/100)^(-Returns!R8))*Returns!R9</f>
        <v/>
      </c>
      <c r="S11" s="14">
        <f>IF(Time!S$4&gt;Inputs!$F$335,(1+Inputs!$F$334/100)^(-Returns!S8),(1+Inputs!$F$331/100)^(-Returns!S8))*Returns!S9</f>
        <v/>
      </c>
      <c r="T11" s="14">
        <f>IF(Time!T$4&gt;Inputs!$F$335,(1+Inputs!$F$334/100)^(-Returns!T8),(1+Inputs!$F$331/100)^(-Returns!T8))*Returns!T9</f>
        <v/>
      </c>
      <c r="U11" s="14">
        <f>IF(Time!U$4&gt;Inputs!$F$335,(1+Inputs!$F$334/100)^(-Returns!U8),(1+Inputs!$F$331/100)^(-Returns!U8))*Returns!U9</f>
        <v/>
      </c>
      <c r="V11" s="14">
        <f>IF(Time!V$4&gt;Inputs!$F$335,(1+Inputs!$F$334/100)^(-Returns!V8),(1+Inputs!$F$331/100)^(-Returns!V8))*Returns!V9</f>
        <v/>
      </c>
      <c r="W11" s="14">
        <f>IF(Time!W$4&gt;Inputs!$F$335,(1+Inputs!$F$334/100)^(-Returns!W8),(1+Inputs!$F$331/100)^(-Returns!W8))*Returns!W9</f>
        <v/>
      </c>
      <c r="X11" s="14">
        <f>IF(Time!X$4&gt;Inputs!$F$335,(1+Inputs!$F$334/100)^(-Returns!X8),(1+Inputs!$F$331/100)^(-Returns!X8))*Returns!X9</f>
        <v/>
      </c>
      <c r="Y11" s="14">
        <f>IF(Time!Y$4&gt;Inputs!$F$335,(1+Inputs!$F$334/100)^(-Returns!Y8),(1+Inputs!$F$331/100)^(-Returns!Y8))*Returns!Y9</f>
        <v/>
      </c>
      <c r="Z11" s="14">
        <f>IF(Time!Z$4&gt;Inputs!$F$335,(1+Inputs!$F$334/100)^(-Returns!Z8),(1+Inputs!$F$331/100)^(-Returns!Z8))*Returns!Z9</f>
        <v/>
      </c>
      <c r="AA11" s="14">
        <f>IF(Time!AA$4&gt;Inputs!$F$335,(1+Inputs!$F$334/100)^(-Returns!AA8),(1+Inputs!$F$331/100)^(-Returns!AA8))*Returns!AA9</f>
        <v/>
      </c>
      <c r="AB11" s="14">
        <f>IF(Time!AB$4&gt;Inputs!$F$335,(1+Inputs!$F$334/100)^(-Returns!AB8),(1+Inputs!$F$331/100)^(-Returns!AB8))*Returns!AB9</f>
        <v/>
      </c>
      <c r="AC11" s="14">
        <f>IF(Time!AC$4&gt;Inputs!$F$335,(1+Inputs!$F$334/100)^(-Returns!AC8),(1+Inputs!$F$331/100)^(-Returns!AC8))*Returns!AC9</f>
        <v/>
      </c>
      <c r="AD11" s="14">
        <f>IF(Time!AD$4&gt;Inputs!$F$335,(1+Inputs!$F$334/100)^(-Returns!AD8),(1+Inputs!$F$331/100)^(-Returns!AD8))*Returns!AD9</f>
        <v/>
      </c>
      <c r="AE11" s="14">
        <f>IF(Time!AE$4&gt;Inputs!$F$335,(1+Inputs!$F$334/100)^(-Returns!AE8),(1+Inputs!$F$331/100)^(-Returns!AE8))*Returns!AE9</f>
        <v/>
      </c>
      <c r="AF11" s="14">
        <f>IF(Time!AF$4&gt;Inputs!$F$335,(1+Inputs!$F$334/100)^(-Returns!AF8),(1+Inputs!$F$331/100)^(-Returns!AF8))*Returns!AF9</f>
        <v/>
      </c>
      <c r="AG11" s="14">
        <f>IF(Time!AG$4&gt;Inputs!$F$335,(1+Inputs!$F$334/100)^(-Returns!AG8),(1+Inputs!$F$331/100)^(-Returns!AG8))*Returns!AG9</f>
        <v/>
      </c>
      <c r="AH11" s="14">
        <f>IF(Time!AH$4&gt;Inputs!$F$335,(1+Inputs!$F$334/100)^(-Returns!AH8),(1+Inputs!$F$331/100)^(-Returns!AH8))*Returns!AH9</f>
        <v/>
      </c>
      <c r="AI11" s="14">
        <f>IF(Time!AI$4&gt;Inputs!$F$335,(1+Inputs!$F$334/100)^(-Returns!AI8),(1+Inputs!$F$331/100)^(-Returns!AI8))*Returns!AI9</f>
        <v/>
      </c>
      <c r="AJ11" s="14">
        <f>IF(Time!AJ$4&gt;Inputs!$F$335,(1+Inputs!$F$334/100)^(-Returns!AJ8),(1+Inputs!$F$331/100)^(-Returns!AJ8))*Returns!AJ9</f>
        <v/>
      </c>
      <c r="AK11" s="14">
        <f>IF(Time!AK$4&gt;Inputs!$F$335,(1+Inputs!$F$334/100)^(-Returns!AK8),(1+Inputs!$F$331/100)^(-Returns!AK8))*Returns!AK9</f>
        <v/>
      </c>
      <c r="AL11" s="14">
        <f>IF(Time!AL$4&gt;Inputs!$F$335,(1+Inputs!$F$334/100)^(-Returns!AL8),(1+Inputs!$F$331/100)^(-Returns!AL8))*Returns!AL9</f>
        <v/>
      </c>
      <c r="AM11" s="14">
        <f>IF(Time!AM$4&gt;Inputs!$F$335,(1+Inputs!$F$334/100)^(-Returns!AM8),(1+Inputs!$F$331/100)^(-Returns!AM8))*Returns!AM9</f>
        <v/>
      </c>
      <c r="AN11" s="14">
        <f>IF(Time!AN$4&gt;Inputs!$F$335,(1+Inputs!$F$334/100)^(-Returns!AN8),(1+Inputs!$F$331/100)^(-Returns!AN8))*Returns!AN9</f>
        <v/>
      </c>
      <c r="AO11" s="14">
        <f>IF(Time!AO$4&gt;Inputs!$F$335,(1+Inputs!$F$334/100)^(-Returns!AO8),(1+Inputs!$F$331/100)^(-Returns!AO8))*Returns!AO9</f>
        <v/>
      </c>
      <c r="AP11" s="14">
        <f>IF(Time!AP$4&gt;Inputs!$F$335,(1+Inputs!$F$334/100)^(-Returns!AP8),(1+Inputs!$F$331/100)^(-Returns!AP8))*Returns!AP9</f>
        <v/>
      </c>
      <c r="AQ11" s="14">
        <f>IF(Time!AQ$4&gt;Inputs!$F$335,(1+Inputs!$F$334/100)^(-Returns!AQ8),(1+Inputs!$F$331/100)^(-Returns!AQ8))*Returns!AQ9</f>
        <v/>
      </c>
      <c r="AR11" s="14">
        <f>IF(Time!AR$4&gt;Inputs!$F$335,(1+Inputs!$F$334/100)^(-Returns!AR8),(1+Inputs!$F$331/100)^(-Returns!AR8))*Returns!AR9</f>
        <v/>
      </c>
      <c r="AS11" s="14">
        <f>IF(Time!AS$4&gt;Inputs!$F$335,(1+Inputs!$F$334/100)^(-Returns!AS8),(1+Inputs!$F$331/100)^(-Returns!AS8))*Returns!AS9</f>
        <v/>
      </c>
      <c r="AT11" s="14">
        <f>IF(Time!AT$4&gt;Inputs!$F$335,(1+Inputs!$F$334/100)^(-Returns!AT8),(1+Inputs!$F$331/100)^(-Returns!AT8))*Returns!AT9</f>
        <v/>
      </c>
      <c r="AU11" s="14">
        <f>IF(Time!AU$4&gt;Inputs!$F$335,(1+Inputs!$F$334/100)^(-Returns!AU8),(1+Inputs!$F$331/100)^(-Returns!AU8))*Returns!AU9</f>
        <v/>
      </c>
    </row>
    <row r="12">
      <c r="D12" t="inlineStr">
        <is>
          <t>DF merchant (v1)</t>
        </is>
      </c>
      <c r="E12" t="inlineStr">
        <is>
          <t>factor</t>
        </is>
      </c>
      <c r="J12" s="14">
        <f>IF(Time!J$4&gt;Inputs!$F$335,(1+Inputs!$F$334/100)^(-Returns!J8),(1+Inputs!$F$332/100)^(-Returns!J8))*Returns!J9</f>
        <v/>
      </c>
      <c r="K12" s="14">
        <f>IF(Time!K$4&gt;Inputs!$F$335,(1+Inputs!$F$334/100)^(-Returns!K8),(1+Inputs!$F$332/100)^(-Returns!K8))*Returns!K9</f>
        <v/>
      </c>
      <c r="L12" s="14">
        <f>IF(Time!L$4&gt;Inputs!$F$335,(1+Inputs!$F$334/100)^(-Returns!L8),(1+Inputs!$F$332/100)^(-Returns!L8))*Returns!L9</f>
        <v/>
      </c>
      <c r="M12" s="14">
        <f>IF(Time!M$4&gt;Inputs!$F$335,(1+Inputs!$F$334/100)^(-Returns!M8),(1+Inputs!$F$332/100)^(-Returns!M8))*Returns!M9</f>
        <v/>
      </c>
      <c r="N12" s="14">
        <f>IF(Time!N$4&gt;Inputs!$F$335,(1+Inputs!$F$334/100)^(-Returns!N8),(1+Inputs!$F$332/100)^(-Returns!N8))*Returns!N9</f>
        <v/>
      </c>
      <c r="O12" s="14">
        <f>IF(Time!O$4&gt;Inputs!$F$335,(1+Inputs!$F$334/100)^(-Returns!O8),(1+Inputs!$F$332/100)^(-Returns!O8))*Returns!O9</f>
        <v/>
      </c>
      <c r="P12" s="14">
        <f>IF(Time!P$4&gt;Inputs!$F$335,(1+Inputs!$F$334/100)^(-Returns!P8),(1+Inputs!$F$332/100)^(-Returns!P8))*Returns!P9</f>
        <v/>
      </c>
      <c r="Q12" s="14">
        <f>IF(Time!Q$4&gt;Inputs!$F$335,(1+Inputs!$F$334/100)^(-Returns!Q8),(1+Inputs!$F$332/100)^(-Returns!Q8))*Returns!Q9</f>
        <v/>
      </c>
      <c r="R12" s="14">
        <f>IF(Time!R$4&gt;Inputs!$F$335,(1+Inputs!$F$334/100)^(-Returns!R8),(1+Inputs!$F$332/100)^(-Returns!R8))*Returns!R9</f>
        <v/>
      </c>
      <c r="S12" s="14">
        <f>IF(Time!S$4&gt;Inputs!$F$335,(1+Inputs!$F$334/100)^(-Returns!S8),(1+Inputs!$F$332/100)^(-Returns!S8))*Returns!S9</f>
        <v/>
      </c>
      <c r="T12" s="14">
        <f>IF(Time!T$4&gt;Inputs!$F$335,(1+Inputs!$F$334/100)^(-Returns!T8),(1+Inputs!$F$332/100)^(-Returns!T8))*Returns!T9</f>
        <v/>
      </c>
      <c r="U12" s="14">
        <f>IF(Time!U$4&gt;Inputs!$F$335,(1+Inputs!$F$334/100)^(-Returns!U8),(1+Inputs!$F$332/100)^(-Returns!U8))*Returns!U9</f>
        <v/>
      </c>
      <c r="V12" s="14">
        <f>IF(Time!V$4&gt;Inputs!$F$335,(1+Inputs!$F$334/100)^(-Returns!V8),(1+Inputs!$F$332/100)^(-Returns!V8))*Returns!V9</f>
        <v/>
      </c>
      <c r="W12" s="14">
        <f>IF(Time!W$4&gt;Inputs!$F$335,(1+Inputs!$F$334/100)^(-Returns!W8),(1+Inputs!$F$332/100)^(-Returns!W8))*Returns!W9</f>
        <v/>
      </c>
      <c r="X12" s="14">
        <f>IF(Time!X$4&gt;Inputs!$F$335,(1+Inputs!$F$334/100)^(-Returns!X8),(1+Inputs!$F$332/100)^(-Returns!X8))*Returns!X9</f>
        <v/>
      </c>
      <c r="Y12" s="14">
        <f>IF(Time!Y$4&gt;Inputs!$F$335,(1+Inputs!$F$334/100)^(-Returns!Y8),(1+Inputs!$F$332/100)^(-Returns!Y8))*Returns!Y9</f>
        <v/>
      </c>
      <c r="Z12" s="14">
        <f>IF(Time!Z$4&gt;Inputs!$F$335,(1+Inputs!$F$334/100)^(-Returns!Z8),(1+Inputs!$F$332/100)^(-Returns!Z8))*Returns!Z9</f>
        <v/>
      </c>
      <c r="AA12" s="14">
        <f>IF(Time!AA$4&gt;Inputs!$F$335,(1+Inputs!$F$334/100)^(-Returns!AA8),(1+Inputs!$F$332/100)^(-Returns!AA8))*Returns!AA9</f>
        <v/>
      </c>
      <c r="AB12" s="14">
        <f>IF(Time!AB$4&gt;Inputs!$F$335,(1+Inputs!$F$334/100)^(-Returns!AB8),(1+Inputs!$F$332/100)^(-Returns!AB8))*Returns!AB9</f>
        <v/>
      </c>
      <c r="AC12" s="14">
        <f>IF(Time!AC$4&gt;Inputs!$F$335,(1+Inputs!$F$334/100)^(-Returns!AC8),(1+Inputs!$F$332/100)^(-Returns!AC8))*Returns!AC9</f>
        <v/>
      </c>
      <c r="AD12" s="14">
        <f>IF(Time!AD$4&gt;Inputs!$F$335,(1+Inputs!$F$334/100)^(-Returns!AD8),(1+Inputs!$F$332/100)^(-Returns!AD8))*Returns!AD9</f>
        <v/>
      </c>
      <c r="AE12" s="14">
        <f>IF(Time!AE$4&gt;Inputs!$F$335,(1+Inputs!$F$334/100)^(-Returns!AE8),(1+Inputs!$F$332/100)^(-Returns!AE8))*Returns!AE9</f>
        <v/>
      </c>
      <c r="AF12" s="14">
        <f>IF(Time!AF$4&gt;Inputs!$F$335,(1+Inputs!$F$334/100)^(-Returns!AF8),(1+Inputs!$F$332/100)^(-Returns!AF8))*Returns!AF9</f>
        <v/>
      </c>
      <c r="AG12" s="14">
        <f>IF(Time!AG$4&gt;Inputs!$F$335,(1+Inputs!$F$334/100)^(-Returns!AG8),(1+Inputs!$F$332/100)^(-Returns!AG8))*Returns!AG9</f>
        <v/>
      </c>
      <c r="AH12" s="14">
        <f>IF(Time!AH$4&gt;Inputs!$F$335,(1+Inputs!$F$334/100)^(-Returns!AH8),(1+Inputs!$F$332/100)^(-Returns!AH8))*Returns!AH9</f>
        <v/>
      </c>
      <c r="AI12" s="14">
        <f>IF(Time!AI$4&gt;Inputs!$F$335,(1+Inputs!$F$334/100)^(-Returns!AI8),(1+Inputs!$F$332/100)^(-Returns!AI8))*Returns!AI9</f>
        <v/>
      </c>
      <c r="AJ12" s="14">
        <f>IF(Time!AJ$4&gt;Inputs!$F$335,(1+Inputs!$F$334/100)^(-Returns!AJ8),(1+Inputs!$F$332/100)^(-Returns!AJ8))*Returns!AJ9</f>
        <v/>
      </c>
      <c r="AK12" s="14">
        <f>IF(Time!AK$4&gt;Inputs!$F$335,(1+Inputs!$F$334/100)^(-Returns!AK8),(1+Inputs!$F$332/100)^(-Returns!AK8))*Returns!AK9</f>
        <v/>
      </c>
      <c r="AL12" s="14">
        <f>IF(Time!AL$4&gt;Inputs!$F$335,(1+Inputs!$F$334/100)^(-Returns!AL8),(1+Inputs!$F$332/100)^(-Returns!AL8))*Returns!AL9</f>
        <v/>
      </c>
      <c r="AM12" s="14">
        <f>IF(Time!AM$4&gt;Inputs!$F$335,(1+Inputs!$F$334/100)^(-Returns!AM8),(1+Inputs!$F$332/100)^(-Returns!AM8))*Returns!AM9</f>
        <v/>
      </c>
      <c r="AN12" s="14">
        <f>IF(Time!AN$4&gt;Inputs!$F$335,(1+Inputs!$F$334/100)^(-Returns!AN8),(1+Inputs!$F$332/100)^(-Returns!AN8))*Returns!AN9</f>
        <v/>
      </c>
      <c r="AO12" s="14">
        <f>IF(Time!AO$4&gt;Inputs!$F$335,(1+Inputs!$F$334/100)^(-Returns!AO8),(1+Inputs!$F$332/100)^(-Returns!AO8))*Returns!AO9</f>
        <v/>
      </c>
      <c r="AP12" s="14">
        <f>IF(Time!AP$4&gt;Inputs!$F$335,(1+Inputs!$F$334/100)^(-Returns!AP8),(1+Inputs!$F$332/100)^(-Returns!AP8))*Returns!AP9</f>
        <v/>
      </c>
      <c r="AQ12" s="14">
        <f>IF(Time!AQ$4&gt;Inputs!$F$335,(1+Inputs!$F$334/100)^(-Returns!AQ8),(1+Inputs!$F$332/100)^(-Returns!AQ8))*Returns!AQ9</f>
        <v/>
      </c>
      <c r="AR12" s="14">
        <f>IF(Time!AR$4&gt;Inputs!$F$335,(1+Inputs!$F$334/100)^(-Returns!AR8),(1+Inputs!$F$332/100)^(-Returns!AR8))*Returns!AR9</f>
        <v/>
      </c>
      <c r="AS12" s="14">
        <f>IF(Time!AS$4&gt;Inputs!$F$335,(1+Inputs!$F$334/100)^(-Returns!AS8),(1+Inputs!$F$332/100)^(-Returns!AS8))*Returns!AS9</f>
        <v/>
      </c>
      <c r="AT12" s="14">
        <f>IF(Time!AT$4&gt;Inputs!$F$335,(1+Inputs!$F$334/100)^(-Returns!AT8),(1+Inputs!$F$332/100)^(-Returns!AT8))*Returns!AT9</f>
        <v/>
      </c>
      <c r="AU12" s="14">
        <f>IF(Time!AU$4&gt;Inputs!$F$335,(1+Inputs!$F$334/100)^(-Returns!AU8),(1+Inputs!$F$332/100)^(-Returns!AU8))*Returns!AU9</f>
        <v/>
      </c>
    </row>
    <row r="13">
      <c r="D13" t="inlineStr">
        <is>
          <t>DF storage_merchant (v1)</t>
        </is>
      </c>
      <c r="E13" t="inlineStr">
        <is>
          <t>factor</t>
        </is>
      </c>
      <c r="J13" s="14">
        <f>IF(Time!J$4&gt;Inputs!$F$335,(1+Inputs!$F$334/100)^(-Returns!J8),(1+Inputs!$F$333/100)^(-Returns!J8))*Returns!J9</f>
        <v/>
      </c>
      <c r="K13" s="14">
        <f>IF(Time!K$4&gt;Inputs!$F$335,(1+Inputs!$F$334/100)^(-Returns!K8),(1+Inputs!$F$333/100)^(-Returns!K8))*Returns!K9</f>
        <v/>
      </c>
      <c r="L13" s="14">
        <f>IF(Time!L$4&gt;Inputs!$F$335,(1+Inputs!$F$334/100)^(-Returns!L8),(1+Inputs!$F$333/100)^(-Returns!L8))*Returns!L9</f>
        <v/>
      </c>
      <c r="M13" s="14">
        <f>IF(Time!M$4&gt;Inputs!$F$335,(1+Inputs!$F$334/100)^(-Returns!M8),(1+Inputs!$F$333/100)^(-Returns!M8))*Returns!M9</f>
        <v/>
      </c>
      <c r="N13" s="14">
        <f>IF(Time!N$4&gt;Inputs!$F$335,(1+Inputs!$F$334/100)^(-Returns!N8),(1+Inputs!$F$333/100)^(-Returns!N8))*Returns!N9</f>
        <v/>
      </c>
      <c r="O13" s="14">
        <f>IF(Time!O$4&gt;Inputs!$F$335,(1+Inputs!$F$334/100)^(-Returns!O8),(1+Inputs!$F$333/100)^(-Returns!O8))*Returns!O9</f>
        <v/>
      </c>
      <c r="P13" s="14">
        <f>IF(Time!P$4&gt;Inputs!$F$335,(1+Inputs!$F$334/100)^(-Returns!P8),(1+Inputs!$F$333/100)^(-Returns!P8))*Returns!P9</f>
        <v/>
      </c>
      <c r="Q13" s="14">
        <f>IF(Time!Q$4&gt;Inputs!$F$335,(1+Inputs!$F$334/100)^(-Returns!Q8),(1+Inputs!$F$333/100)^(-Returns!Q8))*Returns!Q9</f>
        <v/>
      </c>
      <c r="R13" s="14">
        <f>IF(Time!R$4&gt;Inputs!$F$335,(1+Inputs!$F$334/100)^(-Returns!R8),(1+Inputs!$F$333/100)^(-Returns!R8))*Returns!R9</f>
        <v/>
      </c>
      <c r="S13" s="14">
        <f>IF(Time!S$4&gt;Inputs!$F$335,(1+Inputs!$F$334/100)^(-Returns!S8),(1+Inputs!$F$333/100)^(-Returns!S8))*Returns!S9</f>
        <v/>
      </c>
      <c r="T13" s="14">
        <f>IF(Time!T$4&gt;Inputs!$F$335,(1+Inputs!$F$334/100)^(-Returns!T8),(1+Inputs!$F$333/100)^(-Returns!T8))*Returns!T9</f>
        <v/>
      </c>
      <c r="U13" s="14">
        <f>IF(Time!U$4&gt;Inputs!$F$335,(1+Inputs!$F$334/100)^(-Returns!U8),(1+Inputs!$F$333/100)^(-Returns!U8))*Returns!U9</f>
        <v/>
      </c>
      <c r="V13" s="14">
        <f>IF(Time!V$4&gt;Inputs!$F$335,(1+Inputs!$F$334/100)^(-Returns!V8),(1+Inputs!$F$333/100)^(-Returns!V8))*Returns!V9</f>
        <v/>
      </c>
      <c r="W13" s="14">
        <f>IF(Time!W$4&gt;Inputs!$F$335,(1+Inputs!$F$334/100)^(-Returns!W8),(1+Inputs!$F$333/100)^(-Returns!W8))*Returns!W9</f>
        <v/>
      </c>
      <c r="X13" s="14">
        <f>IF(Time!X$4&gt;Inputs!$F$335,(1+Inputs!$F$334/100)^(-Returns!X8),(1+Inputs!$F$333/100)^(-Returns!X8))*Returns!X9</f>
        <v/>
      </c>
      <c r="Y13" s="14">
        <f>IF(Time!Y$4&gt;Inputs!$F$335,(1+Inputs!$F$334/100)^(-Returns!Y8),(1+Inputs!$F$333/100)^(-Returns!Y8))*Returns!Y9</f>
        <v/>
      </c>
      <c r="Z13" s="14">
        <f>IF(Time!Z$4&gt;Inputs!$F$335,(1+Inputs!$F$334/100)^(-Returns!Z8),(1+Inputs!$F$333/100)^(-Returns!Z8))*Returns!Z9</f>
        <v/>
      </c>
      <c r="AA13" s="14">
        <f>IF(Time!AA$4&gt;Inputs!$F$335,(1+Inputs!$F$334/100)^(-Returns!AA8),(1+Inputs!$F$333/100)^(-Returns!AA8))*Returns!AA9</f>
        <v/>
      </c>
      <c r="AB13" s="14">
        <f>IF(Time!AB$4&gt;Inputs!$F$335,(1+Inputs!$F$334/100)^(-Returns!AB8),(1+Inputs!$F$333/100)^(-Returns!AB8))*Returns!AB9</f>
        <v/>
      </c>
      <c r="AC13" s="14">
        <f>IF(Time!AC$4&gt;Inputs!$F$335,(1+Inputs!$F$334/100)^(-Returns!AC8),(1+Inputs!$F$333/100)^(-Returns!AC8))*Returns!AC9</f>
        <v/>
      </c>
      <c r="AD13" s="14">
        <f>IF(Time!AD$4&gt;Inputs!$F$335,(1+Inputs!$F$334/100)^(-Returns!AD8),(1+Inputs!$F$333/100)^(-Returns!AD8))*Returns!AD9</f>
        <v/>
      </c>
      <c r="AE13" s="14">
        <f>IF(Time!AE$4&gt;Inputs!$F$335,(1+Inputs!$F$334/100)^(-Returns!AE8),(1+Inputs!$F$333/100)^(-Returns!AE8))*Returns!AE9</f>
        <v/>
      </c>
      <c r="AF13" s="14">
        <f>IF(Time!AF$4&gt;Inputs!$F$335,(1+Inputs!$F$334/100)^(-Returns!AF8),(1+Inputs!$F$333/100)^(-Returns!AF8))*Returns!AF9</f>
        <v/>
      </c>
      <c r="AG13" s="14">
        <f>IF(Time!AG$4&gt;Inputs!$F$335,(1+Inputs!$F$334/100)^(-Returns!AG8),(1+Inputs!$F$333/100)^(-Returns!AG8))*Returns!AG9</f>
        <v/>
      </c>
      <c r="AH13" s="14">
        <f>IF(Time!AH$4&gt;Inputs!$F$335,(1+Inputs!$F$334/100)^(-Returns!AH8),(1+Inputs!$F$333/100)^(-Returns!AH8))*Returns!AH9</f>
        <v/>
      </c>
      <c r="AI13" s="14">
        <f>IF(Time!AI$4&gt;Inputs!$F$335,(1+Inputs!$F$334/100)^(-Returns!AI8),(1+Inputs!$F$333/100)^(-Returns!AI8))*Returns!AI9</f>
        <v/>
      </c>
      <c r="AJ13" s="14">
        <f>IF(Time!AJ$4&gt;Inputs!$F$335,(1+Inputs!$F$334/100)^(-Returns!AJ8),(1+Inputs!$F$333/100)^(-Returns!AJ8))*Returns!AJ9</f>
        <v/>
      </c>
      <c r="AK13" s="14">
        <f>IF(Time!AK$4&gt;Inputs!$F$335,(1+Inputs!$F$334/100)^(-Returns!AK8),(1+Inputs!$F$333/100)^(-Returns!AK8))*Returns!AK9</f>
        <v/>
      </c>
      <c r="AL13" s="14">
        <f>IF(Time!AL$4&gt;Inputs!$F$335,(1+Inputs!$F$334/100)^(-Returns!AL8),(1+Inputs!$F$333/100)^(-Returns!AL8))*Returns!AL9</f>
        <v/>
      </c>
      <c r="AM13" s="14">
        <f>IF(Time!AM$4&gt;Inputs!$F$335,(1+Inputs!$F$334/100)^(-Returns!AM8),(1+Inputs!$F$333/100)^(-Returns!AM8))*Returns!AM9</f>
        <v/>
      </c>
      <c r="AN13" s="14">
        <f>IF(Time!AN$4&gt;Inputs!$F$335,(1+Inputs!$F$334/100)^(-Returns!AN8),(1+Inputs!$F$333/100)^(-Returns!AN8))*Returns!AN9</f>
        <v/>
      </c>
      <c r="AO13" s="14">
        <f>IF(Time!AO$4&gt;Inputs!$F$335,(1+Inputs!$F$334/100)^(-Returns!AO8),(1+Inputs!$F$333/100)^(-Returns!AO8))*Returns!AO9</f>
        <v/>
      </c>
      <c r="AP13" s="14">
        <f>IF(Time!AP$4&gt;Inputs!$F$335,(1+Inputs!$F$334/100)^(-Returns!AP8),(1+Inputs!$F$333/100)^(-Returns!AP8))*Returns!AP9</f>
        <v/>
      </c>
      <c r="AQ13" s="14">
        <f>IF(Time!AQ$4&gt;Inputs!$F$335,(1+Inputs!$F$334/100)^(-Returns!AQ8),(1+Inputs!$F$333/100)^(-Returns!AQ8))*Returns!AQ9</f>
        <v/>
      </c>
      <c r="AR13" s="14">
        <f>IF(Time!AR$4&gt;Inputs!$F$335,(1+Inputs!$F$334/100)^(-Returns!AR8),(1+Inputs!$F$333/100)^(-Returns!AR8))*Returns!AR9</f>
        <v/>
      </c>
      <c r="AS13" s="14">
        <f>IF(Time!AS$4&gt;Inputs!$F$335,(1+Inputs!$F$334/100)^(-Returns!AS8),(1+Inputs!$F$333/100)^(-Returns!AS8))*Returns!AS9</f>
        <v/>
      </c>
      <c r="AT13" s="14">
        <f>IF(Time!AT$4&gt;Inputs!$F$335,(1+Inputs!$F$334/100)^(-Returns!AT8),(1+Inputs!$F$333/100)^(-Returns!AT8))*Returns!AT9</f>
        <v/>
      </c>
      <c r="AU13" s="14">
        <f>IF(Time!AU$4&gt;Inputs!$F$335,(1+Inputs!$F$334/100)^(-Returns!AU8),(1+Inputs!$F$333/100)^(-Returns!AU8))*Returns!AU9</f>
        <v/>
      </c>
    </row>
    <row r="14">
      <c r="D14" t="inlineStr">
        <is>
          <t>DF tax shield at contracted rate (v1)</t>
        </is>
      </c>
      <c r="E14" t="inlineStr">
        <is>
          <t>factor</t>
        </is>
      </c>
      <c r="J14" s="14">
        <f>(1+Inputs!$F$330/100)^(-Returns!J8)*Returns!J9</f>
        <v/>
      </c>
      <c r="K14" s="14">
        <f>(1+Inputs!$F$330/100)^(-Returns!K8)*Returns!K9</f>
        <v/>
      </c>
      <c r="L14" s="14">
        <f>(1+Inputs!$F$330/100)^(-Returns!L8)*Returns!L9</f>
        <v/>
      </c>
      <c r="M14" s="14">
        <f>(1+Inputs!$F$330/100)^(-Returns!M8)*Returns!M9</f>
        <v/>
      </c>
      <c r="N14" s="14">
        <f>(1+Inputs!$F$330/100)^(-Returns!N8)*Returns!N9</f>
        <v/>
      </c>
      <c r="O14" s="14">
        <f>(1+Inputs!$F$330/100)^(-Returns!O8)*Returns!O9</f>
        <v/>
      </c>
      <c r="P14" s="14">
        <f>(1+Inputs!$F$330/100)^(-Returns!P8)*Returns!P9</f>
        <v/>
      </c>
      <c r="Q14" s="14">
        <f>(1+Inputs!$F$330/100)^(-Returns!Q8)*Returns!Q9</f>
        <v/>
      </c>
      <c r="R14" s="14">
        <f>(1+Inputs!$F$330/100)^(-Returns!R8)*Returns!R9</f>
        <v/>
      </c>
      <c r="S14" s="14">
        <f>(1+Inputs!$F$330/100)^(-Returns!S8)*Returns!S9</f>
        <v/>
      </c>
      <c r="T14" s="14">
        <f>(1+Inputs!$F$330/100)^(-Returns!T8)*Returns!T9</f>
        <v/>
      </c>
      <c r="U14" s="14">
        <f>(1+Inputs!$F$330/100)^(-Returns!U8)*Returns!U9</f>
        <v/>
      </c>
      <c r="V14" s="14">
        <f>(1+Inputs!$F$330/100)^(-Returns!V8)*Returns!V9</f>
        <v/>
      </c>
      <c r="W14" s="14">
        <f>(1+Inputs!$F$330/100)^(-Returns!W8)*Returns!W9</f>
        <v/>
      </c>
      <c r="X14" s="14">
        <f>(1+Inputs!$F$330/100)^(-Returns!X8)*Returns!X9</f>
        <v/>
      </c>
      <c r="Y14" s="14">
        <f>(1+Inputs!$F$330/100)^(-Returns!Y8)*Returns!Y9</f>
        <v/>
      </c>
      <c r="Z14" s="14">
        <f>(1+Inputs!$F$330/100)^(-Returns!Z8)*Returns!Z9</f>
        <v/>
      </c>
      <c r="AA14" s="14">
        <f>(1+Inputs!$F$330/100)^(-Returns!AA8)*Returns!AA9</f>
        <v/>
      </c>
      <c r="AB14" s="14">
        <f>(1+Inputs!$F$330/100)^(-Returns!AB8)*Returns!AB9</f>
        <v/>
      </c>
      <c r="AC14" s="14">
        <f>(1+Inputs!$F$330/100)^(-Returns!AC8)*Returns!AC9</f>
        <v/>
      </c>
      <c r="AD14" s="14">
        <f>(1+Inputs!$F$330/100)^(-Returns!AD8)*Returns!AD9</f>
        <v/>
      </c>
      <c r="AE14" s="14">
        <f>(1+Inputs!$F$330/100)^(-Returns!AE8)*Returns!AE9</f>
        <v/>
      </c>
      <c r="AF14" s="14">
        <f>(1+Inputs!$F$330/100)^(-Returns!AF8)*Returns!AF9</f>
        <v/>
      </c>
      <c r="AG14" s="14">
        <f>(1+Inputs!$F$330/100)^(-Returns!AG8)*Returns!AG9</f>
        <v/>
      </c>
      <c r="AH14" s="14">
        <f>(1+Inputs!$F$330/100)^(-Returns!AH8)*Returns!AH9</f>
        <v/>
      </c>
      <c r="AI14" s="14">
        <f>(1+Inputs!$F$330/100)^(-Returns!AI8)*Returns!AI9</f>
        <v/>
      </c>
      <c r="AJ14" s="14">
        <f>(1+Inputs!$F$330/100)^(-Returns!AJ8)*Returns!AJ9</f>
        <v/>
      </c>
      <c r="AK14" s="14">
        <f>(1+Inputs!$F$330/100)^(-Returns!AK8)*Returns!AK9</f>
        <v/>
      </c>
      <c r="AL14" s="14">
        <f>(1+Inputs!$F$330/100)^(-Returns!AL8)*Returns!AL9</f>
        <v/>
      </c>
      <c r="AM14" s="14">
        <f>(1+Inputs!$F$330/100)^(-Returns!AM8)*Returns!AM9</f>
        <v/>
      </c>
      <c r="AN14" s="14">
        <f>(1+Inputs!$F$330/100)^(-Returns!AN8)*Returns!AN9</f>
        <v/>
      </c>
      <c r="AO14" s="14">
        <f>(1+Inputs!$F$330/100)^(-Returns!AO8)*Returns!AO9</f>
        <v/>
      </c>
      <c r="AP14" s="14">
        <f>(1+Inputs!$F$330/100)^(-Returns!AP8)*Returns!AP9</f>
        <v/>
      </c>
      <c r="AQ14" s="14">
        <f>(1+Inputs!$F$330/100)^(-Returns!AQ8)*Returns!AQ9</f>
        <v/>
      </c>
      <c r="AR14" s="14">
        <f>(1+Inputs!$F$330/100)^(-Returns!AR8)*Returns!AR9</f>
        <v/>
      </c>
      <c r="AS14" s="14">
        <f>(1+Inputs!$F$330/100)^(-Returns!AS8)*Returns!AS9</f>
        <v/>
      </c>
      <c r="AT14" s="14">
        <f>(1+Inputs!$F$330/100)^(-Returns!AT8)*Returns!AT9</f>
        <v/>
      </c>
      <c r="AU14" s="14">
        <f>(1+Inputs!$F$330/100)^(-Returns!AU8)*Returns!AU9</f>
        <v/>
      </c>
    </row>
    <row r="15">
      <c r="D15" t="inlineStr">
        <is>
          <t>Years from valuation date (a2_date)</t>
        </is>
      </c>
      <c r="E15" t="inlineStr">
        <is>
          <t>years</t>
        </is>
      </c>
      <c r="J15" s="14">
        <f>MAX(0,(Time!J$6-Inputs!$F$259)/Inputs!$F$27)</f>
        <v/>
      </c>
      <c r="K15" s="14">
        <f>MAX(0,(Time!K$6-Inputs!$F$259)/Inputs!$F$27)</f>
        <v/>
      </c>
      <c r="L15" s="14">
        <f>MAX(0,(Time!L$6-Inputs!$F$259)/Inputs!$F$27)</f>
        <v/>
      </c>
      <c r="M15" s="14">
        <f>MAX(0,(Time!M$6-Inputs!$F$259)/Inputs!$F$27)</f>
        <v/>
      </c>
      <c r="N15" s="14">
        <f>MAX(0,(Time!N$6-Inputs!$F$259)/Inputs!$F$27)</f>
        <v/>
      </c>
      <c r="O15" s="14">
        <f>MAX(0,(Time!O$6-Inputs!$F$259)/Inputs!$F$27)</f>
        <v/>
      </c>
      <c r="P15" s="14">
        <f>MAX(0,(Time!P$6-Inputs!$F$259)/Inputs!$F$27)</f>
        <v/>
      </c>
      <c r="Q15" s="14">
        <f>MAX(0,(Time!Q$6-Inputs!$F$259)/Inputs!$F$27)</f>
        <v/>
      </c>
      <c r="R15" s="14">
        <f>MAX(0,(Time!R$6-Inputs!$F$259)/Inputs!$F$27)</f>
        <v/>
      </c>
      <c r="S15" s="14">
        <f>MAX(0,(Time!S$6-Inputs!$F$259)/Inputs!$F$27)</f>
        <v/>
      </c>
      <c r="T15" s="14">
        <f>MAX(0,(Time!T$6-Inputs!$F$259)/Inputs!$F$27)</f>
        <v/>
      </c>
      <c r="U15" s="14">
        <f>MAX(0,(Time!U$6-Inputs!$F$259)/Inputs!$F$27)</f>
        <v/>
      </c>
      <c r="V15" s="14">
        <f>MAX(0,(Time!V$6-Inputs!$F$259)/Inputs!$F$27)</f>
        <v/>
      </c>
      <c r="W15" s="14">
        <f>MAX(0,(Time!W$6-Inputs!$F$259)/Inputs!$F$27)</f>
        <v/>
      </c>
      <c r="X15" s="14">
        <f>MAX(0,(Time!X$6-Inputs!$F$259)/Inputs!$F$27)</f>
        <v/>
      </c>
      <c r="Y15" s="14">
        <f>MAX(0,(Time!Y$6-Inputs!$F$259)/Inputs!$F$27)</f>
        <v/>
      </c>
      <c r="Z15" s="14">
        <f>MAX(0,(Time!Z$6-Inputs!$F$259)/Inputs!$F$27)</f>
        <v/>
      </c>
      <c r="AA15" s="14">
        <f>MAX(0,(Time!AA$6-Inputs!$F$259)/Inputs!$F$27)</f>
        <v/>
      </c>
      <c r="AB15" s="14">
        <f>MAX(0,(Time!AB$6-Inputs!$F$259)/Inputs!$F$27)</f>
        <v/>
      </c>
      <c r="AC15" s="14">
        <f>MAX(0,(Time!AC$6-Inputs!$F$259)/Inputs!$F$27)</f>
        <v/>
      </c>
      <c r="AD15" s="14">
        <f>MAX(0,(Time!AD$6-Inputs!$F$259)/Inputs!$F$27)</f>
        <v/>
      </c>
      <c r="AE15" s="14">
        <f>MAX(0,(Time!AE$6-Inputs!$F$259)/Inputs!$F$27)</f>
        <v/>
      </c>
      <c r="AF15" s="14">
        <f>MAX(0,(Time!AF$6-Inputs!$F$259)/Inputs!$F$27)</f>
        <v/>
      </c>
      <c r="AG15" s="14">
        <f>MAX(0,(Time!AG$6-Inputs!$F$259)/Inputs!$F$27)</f>
        <v/>
      </c>
      <c r="AH15" s="14">
        <f>MAX(0,(Time!AH$6-Inputs!$F$259)/Inputs!$F$27)</f>
        <v/>
      </c>
      <c r="AI15" s="14">
        <f>MAX(0,(Time!AI$6-Inputs!$F$259)/Inputs!$F$27)</f>
        <v/>
      </c>
      <c r="AJ15" s="14">
        <f>MAX(0,(Time!AJ$6-Inputs!$F$259)/Inputs!$F$27)</f>
        <v/>
      </c>
      <c r="AK15" s="14">
        <f>MAX(0,(Time!AK$6-Inputs!$F$259)/Inputs!$F$27)</f>
        <v/>
      </c>
      <c r="AL15" s="14">
        <f>MAX(0,(Time!AL$6-Inputs!$F$259)/Inputs!$F$27)</f>
        <v/>
      </c>
      <c r="AM15" s="14">
        <f>MAX(0,(Time!AM$6-Inputs!$F$259)/Inputs!$F$27)</f>
        <v/>
      </c>
      <c r="AN15" s="14">
        <f>MAX(0,(Time!AN$6-Inputs!$F$259)/Inputs!$F$27)</f>
        <v/>
      </c>
      <c r="AO15" s="14">
        <f>MAX(0,(Time!AO$6-Inputs!$F$259)/Inputs!$F$27)</f>
        <v/>
      </c>
      <c r="AP15" s="14">
        <f>MAX(0,(Time!AP$6-Inputs!$F$259)/Inputs!$F$27)</f>
        <v/>
      </c>
      <c r="AQ15" s="14">
        <f>MAX(0,(Time!AQ$6-Inputs!$F$259)/Inputs!$F$27)</f>
        <v/>
      </c>
      <c r="AR15" s="14">
        <f>MAX(0,(Time!AR$6-Inputs!$F$259)/Inputs!$F$27)</f>
        <v/>
      </c>
      <c r="AS15" s="14">
        <f>MAX(0,(Time!AS$6-Inputs!$F$259)/Inputs!$F$27)</f>
        <v/>
      </c>
      <c r="AT15" s="14">
        <f>MAX(0,(Time!AT$6-Inputs!$F$259)/Inputs!$F$27)</f>
        <v/>
      </c>
      <c r="AU15" s="14">
        <f>MAX(0,(Time!AU$6-Inputs!$F$259)/Inputs!$F$27)</f>
        <v/>
      </c>
    </row>
    <row r="16">
      <c r="D16" t="inlineStr">
        <is>
          <t>Cash flow on or after valuation date</t>
        </is>
      </c>
      <c r="E16" t="inlineStr">
        <is>
          <t>flag</t>
        </is>
      </c>
      <c r="J16" s="12">
        <f>--(Time!J$6&gt;=Inputs!$F$259)</f>
        <v/>
      </c>
      <c r="K16" s="12">
        <f>--(Time!K$6&gt;=Inputs!$F$259)</f>
        <v/>
      </c>
      <c r="L16" s="12">
        <f>--(Time!L$6&gt;=Inputs!$F$259)</f>
        <v/>
      </c>
      <c r="M16" s="12">
        <f>--(Time!M$6&gt;=Inputs!$F$259)</f>
        <v/>
      </c>
      <c r="N16" s="12">
        <f>--(Time!N$6&gt;=Inputs!$F$259)</f>
        <v/>
      </c>
      <c r="O16" s="12">
        <f>--(Time!O$6&gt;=Inputs!$F$259)</f>
        <v/>
      </c>
      <c r="P16" s="12">
        <f>--(Time!P$6&gt;=Inputs!$F$259)</f>
        <v/>
      </c>
      <c r="Q16" s="12">
        <f>--(Time!Q$6&gt;=Inputs!$F$259)</f>
        <v/>
      </c>
      <c r="R16" s="12">
        <f>--(Time!R$6&gt;=Inputs!$F$259)</f>
        <v/>
      </c>
      <c r="S16" s="12">
        <f>--(Time!S$6&gt;=Inputs!$F$259)</f>
        <v/>
      </c>
      <c r="T16" s="12">
        <f>--(Time!T$6&gt;=Inputs!$F$259)</f>
        <v/>
      </c>
      <c r="U16" s="12">
        <f>--(Time!U$6&gt;=Inputs!$F$259)</f>
        <v/>
      </c>
      <c r="V16" s="12">
        <f>--(Time!V$6&gt;=Inputs!$F$259)</f>
        <v/>
      </c>
      <c r="W16" s="12">
        <f>--(Time!W$6&gt;=Inputs!$F$259)</f>
        <v/>
      </c>
      <c r="X16" s="12">
        <f>--(Time!X$6&gt;=Inputs!$F$259)</f>
        <v/>
      </c>
      <c r="Y16" s="12">
        <f>--(Time!Y$6&gt;=Inputs!$F$259)</f>
        <v/>
      </c>
      <c r="Z16" s="12">
        <f>--(Time!Z$6&gt;=Inputs!$F$259)</f>
        <v/>
      </c>
      <c r="AA16" s="12">
        <f>--(Time!AA$6&gt;=Inputs!$F$259)</f>
        <v/>
      </c>
      <c r="AB16" s="12">
        <f>--(Time!AB$6&gt;=Inputs!$F$259)</f>
        <v/>
      </c>
      <c r="AC16" s="12">
        <f>--(Time!AC$6&gt;=Inputs!$F$259)</f>
        <v/>
      </c>
      <c r="AD16" s="12">
        <f>--(Time!AD$6&gt;=Inputs!$F$259)</f>
        <v/>
      </c>
      <c r="AE16" s="12">
        <f>--(Time!AE$6&gt;=Inputs!$F$259)</f>
        <v/>
      </c>
      <c r="AF16" s="12">
        <f>--(Time!AF$6&gt;=Inputs!$F$259)</f>
        <v/>
      </c>
      <c r="AG16" s="12">
        <f>--(Time!AG$6&gt;=Inputs!$F$259)</f>
        <v/>
      </c>
      <c r="AH16" s="12">
        <f>--(Time!AH$6&gt;=Inputs!$F$259)</f>
        <v/>
      </c>
      <c r="AI16" s="12">
        <f>--(Time!AI$6&gt;=Inputs!$F$259)</f>
        <v/>
      </c>
      <c r="AJ16" s="12">
        <f>--(Time!AJ$6&gt;=Inputs!$F$259)</f>
        <v/>
      </c>
      <c r="AK16" s="12">
        <f>--(Time!AK$6&gt;=Inputs!$F$259)</f>
        <v/>
      </c>
      <c r="AL16" s="12">
        <f>--(Time!AL$6&gt;=Inputs!$F$259)</f>
        <v/>
      </c>
      <c r="AM16" s="12">
        <f>--(Time!AM$6&gt;=Inputs!$F$259)</f>
        <v/>
      </c>
      <c r="AN16" s="12">
        <f>--(Time!AN$6&gt;=Inputs!$F$259)</f>
        <v/>
      </c>
      <c r="AO16" s="12">
        <f>--(Time!AO$6&gt;=Inputs!$F$259)</f>
        <v/>
      </c>
      <c r="AP16" s="12">
        <f>--(Time!AP$6&gt;=Inputs!$F$259)</f>
        <v/>
      </c>
      <c r="AQ16" s="12">
        <f>--(Time!AQ$6&gt;=Inputs!$F$259)</f>
        <v/>
      </c>
      <c r="AR16" s="12">
        <f>--(Time!AR$6&gt;=Inputs!$F$259)</f>
        <v/>
      </c>
      <c r="AS16" s="12">
        <f>--(Time!AS$6&gt;=Inputs!$F$259)</f>
        <v/>
      </c>
      <c r="AT16" s="12">
        <f>--(Time!AT$6&gt;=Inputs!$F$259)</f>
        <v/>
      </c>
      <c r="AU16" s="12">
        <f>--(Time!AU$6&gt;=Inputs!$F$259)</f>
        <v/>
      </c>
    </row>
    <row r="17">
      <c r="D17" t="inlineStr">
        <is>
          <t>DF contracted (v2)</t>
        </is>
      </c>
      <c r="E17" t="inlineStr">
        <is>
          <t>factor</t>
        </is>
      </c>
      <c r="J17" s="14">
        <f>IF(Time!J$4&gt;Inputs!$F$335,(1+Inputs!$F$334/100)^(-Returns!J15),(1+Inputs!$F$330/100)^(-Returns!J15))*Returns!J16</f>
        <v/>
      </c>
      <c r="K17" s="14">
        <f>IF(Time!K$4&gt;Inputs!$F$335,(1+Inputs!$F$334/100)^(-Returns!K15),(1+Inputs!$F$330/100)^(-Returns!K15))*Returns!K16</f>
        <v/>
      </c>
      <c r="L17" s="14">
        <f>IF(Time!L$4&gt;Inputs!$F$335,(1+Inputs!$F$334/100)^(-Returns!L15),(1+Inputs!$F$330/100)^(-Returns!L15))*Returns!L16</f>
        <v/>
      </c>
      <c r="M17" s="14">
        <f>IF(Time!M$4&gt;Inputs!$F$335,(1+Inputs!$F$334/100)^(-Returns!M15),(1+Inputs!$F$330/100)^(-Returns!M15))*Returns!M16</f>
        <v/>
      </c>
      <c r="N17" s="14">
        <f>IF(Time!N$4&gt;Inputs!$F$335,(1+Inputs!$F$334/100)^(-Returns!N15),(1+Inputs!$F$330/100)^(-Returns!N15))*Returns!N16</f>
        <v/>
      </c>
      <c r="O17" s="14">
        <f>IF(Time!O$4&gt;Inputs!$F$335,(1+Inputs!$F$334/100)^(-Returns!O15),(1+Inputs!$F$330/100)^(-Returns!O15))*Returns!O16</f>
        <v/>
      </c>
      <c r="P17" s="14">
        <f>IF(Time!P$4&gt;Inputs!$F$335,(1+Inputs!$F$334/100)^(-Returns!P15),(1+Inputs!$F$330/100)^(-Returns!P15))*Returns!P16</f>
        <v/>
      </c>
      <c r="Q17" s="14">
        <f>IF(Time!Q$4&gt;Inputs!$F$335,(1+Inputs!$F$334/100)^(-Returns!Q15),(1+Inputs!$F$330/100)^(-Returns!Q15))*Returns!Q16</f>
        <v/>
      </c>
      <c r="R17" s="14">
        <f>IF(Time!R$4&gt;Inputs!$F$335,(1+Inputs!$F$334/100)^(-Returns!R15),(1+Inputs!$F$330/100)^(-Returns!R15))*Returns!R16</f>
        <v/>
      </c>
      <c r="S17" s="14">
        <f>IF(Time!S$4&gt;Inputs!$F$335,(1+Inputs!$F$334/100)^(-Returns!S15),(1+Inputs!$F$330/100)^(-Returns!S15))*Returns!S16</f>
        <v/>
      </c>
      <c r="T17" s="14">
        <f>IF(Time!T$4&gt;Inputs!$F$335,(1+Inputs!$F$334/100)^(-Returns!T15),(1+Inputs!$F$330/100)^(-Returns!T15))*Returns!T16</f>
        <v/>
      </c>
      <c r="U17" s="14">
        <f>IF(Time!U$4&gt;Inputs!$F$335,(1+Inputs!$F$334/100)^(-Returns!U15),(1+Inputs!$F$330/100)^(-Returns!U15))*Returns!U16</f>
        <v/>
      </c>
      <c r="V17" s="14">
        <f>IF(Time!V$4&gt;Inputs!$F$335,(1+Inputs!$F$334/100)^(-Returns!V15),(1+Inputs!$F$330/100)^(-Returns!V15))*Returns!V16</f>
        <v/>
      </c>
      <c r="W17" s="14">
        <f>IF(Time!W$4&gt;Inputs!$F$335,(1+Inputs!$F$334/100)^(-Returns!W15),(1+Inputs!$F$330/100)^(-Returns!W15))*Returns!W16</f>
        <v/>
      </c>
      <c r="X17" s="14">
        <f>IF(Time!X$4&gt;Inputs!$F$335,(1+Inputs!$F$334/100)^(-Returns!X15),(1+Inputs!$F$330/100)^(-Returns!X15))*Returns!X16</f>
        <v/>
      </c>
      <c r="Y17" s="14">
        <f>IF(Time!Y$4&gt;Inputs!$F$335,(1+Inputs!$F$334/100)^(-Returns!Y15),(1+Inputs!$F$330/100)^(-Returns!Y15))*Returns!Y16</f>
        <v/>
      </c>
      <c r="Z17" s="14">
        <f>IF(Time!Z$4&gt;Inputs!$F$335,(1+Inputs!$F$334/100)^(-Returns!Z15),(1+Inputs!$F$330/100)^(-Returns!Z15))*Returns!Z16</f>
        <v/>
      </c>
      <c r="AA17" s="14">
        <f>IF(Time!AA$4&gt;Inputs!$F$335,(1+Inputs!$F$334/100)^(-Returns!AA15),(1+Inputs!$F$330/100)^(-Returns!AA15))*Returns!AA16</f>
        <v/>
      </c>
      <c r="AB17" s="14">
        <f>IF(Time!AB$4&gt;Inputs!$F$335,(1+Inputs!$F$334/100)^(-Returns!AB15),(1+Inputs!$F$330/100)^(-Returns!AB15))*Returns!AB16</f>
        <v/>
      </c>
      <c r="AC17" s="14">
        <f>IF(Time!AC$4&gt;Inputs!$F$335,(1+Inputs!$F$334/100)^(-Returns!AC15),(1+Inputs!$F$330/100)^(-Returns!AC15))*Returns!AC16</f>
        <v/>
      </c>
      <c r="AD17" s="14">
        <f>IF(Time!AD$4&gt;Inputs!$F$335,(1+Inputs!$F$334/100)^(-Returns!AD15),(1+Inputs!$F$330/100)^(-Returns!AD15))*Returns!AD16</f>
        <v/>
      </c>
      <c r="AE17" s="14">
        <f>IF(Time!AE$4&gt;Inputs!$F$335,(1+Inputs!$F$334/100)^(-Returns!AE15),(1+Inputs!$F$330/100)^(-Returns!AE15))*Returns!AE16</f>
        <v/>
      </c>
      <c r="AF17" s="14">
        <f>IF(Time!AF$4&gt;Inputs!$F$335,(1+Inputs!$F$334/100)^(-Returns!AF15),(1+Inputs!$F$330/100)^(-Returns!AF15))*Returns!AF16</f>
        <v/>
      </c>
      <c r="AG17" s="14">
        <f>IF(Time!AG$4&gt;Inputs!$F$335,(1+Inputs!$F$334/100)^(-Returns!AG15),(1+Inputs!$F$330/100)^(-Returns!AG15))*Returns!AG16</f>
        <v/>
      </c>
      <c r="AH17" s="14">
        <f>IF(Time!AH$4&gt;Inputs!$F$335,(1+Inputs!$F$334/100)^(-Returns!AH15),(1+Inputs!$F$330/100)^(-Returns!AH15))*Returns!AH16</f>
        <v/>
      </c>
      <c r="AI17" s="14">
        <f>IF(Time!AI$4&gt;Inputs!$F$335,(1+Inputs!$F$334/100)^(-Returns!AI15),(1+Inputs!$F$330/100)^(-Returns!AI15))*Returns!AI16</f>
        <v/>
      </c>
      <c r="AJ17" s="14">
        <f>IF(Time!AJ$4&gt;Inputs!$F$335,(1+Inputs!$F$334/100)^(-Returns!AJ15),(1+Inputs!$F$330/100)^(-Returns!AJ15))*Returns!AJ16</f>
        <v/>
      </c>
      <c r="AK17" s="14">
        <f>IF(Time!AK$4&gt;Inputs!$F$335,(1+Inputs!$F$334/100)^(-Returns!AK15),(1+Inputs!$F$330/100)^(-Returns!AK15))*Returns!AK16</f>
        <v/>
      </c>
      <c r="AL17" s="14">
        <f>IF(Time!AL$4&gt;Inputs!$F$335,(1+Inputs!$F$334/100)^(-Returns!AL15),(1+Inputs!$F$330/100)^(-Returns!AL15))*Returns!AL16</f>
        <v/>
      </c>
      <c r="AM17" s="14">
        <f>IF(Time!AM$4&gt;Inputs!$F$335,(1+Inputs!$F$334/100)^(-Returns!AM15),(1+Inputs!$F$330/100)^(-Returns!AM15))*Returns!AM16</f>
        <v/>
      </c>
      <c r="AN17" s="14">
        <f>IF(Time!AN$4&gt;Inputs!$F$335,(1+Inputs!$F$334/100)^(-Returns!AN15),(1+Inputs!$F$330/100)^(-Returns!AN15))*Returns!AN16</f>
        <v/>
      </c>
      <c r="AO17" s="14">
        <f>IF(Time!AO$4&gt;Inputs!$F$335,(1+Inputs!$F$334/100)^(-Returns!AO15),(1+Inputs!$F$330/100)^(-Returns!AO15))*Returns!AO16</f>
        <v/>
      </c>
      <c r="AP17" s="14">
        <f>IF(Time!AP$4&gt;Inputs!$F$335,(1+Inputs!$F$334/100)^(-Returns!AP15),(1+Inputs!$F$330/100)^(-Returns!AP15))*Returns!AP16</f>
        <v/>
      </c>
      <c r="AQ17" s="14">
        <f>IF(Time!AQ$4&gt;Inputs!$F$335,(1+Inputs!$F$334/100)^(-Returns!AQ15),(1+Inputs!$F$330/100)^(-Returns!AQ15))*Returns!AQ16</f>
        <v/>
      </c>
      <c r="AR17" s="14">
        <f>IF(Time!AR$4&gt;Inputs!$F$335,(1+Inputs!$F$334/100)^(-Returns!AR15),(1+Inputs!$F$330/100)^(-Returns!AR15))*Returns!AR16</f>
        <v/>
      </c>
      <c r="AS17" s="14">
        <f>IF(Time!AS$4&gt;Inputs!$F$335,(1+Inputs!$F$334/100)^(-Returns!AS15),(1+Inputs!$F$330/100)^(-Returns!AS15))*Returns!AS16</f>
        <v/>
      </c>
      <c r="AT17" s="14">
        <f>IF(Time!AT$4&gt;Inputs!$F$335,(1+Inputs!$F$334/100)^(-Returns!AT15),(1+Inputs!$F$330/100)^(-Returns!AT15))*Returns!AT16</f>
        <v/>
      </c>
      <c r="AU17" s="14">
        <f>IF(Time!AU$4&gt;Inputs!$F$335,(1+Inputs!$F$334/100)^(-Returns!AU15),(1+Inputs!$F$330/100)^(-Returns!AU15))*Returns!AU16</f>
        <v/>
      </c>
    </row>
    <row r="18">
      <c r="D18" t="inlineStr">
        <is>
          <t>DF hedged (v2)</t>
        </is>
      </c>
      <c r="E18" t="inlineStr">
        <is>
          <t>factor</t>
        </is>
      </c>
      <c r="J18" s="14">
        <f>IF(Time!J$4&gt;Inputs!$F$335,(1+Inputs!$F$334/100)^(-Returns!J15),(1+Inputs!$F$331/100)^(-Returns!J15))*Returns!J16</f>
        <v/>
      </c>
      <c r="K18" s="14">
        <f>IF(Time!K$4&gt;Inputs!$F$335,(1+Inputs!$F$334/100)^(-Returns!K15),(1+Inputs!$F$331/100)^(-Returns!K15))*Returns!K16</f>
        <v/>
      </c>
      <c r="L18" s="14">
        <f>IF(Time!L$4&gt;Inputs!$F$335,(1+Inputs!$F$334/100)^(-Returns!L15),(1+Inputs!$F$331/100)^(-Returns!L15))*Returns!L16</f>
        <v/>
      </c>
      <c r="M18" s="14">
        <f>IF(Time!M$4&gt;Inputs!$F$335,(1+Inputs!$F$334/100)^(-Returns!M15),(1+Inputs!$F$331/100)^(-Returns!M15))*Returns!M16</f>
        <v/>
      </c>
      <c r="N18" s="14">
        <f>IF(Time!N$4&gt;Inputs!$F$335,(1+Inputs!$F$334/100)^(-Returns!N15),(1+Inputs!$F$331/100)^(-Returns!N15))*Returns!N16</f>
        <v/>
      </c>
      <c r="O18" s="14">
        <f>IF(Time!O$4&gt;Inputs!$F$335,(1+Inputs!$F$334/100)^(-Returns!O15),(1+Inputs!$F$331/100)^(-Returns!O15))*Returns!O16</f>
        <v/>
      </c>
      <c r="P18" s="14">
        <f>IF(Time!P$4&gt;Inputs!$F$335,(1+Inputs!$F$334/100)^(-Returns!P15),(1+Inputs!$F$331/100)^(-Returns!P15))*Returns!P16</f>
        <v/>
      </c>
      <c r="Q18" s="14">
        <f>IF(Time!Q$4&gt;Inputs!$F$335,(1+Inputs!$F$334/100)^(-Returns!Q15),(1+Inputs!$F$331/100)^(-Returns!Q15))*Returns!Q16</f>
        <v/>
      </c>
      <c r="R18" s="14">
        <f>IF(Time!R$4&gt;Inputs!$F$335,(1+Inputs!$F$334/100)^(-Returns!R15),(1+Inputs!$F$331/100)^(-Returns!R15))*Returns!R16</f>
        <v/>
      </c>
      <c r="S18" s="14">
        <f>IF(Time!S$4&gt;Inputs!$F$335,(1+Inputs!$F$334/100)^(-Returns!S15),(1+Inputs!$F$331/100)^(-Returns!S15))*Returns!S16</f>
        <v/>
      </c>
      <c r="T18" s="14">
        <f>IF(Time!T$4&gt;Inputs!$F$335,(1+Inputs!$F$334/100)^(-Returns!T15),(1+Inputs!$F$331/100)^(-Returns!T15))*Returns!T16</f>
        <v/>
      </c>
      <c r="U18" s="14">
        <f>IF(Time!U$4&gt;Inputs!$F$335,(1+Inputs!$F$334/100)^(-Returns!U15),(1+Inputs!$F$331/100)^(-Returns!U15))*Returns!U16</f>
        <v/>
      </c>
      <c r="V18" s="14">
        <f>IF(Time!V$4&gt;Inputs!$F$335,(1+Inputs!$F$334/100)^(-Returns!V15),(1+Inputs!$F$331/100)^(-Returns!V15))*Returns!V16</f>
        <v/>
      </c>
      <c r="W18" s="14">
        <f>IF(Time!W$4&gt;Inputs!$F$335,(1+Inputs!$F$334/100)^(-Returns!W15),(1+Inputs!$F$331/100)^(-Returns!W15))*Returns!W16</f>
        <v/>
      </c>
      <c r="X18" s="14">
        <f>IF(Time!X$4&gt;Inputs!$F$335,(1+Inputs!$F$334/100)^(-Returns!X15),(1+Inputs!$F$331/100)^(-Returns!X15))*Returns!X16</f>
        <v/>
      </c>
      <c r="Y18" s="14">
        <f>IF(Time!Y$4&gt;Inputs!$F$335,(1+Inputs!$F$334/100)^(-Returns!Y15),(1+Inputs!$F$331/100)^(-Returns!Y15))*Returns!Y16</f>
        <v/>
      </c>
      <c r="Z18" s="14">
        <f>IF(Time!Z$4&gt;Inputs!$F$335,(1+Inputs!$F$334/100)^(-Returns!Z15),(1+Inputs!$F$331/100)^(-Returns!Z15))*Returns!Z16</f>
        <v/>
      </c>
      <c r="AA18" s="14">
        <f>IF(Time!AA$4&gt;Inputs!$F$335,(1+Inputs!$F$334/100)^(-Returns!AA15),(1+Inputs!$F$331/100)^(-Returns!AA15))*Returns!AA16</f>
        <v/>
      </c>
      <c r="AB18" s="14">
        <f>IF(Time!AB$4&gt;Inputs!$F$335,(1+Inputs!$F$334/100)^(-Returns!AB15),(1+Inputs!$F$331/100)^(-Returns!AB15))*Returns!AB16</f>
        <v/>
      </c>
      <c r="AC18" s="14">
        <f>IF(Time!AC$4&gt;Inputs!$F$335,(1+Inputs!$F$334/100)^(-Returns!AC15),(1+Inputs!$F$331/100)^(-Returns!AC15))*Returns!AC16</f>
        <v/>
      </c>
      <c r="AD18" s="14">
        <f>IF(Time!AD$4&gt;Inputs!$F$335,(1+Inputs!$F$334/100)^(-Returns!AD15),(1+Inputs!$F$331/100)^(-Returns!AD15))*Returns!AD16</f>
        <v/>
      </c>
      <c r="AE18" s="14">
        <f>IF(Time!AE$4&gt;Inputs!$F$335,(1+Inputs!$F$334/100)^(-Returns!AE15),(1+Inputs!$F$331/100)^(-Returns!AE15))*Returns!AE16</f>
        <v/>
      </c>
      <c r="AF18" s="14">
        <f>IF(Time!AF$4&gt;Inputs!$F$335,(1+Inputs!$F$334/100)^(-Returns!AF15),(1+Inputs!$F$331/100)^(-Returns!AF15))*Returns!AF16</f>
        <v/>
      </c>
      <c r="AG18" s="14">
        <f>IF(Time!AG$4&gt;Inputs!$F$335,(1+Inputs!$F$334/100)^(-Returns!AG15),(1+Inputs!$F$331/100)^(-Returns!AG15))*Returns!AG16</f>
        <v/>
      </c>
      <c r="AH18" s="14">
        <f>IF(Time!AH$4&gt;Inputs!$F$335,(1+Inputs!$F$334/100)^(-Returns!AH15),(1+Inputs!$F$331/100)^(-Returns!AH15))*Returns!AH16</f>
        <v/>
      </c>
      <c r="AI18" s="14">
        <f>IF(Time!AI$4&gt;Inputs!$F$335,(1+Inputs!$F$334/100)^(-Returns!AI15),(1+Inputs!$F$331/100)^(-Returns!AI15))*Returns!AI16</f>
        <v/>
      </c>
      <c r="AJ18" s="14">
        <f>IF(Time!AJ$4&gt;Inputs!$F$335,(1+Inputs!$F$334/100)^(-Returns!AJ15),(1+Inputs!$F$331/100)^(-Returns!AJ15))*Returns!AJ16</f>
        <v/>
      </c>
      <c r="AK18" s="14">
        <f>IF(Time!AK$4&gt;Inputs!$F$335,(1+Inputs!$F$334/100)^(-Returns!AK15),(1+Inputs!$F$331/100)^(-Returns!AK15))*Returns!AK16</f>
        <v/>
      </c>
      <c r="AL18" s="14">
        <f>IF(Time!AL$4&gt;Inputs!$F$335,(1+Inputs!$F$334/100)^(-Returns!AL15),(1+Inputs!$F$331/100)^(-Returns!AL15))*Returns!AL16</f>
        <v/>
      </c>
      <c r="AM18" s="14">
        <f>IF(Time!AM$4&gt;Inputs!$F$335,(1+Inputs!$F$334/100)^(-Returns!AM15),(1+Inputs!$F$331/100)^(-Returns!AM15))*Returns!AM16</f>
        <v/>
      </c>
      <c r="AN18" s="14">
        <f>IF(Time!AN$4&gt;Inputs!$F$335,(1+Inputs!$F$334/100)^(-Returns!AN15),(1+Inputs!$F$331/100)^(-Returns!AN15))*Returns!AN16</f>
        <v/>
      </c>
      <c r="AO18" s="14">
        <f>IF(Time!AO$4&gt;Inputs!$F$335,(1+Inputs!$F$334/100)^(-Returns!AO15),(1+Inputs!$F$331/100)^(-Returns!AO15))*Returns!AO16</f>
        <v/>
      </c>
      <c r="AP18" s="14">
        <f>IF(Time!AP$4&gt;Inputs!$F$335,(1+Inputs!$F$334/100)^(-Returns!AP15),(1+Inputs!$F$331/100)^(-Returns!AP15))*Returns!AP16</f>
        <v/>
      </c>
      <c r="AQ18" s="14">
        <f>IF(Time!AQ$4&gt;Inputs!$F$335,(1+Inputs!$F$334/100)^(-Returns!AQ15),(1+Inputs!$F$331/100)^(-Returns!AQ15))*Returns!AQ16</f>
        <v/>
      </c>
      <c r="AR18" s="14">
        <f>IF(Time!AR$4&gt;Inputs!$F$335,(1+Inputs!$F$334/100)^(-Returns!AR15),(1+Inputs!$F$331/100)^(-Returns!AR15))*Returns!AR16</f>
        <v/>
      </c>
      <c r="AS18" s="14">
        <f>IF(Time!AS$4&gt;Inputs!$F$335,(1+Inputs!$F$334/100)^(-Returns!AS15),(1+Inputs!$F$331/100)^(-Returns!AS15))*Returns!AS16</f>
        <v/>
      </c>
      <c r="AT18" s="14">
        <f>IF(Time!AT$4&gt;Inputs!$F$335,(1+Inputs!$F$334/100)^(-Returns!AT15),(1+Inputs!$F$331/100)^(-Returns!AT15))*Returns!AT16</f>
        <v/>
      </c>
      <c r="AU18" s="14">
        <f>IF(Time!AU$4&gt;Inputs!$F$335,(1+Inputs!$F$334/100)^(-Returns!AU15),(1+Inputs!$F$331/100)^(-Returns!AU15))*Returns!AU16</f>
        <v/>
      </c>
    </row>
    <row r="19">
      <c r="D19" t="inlineStr">
        <is>
          <t>DF merchant (v2)</t>
        </is>
      </c>
      <c r="E19" t="inlineStr">
        <is>
          <t>factor</t>
        </is>
      </c>
      <c r="J19" s="14">
        <f>IF(Time!J$4&gt;Inputs!$F$335,(1+Inputs!$F$334/100)^(-Returns!J15),(1+Inputs!$F$332/100)^(-Returns!J15))*Returns!J16</f>
        <v/>
      </c>
      <c r="K19" s="14">
        <f>IF(Time!K$4&gt;Inputs!$F$335,(1+Inputs!$F$334/100)^(-Returns!K15),(1+Inputs!$F$332/100)^(-Returns!K15))*Returns!K16</f>
        <v/>
      </c>
      <c r="L19" s="14">
        <f>IF(Time!L$4&gt;Inputs!$F$335,(1+Inputs!$F$334/100)^(-Returns!L15),(1+Inputs!$F$332/100)^(-Returns!L15))*Returns!L16</f>
        <v/>
      </c>
      <c r="M19" s="14">
        <f>IF(Time!M$4&gt;Inputs!$F$335,(1+Inputs!$F$334/100)^(-Returns!M15),(1+Inputs!$F$332/100)^(-Returns!M15))*Returns!M16</f>
        <v/>
      </c>
      <c r="N19" s="14">
        <f>IF(Time!N$4&gt;Inputs!$F$335,(1+Inputs!$F$334/100)^(-Returns!N15),(1+Inputs!$F$332/100)^(-Returns!N15))*Returns!N16</f>
        <v/>
      </c>
      <c r="O19" s="14">
        <f>IF(Time!O$4&gt;Inputs!$F$335,(1+Inputs!$F$334/100)^(-Returns!O15),(1+Inputs!$F$332/100)^(-Returns!O15))*Returns!O16</f>
        <v/>
      </c>
      <c r="P19" s="14">
        <f>IF(Time!P$4&gt;Inputs!$F$335,(1+Inputs!$F$334/100)^(-Returns!P15),(1+Inputs!$F$332/100)^(-Returns!P15))*Returns!P16</f>
        <v/>
      </c>
      <c r="Q19" s="14">
        <f>IF(Time!Q$4&gt;Inputs!$F$335,(1+Inputs!$F$334/100)^(-Returns!Q15),(1+Inputs!$F$332/100)^(-Returns!Q15))*Returns!Q16</f>
        <v/>
      </c>
      <c r="R19" s="14">
        <f>IF(Time!R$4&gt;Inputs!$F$335,(1+Inputs!$F$334/100)^(-Returns!R15),(1+Inputs!$F$332/100)^(-Returns!R15))*Returns!R16</f>
        <v/>
      </c>
      <c r="S19" s="14">
        <f>IF(Time!S$4&gt;Inputs!$F$335,(1+Inputs!$F$334/100)^(-Returns!S15),(1+Inputs!$F$332/100)^(-Returns!S15))*Returns!S16</f>
        <v/>
      </c>
      <c r="T19" s="14">
        <f>IF(Time!T$4&gt;Inputs!$F$335,(1+Inputs!$F$334/100)^(-Returns!T15),(1+Inputs!$F$332/100)^(-Returns!T15))*Returns!T16</f>
        <v/>
      </c>
      <c r="U19" s="14">
        <f>IF(Time!U$4&gt;Inputs!$F$335,(1+Inputs!$F$334/100)^(-Returns!U15),(1+Inputs!$F$332/100)^(-Returns!U15))*Returns!U16</f>
        <v/>
      </c>
      <c r="V19" s="14">
        <f>IF(Time!V$4&gt;Inputs!$F$335,(1+Inputs!$F$334/100)^(-Returns!V15),(1+Inputs!$F$332/100)^(-Returns!V15))*Returns!V16</f>
        <v/>
      </c>
      <c r="W19" s="14">
        <f>IF(Time!W$4&gt;Inputs!$F$335,(1+Inputs!$F$334/100)^(-Returns!W15),(1+Inputs!$F$332/100)^(-Returns!W15))*Returns!W16</f>
        <v/>
      </c>
      <c r="X19" s="14">
        <f>IF(Time!X$4&gt;Inputs!$F$335,(1+Inputs!$F$334/100)^(-Returns!X15),(1+Inputs!$F$332/100)^(-Returns!X15))*Returns!X16</f>
        <v/>
      </c>
      <c r="Y19" s="14">
        <f>IF(Time!Y$4&gt;Inputs!$F$335,(1+Inputs!$F$334/100)^(-Returns!Y15),(1+Inputs!$F$332/100)^(-Returns!Y15))*Returns!Y16</f>
        <v/>
      </c>
      <c r="Z19" s="14">
        <f>IF(Time!Z$4&gt;Inputs!$F$335,(1+Inputs!$F$334/100)^(-Returns!Z15),(1+Inputs!$F$332/100)^(-Returns!Z15))*Returns!Z16</f>
        <v/>
      </c>
      <c r="AA19" s="14">
        <f>IF(Time!AA$4&gt;Inputs!$F$335,(1+Inputs!$F$334/100)^(-Returns!AA15),(1+Inputs!$F$332/100)^(-Returns!AA15))*Returns!AA16</f>
        <v/>
      </c>
      <c r="AB19" s="14">
        <f>IF(Time!AB$4&gt;Inputs!$F$335,(1+Inputs!$F$334/100)^(-Returns!AB15),(1+Inputs!$F$332/100)^(-Returns!AB15))*Returns!AB16</f>
        <v/>
      </c>
      <c r="AC19" s="14">
        <f>IF(Time!AC$4&gt;Inputs!$F$335,(1+Inputs!$F$334/100)^(-Returns!AC15),(1+Inputs!$F$332/100)^(-Returns!AC15))*Returns!AC16</f>
        <v/>
      </c>
      <c r="AD19" s="14">
        <f>IF(Time!AD$4&gt;Inputs!$F$335,(1+Inputs!$F$334/100)^(-Returns!AD15),(1+Inputs!$F$332/100)^(-Returns!AD15))*Returns!AD16</f>
        <v/>
      </c>
      <c r="AE19" s="14">
        <f>IF(Time!AE$4&gt;Inputs!$F$335,(1+Inputs!$F$334/100)^(-Returns!AE15),(1+Inputs!$F$332/100)^(-Returns!AE15))*Returns!AE16</f>
        <v/>
      </c>
      <c r="AF19" s="14">
        <f>IF(Time!AF$4&gt;Inputs!$F$335,(1+Inputs!$F$334/100)^(-Returns!AF15),(1+Inputs!$F$332/100)^(-Returns!AF15))*Returns!AF16</f>
        <v/>
      </c>
      <c r="AG19" s="14">
        <f>IF(Time!AG$4&gt;Inputs!$F$335,(1+Inputs!$F$334/100)^(-Returns!AG15),(1+Inputs!$F$332/100)^(-Returns!AG15))*Returns!AG16</f>
        <v/>
      </c>
      <c r="AH19" s="14">
        <f>IF(Time!AH$4&gt;Inputs!$F$335,(1+Inputs!$F$334/100)^(-Returns!AH15),(1+Inputs!$F$332/100)^(-Returns!AH15))*Returns!AH16</f>
        <v/>
      </c>
      <c r="AI19" s="14">
        <f>IF(Time!AI$4&gt;Inputs!$F$335,(1+Inputs!$F$334/100)^(-Returns!AI15),(1+Inputs!$F$332/100)^(-Returns!AI15))*Returns!AI16</f>
        <v/>
      </c>
      <c r="AJ19" s="14">
        <f>IF(Time!AJ$4&gt;Inputs!$F$335,(1+Inputs!$F$334/100)^(-Returns!AJ15),(1+Inputs!$F$332/100)^(-Returns!AJ15))*Returns!AJ16</f>
        <v/>
      </c>
      <c r="AK19" s="14">
        <f>IF(Time!AK$4&gt;Inputs!$F$335,(1+Inputs!$F$334/100)^(-Returns!AK15),(1+Inputs!$F$332/100)^(-Returns!AK15))*Returns!AK16</f>
        <v/>
      </c>
      <c r="AL19" s="14">
        <f>IF(Time!AL$4&gt;Inputs!$F$335,(1+Inputs!$F$334/100)^(-Returns!AL15),(1+Inputs!$F$332/100)^(-Returns!AL15))*Returns!AL16</f>
        <v/>
      </c>
      <c r="AM19" s="14">
        <f>IF(Time!AM$4&gt;Inputs!$F$335,(1+Inputs!$F$334/100)^(-Returns!AM15),(1+Inputs!$F$332/100)^(-Returns!AM15))*Returns!AM16</f>
        <v/>
      </c>
      <c r="AN19" s="14">
        <f>IF(Time!AN$4&gt;Inputs!$F$335,(1+Inputs!$F$334/100)^(-Returns!AN15),(1+Inputs!$F$332/100)^(-Returns!AN15))*Returns!AN16</f>
        <v/>
      </c>
      <c r="AO19" s="14">
        <f>IF(Time!AO$4&gt;Inputs!$F$335,(1+Inputs!$F$334/100)^(-Returns!AO15),(1+Inputs!$F$332/100)^(-Returns!AO15))*Returns!AO16</f>
        <v/>
      </c>
      <c r="AP19" s="14">
        <f>IF(Time!AP$4&gt;Inputs!$F$335,(1+Inputs!$F$334/100)^(-Returns!AP15),(1+Inputs!$F$332/100)^(-Returns!AP15))*Returns!AP16</f>
        <v/>
      </c>
      <c r="AQ19" s="14">
        <f>IF(Time!AQ$4&gt;Inputs!$F$335,(1+Inputs!$F$334/100)^(-Returns!AQ15),(1+Inputs!$F$332/100)^(-Returns!AQ15))*Returns!AQ16</f>
        <v/>
      </c>
      <c r="AR19" s="14">
        <f>IF(Time!AR$4&gt;Inputs!$F$335,(1+Inputs!$F$334/100)^(-Returns!AR15),(1+Inputs!$F$332/100)^(-Returns!AR15))*Returns!AR16</f>
        <v/>
      </c>
      <c r="AS19" s="14">
        <f>IF(Time!AS$4&gt;Inputs!$F$335,(1+Inputs!$F$334/100)^(-Returns!AS15),(1+Inputs!$F$332/100)^(-Returns!AS15))*Returns!AS16</f>
        <v/>
      </c>
      <c r="AT19" s="14">
        <f>IF(Time!AT$4&gt;Inputs!$F$335,(1+Inputs!$F$334/100)^(-Returns!AT15),(1+Inputs!$F$332/100)^(-Returns!AT15))*Returns!AT16</f>
        <v/>
      </c>
      <c r="AU19" s="14">
        <f>IF(Time!AU$4&gt;Inputs!$F$335,(1+Inputs!$F$334/100)^(-Returns!AU15),(1+Inputs!$F$332/100)^(-Returns!AU15))*Returns!AU16</f>
        <v/>
      </c>
    </row>
    <row r="20">
      <c r="D20" t="inlineStr">
        <is>
          <t>DF storage_merchant (v2)</t>
        </is>
      </c>
      <c r="E20" t="inlineStr">
        <is>
          <t>factor</t>
        </is>
      </c>
      <c r="J20" s="14">
        <f>IF(Time!J$4&gt;Inputs!$F$335,(1+Inputs!$F$334/100)^(-Returns!J15),(1+Inputs!$F$333/100)^(-Returns!J15))*Returns!J16</f>
        <v/>
      </c>
      <c r="K20" s="14">
        <f>IF(Time!K$4&gt;Inputs!$F$335,(1+Inputs!$F$334/100)^(-Returns!K15),(1+Inputs!$F$333/100)^(-Returns!K15))*Returns!K16</f>
        <v/>
      </c>
      <c r="L20" s="14">
        <f>IF(Time!L$4&gt;Inputs!$F$335,(1+Inputs!$F$334/100)^(-Returns!L15),(1+Inputs!$F$333/100)^(-Returns!L15))*Returns!L16</f>
        <v/>
      </c>
      <c r="M20" s="14">
        <f>IF(Time!M$4&gt;Inputs!$F$335,(1+Inputs!$F$334/100)^(-Returns!M15),(1+Inputs!$F$333/100)^(-Returns!M15))*Returns!M16</f>
        <v/>
      </c>
      <c r="N20" s="14">
        <f>IF(Time!N$4&gt;Inputs!$F$335,(1+Inputs!$F$334/100)^(-Returns!N15),(1+Inputs!$F$333/100)^(-Returns!N15))*Returns!N16</f>
        <v/>
      </c>
      <c r="O20" s="14">
        <f>IF(Time!O$4&gt;Inputs!$F$335,(1+Inputs!$F$334/100)^(-Returns!O15),(1+Inputs!$F$333/100)^(-Returns!O15))*Returns!O16</f>
        <v/>
      </c>
      <c r="P20" s="14">
        <f>IF(Time!P$4&gt;Inputs!$F$335,(1+Inputs!$F$334/100)^(-Returns!P15),(1+Inputs!$F$333/100)^(-Returns!P15))*Returns!P16</f>
        <v/>
      </c>
      <c r="Q20" s="14">
        <f>IF(Time!Q$4&gt;Inputs!$F$335,(1+Inputs!$F$334/100)^(-Returns!Q15),(1+Inputs!$F$333/100)^(-Returns!Q15))*Returns!Q16</f>
        <v/>
      </c>
      <c r="R20" s="14">
        <f>IF(Time!R$4&gt;Inputs!$F$335,(1+Inputs!$F$334/100)^(-Returns!R15),(1+Inputs!$F$333/100)^(-Returns!R15))*Returns!R16</f>
        <v/>
      </c>
      <c r="S20" s="14">
        <f>IF(Time!S$4&gt;Inputs!$F$335,(1+Inputs!$F$334/100)^(-Returns!S15),(1+Inputs!$F$333/100)^(-Returns!S15))*Returns!S16</f>
        <v/>
      </c>
      <c r="T20" s="14">
        <f>IF(Time!T$4&gt;Inputs!$F$335,(1+Inputs!$F$334/100)^(-Returns!T15),(1+Inputs!$F$333/100)^(-Returns!T15))*Returns!T16</f>
        <v/>
      </c>
      <c r="U20" s="14">
        <f>IF(Time!U$4&gt;Inputs!$F$335,(1+Inputs!$F$334/100)^(-Returns!U15),(1+Inputs!$F$333/100)^(-Returns!U15))*Returns!U16</f>
        <v/>
      </c>
      <c r="V20" s="14">
        <f>IF(Time!V$4&gt;Inputs!$F$335,(1+Inputs!$F$334/100)^(-Returns!V15),(1+Inputs!$F$333/100)^(-Returns!V15))*Returns!V16</f>
        <v/>
      </c>
      <c r="W20" s="14">
        <f>IF(Time!W$4&gt;Inputs!$F$335,(1+Inputs!$F$334/100)^(-Returns!W15),(1+Inputs!$F$333/100)^(-Returns!W15))*Returns!W16</f>
        <v/>
      </c>
      <c r="X20" s="14">
        <f>IF(Time!X$4&gt;Inputs!$F$335,(1+Inputs!$F$334/100)^(-Returns!X15),(1+Inputs!$F$333/100)^(-Returns!X15))*Returns!X16</f>
        <v/>
      </c>
      <c r="Y20" s="14">
        <f>IF(Time!Y$4&gt;Inputs!$F$335,(1+Inputs!$F$334/100)^(-Returns!Y15),(1+Inputs!$F$333/100)^(-Returns!Y15))*Returns!Y16</f>
        <v/>
      </c>
      <c r="Z20" s="14">
        <f>IF(Time!Z$4&gt;Inputs!$F$335,(1+Inputs!$F$334/100)^(-Returns!Z15),(1+Inputs!$F$333/100)^(-Returns!Z15))*Returns!Z16</f>
        <v/>
      </c>
      <c r="AA20" s="14">
        <f>IF(Time!AA$4&gt;Inputs!$F$335,(1+Inputs!$F$334/100)^(-Returns!AA15),(1+Inputs!$F$333/100)^(-Returns!AA15))*Returns!AA16</f>
        <v/>
      </c>
      <c r="AB20" s="14">
        <f>IF(Time!AB$4&gt;Inputs!$F$335,(1+Inputs!$F$334/100)^(-Returns!AB15),(1+Inputs!$F$333/100)^(-Returns!AB15))*Returns!AB16</f>
        <v/>
      </c>
      <c r="AC20" s="14">
        <f>IF(Time!AC$4&gt;Inputs!$F$335,(1+Inputs!$F$334/100)^(-Returns!AC15),(1+Inputs!$F$333/100)^(-Returns!AC15))*Returns!AC16</f>
        <v/>
      </c>
      <c r="AD20" s="14">
        <f>IF(Time!AD$4&gt;Inputs!$F$335,(1+Inputs!$F$334/100)^(-Returns!AD15),(1+Inputs!$F$333/100)^(-Returns!AD15))*Returns!AD16</f>
        <v/>
      </c>
      <c r="AE20" s="14">
        <f>IF(Time!AE$4&gt;Inputs!$F$335,(1+Inputs!$F$334/100)^(-Returns!AE15),(1+Inputs!$F$333/100)^(-Returns!AE15))*Returns!AE16</f>
        <v/>
      </c>
      <c r="AF20" s="14">
        <f>IF(Time!AF$4&gt;Inputs!$F$335,(1+Inputs!$F$334/100)^(-Returns!AF15),(1+Inputs!$F$333/100)^(-Returns!AF15))*Returns!AF16</f>
        <v/>
      </c>
      <c r="AG20" s="14">
        <f>IF(Time!AG$4&gt;Inputs!$F$335,(1+Inputs!$F$334/100)^(-Returns!AG15),(1+Inputs!$F$333/100)^(-Returns!AG15))*Returns!AG16</f>
        <v/>
      </c>
      <c r="AH20" s="14">
        <f>IF(Time!AH$4&gt;Inputs!$F$335,(1+Inputs!$F$334/100)^(-Returns!AH15),(1+Inputs!$F$333/100)^(-Returns!AH15))*Returns!AH16</f>
        <v/>
      </c>
      <c r="AI20" s="14">
        <f>IF(Time!AI$4&gt;Inputs!$F$335,(1+Inputs!$F$334/100)^(-Returns!AI15),(1+Inputs!$F$333/100)^(-Returns!AI15))*Returns!AI16</f>
        <v/>
      </c>
      <c r="AJ20" s="14">
        <f>IF(Time!AJ$4&gt;Inputs!$F$335,(1+Inputs!$F$334/100)^(-Returns!AJ15),(1+Inputs!$F$333/100)^(-Returns!AJ15))*Returns!AJ16</f>
        <v/>
      </c>
      <c r="AK20" s="14">
        <f>IF(Time!AK$4&gt;Inputs!$F$335,(1+Inputs!$F$334/100)^(-Returns!AK15),(1+Inputs!$F$333/100)^(-Returns!AK15))*Returns!AK16</f>
        <v/>
      </c>
      <c r="AL20" s="14">
        <f>IF(Time!AL$4&gt;Inputs!$F$335,(1+Inputs!$F$334/100)^(-Returns!AL15),(1+Inputs!$F$333/100)^(-Returns!AL15))*Returns!AL16</f>
        <v/>
      </c>
      <c r="AM20" s="14">
        <f>IF(Time!AM$4&gt;Inputs!$F$335,(1+Inputs!$F$334/100)^(-Returns!AM15),(1+Inputs!$F$333/100)^(-Returns!AM15))*Returns!AM16</f>
        <v/>
      </c>
      <c r="AN20" s="14">
        <f>IF(Time!AN$4&gt;Inputs!$F$335,(1+Inputs!$F$334/100)^(-Returns!AN15),(1+Inputs!$F$333/100)^(-Returns!AN15))*Returns!AN16</f>
        <v/>
      </c>
      <c r="AO20" s="14">
        <f>IF(Time!AO$4&gt;Inputs!$F$335,(1+Inputs!$F$334/100)^(-Returns!AO15),(1+Inputs!$F$333/100)^(-Returns!AO15))*Returns!AO16</f>
        <v/>
      </c>
      <c r="AP20" s="14">
        <f>IF(Time!AP$4&gt;Inputs!$F$335,(1+Inputs!$F$334/100)^(-Returns!AP15),(1+Inputs!$F$333/100)^(-Returns!AP15))*Returns!AP16</f>
        <v/>
      </c>
      <c r="AQ20" s="14">
        <f>IF(Time!AQ$4&gt;Inputs!$F$335,(1+Inputs!$F$334/100)^(-Returns!AQ15),(1+Inputs!$F$333/100)^(-Returns!AQ15))*Returns!AQ16</f>
        <v/>
      </c>
      <c r="AR20" s="14">
        <f>IF(Time!AR$4&gt;Inputs!$F$335,(1+Inputs!$F$334/100)^(-Returns!AR15),(1+Inputs!$F$333/100)^(-Returns!AR15))*Returns!AR16</f>
        <v/>
      </c>
      <c r="AS20" s="14">
        <f>IF(Time!AS$4&gt;Inputs!$F$335,(1+Inputs!$F$334/100)^(-Returns!AS15),(1+Inputs!$F$333/100)^(-Returns!AS15))*Returns!AS16</f>
        <v/>
      </c>
      <c r="AT20" s="14">
        <f>IF(Time!AT$4&gt;Inputs!$F$335,(1+Inputs!$F$334/100)^(-Returns!AT15),(1+Inputs!$F$333/100)^(-Returns!AT15))*Returns!AT16</f>
        <v/>
      </c>
      <c r="AU20" s="14">
        <f>IF(Time!AU$4&gt;Inputs!$F$335,(1+Inputs!$F$334/100)^(-Returns!AU15),(1+Inputs!$F$333/100)^(-Returns!AU15))*Returns!AU16</f>
        <v/>
      </c>
    </row>
    <row r="21">
      <c r="D21" t="inlineStr">
        <is>
          <t>DF tax shield at contracted rate (v2)</t>
        </is>
      </c>
      <c r="E21" t="inlineStr">
        <is>
          <t>factor</t>
        </is>
      </c>
      <c r="J21" s="14">
        <f>(1+Inputs!$F$330/100)^(-Returns!J15)*Returns!J16</f>
        <v/>
      </c>
      <c r="K21" s="14">
        <f>(1+Inputs!$F$330/100)^(-Returns!K15)*Returns!K16</f>
        <v/>
      </c>
      <c r="L21" s="14">
        <f>(1+Inputs!$F$330/100)^(-Returns!L15)*Returns!L16</f>
        <v/>
      </c>
      <c r="M21" s="14">
        <f>(1+Inputs!$F$330/100)^(-Returns!M15)*Returns!M16</f>
        <v/>
      </c>
      <c r="N21" s="14">
        <f>(1+Inputs!$F$330/100)^(-Returns!N15)*Returns!N16</f>
        <v/>
      </c>
      <c r="O21" s="14">
        <f>(1+Inputs!$F$330/100)^(-Returns!O15)*Returns!O16</f>
        <v/>
      </c>
      <c r="P21" s="14">
        <f>(1+Inputs!$F$330/100)^(-Returns!P15)*Returns!P16</f>
        <v/>
      </c>
      <c r="Q21" s="14">
        <f>(1+Inputs!$F$330/100)^(-Returns!Q15)*Returns!Q16</f>
        <v/>
      </c>
      <c r="R21" s="14">
        <f>(1+Inputs!$F$330/100)^(-Returns!R15)*Returns!R16</f>
        <v/>
      </c>
      <c r="S21" s="14">
        <f>(1+Inputs!$F$330/100)^(-Returns!S15)*Returns!S16</f>
        <v/>
      </c>
      <c r="T21" s="14">
        <f>(1+Inputs!$F$330/100)^(-Returns!T15)*Returns!T16</f>
        <v/>
      </c>
      <c r="U21" s="14">
        <f>(1+Inputs!$F$330/100)^(-Returns!U15)*Returns!U16</f>
        <v/>
      </c>
      <c r="V21" s="14">
        <f>(1+Inputs!$F$330/100)^(-Returns!V15)*Returns!V16</f>
        <v/>
      </c>
      <c r="W21" s="14">
        <f>(1+Inputs!$F$330/100)^(-Returns!W15)*Returns!W16</f>
        <v/>
      </c>
      <c r="X21" s="14">
        <f>(1+Inputs!$F$330/100)^(-Returns!X15)*Returns!X16</f>
        <v/>
      </c>
      <c r="Y21" s="14">
        <f>(1+Inputs!$F$330/100)^(-Returns!Y15)*Returns!Y16</f>
        <v/>
      </c>
      <c r="Z21" s="14">
        <f>(1+Inputs!$F$330/100)^(-Returns!Z15)*Returns!Z16</f>
        <v/>
      </c>
      <c r="AA21" s="14">
        <f>(1+Inputs!$F$330/100)^(-Returns!AA15)*Returns!AA16</f>
        <v/>
      </c>
      <c r="AB21" s="14">
        <f>(1+Inputs!$F$330/100)^(-Returns!AB15)*Returns!AB16</f>
        <v/>
      </c>
      <c r="AC21" s="14">
        <f>(1+Inputs!$F$330/100)^(-Returns!AC15)*Returns!AC16</f>
        <v/>
      </c>
      <c r="AD21" s="14">
        <f>(1+Inputs!$F$330/100)^(-Returns!AD15)*Returns!AD16</f>
        <v/>
      </c>
      <c r="AE21" s="14">
        <f>(1+Inputs!$F$330/100)^(-Returns!AE15)*Returns!AE16</f>
        <v/>
      </c>
      <c r="AF21" s="14">
        <f>(1+Inputs!$F$330/100)^(-Returns!AF15)*Returns!AF16</f>
        <v/>
      </c>
      <c r="AG21" s="14">
        <f>(1+Inputs!$F$330/100)^(-Returns!AG15)*Returns!AG16</f>
        <v/>
      </c>
      <c r="AH21" s="14">
        <f>(1+Inputs!$F$330/100)^(-Returns!AH15)*Returns!AH16</f>
        <v/>
      </c>
      <c r="AI21" s="14">
        <f>(1+Inputs!$F$330/100)^(-Returns!AI15)*Returns!AI16</f>
        <v/>
      </c>
      <c r="AJ21" s="14">
        <f>(1+Inputs!$F$330/100)^(-Returns!AJ15)*Returns!AJ16</f>
        <v/>
      </c>
      <c r="AK21" s="14">
        <f>(1+Inputs!$F$330/100)^(-Returns!AK15)*Returns!AK16</f>
        <v/>
      </c>
      <c r="AL21" s="14">
        <f>(1+Inputs!$F$330/100)^(-Returns!AL15)*Returns!AL16</f>
        <v/>
      </c>
      <c r="AM21" s="14">
        <f>(1+Inputs!$F$330/100)^(-Returns!AM15)*Returns!AM16</f>
        <v/>
      </c>
      <c r="AN21" s="14">
        <f>(1+Inputs!$F$330/100)^(-Returns!AN15)*Returns!AN16</f>
        <v/>
      </c>
      <c r="AO21" s="14">
        <f>(1+Inputs!$F$330/100)^(-Returns!AO15)*Returns!AO16</f>
        <v/>
      </c>
      <c r="AP21" s="14">
        <f>(1+Inputs!$F$330/100)^(-Returns!AP15)*Returns!AP16</f>
        <v/>
      </c>
      <c r="AQ21" s="14">
        <f>(1+Inputs!$F$330/100)^(-Returns!AQ15)*Returns!AQ16</f>
        <v/>
      </c>
      <c r="AR21" s="14">
        <f>(1+Inputs!$F$330/100)^(-Returns!AR15)*Returns!AR16</f>
        <v/>
      </c>
      <c r="AS21" s="14">
        <f>(1+Inputs!$F$330/100)^(-Returns!AS15)*Returns!AS16</f>
        <v/>
      </c>
      <c r="AT21" s="14">
        <f>(1+Inputs!$F$330/100)^(-Returns!AT15)*Returns!AT16</f>
        <v/>
      </c>
      <c r="AU21" s="14">
        <f>(1+Inputs!$F$330/100)^(-Returns!AU15)*Returns!AU16</f>
        <v/>
      </c>
    </row>
    <row r="22">
      <c r="D22" t="inlineStr">
        <is>
          <t>Years from valuation date (a3_date)</t>
        </is>
      </c>
      <c r="E22" t="inlineStr">
        <is>
          <t>years</t>
        </is>
      </c>
      <c r="J22" s="14">
        <f>MAX(0,(Time!J$6-Inputs!$F$262)/Inputs!$F$27)</f>
        <v/>
      </c>
      <c r="K22" s="14">
        <f>MAX(0,(Time!K$6-Inputs!$F$262)/Inputs!$F$27)</f>
        <v/>
      </c>
      <c r="L22" s="14">
        <f>MAX(0,(Time!L$6-Inputs!$F$262)/Inputs!$F$27)</f>
        <v/>
      </c>
      <c r="M22" s="14">
        <f>MAX(0,(Time!M$6-Inputs!$F$262)/Inputs!$F$27)</f>
        <v/>
      </c>
      <c r="N22" s="14">
        <f>MAX(0,(Time!N$6-Inputs!$F$262)/Inputs!$F$27)</f>
        <v/>
      </c>
      <c r="O22" s="14">
        <f>MAX(0,(Time!O$6-Inputs!$F$262)/Inputs!$F$27)</f>
        <v/>
      </c>
      <c r="P22" s="14">
        <f>MAX(0,(Time!P$6-Inputs!$F$262)/Inputs!$F$27)</f>
        <v/>
      </c>
      <c r="Q22" s="14">
        <f>MAX(0,(Time!Q$6-Inputs!$F$262)/Inputs!$F$27)</f>
        <v/>
      </c>
      <c r="R22" s="14">
        <f>MAX(0,(Time!R$6-Inputs!$F$262)/Inputs!$F$27)</f>
        <v/>
      </c>
      <c r="S22" s="14">
        <f>MAX(0,(Time!S$6-Inputs!$F$262)/Inputs!$F$27)</f>
        <v/>
      </c>
      <c r="T22" s="14">
        <f>MAX(0,(Time!T$6-Inputs!$F$262)/Inputs!$F$27)</f>
        <v/>
      </c>
      <c r="U22" s="14">
        <f>MAX(0,(Time!U$6-Inputs!$F$262)/Inputs!$F$27)</f>
        <v/>
      </c>
      <c r="V22" s="14">
        <f>MAX(0,(Time!V$6-Inputs!$F$262)/Inputs!$F$27)</f>
        <v/>
      </c>
      <c r="W22" s="14">
        <f>MAX(0,(Time!W$6-Inputs!$F$262)/Inputs!$F$27)</f>
        <v/>
      </c>
      <c r="X22" s="14">
        <f>MAX(0,(Time!X$6-Inputs!$F$262)/Inputs!$F$27)</f>
        <v/>
      </c>
      <c r="Y22" s="14">
        <f>MAX(0,(Time!Y$6-Inputs!$F$262)/Inputs!$F$27)</f>
        <v/>
      </c>
      <c r="Z22" s="14">
        <f>MAX(0,(Time!Z$6-Inputs!$F$262)/Inputs!$F$27)</f>
        <v/>
      </c>
      <c r="AA22" s="14">
        <f>MAX(0,(Time!AA$6-Inputs!$F$262)/Inputs!$F$27)</f>
        <v/>
      </c>
      <c r="AB22" s="14">
        <f>MAX(0,(Time!AB$6-Inputs!$F$262)/Inputs!$F$27)</f>
        <v/>
      </c>
      <c r="AC22" s="14">
        <f>MAX(0,(Time!AC$6-Inputs!$F$262)/Inputs!$F$27)</f>
        <v/>
      </c>
      <c r="AD22" s="14">
        <f>MAX(0,(Time!AD$6-Inputs!$F$262)/Inputs!$F$27)</f>
        <v/>
      </c>
      <c r="AE22" s="14">
        <f>MAX(0,(Time!AE$6-Inputs!$F$262)/Inputs!$F$27)</f>
        <v/>
      </c>
      <c r="AF22" s="14">
        <f>MAX(0,(Time!AF$6-Inputs!$F$262)/Inputs!$F$27)</f>
        <v/>
      </c>
      <c r="AG22" s="14">
        <f>MAX(0,(Time!AG$6-Inputs!$F$262)/Inputs!$F$27)</f>
        <v/>
      </c>
      <c r="AH22" s="14">
        <f>MAX(0,(Time!AH$6-Inputs!$F$262)/Inputs!$F$27)</f>
        <v/>
      </c>
      <c r="AI22" s="14">
        <f>MAX(0,(Time!AI$6-Inputs!$F$262)/Inputs!$F$27)</f>
        <v/>
      </c>
      <c r="AJ22" s="14">
        <f>MAX(0,(Time!AJ$6-Inputs!$F$262)/Inputs!$F$27)</f>
        <v/>
      </c>
      <c r="AK22" s="14">
        <f>MAX(0,(Time!AK$6-Inputs!$F$262)/Inputs!$F$27)</f>
        <v/>
      </c>
      <c r="AL22" s="14">
        <f>MAX(0,(Time!AL$6-Inputs!$F$262)/Inputs!$F$27)</f>
        <v/>
      </c>
      <c r="AM22" s="14">
        <f>MAX(0,(Time!AM$6-Inputs!$F$262)/Inputs!$F$27)</f>
        <v/>
      </c>
      <c r="AN22" s="14">
        <f>MAX(0,(Time!AN$6-Inputs!$F$262)/Inputs!$F$27)</f>
        <v/>
      </c>
      <c r="AO22" s="14">
        <f>MAX(0,(Time!AO$6-Inputs!$F$262)/Inputs!$F$27)</f>
        <v/>
      </c>
      <c r="AP22" s="14">
        <f>MAX(0,(Time!AP$6-Inputs!$F$262)/Inputs!$F$27)</f>
        <v/>
      </c>
      <c r="AQ22" s="14">
        <f>MAX(0,(Time!AQ$6-Inputs!$F$262)/Inputs!$F$27)</f>
        <v/>
      </c>
      <c r="AR22" s="14">
        <f>MAX(0,(Time!AR$6-Inputs!$F$262)/Inputs!$F$27)</f>
        <v/>
      </c>
      <c r="AS22" s="14">
        <f>MAX(0,(Time!AS$6-Inputs!$F$262)/Inputs!$F$27)</f>
        <v/>
      </c>
      <c r="AT22" s="14">
        <f>MAX(0,(Time!AT$6-Inputs!$F$262)/Inputs!$F$27)</f>
        <v/>
      </c>
      <c r="AU22" s="14">
        <f>MAX(0,(Time!AU$6-Inputs!$F$262)/Inputs!$F$27)</f>
        <v/>
      </c>
    </row>
    <row r="23">
      <c r="D23" t="inlineStr">
        <is>
          <t>Cash flow on or after valuation date</t>
        </is>
      </c>
      <c r="E23" t="inlineStr">
        <is>
          <t>flag</t>
        </is>
      </c>
      <c r="J23" s="12">
        <f>--(Time!J$6&gt;=Inputs!$F$262)</f>
        <v/>
      </c>
      <c r="K23" s="12">
        <f>--(Time!K$6&gt;=Inputs!$F$262)</f>
        <v/>
      </c>
      <c r="L23" s="12">
        <f>--(Time!L$6&gt;=Inputs!$F$262)</f>
        <v/>
      </c>
      <c r="M23" s="12">
        <f>--(Time!M$6&gt;=Inputs!$F$262)</f>
        <v/>
      </c>
      <c r="N23" s="12">
        <f>--(Time!N$6&gt;=Inputs!$F$262)</f>
        <v/>
      </c>
      <c r="O23" s="12">
        <f>--(Time!O$6&gt;=Inputs!$F$262)</f>
        <v/>
      </c>
      <c r="P23" s="12">
        <f>--(Time!P$6&gt;=Inputs!$F$262)</f>
        <v/>
      </c>
      <c r="Q23" s="12">
        <f>--(Time!Q$6&gt;=Inputs!$F$262)</f>
        <v/>
      </c>
      <c r="R23" s="12">
        <f>--(Time!R$6&gt;=Inputs!$F$262)</f>
        <v/>
      </c>
      <c r="S23" s="12">
        <f>--(Time!S$6&gt;=Inputs!$F$262)</f>
        <v/>
      </c>
      <c r="T23" s="12">
        <f>--(Time!T$6&gt;=Inputs!$F$262)</f>
        <v/>
      </c>
      <c r="U23" s="12">
        <f>--(Time!U$6&gt;=Inputs!$F$262)</f>
        <v/>
      </c>
      <c r="V23" s="12">
        <f>--(Time!V$6&gt;=Inputs!$F$262)</f>
        <v/>
      </c>
      <c r="W23" s="12">
        <f>--(Time!W$6&gt;=Inputs!$F$262)</f>
        <v/>
      </c>
      <c r="X23" s="12">
        <f>--(Time!X$6&gt;=Inputs!$F$262)</f>
        <v/>
      </c>
      <c r="Y23" s="12">
        <f>--(Time!Y$6&gt;=Inputs!$F$262)</f>
        <v/>
      </c>
      <c r="Z23" s="12">
        <f>--(Time!Z$6&gt;=Inputs!$F$262)</f>
        <v/>
      </c>
      <c r="AA23" s="12">
        <f>--(Time!AA$6&gt;=Inputs!$F$262)</f>
        <v/>
      </c>
      <c r="AB23" s="12">
        <f>--(Time!AB$6&gt;=Inputs!$F$262)</f>
        <v/>
      </c>
      <c r="AC23" s="12">
        <f>--(Time!AC$6&gt;=Inputs!$F$262)</f>
        <v/>
      </c>
      <c r="AD23" s="12">
        <f>--(Time!AD$6&gt;=Inputs!$F$262)</f>
        <v/>
      </c>
      <c r="AE23" s="12">
        <f>--(Time!AE$6&gt;=Inputs!$F$262)</f>
        <v/>
      </c>
      <c r="AF23" s="12">
        <f>--(Time!AF$6&gt;=Inputs!$F$262)</f>
        <v/>
      </c>
      <c r="AG23" s="12">
        <f>--(Time!AG$6&gt;=Inputs!$F$262)</f>
        <v/>
      </c>
      <c r="AH23" s="12">
        <f>--(Time!AH$6&gt;=Inputs!$F$262)</f>
        <v/>
      </c>
      <c r="AI23" s="12">
        <f>--(Time!AI$6&gt;=Inputs!$F$262)</f>
        <v/>
      </c>
      <c r="AJ23" s="12">
        <f>--(Time!AJ$6&gt;=Inputs!$F$262)</f>
        <v/>
      </c>
      <c r="AK23" s="12">
        <f>--(Time!AK$6&gt;=Inputs!$F$262)</f>
        <v/>
      </c>
      <c r="AL23" s="12">
        <f>--(Time!AL$6&gt;=Inputs!$F$262)</f>
        <v/>
      </c>
      <c r="AM23" s="12">
        <f>--(Time!AM$6&gt;=Inputs!$F$262)</f>
        <v/>
      </c>
      <c r="AN23" s="12">
        <f>--(Time!AN$6&gt;=Inputs!$F$262)</f>
        <v/>
      </c>
      <c r="AO23" s="12">
        <f>--(Time!AO$6&gt;=Inputs!$F$262)</f>
        <v/>
      </c>
      <c r="AP23" s="12">
        <f>--(Time!AP$6&gt;=Inputs!$F$262)</f>
        <v/>
      </c>
      <c r="AQ23" s="12">
        <f>--(Time!AQ$6&gt;=Inputs!$F$262)</f>
        <v/>
      </c>
      <c r="AR23" s="12">
        <f>--(Time!AR$6&gt;=Inputs!$F$262)</f>
        <v/>
      </c>
      <c r="AS23" s="12">
        <f>--(Time!AS$6&gt;=Inputs!$F$262)</f>
        <v/>
      </c>
      <c r="AT23" s="12">
        <f>--(Time!AT$6&gt;=Inputs!$F$262)</f>
        <v/>
      </c>
      <c r="AU23" s="12">
        <f>--(Time!AU$6&gt;=Inputs!$F$262)</f>
        <v/>
      </c>
    </row>
    <row r="24">
      <c r="D24" t="inlineStr">
        <is>
          <t>DF contracted (v3)</t>
        </is>
      </c>
      <c r="E24" t="inlineStr">
        <is>
          <t>factor</t>
        </is>
      </c>
      <c r="J24" s="14">
        <f>IF(Time!J$4&gt;Inputs!$F$335,(1+Inputs!$F$334/100)^(-Returns!J22),(1+Inputs!$F$330/100)^(-Returns!J22))*Returns!J23</f>
        <v/>
      </c>
      <c r="K24" s="14">
        <f>IF(Time!K$4&gt;Inputs!$F$335,(1+Inputs!$F$334/100)^(-Returns!K22),(1+Inputs!$F$330/100)^(-Returns!K22))*Returns!K23</f>
        <v/>
      </c>
      <c r="L24" s="14">
        <f>IF(Time!L$4&gt;Inputs!$F$335,(1+Inputs!$F$334/100)^(-Returns!L22),(1+Inputs!$F$330/100)^(-Returns!L22))*Returns!L23</f>
        <v/>
      </c>
      <c r="M24" s="14">
        <f>IF(Time!M$4&gt;Inputs!$F$335,(1+Inputs!$F$334/100)^(-Returns!M22),(1+Inputs!$F$330/100)^(-Returns!M22))*Returns!M23</f>
        <v/>
      </c>
      <c r="N24" s="14">
        <f>IF(Time!N$4&gt;Inputs!$F$335,(1+Inputs!$F$334/100)^(-Returns!N22),(1+Inputs!$F$330/100)^(-Returns!N22))*Returns!N23</f>
        <v/>
      </c>
      <c r="O24" s="14">
        <f>IF(Time!O$4&gt;Inputs!$F$335,(1+Inputs!$F$334/100)^(-Returns!O22),(1+Inputs!$F$330/100)^(-Returns!O22))*Returns!O23</f>
        <v/>
      </c>
      <c r="P24" s="14">
        <f>IF(Time!P$4&gt;Inputs!$F$335,(1+Inputs!$F$334/100)^(-Returns!P22),(1+Inputs!$F$330/100)^(-Returns!P22))*Returns!P23</f>
        <v/>
      </c>
      <c r="Q24" s="14">
        <f>IF(Time!Q$4&gt;Inputs!$F$335,(1+Inputs!$F$334/100)^(-Returns!Q22),(1+Inputs!$F$330/100)^(-Returns!Q22))*Returns!Q23</f>
        <v/>
      </c>
      <c r="R24" s="14">
        <f>IF(Time!R$4&gt;Inputs!$F$335,(1+Inputs!$F$334/100)^(-Returns!R22),(1+Inputs!$F$330/100)^(-Returns!R22))*Returns!R23</f>
        <v/>
      </c>
      <c r="S24" s="14">
        <f>IF(Time!S$4&gt;Inputs!$F$335,(1+Inputs!$F$334/100)^(-Returns!S22),(1+Inputs!$F$330/100)^(-Returns!S22))*Returns!S23</f>
        <v/>
      </c>
      <c r="T24" s="14">
        <f>IF(Time!T$4&gt;Inputs!$F$335,(1+Inputs!$F$334/100)^(-Returns!T22),(1+Inputs!$F$330/100)^(-Returns!T22))*Returns!T23</f>
        <v/>
      </c>
      <c r="U24" s="14">
        <f>IF(Time!U$4&gt;Inputs!$F$335,(1+Inputs!$F$334/100)^(-Returns!U22),(1+Inputs!$F$330/100)^(-Returns!U22))*Returns!U23</f>
        <v/>
      </c>
      <c r="V24" s="14">
        <f>IF(Time!V$4&gt;Inputs!$F$335,(1+Inputs!$F$334/100)^(-Returns!V22),(1+Inputs!$F$330/100)^(-Returns!V22))*Returns!V23</f>
        <v/>
      </c>
      <c r="W24" s="14">
        <f>IF(Time!W$4&gt;Inputs!$F$335,(1+Inputs!$F$334/100)^(-Returns!W22),(1+Inputs!$F$330/100)^(-Returns!W22))*Returns!W23</f>
        <v/>
      </c>
      <c r="X24" s="14">
        <f>IF(Time!X$4&gt;Inputs!$F$335,(1+Inputs!$F$334/100)^(-Returns!X22),(1+Inputs!$F$330/100)^(-Returns!X22))*Returns!X23</f>
        <v/>
      </c>
      <c r="Y24" s="14">
        <f>IF(Time!Y$4&gt;Inputs!$F$335,(1+Inputs!$F$334/100)^(-Returns!Y22),(1+Inputs!$F$330/100)^(-Returns!Y22))*Returns!Y23</f>
        <v/>
      </c>
      <c r="Z24" s="14">
        <f>IF(Time!Z$4&gt;Inputs!$F$335,(1+Inputs!$F$334/100)^(-Returns!Z22),(1+Inputs!$F$330/100)^(-Returns!Z22))*Returns!Z23</f>
        <v/>
      </c>
      <c r="AA24" s="14">
        <f>IF(Time!AA$4&gt;Inputs!$F$335,(1+Inputs!$F$334/100)^(-Returns!AA22),(1+Inputs!$F$330/100)^(-Returns!AA22))*Returns!AA23</f>
        <v/>
      </c>
      <c r="AB24" s="14">
        <f>IF(Time!AB$4&gt;Inputs!$F$335,(1+Inputs!$F$334/100)^(-Returns!AB22),(1+Inputs!$F$330/100)^(-Returns!AB22))*Returns!AB23</f>
        <v/>
      </c>
      <c r="AC24" s="14">
        <f>IF(Time!AC$4&gt;Inputs!$F$335,(1+Inputs!$F$334/100)^(-Returns!AC22),(1+Inputs!$F$330/100)^(-Returns!AC22))*Returns!AC23</f>
        <v/>
      </c>
      <c r="AD24" s="14">
        <f>IF(Time!AD$4&gt;Inputs!$F$335,(1+Inputs!$F$334/100)^(-Returns!AD22),(1+Inputs!$F$330/100)^(-Returns!AD22))*Returns!AD23</f>
        <v/>
      </c>
      <c r="AE24" s="14">
        <f>IF(Time!AE$4&gt;Inputs!$F$335,(1+Inputs!$F$334/100)^(-Returns!AE22),(1+Inputs!$F$330/100)^(-Returns!AE22))*Returns!AE23</f>
        <v/>
      </c>
      <c r="AF24" s="14">
        <f>IF(Time!AF$4&gt;Inputs!$F$335,(1+Inputs!$F$334/100)^(-Returns!AF22),(1+Inputs!$F$330/100)^(-Returns!AF22))*Returns!AF23</f>
        <v/>
      </c>
      <c r="AG24" s="14">
        <f>IF(Time!AG$4&gt;Inputs!$F$335,(1+Inputs!$F$334/100)^(-Returns!AG22),(1+Inputs!$F$330/100)^(-Returns!AG22))*Returns!AG23</f>
        <v/>
      </c>
      <c r="AH24" s="14">
        <f>IF(Time!AH$4&gt;Inputs!$F$335,(1+Inputs!$F$334/100)^(-Returns!AH22),(1+Inputs!$F$330/100)^(-Returns!AH22))*Returns!AH23</f>
        <v/>
      </c>
      <c r="AI24" s="14">
        <f>IF(Time!AI$4&gt;Inputs!$F$335,(1+Inputs!$F$334/100)^(-Returns!AI22),(1+Inputs!$F$330/100)^(-Returns!AI22))*Returns!AI23</f>
        <v/>
      </c>
      <c r="AJ24" s="14">
        <f>IF(Time!AJ$4&gt;Inputs!$F$335,(1+Inputs!$F$334/100)^(-Returns!AJ22),(1+Inputs!$F$330/100)^(-Returns!AJ22))*Returns!AJ23</f>
        <v/>
      </c>
      <c r="AK24" s="14">
        <f>IF(Time!AK$4&gt;Inputs!$F$335,(1+Inputs!$F$334/100)^(-Returns!AK22),(1+Inputs!$F$330/100)^(-Returns!AK22))*Returns!AK23</f>
        <v/>
      </c>
      <c r="AL24" s="14">
        <f>IF(Time!AL$4&gt;Inputs!$F$335,(1+Inputs!$F$334/100)^(-Returns!AL22),(1+Inputs!$F$330/100)^(-Returns!AL22))*Returns!AL23</f>
        <v/>
      </c>
      <c r="AM24" s="14">
        <f>IF(Time!AM$4&gt;Inputs!$F$335,(1+Inputs!$F$334/100)^(-Returns!AM22),(1+Inputs!$F$330/100)^(-Returns!AM22))*Returns!AM23</f>
        <v/>
      </c>
      <c r="AN24" s="14">
        <f>IF(Time!AN$4&gt;Inputs!$F$335,(1+Inputs!$F$334/100)^(-Returns!AN22),(1+Inputs!$F$330/100)^(-Returns!AN22))*Returns!AN23</f>
        <v/>
      </c>
      <c r="AO24" s="14">
        <f>IF(Time!AO$4&gt;Inputs!$F$335,(1+Inputs!$F$334/100)^(-Returns!AO22),(1+Inputs!$F$330/100)^(-Returns!AO22))*Returns!AO23</f>
        <v/>
      </c>
      <c r="AP24" s="14">
        <f>IF(Time!AP$4&gt;Inputs!$F$335,(1+Inputs!$F$334/100)^(-Returns!AP22),(1+Inputs!$F$330/100)^(-Returns!AP22))*Returns!AP23</f>
        <v/>
      </c>
      <c r="AQ24" s="14">
        <f>IF(Time!AQ$4&gt;Inputs!$F$335,(1+Inputs!$F$334/100)^(-Returns!AQ22),(1+Inputs!$F$330/100)^(-Returns!AQ22))*Returns!AQ23</f>
        <v/>
      </c>
      <c r="AR24" s="14">
        <f>IF(Time!AR$4&gt;Inputs!$F$335,(1+Inputs!$F$334/100)^(-Returns!AR22),(1+Inputs!$F$330/100)^(-Returns!AR22))*Returns!AR23</f>
        <v/>
      </c>
      <c r="AS24" s="14">
        <f>IF(Time!AS$4&gt;Inputs!$F$335,(1+Inputs!$F$334/100)^(-Returns!AS22),(1+Inputs!$F$330/100)^(-Returns!AS22))*Returns!AS23</f>
        <v/>
      </c>
      <c r="AT24" s="14">
        <f>IF(Time!AT$4&gt;Inputs!$F$335,(1+Inputs!$F$334/100)^(-Returns!AT22),(1+Inputs!$F$330/100)^(-Returns!AT22))*Returns!AT23</f>
        <v/>
      </c>
      <c r="AU24" s="14">
        <f>IF(Time!AU$4&gt;Inputs!$F$335,(1+Inputs!$F$334/100)^(-Returns!AU22),(1+Inputs!$F$330/100)^(-Returns!AU22))*Returns!AU23</f>
        <v/>
      </c>
    </row>
    <row r="25">
      <c r="D25" t="inlineStr">
        <is>
          <t>DF hedged (v3)</t>
        </is>
      </c>
      <c r="E25" t="inlineStr">
        <is>
          <t>factor</t>
        </is>
      </c>
      <c r="J25" s="14">
        <f>IF(Time!J$4&gt;Inputs!$F$335,(1+Inputs!$F$334/100)^(-Returns!J22),(1+Inputs!$F$331/100)^(-Returns!J22))*Returns!J23</f>
        <v/>
      </c>
      <c r="K25" s="14">
        <f>IF(Time!K$4&gt;Inputs!$F$335,(1+Inputs!$F$334/100)^(-Returns!K22),(1+Inputs!$F$331/100)^(-Returns!K22))*Returns!K23</f>
        <v/>
      </c>
      <c r="L25" s="14">
        <f>IF(Time!L$4&gt;Inputs!$F$335,(1+Inputs!$F$334/100)^(-Returns!L22),(1+Inputs!$F$331/100)^(-Returns!L22))*Returns!L23</f>
        <v/>
      </c>
      <c r="M25" s="14">
        <f>IF(Time!M$4&gt;Inputs!$F$335,(1+Inputs!$F$334/100)^(-Returns!M22),(1+Inputs!$F$331/100)^(-Returns!M22))*Returns!M23</f>
        <v/>
      </c>
      <c r="N25" s="14">
        <f>IF(Time!N$4&gt;Inputs!$F$335,(1+Inputs!$F$334/100)^(-Returns!N22),(1+Inputs!$F$331/100)^(-Returns!N22))*Returns!N23</f>
        <v/>
      </c>
      <c r="O25" s="14">
        <f>IF(Time!O$4&gt;Inputs!$F$335,(1+Inputs!$F$334/100)^(-Returns!O22),(1+Inputs!$F$331/100)^(-Returns!O22))*Returns!O23</f>
        <v/>
      </c>
      <c r="P25" s="14">
        <f>IF(Time!P$4&gt;Inputs!$F$335,(1+Inputs!$F$334/100)^(-Returns!P22),(1+Inputs!$F$331/100)^(-Returns!P22))*Returns!P23</f>
        <v/>
      </c>
      <c r="Q25" s="14">
        <f>IF(Time!Q$4&gt;Inputs!$F$335,(1+Inputs!$F$334/100)^(-Returns!Q22),(1+Inputs!$F$331/100)^(-Returns!Q22))*Returns!Q23</f>
        <v/>
      </c>
      <c r="R25" s="14">
        <f>IF(Time!R$4&gt;Inputs!$F$335,(1+Inputs!$F$334/100)^(-Returns!R22),(1+Inputs!$F$331/100)^(-Returns!R22))*Returns!R23</f>
        <v/>
      </c>
      <c r="S25" s="14">
        <f>IF(Time!S$4&gt;Inputs!$F$335,(1+Inputs!$F$334/100)^(-Returns!S22),(1+Inputs!$F$331/100)^(-Returns!S22))*Returns!S23</f>
        <v/>
      </c>
      <c r="T25" s="14">
        <f>IF(Time!T$4&gt;Inputs!$F$335,(1+Inputs!$F$334/100)^(-Returns!T22),(1+Inputs!$F$331/100)^(-Returns!T22))*Returns!T23</f>
        <v/>
      </c>
      <c r="U25" s="14">
        <f>IF(Time!U$4&gt;Inputs!$F$335,(1+Inputs!$F$334/100)^(-Returns!U22),(1+Inputs!$F$331/100)^(-Returns!U22))*Returns!U23</f>
        <v/>
      </c>
      <c r="V25" s="14">
        <f>IF(Time!V$4&gt;Inputs!$F$335,(1+Inputs!$F$334/100)^(-Returns!V22),(1+Inputs!$F$331/100)^(-Returns!V22))*Returns!V23</f>
        <v/>
      </c>
      <c r="W25" s="14">
        <f>IF(Time!W$4&gt;Inputs!$F$335,(1+Inputs!$F$334/100)^(-Returns!W22),(1+Inputs!$F$331/100)^(-Returns!W22))*Returns!W23</f>
        <v/>
      </c>
      <c r="X25" s="14">
        <f>IF(Time!X$4&gt;Inputs!$F$335,(1+Inputs!$F$334/100)^(-Returns!X22),(1+Inputs!$F$331/100)^(-Returns!X22))*Returns!X23</f>
        <v/>
      </c>
      <c r="Y25" s="14">
        <f>IF(Time!Y$4&gt;Inputs!$F$335,(1+Inputs!$F$334/100)^(-Returns!Y22),(1+Inputs!$F$331/100)^(-Returns!Y22))*Returns!Y23</f>
        <v/>
      </c>
      <c r="Z25" s="14">
        <f>IF(Time!Z$4&gt;Inputs!$F$335,(1+Inputs!$F$334/100)^(-Returns!Z22),(1+Inputs!$F$331/100)^(-Returns!Z22))*Returns!Z23</f>
        <v/>
      </c>
      <c r="AA25" s="14">
        <f>IF(Time!AA$4&gt;Inputs!$F$335,(1+Inputs!$F$334/100)^(-Returns!AA22),(1+Inputs!$F$331/100)^(-Returns!AA22))*Returns!AA23</f>
        <v/>
      </c>
      <c r="AB25" s="14">
        <f>IF(Time!AB$4&gt;Inputs!$F$335,(1+Inputs!$F$334/100)^(-Returns!AB22),(1+Inputs!$F$331/100)^(-Returns!AB22))*Returns!AB23</f>
        <v/>
      </c>
      <c r="AC25" s="14">
        <f>IF(Time!AC$4&gt;Inputs!$F$335,(1+Inputs!$F$334/100)^(-Returns!AC22),(1+Inputs!$F$331/100)^(-Returns!AC22))*Returns!AC23</f>
        <v/>
      </c>
      <c r="AD25" s="14">
        <f>IF(Time!AD$4&gt;Inputs!$F$335,(1+Inputs!$F$334/100)^(-Returns!AD22),(1+Inputs!$F$331/100)^(-Returns!AD22))*Returns!AD23</f>
        <v/>
      </c>
      <c r="AE25" s="14">
        <f>IF(Time!AE$4&gt;Inputs!$F$335,(1+Inputs!$F$334/100)^(-Returns!AE22),(1+Inputs!$F$331/100)^(-Returns!AE22))*Returns!AE23</f>
        <v/>
      </c>
      <c r="AF25" s="14">
        <f>IF(Time!AF$4&gt;Inputs!$F$335,(1+Inputs!$F$334/100)^(-Returns!AF22),(1+Inputs!$F$331/100)^(-Returns!AF22))*Returns!AF23</f>
        <v/>
      </c>
      <c r="AG25" s="14">
        <f>IF(Time!AG$4&gt;Inputs!$F$335,(1+Inputs!$F$334/100)^(-Returns!AG22),(1+Inputs!$F$331/100)^(-Returns!AG22))*Returns!AG23</f>
        <v/>
      </c>
      <c r="AH25" s="14">
        <f>IF(Time!AH$4&gt;Inputs!$F$335,(1+Inputs!$F$334/100)^(-Returns!AH22),(1+Inputs!$F$331/100)^(-Returns!AH22))*Returns!AH23</f>
        <v/>
      </c>
      <c r="AI25" s="14">
        <f>IF(Time!AI$4&gt;Inputs!$F$335,(1+Inputs!$F$334/100)^(-Returns!AI22),(1+Inputs!$F$331/100)^(-Returns!AI22))*Returns!AI23</f>
        <v/>
      </c>
      <c r="AJ25" s="14">
        <f>IF(Time!AJ$4&gt;Inputs!$F$335,(1+Inputs!$F$334/100)^(-Returns!AJ22),(1+Inputs!$F$331/100)^(-Returns!AJ22))*Returns!AJ23</f>
        <v/>
      </c>
      <c r="AK25" s="14">
        <f>IF(Time!AK$4&gt;Inputs!$F$335,(1+Inputs!$F$334/100)^(-Returns!AK22),(1+Inputs!$F$331/100)^(-Returns!AK22))*Returns!AK23</f>
        <v/>
      </c>
      <c r="AL25" s="14">
        <f>IF(Time!AL$4&gt;Inputs!$F$335,(1+Inputs!$F$334/100)^(-Returns!AL22),(1+Inputs!$F$331/100)^(-Returns!AL22))*Returns!AL23</f>
        <v/>
      </c>
      <c r="AM25" s="14">
        <f>IF(Time!AM$4&gt;Inputs!$F$335,(1+Inputs!$F$334/100)^(-Returns!AM22),(1+Inputs!$F$331/100)^(-Returns!AM22))*Returns!AM23</f>
        <v/>
      </c>
      <c r="AN25" s="14">
        <f>IF(Time!AN$4&gt;Inputs!$F$335,(1+Inputs!$F$334/100)^(-Returns!AN22),(1+Inputs!$F$331/100)^(-Returns!AN22))*Returns!AN23</f>
        <v/>
      </c>
      <c r="AO25" s="14">
        <f>IF(Time!AO$4&gt;Inputs!$F$335,(1+Inputs!$F$334/100)^(-Returns!AO22),(1+Inputs!$F$331/100)^(-Returns!AO22))*Returns!AO23</f>
        <v/>
      </c>
      <c r="AP25" s="14">
        <f>IF(Time!AP$4&gt;Inputs!$F$335,(1+Inputs!$F$334/100)^(-Returns!AP22),(1+Inputs!$F$331/100)^(-Returns!AP22))*Returns!AP23</f>
        <v/>
      </c>
      <c r="AQ25" s="14">
        <f>IF(Time!AQ$4&gt;Inputs!$F$335,(1+Inputs!$F$334/100)^(-Returns!AQ22),(1+Inputs!$F$331/100)^(-Returns!AQ22))*Returns!AQ23</f>
        <v/>
      </c>
      <c r="AR25" s="14">
        <f>IF(Time!AR$4&gt;Inputs!$F$335,(1+Inputs!$F$334/100)^(-Returns!AR22),(1+Inputs!$F$331/100)^(-Returns!AR22))*Returns!AR23</f>
        <v/>
      </c>
      <c r="AS25" s="14">
        <f>IF(Time!AS$4&gt;Inputs!$F$335,(1+Inputs!$F$334/100)^(-Returns!AS22),(1+Inputs!$F$331/100)^(-Returns!AS22))*Returns!AS23</f>
        <v/>
      </c>
      <c r="AT25" s="14">
        <f>IF(Time!AT$4&gt;Inputs!$F$335,(1+Inputs!$F$334/100)^(-Returns!AT22),(1+Inputs!$F$331/100)^(-Returns!AT22))*Returns!AT23</f>
        <v/>
      </c>
      <c r="AU25" s="14">
        <f>IF(Time!AU$4&gt;Inputs!$F$335,(1+Inputs!$F$334/100)^(-Returns!AU22),(1+Inputs!$F$331/100)^(-Returns!AU22))*Returns!AU23</f>
        <v/>
      </c>
    </row>
    <row r="26">
      <c r="D26" t="inlineStr">
        <is>
          <t>DF merchant (v3)</t>
        </is>
      </c>
      <c r="E26" t="inlineStr">
        <is>
          <t>factor</t>
        </is>
      </c>
      <c r="J26" s="14">
        <f>IF(Time!J$4&gt;Inputs!$F$335,(1+Inputs!$F$334/100)^(-Returns!J22),(1+Inputs!$F$332/100)^(-Returns!J22))*Returns!J23</f>
        <v/>
      </c>
      <c r="K26" s="14">
        <f>IF(Time!K$4&gt;Inputs!$F$335,(1+Inputs!$F$334/100)^(-Returns!K22),(1+Inputs!$F$332/100)^(-Returns!K22))*Returns!K23</f>
        <v/>
      </c>
      <c r="L26" s="14">
        <f>IF(Time!L$4&gt;Inputs!$F$335,(1+Inputs!$F$334/100)^(-Returns!L22),(1+Inputs!$F$332/100)^(-Returns!L22))*Returns!L23</f>
        <v/>
      </c>
      <c r="M26" s="14">
        <f>IF(Time!M$4&gt;Inputs!$F$335,(1+Inputs!$F$334/100)^(-Returns!M22),(1+Inputs!$F$332/100)^(-Returns!M22))*Returns!M23</f>
        <v/>
      </c>
      <c r="N26" s="14">
        <f>IF(Time!N$4&gt;Inputs!$F$335,(1+Inputs!$F$334/100)^(-Returns!N22),(1+Inputs!$F$332/100)^(-Returns!N22))*Returns!N23</f>
        <v/>
      </c>
      <c r="O26" s="14">
        <f>IF(Time!O$4&gt;Inputs!$F$335,(1+Inputs!$F$334/100)^(-Returns!O22),(1+Inputs!$F$332/100)^(-Returns!O22))*Returns!O23</f>
        <v/>
      </c>
      <c r="P26" s="14">
        <f>IF(Time!P$4&gt;Inputs!$F$335,(1+Inputs!$F$334/100)^(-Returns!P22),(1+Inputs!$F$332/100)^(-Returns!P22))*Returns!P23</f>
        <v/>
      </c>
      <c r="Q26" s="14">
        <f>IF(Time!Q$4&gt;Inputs!$F$335,(1+Inputs!$F$334/100)^(-Returns!Q22),(1+Inputs!$F$332/100)^(-Returns!Q22))*Returns!Q23</f>
        <v/>
      </c>
      <c r="R26" s="14">
        <f>IF(Time!R$4&gt;Inputs!$F$335,(1+Inputs!$F$334/100)^(-Returns!R22),(1+Inputs!$F$332/100)^(-Returns!R22))*Returns!R23</f>
        <v/>
      </c>
      <c r="S26" s="14">
        <f>IF(Time!S$4&gt;Inputs!$F$335,(1+Inputs!$F$334/100)^(-Returns!S22),(1+Inputs!$F$332/100)^(-Returns!S22))*Returns!S23</f>
        <v/>
      </c>
      <c r="T26" s="14">
        <f>IF(Time!T$4&gt;Inputs!$F$335,(1+Inputs!$F$334/100)^(-Returns!T22),(1+Inputs!$F$332/100)^(-Returns!T22))*Returns!T23</f>
        <v/>
      </c>
      <c r="U26" s="14">
        <f>IF(Time!U$4&gt;Inputs!$F$335,(1+Inputs!$F$334/100)^(-Returns!U22),(1+Inputs!$F$332/100)^(-Returns!U22))*Returns!U23</f>
        <v/>
      </c>
      <c r="V26" s="14">
        <f>IF(Time!V$4&gt;Inputs!$F$335,(1+Inputs!$F$334/100)^(-Returns!V22),(1+Inputs!$F$332/100)^(-Returns!V22))*Returns!V23</f>
        <v/>
      </c>
      <c r="W26" s="14">
        <f>IF(Time!W$4&gt;Inputs!$F$335,(1+Inputs!$F$334/100)^(-Returns!W22),(1+Inputs!$F$332/100)^(-Returns!W22))*Returns!W23</f>
        <v/>
      </c>
      <c r="X26" s="14">
        <f>IF(Time!X$4&gt;Inputs!$F$335,(1+Inputs!$F$334/100)^(-Returns!X22),(1+Inputs!$F$332/100)^(-Returns!X22))*Returns!X23</f>
        <v/>
      </c>
      <c r="Y26" s="14">
        <f>IF(Time!Y$4&gt;Inputs!$F$335,(1+Inputs!$F$334/100)^(-Returns!Y22),(1+Inputs!$F$332/100)^(-Returns!Y22))*Returns!Y23</f>
        <v/>
      </c>
      <c r="Z26" s="14">
        <f>IF(Time!Z$4&gt;Inputs!$F$335,(1+Inputs!$F$334/100)^(-Returns!Z22),(1+Inputs!$F$332/100)^(-Returns!Z22))*Returns!Z23</f>
        <v/>
      </c>
      <c r="AA26" s="14">
        <f>IF(Time!AA$4&gt;Inputs!$F$335,(1+Inputs!$F$334/100)^(-Returns!AA22),(1+Inputs!$F$332/100)^(-Returns!AA22))*Returns!AA23</f>
        <v/>
      </c>
      <c r="AB26" s="14">
        <f>IF(Time!AB$4&gt;Inputs!$F$335,(1+Inputs!$F$334/100)^(-Returns!AB22),(1+Inputs!$F$332/100)^(-Returns!AB22))*Returns!AB23</f>
        <v/>
      </c>
      <c r="AC26" s="14">
        <f>IF(Time!AC$4&gt;Inputs!$F$335,(1+Inputs!$F$334/100)^(-Returns!AC22),(1+Inputs!$F$332/100)^(-Returns!AC22))*Returns!AC23</f>
        <v/>
      </c>
      <c r="AD26" s="14">
        <f>IF(Time!AD$4&gt;Inputs!$F$335,(1+Inputs!$F$334/100)^(-Returns!AD22),(1+Inputs!$F$332/100)^(-Returns!AD22))*Returns!AD23</f>
        <v/>
      </c>
      <c r="AE26" s="14">
        <f>IF(Time!AE$4&gt;Inputs!$F$335,(1+Inputs!$F$334/100)^(-Returns!AE22),(1+Inputs!$F$332/100)^(-Returns!AE22))*Returns!AE23</f>
        <v/>
      </c>
      <c r="AF26" s="14">
        <f>IF(Time!AF$4&gt;Inputs!$F$335,(1+Inputs!$F$334/100)^(-Returns!AF22),(1+Inputs!$F$332/100)^(-Returns!AF22))*Returns!AF23</f>
        <v/>
      </c>
      <c r="AG26" s="14">
        <f>IF(Time!AG$4&gt;Inputs!$F$335,(1+Inputs!$F$334/100)^(-Returns!AG22),(1+Inputs!$F$332/100)^(-Returns!AG22))*Returns!AG23</f>
        <v/>
      </c>
      <c r="AH26" s="14">
        <f>IF(Time!AH$4&gt;Inputs!$F$335,(1+Inputs!$F$334/100)^(-Returns!AH22),(1+Inputs!$F$332/100)^(-Returns!AH22))*Returns!AH23</f>
        <v/>
      </c>
      <c r="AI26" s="14">
        <f>IF(Time!AI$4&gt;Inputs!$F$335,(1+Inputs!$F$334/100)^(-Returns!AI22),(1+Inputs!$F$332/100)^(-Returns!AI22))*Returns!AI23</f>
        <v/>
      </c>
      <c r="AJ26" s="14">
        <f>IF(Time!AJ$4&gt;Inputs!$F$335,(1+Inputs!$F$334/100)^(-Returns!AJ22),(1+Inputs!$F$332/100)^(-Returns!AJ22))*Returns!AJ23</f>
        <v/>
      </c>
      <c r="AK26" s="14">
        <f>IF(Time!AK$4&gt;Inputs!$F$335,(1+Inputs!$F$334/100)^(-Returns!AK22),(1+Inputs!$F$332/100)^(-Returns!AK22))*Returns!AK23</f>
        <v/>
      </c>
      <c r="AL26" s="14">
        <f>IF(Time!AL$4&gt;Inputs!$F$335,(1+Inputs!$F$334/100)^(-Returns!AL22),(1+Inputs!$F$332/100)^(-Returns!AL22))*Returns!AL23</f>
        <v/>
      </c>
      <c r="AM26" s="14">
        <f>IF(Time!AM$4&gt;Inputs!$F$335,(1+Inputs!$F$334/100)^(-Returns!AM22),(1+Inputs!$F$332/100)^(-Returns!AM22))*Returns!AM23</f>
        <v/>
      </c>
      <c r="AN26" s="14">
        <f>IF(Time!AN$4&gt;Inputs!$F$335,(1+Inputs!$F$334/100)^(-Returns!AN22),(1+Inputs!$F$332/100)^(-Returns!AN22))*Returns!AN23</f>
        <v/>
      </c>
      <c r="AO26" s="14">
        <f>IF(Time!AO$4&gt;Inputs!$F$335,(1+Inputs!$F$334/100)^(-Returns!AO22),(1+Inputs!$F$332/100)^(-Returns!AO22))*Returns!AO23</f>
        <v/>
      </c>
      <c r="AP26" s="14">
        <f>IF(Time!AP$4&gt;Inputs!$F$335,(1+Inputs!$F$334/100)^(-Returns!AP22),(1+Inputs!$F$332/100)^(-Returns!AP22))*Returns!AP23</f>
        <v/>
      </c>
      <c r="AQ26" s="14">
        <f>IF(Time!AQ$4&gt;Inputs!$F$335,(1+Inputs!$F$334/100)^(-Returns!AQ22),(1+Inputs!$F$332/100)^(-Returns!AQ22))*Returns!AQ23</f>
        <v/>
      </c>
      <c r="AR26" s="14">
        <f>IF(Time!AR$4&gt;Inputs!$F$335,(1+Inputs!$F$334/100)^(-Returns!AR22),(1+Inputs!$F$332/100)^(-Returns!AR22))*Returns!AR23</f>
        <v/>
      </c>
      <c r="AS26" s="14">
        <f>IF(Time!AS$4&gt;Inputs!$F$335,(1+Inputs!$F$334/100)^(-Returns!AS22),(1+Inputs!$F$332/100)^(-Returns!AS22))*Returns!AS23</f>
        <v/>
      </c>
      <c r="AT26" s="14">
        <f>IF(Time!AT$4&gt;Inputs!$F$335,(1+Inputs!$F$334/100)^(-Returns!AT22),(1+Inputs!$F$332/100)^(-Returns!AT22))*Returns!AT23</f>
        <v/>
      </c>
      <c r="AU26" s="14">
        <f>IF(Time!AU$4&gt;Inputs!$F$335,(1+Inputs!$F$334/100)^(-Returns!AU22),(1+Inputs!$F$332/100)^(-Returns!AU22))*Returns!AU23</f>
        <v/>
      </c>
    </row>
    <row r="27">
      <c r="D27" t="inlineStr">
        <is>
          <t>DF storage_merchant (v3)</t>
        </is>
      </c>
      <c r="E27" t="inlineStr">
        <is>
          <t>factor</t>
        </is>
      </c>
      <c r="J27" s="14">
        <f>IF(Time!J$4&gt;Inputs!$F$335,(1+Inputs!$F$334/100)^(-Returns!J22),(1+Inputs!$F$333/100)^(-Returns!J22))*Returns!J23</f>
        <v/>
      </c>
      <c r="K27" s="14">
        <f>IF(Time!K$4&gt;Inputs!$F$335,(1+Inputs!$F$334/100)^(-Returns!K22),(1+Inputs!$F$333/100)^(-Returns!K22))*Returns!K23</f>
        <v/>
      </c>
      <c r="L27" s="14">
        <f>IF(Time!L$4&gt;Inputs!$F$335,(1+Inputs!$F$334/100)^(-Returns!L22),(1+Inputs!$F$333/100)^(-Returns!L22))*Returns!L23</f>
        <v/>
      </c>
      <c r="M27" s="14">
        <f>IF(Time!M$4&gt;Inputs!$F$335,(1+Inputs!$F$334/100)^(-Returns!M22),(1+Inputs!$F$333/100)^(-Returns!M22))*Returns!M23</f>
        <v/>
      </c>
      <c r="N27" s="14">
        <f>IF(Time!N$4&gt;Inputs!$F$335,(1+Inputs!$F$334/100)^(-Returns!N22),(1+Inputs!$F$333/100)^(-Returns!N22))*Returns!N23</f>
        <v/>
      </c>
      <c r="O27" s="14">
        <f>IF(Time!O$4&gt;Inputs!$F$335,(1+Inputs!$F$334/100)^(-Returns!O22),(1+Inputs!$F$333/100)^(-Returns!O22))*Returns!O23</f>
        <v/>
      </c>
      <c r="P27" s="14">
        <f>IF(Time!P$4&gt;Inputs!$F$335,(1+Inputs!$F$334/100)^(-Returns!P22),(1+Inputs!$F$333/100)^(-Returns!P22))*Returns!P23</f>
        <v/>
      </c>
      <c r="Q27" s="14">
        <f>IF(Time!Q$4&gt;Inputs!$F$335,(1+Inputs!$F$334/100)^(-Returns!Q22),(1+Inputs!$F$333/100)^(-Returns!Q22))*Returns!Q23</f>
        <v/>
      </c>
      <c r="R27" s="14">
        <f>IF(Time!R$4&gt;Inputs!$F$335,(1+Inputs!$F$334/100)^(-Returns!R22),(1+Inputs!$F$333/100)^(-Returns!R22))*Returns!R23</f>
        <v/>
      </c>
      <c r="S27" s="14">
        <f>IF(Time!S$4&gt;Inputs!$F$335,(1+Inputs!$F$334/100)^(-Returns!S22),(1+Inputs!$F$333/100)^(-Returns!S22))*Returns!S23</f>
        <v/>
      </c>
      <c r="T27" s="14">
        <f>IF(Time!T$4&gt;Inputs!$F$335,(1+Inputs!$F$334/100)^(-Returns!T22),(1+Inputs!$F$333/100)^(-Returns!T22))*Returns!T23</f>
        <v/>
      </c>
      <c r="U27" s="14">
        <f>IF(Time!U$4&gt;Inputs!$F$335,(1+Inputs!$F$334/100)^(-Returns!U22),(1+Inputs!$F$333/100)^(-Returns!U22))*Returns!U23</f>
        <v/>
      </c>
      <c r="V27" s="14">
        <f>IF(Time!V$4&gt;Inputs!$F$335,(1+Inputs!$F$334/100)^(-Returns!V22),(1+Inputs!$F$333/100)^(-Returns!V22))*Returns!V23</f>
        <v/>
      </c>
      <c r="W27" s="14">
        <f>IF(Time!W$4&gt;Inputs!$F$335,(1+Inputs!$F$334/100)^(-Returns!W22),(1+Inputs!$F$333/100)^(-Returns!W22))*Returns!W23</f>
        <v/>
      </c>
      <c r="X27" s="14">
        <f>IF(Time!X$4&gt;Inputs!$F$335,(1+Inputs!$F$334/100)^(-Returns!X22),(1+Inputs!$F$333/100)^(-Returns!X22))*Returns!X23</f>
        <v/>
      </c>
      <c r="Y27" s="14">
        <f>IF(Time!Y$4&gt;Inputs!$F$335,(1+Inputs!$F$334/100)^(-Returns!Y22),(1+Inputs!$F$333/100)^(-Returns!Y22))*Returns!Y23</f>
        <v/>
      </c>
      <c r="Z27" s="14">
        <f>IF(Time!Z$4&gt;Inputs!$F$335,(1+Inputs!$F$334/100)^(-Returns!Z22),(1+Inputs!$F$333/100)^(-Returns!Z22))*Returns!Z23</f>
        <v/>
      </c>
      <c r="AA27" s="14">
        <f>IF(Time!AA$4&gt;Inputs!$F$335,(1+Inputs!$F$334/100)^(-Returns!AA22),(1+Inputs!$F$333/100)^(-Returns!AA22))*Returns!AA23</f>
        <v/>
      </c>
      <c r="AB27" s="14">
        <f>IF(Time!AB$4&gt;Inputs!$F$335,(1+Inputs!$F$334/100)^(-Returns!AB22),(1+Inputs!$F$333/100)^(-Returns!AB22))*Returns!AB23</f>
        <v/>
      </c>
      <c r="AC27" s="14">
        <f>IF(Time!AC$4&gt;Inputs!$F$335,(1+Inputs!$F$334/100)^(-Returns!AC22),(1+Inputs!$F$333/100)^(-Returns!AC22))*Returns!AC23</f>
        <v/>
      </c>
      <c r="AD27" s="14">
        <f>IF(Time!AD$4&gt;Inputs!$F$335,(1+Inputs!$F$334/100)^(-Returns!AD22),(1+Inputs!$F$333/100)^(-Returns!AD22))*Returns!AD23</f>
        <v/>
      </c>
      <c r="AE27" s="14">
        <f>IF(Time!AE$4&gt;Inputs!$F$335,(1+Inputs!$F$334/100)^(-Returns!AE22),(1+Inputs!$F$333/100)^(-Returns!AE22))*Returns!AE23</f>
        <v/>
      </c>
      <c r="AF27" s="14">
        <f>IF(Time!AF$4&gt;Inputs!$F$335,(1+Inputs!$F$334/100)^(-Returns!AF22),(1+Inputs!$F$333/100)^(-Returns!AF22))*Returns!AF23</f>
        <v/>
      </c>
      <c r="AG27" s="14">
        <f>IF(Time!AG$4&gt;Inputs!$F$335,(1+Inputs!$F$334/100)^(-Returns!AG22),(1+Inputs!$F$333/100)^(-Returns!AG22))*Returns!AG23</f>
        <v/>
      </c>
      <c r="AH27" s="14">
        <f>IF(Time!AH$4&gt;Inputs!$F$335,(1+Inputs!$F$334/100)^(-Returns!AH22),(1+Inputs!$F$333/100)^(-Returns!AH22))*Returns!AH23</f>
        <v/>
      </c>
      <c r="AI27" s="14">
        <f>IF(Time!AI$4&gt;Inputs!$F$335,(1+Inputs!$F$334/100)^(-Returns!AI22),(1+Inputs!$F$333/100)^(-Returns!AI22))*Returns!AI23</f>
        <v/>
      </c>
      <c r="AJ27" s="14">
        <f>IF(Time!AJ$4&gt;Inputs!$F$335,(1+Inputs!$F$334/100)^(-Returns!AJ22),(1+Inputs!$F$333/100)^(-Returns!AJ22))*Returns!AJ23</f>
        <v/>
      </c>
      <c r="AK27" s="14">
        <f>IF(Time!AK$4&gt;Inputs!$F$335,(1+Inputs!$F$334/100)^(-Returns!AK22),(1+Inputs!$F$333/100)^(-Returns!AK22))*Returns!AK23</f>
        <v/>
      </c>
      <c r="AL27" s="14">
        <f>IF(Time!AL$4&gt;Inputs!$F$335,(1+Inputs!$F$334/100)^(-Returns!AL22),(1+Inputs!$F$333/100)^(-Returns!AL22))*Returns!AL23</f>
        <v/>
      </c>
      <c r="AM27" s="14">
        <f>IF(Time!AM$4&gt;Inputs!$F$335,(1+Inputs!$F$334/100)^(-Returns!AM22),(1+Inputs!$F$333/100)^(-Returns!AM22))*Returns!AM23</f>
        <v/>
      </c>
      <c r="AN27" s="14">
        <f>IF(Time!AN$4&gt;Inputs!$F$335,(1+Inputs!$F$334/100)^(-Returns!AN22),(1+Inputs!$F$333/100)^(-Returns!AN22))*Returns!AN23</f>
        <v/>
      </c>
      <c r="AO27" s="14">
        <f>IF(Time!AO$4&gt;Inputs!$F$335,(1+Inputs!$F$334/100)^(-Returns!AO22),(1+Inputs!$F$333/100)^(-Returns!AO22))*Returns!AO23</f>
        <v/>
      </c>
      <c r="AP27" s="14">
        <f>IF(Time!AP$4&gt;Inputs!$F$335,(1+Inputs!$F$334/100)^(-Returns!AP22),(1+Inputs!$F$333/100)^(-Returns!AP22))*Returns!AP23</f>
        <v/>
      </c>
      <c r="AQ27" s="14">
        <f>IF(Time!AQ$4&gt;Inputs!$F$335,(1+Inputs!$F$334/100)^(-Returns!AQ22),(1+Inputs!$F$333/100)^(-Returns!AQ22))*Returns!AQ23</f>
        <v/>
      </c>
      <c r="AR27" s="14">
        <f>IF(Time!AR$4&gt;Inputs!$F$335,(1+Inputs!$F$334/100)^(-Returns!AR22),(1+Inputs!$F$333/100)^(-Returns!AR22))*Returns!AR23</f>
        <v/>
      </c>
      <c r="AS27" s="14">
        <f>IF(Time!AS$4&gt;Inputs!$F$335,(1+Inputs!$F$334/100)^(-Returns!AS22),(1+Inputs!$F$333/100)^(-Returns!AS22))*Returns!AS23</f>
        <v/>
      </c>
      <c r="AT27" s="14">
        <f>IF(Time!AT$4&gt;Inputs!$F$335,(1+Inputs!$F$334/100)^(-Returns!AT22),(1+Inputs!$F$333/100)^(-Returns!AT22))*Returns!AT23</f>
        <v/>
      </c>
      <c r="AU27" s="14">
        <f>IF(Time!AU$4&gt;Inputs!$F$335,(1+Inputs!$F$334/100)^(-Returns!AU22),(1+Inputs!$F$333/100)^(-Returns!AU22))*Returns!AU23</f>
        <v/>
      </c>
    </row>
    <row r="28">
      <c r="D28" t="inlineStr">
        <is>
          <t>DF tax shield at contracted rate (v3)</t>
        </is>
      </c>
      <c r="E28" t="inlineStr">
        <is>
          <t>factor</t>
        </is>
      </c>
      <c r="J28" s="14">
        <f>(1+Inputs!$F$330/100)^(-Returns!J22)*Returns!J23</f>
        <v/>
      </c>
      <c r="K28" s="14">
        <f>(1+Inputs!$F$330/100)^(-Returns!K22)*Returns!K23</f>
        <v/>
      </c>
      <c r="L28" s="14">
        <f>(1+Inputs!$F$330/100)^(-Returns!L22)*Returns!L23</f>
        <v/>
      </c>
      <c r="M28" s="14">
        <f>(1+Inputs!$F$330/100)^(-Returns!M22)*Returns!M23</f>
        <v/>
      </c>
      <c r="N28" s="14">
        <f>(1+Inputs!$F$330/100)^(-Returns!N22)*Returns!N23</f>
        <v/>
      </c>
      <c r="O28" s="14">
        <f>(1+Inputs!$F$330/100)^(-Returns!O22)*Returns!O23</f>
        <v/>
      </c>
      <c r="P28" s="14">
        <f>(1+Inputs!$F$330/100)^(-Returns!P22)*Returns!P23</f>
        <v/>
      </c>
      <c r="Q28" s="14">
        <f>(1+Inputs!$F$330/100)^(-Returns!Q22)*Returns!Q23</f>
        <v/>
      </c>
      <c r="R28" s="14">
        <f>(1+Inputs!$F$330/100)^(-Returns!R22)*Returns!R23</f>
        <v/>
      </c>
      <c r="S28" s="14">
        <f>(1+Inputs!$F$330/100)^(-Returns!S22)*Returns!S23</f>
        <v/>
      </c>
      <c r="T28" s="14">
        <f>(1+Inputs!$F$330/100)^(-Returns!T22)*Returns!T23</f>
        <v/>
      </c>
      <c r="U28" s="14">
        <f>(1+Inputs!$F$330/100)^(-Returns!U22)*Returns!U23</f>
        <v/>
      </c>
      <c r="V28" s="14">
        <f>(1+Inputs!$F$330/100)^(-Returns!V22)*Returns!V23</f>
        <v/>
      </c>
      <c r="W28" s="14">
        <f>(1+Inputs!$F$330/100)^(-Returns!W22)*Returns!W23</f>
        <v/>
      </c>
      <c r="X28" s="14">
        <f>(1+Inputs!$F$330/100)^(-Returns!X22)*Returns!X23</f>
        <v/>
      </c>
      <c r="Y28" s="14">
        <f>(1+Inputs!$F$330/100)^(-Returns!Y22)*Returns!Y23</f>
        <v/>
      </c>
      <c r="Z28" s="14">
        <f>(1+Inputs!$F$330/100)^(-Returns!Z22)*Returns!Z23</f>
        <v/>
      </c>
      <c r="AA28" s="14">
        <f>(1+Inputs!$F$330/100)^(-Returns!AA22)*Returns!AA23</f>
        <v/>
      </c>
      <c r="AB28" s="14">
        <f>(1+Inputs!$F$330/100)^(-Returns!AB22)*Returns!AB23</f>
        <v/>
      </c>
      <c r="AC28" s="14">
        <f>(1+Inputs!$F$330/100)^(-Returns!AC22)*Returns!AC23</f>
        <v/>
      </c>
      <c r="AD28" s="14">
        <f>(1+Inputs!$F$330/100)^(-Returns!AD22)*Returns!AD23</f>
        <v/>
      </c>
      <c r="AE28" s="14">
        <f>(1+Inputs!$F$330/100)^(-Returns!AE22)*Returns!AE23</f>
        <v/>
      </c>
      <c r="AF28" s="14">
        <f>(1+Inputs!$F$330/100)^(-Returns!AF22)*Returns!AF23</f>
        <v/>
      </c>
      <c r="AG28" s="14">
        <f>(1+Inputs!$F$330/100)^(-Returns!AG22)*Returns!AG23</f>
        <v/>
      </c>
      <c r="AH28" s="14">
        <f>(1+Inputs!$F$330/100)^(-Returns!AH22)*Returns!AH23</f>
        <v/>
      </c>
      <c r="AI28" s="14">
        <f>(1+Inputs!$F$330/100)^(-Returns!AI22)*Returns!AI23</f>
        <v/>
      </c>
      <c r="AJ28" s="14">
        <f>(1+Inputs!$F$330/100)^(-Returns!AJ22)*Returns!AJ23</f>
        <v/>
      </c>
      <c r="AK28" s="14">
        <f>(1+Inputs!$F$330/100)^(-Returns!AK22)*Returns!AK23</f>
        <v/>
      </c>
      <c r="AL28" s="14">
        <f>(1+Inputs!$F$330/100)^(-Returns!AL22)*Returns!AL23</f>
        <v/>
      </c>
      <c r="AM28" s="14">
        <f>(1+Inputs!$F$330/100)^(-Returns!AM22)*Returns!AM23</f>
        <v/>
      </c>
      <c r="AN28" s="14">
        <f>(1+Inputs!$F$330/100)^(-Returns!AN22)*Returns!AN23</f>
        <v/>
      </c>
      <c r="AO28" s="14">
        <f>(1+Inputs!$F$330/100)^(-Returns!AO22)*Returns!AO23</f>
        <v/>
      </c>
      <c r="AP28" s="14">
        <f>(1+Inputs!$F$330/100)^(-Returns!AP22)*Returns!AP23</f>
        <v/>
      </c>
      <c r="AQ28" s="14">
        <f>(1+Inputs!$F$330/100)^(-Returns!AQ22)*Returns!AQ23</f>
        <v/>
      </c>
      <c r="AR28" s="14">
        <f>(1+Inputs!$F$330/100)^(-Returns!AR22)*Returns!AR23</f>
        <v/>
      </c>
      <c r="AS28" s="14">
        <f>(1+Inputs!$F$330/100)^(-Returns!AS22)*Returns!AS23</f>
        <v/>
      </c>
      <c r="AT28" s="14">
        <f>(1+Inputs!$F$330/100)^(-Returns!AT22)*Returns!AT23</f>
        <v/>
      </c>
      <c r="AU28" s="14">
        <f>(1+Inputs!$F$330/100)^(-Returns!AU22)*Returns!AU23</f>
        <v/>
      </c>
    </row>
    <row r="30">
      <c r="A30" s="4" t="inlineStr">
        <is>
          <t>A1 valuation at March 22, 2022 (R-F04)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</row>
    <row r="31">
      <c r="D31" t="inlineStr">
        <is>
          <t>R1 value: contracted</t>
        </is>
      </c>
      <c r="E31" t="inlineStr">
        <is>
          <t>USD m</t>
        </is>
      </c>
      <c r="F31" s="20">
        <f>SUMPRODUCT(Operations!$J$96:$AU$96,Operations!$J$97:$AU$97,Returns!$J$10:$AU$10)</f>
        <v/>
      </c>
    </row>
    <row r="32">
      <c r="D32" t="inlineStr">
        <is>
          <t>R1 value: hedged</t>
        </is>
      </c>
      <c r="E32" t="inlineStr">
        <is>
          <t>USD m</t>
        </is>
      </c>
      <c r="F32" s="20">
        <f>SUMPRODUCT(Operations!$J$96:$AU$96,Operations!$J$98:$AU$98,Returns!$J$11:$AU$11)</f>
        <v/>
      </c>
    </row>
    <row r="33">
      <c r="D33" t="inlineStr">
        <is>
          <t>R1 value: merchant</t>
        </is>
      </c>
      <c r="E33" t="inlineStr">
        <is>
          <t>USD m</t>
        </is>
      </c>
      <c r="F33" s="20">
        <f>SUMPRODUCT(Operations!$J$96:$AU$96,Operations!$J$99:$AU$99,Returns!$J$12:$AU$12)</f>
        <v/>
      </c>
    </row>
    <row r="34">
      <c r="D34" t="inlineStr">
        <is>
          <t>R1 value: total</t>
        </is>
      </c>
      <c r="E34" t="inlineStr">
        <is>
          <t>USD m</t>
        </is>
      </c>
      <c r="F34" s="20">
        <f>Returns!$F$31+Returns!$F$32+Returns!$F$33</f>
        <v/>
      </c>
    </row>
    <row r="35">
      <c r="D35" t="inlineStr">
        <is>
          <t>R2 value: contracted</t>
        </is>
      </c>
      <c r="E35" t="inlineStr">
        <is>
          <t>USD m</t>
        </is>
      </c>
      <c r="F35" s="20">
        <f>SUMPRODUCT(Operations!$J$138:$AU$138,Operations!$J$139:$AU$139,Returns!$J$10:$AU$10)</f>
        <v/>
      </c>
    </row>
    <row r="36">
      <c r="D36" t="inlineStr">
        <is>
          <t>R2 value: hedged</t>
        </is>
      </c>
      <c r="E36" t="inlineStr">
        <is>
          <t>USD m</t>
        </is>
      </c>
      <c r="F36" s="20">
        <f>SUMPRODUCT(Operations!$J$138:$AU$138,Operations!$J$140:$AU$140,Returns!$J$11:$AU$11)</f>
        <v/>
      </c>
    </row>
    <row r="37">
      <c r="D37" t="inlineStr">
        <is>
          <t>R2 value: merchant</t>
        </is>
      </c>
      <c r="E37" t="inlineStr">
        <is>
          <t>USD m</t>
        </is>
      </c>
      <c r="F37" s="20">
        <f>SUMPRODUCT(Operations!$J$138:$AU$138,Operations!$J$141:$AU$141,Returns!$J$12:$AU$12)</f>
        <v/>
      </c>
    </row>
    <row r="38">
      <c r="D38" t="inlineStr">
        <is>
          <t>R2 value: total</t>
        </is>
      </c>
      <c r="E38" t="inlineStr">
        <is>
          <t>USD m</t>
        </is>
      </c>
      <c r="F38" s="20">
        <f>Returns!$F$35+Returns!$F$36+Returns!$F$37</f>
        <v/>
      </c>
    </row>
    <row r="39">
      <c r="D39" t="inlineStr">
        <is>
          <t>R3 value: contracted</t>
        </is>
      </c>
      <c r="E39" t="inlineStr">
        <is>
          <t>USD m</t>
        </is>
      </c>
      <c r="F39" s="20">
        <f>SUMPRODUCT(Operations!$J$181:$AU$181,Operations!$J$182:$AU$182,Returns!$J$10:$AU$10)</f>
        <v/>
      </c>
    </row>
    <row r="40">
      <c r="D40" t="inlineStr">
        <is>
          <t>R3 value: hedged</t>
        </is>
      </c>
      <c r="E40" t="inlineStr">
        <is>
          <t>USD m</t>
        </is>
      </c>
      <c r="F40" s="20">
        <f>SUMPRODUCT(Operations!$J$181:$AU$181,Operations!$J$183:$AU$183,Returns!$J$11:$AU$11)</f>
        <v/>
      </c>
    </row>
    <row r="41">
      <c r="D41" t="inlineStr">
        <is>
          <t>R3 value: merchant</t>
        </is>
      </c>
      <c r="E41" t="inlineStr">
        <is>
          <t>USD m</t>
        </is>
      </c>
      <c r="F41" s="20">
        <f>SUMPRODUCT(Operations!$J$181:$AU$181,Operations!$J$184:$AU$184,Returns!$J$12:$AU$12)</f>
        <v/>
      </c>
    </row>
    <row r="42">
      <c r="D42" t="inlineStr">
        <is>
          <t>R3 value: total</t>
        </is>
      </c>
      <c r="E42" t="inlineStr">
        <is>
          <t>USD m</t>
        </is>
      </c>
      <c r="F42" s="20">
        <f>Returns!$F$39+Returns!$F$40+Returns!$F$41</f>
        <v/>
      </c>
    </row>
    <row r="43">
      <c r="D43" t="inlineStr">
        <is>
          <t>R4 value: contracted</t>
        </is>
      </c>
      <c r="E43" t="inlineStr">
        <is>
          <t>USD m</t>
        </is>
      </c>
      <c r="F43" s="20">
        <f>SUMPRODUCT(Operations!$J$224:$AU$224,Operations!$J$225:$AU$225,Returns!$J$10:$AU$10)</f>
        <v/>
      </c>
    </row>
    <row r="44">
      <c r="D44" t="inlineStr">
        <is>
          <t>R4 value: hedged</t>
        </is>
      </c>
      <c r="E44" t="inlineStr">
        <is>
          <t>USD m</t>
        </is>
      </c>
      <c r="F44" s="20">
        <f>SUMPRODUCT(Operations!$J$224:$AU$224,Operations!$J$226:$AU$226,Returns!$J$11:$AU$11)</f>
        <v/>
      </c>
    </row>
    <row r="45">
      <c r="D45" t="inlineStr">
        <is>
          <t>R4 value: merchant</t>
        </is>
      </c>
      <c r="E45" t="inlineStr">
        <is>
          <t>USD m</t>
        </is>
      </c>
      <c r="F45" s="20">
        <f>SUMPRODUCT(Operations!$J$224:$AU$224,Operations!$J$227:$AU$227,Returns!$J$12:$AU$12)</f>
        <v/>
      </c>
    </row>
    <row r="46">
      <c r="D46" t="inlineStr">
        <is>
          <t>R4 value: total</t>
        </is>
      </c>
      <c r="E46" t="inlineStr">
        <is>
          <t>USD m</t>
        </is>
      </c>
      <c r="F46" s="20">
        <f>Returns!$F$43+Returns!$F$44+Returns!$F$45</f>
        <v/>
      </c>
    </row>
    <row r="47">
      <c r="D47" t="inlineStr">
        <is>
          <t>R5 value: contracted</t>
        </is>
      </c>
      <c r="E47" t="inlineStr">
        <is>
          <t>USD m</t>
        </is>
      </c>
      <c r="F47" s="20">
        <f>SUMPRODUCT(Operations!$J$267:$AU$267,Operations!$J$268:$AU$268,Returns!$J$10:$AU$10)</f>
        <v/>
      </c>
    </row>
    <row r="48">
      <c r="D48" t="inlineStr">
        <is>
          <t>R5 value: hedged</t>
        </is>
      </c>
      <c r="E48" t="inlineStr">
        <is>
          <t>USD m</t>
        </is>
      </c>
      <c r="F48" s="20">
        <f>SUMPRODUCT(Operations!$J$267:$AU$267,Operations!$J$269:$AU$269,Returns!$J$11:$AU$11)</f>
        <v/>
      </c>
    </row>
    <row r="49">
      <c r="D49" t="inlineStr">
        <is>
          <t>R5 value: merchant</t>
        </is>
      </c>
      <c r="E49" t="inlineStr">
        <is>
          <t>USD m</t>
        </is>
      </c>
      <c r="F49" s="20">
        <f>SUMPRODUCT(Operations!$J$267:$AU$267,Operations!$J$270:$AU$270,Returns!$J$12:$AU$12)</f>
        <v/>
      </c>
    </row>
    <row r="50">
      <c r="D50" t="inlineStr">
        <is>
          <t>R5 value: total</t>
        </is>
      </c>
      <c r="E50" t="inlineStr">
        <is>
          <t>USD m</t>
        </is>
      </c>
      <c r="F50" s="20">
        <f>Returns!$F$47+Returns!$F$48+Returns!$F$49</f>
        <v/>
      </c>
    </row>
    <row r="51">
      <c r="D51" t="inlineStr">
        <is>
          <t>Platform cost after tax</t>
        </is>
      </c>
      <c r="E51" t="inlineStr">
        <is>
          <t>USD m</t>
        </is>
      </c>
      <c r="J51" s="20">
        <f>-Operations!J384*(1-Inputs!$F$241/100)</f>
        <v/>
      </c>
      <c r="K51" s="20">
        <f>-Operations!K384*(1-Inputs!$F$241/100)</f>
        <v/>
      </c>
      <c r="L51" s="20">
        <f>-Operations!L384*(1-Inputs!$F$241/100)</f>
        <v/>
      </c>
      <c r="M51" s="20">
        <f>-Operations!M384*(1-Inputs!$F$241/100)</f>
        <v/>
      </c>
      <c r="N51" s="20">
        <f>-Operations!N384*(1-Inputs!$F$241/100)</f>
        <v/>
      </c>
      <c r="O51" s="20">
        <f>-Operations!O384*(1-Inputs!$F$241/100)</f>
        <v/>
      </c>
      <c r="P51" s="20">
        <f>-Operations!P384*(1-Inputs!$F$241/100)</f>
        <v/>
      </c>
      <c r="Q51" s="20">
        <f>-Operations!Q384*(1-Inputs!$F$241/100)</f>
        <v/>
      </c>
      <c r="R51" s="20">
        <f>-Operations!R384*(1-Inputs!$F$241/100)</f>
        <v/>
      </c>
      <c r="S51" s="20">
        <f>-Operations!S384*(1-Inputs!$F$241/100)</f>
        <v/>
      </c>
      <c r="T51" s="20">
        <f>-Operations!T384*(1-Inputs!$F$241/100)</f>
        <v/>
      </c>
      <c r="U51" s="20">
        <f>-Operations!U384*(1-Inputs!$F$241/100)</f>
        <v/>
      </c>
      <c r="V51" s="20">
        <f>-Operations!V384*(1-Inputs!$F$241/100)</f>
        <v/>
      </c>
      <c r="W51" s="20">
        <f>-Operations!W384*(1-Inputs!$F$241/100)</f>
        <v/>
      </c>
      <c r="X51" s="20">
        <f>-Operations!X384*(1-Inputs!$F$241/100)</f>
        <v/>
      </c>
      <c r="Y51" s="20">
        <f>-Operations!Y384*(1-Inputs!$F$241/100)</f>
        <v/>
      </c>
      <c r="Z51" s="20">
        <f>-Operations!Z384*(1-Inputs!$F$241/100)</f>
        <v/>
      </c>
      <c r="AA51" s="20">
        <f>-Operations!AA384*(1-Inputs!$F$241/100)</f>
        <v/>
      </c>
      <c r="AB51" s="20">
        <f>-Operations!AB384*(1-Inputs!$F$241/100)</f>
        <v/>
      </c>
      <c r="AC51" s="20">
        <f>-Operations!AC384*(1-Inputs!$F$241/100)</f>
        <v/>
      </c>
      <c r="AD51" s="20">
        <f>-Operations!AD384*(1-Inputs!$F$241/100)</f>
        <v/>
      </c>
      <c r="AE51" s="20">
        <f>-Operations!AE384*(1-Inputs!$F$241/100)</f>
        <v/>
      </c>
      <c r="AF51" s="20">
        <f>-Operations!AF384*(1-Inputs!$F$241/100)</f>
        <v/>
      </c>
      <c r="AG51" s="20">
        <f>-Operations!AG384*(1-Inputs!$F$241/100)</f>
        <v/>
      </c>
      <c r="AH51" s="20">
        <f>-Operations!AH384*(1-Inputs!$F$241/100)</f>
        <v/>
      </c>
      <c r="AI51" s="20">
        <f>-Operations!AI384*(1-Inputs!$F$241/100)</f>
        <v/>
      </c>
      <c r="AJ51" s="20">
        <f>-Operations!AJ384*(1-Inputs!$F$241/100)</f>
        <v/>
      </c>
      <c r="AK51" s="20">
        <f>-Operations!AK384*(1-Inputs!$F$241/100)</f>
        <v/>
      </c>
      <c r="AL51" s="20">
        <f>-Operations!AL384*(1-Inputs!$F$241/100)</f>
        <v/>
      </c>
      <c r="AM51" s="20">
        <f>-Operations!AM384*(1-Inputs!$F$241/100)</f>
        <v/>
      </c>
      <c r="AN51" s="20">
        <f>-Operations!AN384*(1-Inputs!$F$241/100)</f>
        <v/>
      </c>
      <c r="AO51" s="20">
        <f>-Operations!AO384*(1-Inputs!$F$241/100)</f>
        <v/>
      </c>
      <c r="AP51" s="20">
        <f>-Operations!AP384*(1-Inputs!$F$241/100)</f>
        <v/>
      </c>
      <c r="AQ51" s="20">
        <f>-Operations!AQ384*(1-Inputs!$F$241/100)</f>
        <v/>
      </c>
      <c r="AR51" s="20">
        <f>-Operations!AR384*(1-Inputs!$F$241/100)</f>
        <v/>
      </c>
      <c r="AS51" s="20">
        <f>-Operations!AS384*(1-Inputs!$F$241/100)</f>
        <v/>
      </c>
      <c r="AT51" s="20">
        <f>-Operations!AT384*(1-Inputs!$F$241/100)</f>
        <v/>
      </c>
      <c r="AU51" s="20">
        <f>-Operations!AU384*(1-Inputs!$F$241/100)</f>
        <v/>
      </c>
    </row>
    <row r="52">
      <c r="D52" t="inlineStr">
        <is>
          <t>Platform costs value: contracted</t>
        </is>
      </c>
      <c r="E52" t="inlineStr">
        <is>
          <t>USD m</t>
        </is>
      </c>
      <c r="F52" s="20">
        <f>SUMPRODUCT(Returns!$J$51:$AU$51,Operations!$J$403:$AU$403,Returns!$J$10:$AU$10)</f>
        <v/>
      </c>
    </row>
    <row r="53">
      <c r="D53" t="inlineStr">
        <is>
          <t>Platform costs value: hedged</t>
        </is>
      </c>
      <c r="E53" t="inlineStr">
        <is>
          <t>USD m</t>
        </is>
      </c>
      <c r="F53" s="20">
        <f>SUMPRODUCT(Returns!$J$51:$AU$51,Operations!$J$404:$AU$404,Returns!$J$11:$AU$11)</f>
        <v/>
      </c>
    </row>
    <row r="54">
      <c r="D54" t="inlineStr">
        <is>
          <t>Platform costs value: merchant</t>
        </is>
      </c>
      <c r="E54" t="inlineStr">
        <is>
          <t>USD m</t>
        </is>
      </c>
      <c r="F54" s="20">
        <f>SUMPRODUCT(Returns!$J$51:$AU$51,Operations!$J$405:$AU$405,Returns!$J$12:$AU$12)</f>
        <v/>
      </c>
    </row>
    <row r="55">
      <c r="D55" t="inlineStr">
        <is>
          <t>Platform costs value: total</t>
        </is>
      </c>
      <c r="E55" t="inlineStr">
        <is>
          <t>USD m</t>
        </is>
      </c>
      <c r="F55" s="20">
        <f>Returns!$F$52+Returns!$F$53+Returns!$F$54</f>
        <v/>
      </c>
    </row>
    <row r="56">
      <c r="D56" t="inlineStr">
        <is>
          <t>A1 value by bucket: contracted</t>
        </is>
      </c>
      <c r="E56" t="inlineStr">
        <is>
          <t>USD m</t>
        </is>
      </c>
      <c r="F56" s="20">
        <f>Returns!$F$31+Returns!$F$35+Returns!$F$39+Returns!$F$43+Returns!$F$47+Returns!$F$52</f>
        <v/>
      </c>
    </row>
    <row r="57">
      <c r="D57" t="inlineStr">
        <is>
          <t>A1 value by bucket: hedged</t>
        </is>
      </c>
      <c r="E57" t="inlineStr">
        <is>
          <t>USD m</t>
        </is>
      </c>
      <c r="F57" s="20">
        <f>Returns!$F$32+Returns!$F$36+Returns!$F$40+Returns!$F$44+Returns!$F$48+Returns!$F$53</f>
        <v/>
      </c>
    </row>
    <row r="58">
      <c r="D58" t="inlineStr">
        <is>
          <t>A1 value by bucket: merchant</t>
        </is>
      </c>
      <c r="E58" t="inlineStr">
        <is>
          <t>USD m</t>
        </is>
      </c>
      <c r="F58" s="20">
        <f>Returns!$F$33+Returns!$F$37+Returns!$F$41+Returns!$F$45+Returns!$F$49+Returns!$F$54</f>
        <v/>
      </c>
    </row>
    <row r="59">
      <c r="D59" t="inlineStr">
        <is>
          <t>A1 value before purchase-price tax shield</t>
        </is>
      </c>
      <c r="E59" t="inlineStr">
        <is>
          <t>USD m</t>
        </is>
      </c>
      <c r="F59" s="20">
        <f>Returns!$F$34+Returns!$F$38+Returns!$F$42+Returns!$F$46+Returns!$F$50+Returns!$F$55</f>
        <v/>
      </c>
    </row>
    <row r="60">
      <c r="D60" t="inlineStr">
        <is>
          <t>PV of A1 tax depreciation per USD of price</t>
        </is>
      </c>
      <c r="E60" t="inlineStr">
        <is>
          <t>factor</t>
        </is>
      </c>
      <c r="F60" s="14">
        <f>SUMPRODUCT(Tax!$J$14:$AU$14,Returns!$J$14:$AU$14)/Inputs!$F$257</f>
        <v/>
      </c>
    </row>
    <row r="61">
      <c r="D61" t="inlineStr">
        <is>
          <t>Tax shield at the price paid</t>
        </is>
      </c>
      <c r="E61" t="inlineStr">
        <is>
          <t>USD m</t>
        </is>
      </c>
      <c r="F61" s="20">
        <f>Inputs!$F$241/100*Returns!$F$60*Inputs!$F$257</f>
        <v/>
      </c>
    </row>
    <row r="62">
      <c r="D62" t="inlineStr">
        <is>
          <t>A1 enterprise value</t>
        </is>
      </c>
      <c r="E62" t="inlineStr">
        <is>
          <t>USD m</t>
        </is>
      </c>
      <c r="F62" s="20">
        <f>Returns!$F$59+Returns!$F$61</f>
        <v/>
      </c>
    </row>
    <row r="63">
      <c r="D63" t="inlineStr">
        <is>
          <t>Value less price</t>
        </is>
      </c>
      <c r="E63" t="inlineStr">
        <is>
          <t>USD m</t>
        </is>
      </c>
      <c r="F63" s="20">
        <f>Returns!$F$62-Inputs!$F$257</f>
        <v/>
      </c>
    </row>
    <row r="64">
      <c r="D64" t="inlineStr">
        <is>
          <t>Breakeven price (closed form)</t>
        </is>
      </c>
      <c r="E64" t="inlineStr">
        <is>
          <t>USD m</t>
        </is>
      </c>
      <c r="F64" s="20">
        <f>Returns!$F$59/(1-Inputs!$F$241/100*Returns!$F$60)</f>
        <v/>
      </c>
    </row>
    <row r="66">
      <c r="A66" s="4" t="inlineStr">
        <is>
          <t>A2 valuation at August 31, 2023 (R-F07)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</row>
    <row r="67">
      <c r="D67" t="inlineStr">
        <is>
          <t>R6 value: contracted</t>
        </is>
      </c>
      <c r="E67" t="inlineStr">
        <is>
          <t>USD m</t>
        </is>
      </c>
      <c r="F67" s="20">
        <f>SUMPRODUCT(Operations!$J$299:$AU$299,Operations!$J$300:$AU$300,Returns!$J$17:$AU$17)</f>
        <v/>
      </c>
    </row>
    <row r="68">
      <c r="D68" t="inlineStr">
        <is>
          <t>R6 value: hedged</t>
        </is>
      </c>
      <c r="E68" t="inlineStr">
        <is>
          <t>USD m</t>
        </is>
      </c>
      <c r="F68" s="20">
        <f>SUMPRODUCT(Operations!$J$299:$AU$299,Operations!$J$301:$AU$301,Returns!$J$18:$AU$18)</f>
        <v/>
      </c>
    </row>
    <row r="69">
      <c r="D69" t="inlineStr">
        <is>
          <t>R6 value: merchant</t>
        </is>
      </c>
      <c r="E69" t="inlineStr">
        <is>
          <t>USD m</t>
        </is>
      </c>
      <c r="F69" s="20">
        <f>SUMPRODUCT(Operations!$J$299:$AU$299,Operations!$J$302:$AU$302,Returns!$J$20:$AU$20)</f>
        <v/>
      </c>
    </row>
    <row r="70">
      <c r="D70" t="inlineStr">
        <is>
          <t>R6 value: total</t>
        </is>
      </c>
      <c r="E70" t="inlineStr">
        <is>
          <t>USD m</t>
        </is>
      </c>
      <c r="F70" s="20">
        <f>Returns!$F$67+Returns!$F$68+Returns!$F$69</f>
        <v/>
      </c>
    </row>
    <row r="71">
      <c r="D71" t="inlineStr">
        <is>
          <t>PV of A2 tax depreciation per USD of price</t>
        </is>
      </c>
      <c r="E71" t="inlineStr">
        <is>
          <t>factor</t>
        </is>
      </c>
      <c r="F71" s="14">
        <f>SUMPRODUCT(Tax!$J$17:$AU$17,Returns!$J$21:$AU$21)/Inputs!$F$260</f>
        <v/>
      </c>
    </row>
    <row r="72">
      <c r="D72" t="inlineStr">
        <is>
          <t>Tax shield at the price paid</t>
        </is>
      </c>
      <c r="E72" t="inlineStr">
        <is>
          <t>USD m</t>
        </is>
      </c>
      <c r="F72" s="20">
        <f>Inputs!$F$241/100*Returns!$F$71*Inputs!$F$260</f>
        <v/>
      </c>
    </row>
    <row r="73">
      <c r="D73" t="inlineStr">
        <is>
          <t>A2 value</t>
        </is>
      </c>
      <c r="E73" t="inlineStr">
        <is>
          <t>USD m</t>
        </is>
      </c>
      <c r="F73" s="20">
        <f>Returns!$F$70+Returns!$F$72</f>
        <v/>
      </c>
    </row>
    <row r="74">
      <c r="D74" t="inlineStr">
        <is>
          <t>Value less price</t>
        </is>
      </c>
      <c r="E74" t="inlineStr">
        <is>
          <t>USD m</t>
        </is>
      </c>
      <c r="F74" s="20">
        <f>Returns!$F$73-Inputs!$F$260</f>
        <v/>
      </c>
    </row>
    <row r="75">
      <c r="D75" t="inlineStr">
        <is>
          <t>Breakeven price</t>
        </is>
      </c>
      <c r="E75" t="inlineStr">
        <is>
          <t>USD m</t>
        </is>
      </c>
      <c r="F75" s="20">
        <f>Returns!$F$70/(1-Inputs!$F$241/100*Returns!$F$71)</f>
        <v/>
      </c>
    </row>
    <row r="77">
      <c r="A77" s="4" t="inlineStr">
        <is>
          <t>A3 valuation at February 15, 2024 (R-F07)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</row>
    <row r="78">
      <c r="D78" t="inlineStr">
        <is>
          <t>R7 value: contracted</t>
        </is>
      </c>
      <c r="E78" t="inlineStr">
        <is>
          <t>USD m</t>
        </is>
      </c>
      <c r="F78" s="20">
        <f>SUMPRODUCT(Operations!$J$332:$AU$332,Operations!$J$333:$AU$333,Returns!$J$24:$AU$24)</f>
        <v/>
      </c>
    </row>
    <row r="79">
      <c r="D79" t="inlineStr">
        <is>
          <t>R7 value: hedged</t>
        </is>
      </c>
      <c r="E79" t="inlineStr">
        <is>
          <t>USD m</t>
        </is>
      </c>
      <c r="F79" s="20">
        <f>SUMPRODUCT(Operations!$J$332:$AU$332,Operations!$J$334:$AU$334,Returns!$J$25:$AU$25)</f>
        <v/>
      </c>
    </row>
    <row r="80">
      <c r="D80" t="inlineStr">
        <is>
          <t>R7 value: merchant</t>
        </is>
      </c>
      <c r="E80" t="inlineStr">
        <is>
          <t>USD m</t>
        </is>
      </c>
      <c r="F80" s="20">
        <f>SUMPRODUCT(Operations!$J$332:$AU$332,Operations!$J$335:$AU$335,Returns!$J$27:$AU$27)</f>
        <v/>
      </c>
    </row>
    <row r="81">
      <c r="D81" t="inlineStr">
        <is>
          <t>R7 value: total</t>
        </is>
      </c>
      <c r="E81" t="inlineStr">
        <is>
          <t>USD m</t>
        </is>
      </c>
      <c r="F81" s="20">
        <f>Returns!$F$78+Returns!$F$79+Returns!$F$80</f>
        <v/>
      </c>
    </row>
    <row r="82">
      <c r="D82" t="inlineStr">
        <is>
          <t>R8 value: contracted</t>
        </is>
      </c>
      <c r="E82" t="inlineStr">
        <is>
          <t>USD m</t>
        </is>
      </c>
      <c r="F82" s="20">
        <f>SUMPRODUCT(Operations!$J$374:$AU$374,Operations!$J$375:$AU$375,Returns!$J$24:$AU$24)</f>
        <v/>
      </c>
    </row>
    <row r="83">
      <c r="D83" t="inlineStr">
        <is>
          <t>R8 value: hedged</t>
        </is>
      </c>
      <c r="E83" t="inlineStr">
        <is>
          <t>USD m</t>
        </is>
      </c>
      <c r="F83" s="20">
        <f>SUMPRODUCT(Operations!$J$374:$AU$374,Operations!$J$376:$AU$376,Returns!$J$25:$AU$25)</f>
        <v/>
      </c>
    </row>
    <row r="84">
      <c r="D84" t="inlineStr">
        <is>
          <t>R8 value: merchant</t>
        </is>
      </c>
      <c r="E84" t="inlineStr">
        <is>
          <t>USD m</t>
        </is>
      </c>
      <c r="F84" s="20">
        <f>SUMPRODUCT(Operations!$J$374:$AU$374,Operations!$J$377:$AU$377,Returns!$J$26:$AU$26)</f>
        <v/>
      </c>
    </row>
    <row r="85">
      <c r="D85" t="inlineStr">
        <is>
          <t>R8 value: total</t>
        </is>
      </c>
      <c r="E85" t="inlineStr">
        <is>
          <t>USD m</t>
        </is>
      </c>
      <c r="F85" s="20">
        <f>Returns!$F$82+Returns!$F$83+Returns!$F$84</f>
        <v/>
      </c>
    </row>
    <row r="86">
      <c r="D86" t="inlineStr">
        <is>
          <t>Years from signing to R7 COD</t>
        </is>
      </c>
      <c r="E86" t="inlineStr">
        <is>
          <t>years</t>
        </is>
      </c>
      <c r="F86" s="14">
        <f>(Inputs!$F$156-Inputs!$F$262)/Inputs!$F$27</f>
        <v/>
      </c>
    </row>
    <row r="87">
      <c r="D87" t="inlineStr">
        <is>
          <t>Years from signing to R8 COD</t>
        </is>
      </c>
      <c r="E87" t="inlineStr">
        <is>
          <t>years</t>
        </is>
      </c>
      <c r="F87" s="14">
        <f>(Inputs!$F$168-Inputs!$F$262)/Inputs!$F$27</f>
        <v/>
      </c>
    </row>
    <row r="88">
      <c r="D88" t="inlineStr">
        <is>
          <t>PV of ITC transfer proceeds</t>
        </is>
      </c>
      <c r="E88" t="inlineStr">
        <is>
          <t>USD m</t>
        </is>
      </c>
      <c r="F88" s="20">
        <f>Funding!$F$156*(1+Inputs!$F$330/100)^(-Returns!$F$86)+Funding!$F$157*(1+Inputs!$F$330/100)^(-Returns!$F$87)</f>
        <v/>
      </c>
    </row>
    <row r="89">
      <c r="D89" t="inlineStr">
        <is>
          <t>Tax shield on R7 and R8 basis</t>
        </is>
      </c>
      <c r="E89" t="inlineStr">
        <is>
          <t>USD m</t>
        </is>
      </c>
      <c r="F89" s="20">
        <f>Inputs!$F$241/100*SUMPRODUCT(Tax!$J$20:$AU$20+Tax!$J$23:$AU$23,Returns!$J$28:$AU$28)</f>
        <v/>
      </c>
    </row>
    <row r="90">
      <c r="D90" t="inlineStr">
        <is>
          <t>A3 value</t>
        </is>
      </c>
      <c r="E90" t="inlineStr">
        <is>
          <t>USD m</t>
        </is>
      </c>
      <c r="F90" s="20">
        <f>Returns!$F$81+Returns!$F$85+Returns!$F$88+Returns!$F$89</f>
        <v/>
      </c>
    </row>
    <row r="91">
      <c r="D91" t="inlineStr">
        <is>
          <t>PV of A3 price payments</t>
        </is>
      </c>
      <c r="E91" t="inlineStr">
        <is>
          <t>USD m</t>
        </is>
      </c>
      <c r="F91" s="20">
        <f>Funding!$F$154+Inputs!$F$263*(1+Inputs!$F$330/100)^(-Returns!$F$86)+(Inputs!$F$264-Funding!$F$154)*(1+Inputs!$F$330/100)^(-Returns!$F$87)</f>
        <v/>
      </c>
    </row>
    <row r="92">
      <c r="D92" t="inlineStr">
        <is>
          <t>Value less PV of price</t>
        </is>
      </c>
      <c r="E92" t="inlineStr">
        <is>
          <t>USD m</t>
        </is>
      </c>
      <c r="F92" s="20">
        <f>Returns!$F$90-Returns!$F$91</f>
        <v/>
      </c>
    </row>
    <row r="94">
      <c r="A94" s="4" t="inlineStr">
        <is>
          <t>Fund cash flows (gross of fund fees and carry)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</row>
    <row r="95">
      <c r="D95" t="inlineStr">
        <is>
          <t>Years from NAV date</t>
        </is>
      </c>
      <c r="E95" t="inlineStr">
        <is>
          <t>years</t>
        </is>
      </c>
      <c r="J95" s="14">
        <f>MAX(0,(Time!J$6-Inputs!$F$340)/Inputs!$F$27)</f>
        <v/>
      </c>
      <c r="K95" s="14">
        <f>MAX(0,(Time!K$6-Inputs!$F$340)/Inputs!$F$27)</f>
        <v/>
      </c>
      <c r="L95" s="14">
        <f>MAX(0,(Time!L$6-Inputs!$F$340)/Inputs!$F$27)</f>
        <v/>
      </c>
      <c r="M95" s="14">
        <f>MAX(0,(Time!M$6-Inputs!$F$340)/Inputs!$F$27)</f>
        <v/>
      </c>
      <c r="N95" s="14">
        <f>MAX(0,(Time!N$6-Inputs!$F$340)/Inputs!$F$27)</f>
        <v/>
      </c>
      <c r="O95" s="14">
        <f>MAX(0,(Time!O$6-Inputs!$F$340)/Inputs!$F$27)</f>
        <v/>
      </c>
      <c r="P95" s="14">
        <f>MAX(0,(Time!P$6-Inputs!$F$340)/Inputs!$F$27)</f>
        <v/>
      </c>
      <c r="Q95" s="14">
        <f>MAX(0,(Time!Q$6-Inputs!$F$340)/Inputs!$F$27)</f>
        <v/>
      </c>
      <c r="R95" s="14">
        <f>MAX(0,(Time!R$6-Inputs!$F$340)/Inputs!$F$27)</f>
        <v/>
      </c>
      <c r="S95" s="14">
        <f>MAX(0,(Time!S$6-Inputs!$F$340)/Inputs!$F$27)</f>
        <v/>
      </c>
      <c r="T95" s="14">
        <f>MAX(0,(Time!T$6-Inputs!$F$340)/Inputs!$F$27)</f>
        <v/>
      </c>
      <c r="U95" s="14">
        <f>MAX(0,(Time!U$6-Inputs!$F$340)/Inputs!$F$27)</f>
        <v/>
      </c>
      <c r="V95" s="14">
        <f>MAX(0,(Time!V$6-Inputs!$F$340)/Inputs!$F$27)</f>
        <v/>
      </c>
      <c r="W95" s="14">
        <f>MAX(0,(Time!W$6-Inputs!$F$340)/Inputs!$F$27)</f>
        <v/>
      </c>
      <c r="X95" s="14">
        <f>MAX(0,(Time!X$6-Inputs!$F$340)/Inputs!$F$27)</f>
        <v/>
      </c>
      <c r="Y95" s="14">
        <f>MAX(0,(Time!Y$6-Inputs!$F$340)/Inputs!$F$27)</f>
        <v/>
      </c>
      <c r="Z95" s="14">
        <f>MAX(0,(Time!Z$6-Inputs!$F$340)/Inputs!$F$27)</f>
        <v/>
      </c>
      <c r="AA95" s="14">
        <f>MAX(0,(Time!AA$6-Inputs!$F$340)/Inputs!$F$27)</f>
        <v/>
      </c>
      <c r="AB95" s="14">
        <f>MAX(0,(Time!AB$6-Inputs!$F$340)/Inputs!$F$27)</f>
        <v/>
      </c>
      <c r="AC95" s="14">
        <f>MAX(0,(Time!AC$6-Inputs!$F$340)/Inputs!$F$27)</f>
        <v/>
      </c>
      <c r="AD95" s="14">
        <f>MAX(0,(Time!AD$6-Inputs!$F$340)/Inputs!$F$27)</f>
        <v/>
      </c>
      <c r="AE95" s="14">
        <f>MAX(0,(Time!AE$6-Inputs!$F$340)/Inputs!$F$27)</f>
        <v/>
      </c>
      <c r="AF95" s="14">
        <f>MAX(0,(Time!AF$6-Inputs!$F$340)/Inputs!$F$27)</f>
        <v/>
      </c>
      <c r="AG95" s="14">
        <f>MAX(0,(Time!AG$6-Inputs!$F$340)/Inputs!$F$27)</f>
        <v/>
      </c>
      <c r="AH95" s="14">
        <f>MAX(0,(Time!AH$6-Inputs!$F$340)/Inputs!$F$27)</f>
        <v/>
      </c>
      <c r="AI95" s="14">
        <f>MAX(0,(Time!AI$6-Inputs!$F$340)/Inputs!$F$27)</f>
        <v/>
      </c>
      <c r="AJ95" s="14">
        <f>MAX(0,(Time!AJ$6-Inputs!$F$340)/Inputs!$F$27)</f>
        <v/>
      </c>
      <c r="AK95" s="14">
        <f>MAX(0,(Time!AK$6-Inputs!$F$340)/Inputs!$F$27)</f>
        <v/>
      </c>
      <c r="AL95" s="14">
        <f>MAX(0,(Time!AL$6-Inputs!$F$340)/Inputs!$F$27)</f>
        <v/>
      </c>
      <c r="AM95" s="14">
        <f>MAX(0,(Time!AM$6-Inputs!$F$340)/Inputs!$F$27)</f>
        <v/>
      </c>
      <c r="AN95" s="14">
        <f>MAX(0,(Time!AN$6-Inputs!$F$340)/Inputs!$F$27)</f>
        <v/>
      </c>
      <c r="AO95" s="14">
        <f>MAX(0,(Time!AO$6-Inputs!$F$340)/Inputs!$F$27)</f>
        <v/>
      </c>
      <c r="AP95" s="14">
        <f>MAX(0,(Time!AP$6-Inputs!$F$340)/Inputs!$F$27)</f>
        <v/>
      </c>
      <c r="AQ95" s="14">
        <f>MAX(0,(Time!AQ$6-Inputs!$F$340)/Inputs!$F$27)</f>
        <v/>
      </c>
      <c r="AR95" s="14">
        <f>MAX(0,(Time!AR$6-Inputs!$F$340)/Inputs!$F$27)</f>
        <v/>
      </c>
      <c r="AS95" s="14">
        <f>MAX(0,(Time!AS$6-Inputs!$F$340)/Inputs!$F$27)</f>
        <v/>
      </c>
      <c r="AT95" s="14">
        <f>MAX(0,(Time!AT$6-Inputs!$F$340)/Inputs!$F$27)</f>
        <v/>
      </c>
      <c r="AU95" s="14">
        <f>MAX(0,(Time!AU$6-Inputs!$F$340)/Inputs!$F$27)</f>
        <v/>
      </c>
    </row>
    <row r="96">
      <c r="D96" t="inlineStr">
        <is>
          <t>NAV discount factor (levered rates by portfolio bucket, after NAV date)</t>
        </is>
      </c>
      <c r="E96" t="inlineStr">
        <is>
          <t>factor</t>
        </is>
      </c>
      <c r="J96" s="14">
        <f>(Time!J$6&gt;Inputs!$F$340)*(Operations!J409*(1+Inputs!$F$336/100)^(-Returns!J95)+Operations!J410*(1+Inputs!$F$337/100)^(-Returns!J95)+Operations!J411*(1+Inputs!$F$338/100)^(-Returns!J95))</f>
        <v/>
      </c>
      <c r="K96" s="14">
        <f>(Time!K$6&gt;Inputs!$F$340)*(Operations!K409*(1+Inputs!$F$336/100)^(-Returns!K95)+Operations!K410*(1+Inputs!$F$337/100)^(-Returns!K95)+Operations!K411*(1+Inputs!$F$338/100)^(-Returns!K95))</f>
        <v/>
      </c>
      <c r="L96" s="14">
        <f>(Time!L$6&gt;Inputs!$F$340)*(Operations!L409*(1+Inputs!$F$336/100)^(-Returns!L95)+Operations!L410*(1+Inputs!$F$337/100)^(-Returns!L95)+Operations!L411*(1+Inputs!$F$338/100)^(-Returns!L95))</f>
        <v/>
      </c>
      <c r="M96" s="14">
        <f>(Time!M$6&gt;Inputs!$F$340)*(Operations!M409*(1+Inputs!$F$336/100)^(-Returns!M95)+Operations!M410*(1+Inputs!$F$337/100)^(-Returns!M95)+Operations!M411*(1+Inputs!$F$338/100)^(-Returns!M95))</f>
        <v/>
      </c>
      <c r="N96" s="14">
        <f>(Time!N$6&gt;Inputs!$F$340)*(Operations!N409*(1+Inputs!$F$336/100)^(-Returns!N95)+Operations!N410*(1+Inputs!$F$337/100)^(-Returns!N95)+Operations!N411*(1+Inputs!$F$338/100)^(-Returns!N95))</f>
        <v/>
      </c>
      <c r="O96" s="14">
        <f>(Time!O$6&gt;Inputs!$F$340)*(Operations!O409*(1+Inputs!$F$336/100)^(-Returns!O95)+Operations!O410*(1+Inputs!$F$337/100)^(-Returns!O95)+Operations!O411*(1+Inputs!$F$338/100)^(-Returns!O95))</f>
        <v/>
      </c>
      <c r="P96" s="14">
        <f>(Time!P$6&gt;Inputs!$F$340)*(Operations!P409*(1+Inputs!$F$336/100)^(-Returns!P95)+Operations!P410*(1+Inputs!$F$337/100)^(-Returns!P95)+Operations!P411*(1+Inputs!$F$338/100)^(-Returns!P95))</f>
        <v/>
      </c>
      <c r="Q96" s="14">
        <f>(Time!Q$6&gt;Inputs!$F$340)*(Operations!Q409*(1+Inputs!$F$336/100)^(-Returns!Q95)+Operations!Q410*(1+Inputs!$F$337/100)^(-Returns!Q95)+Operations!Q411*(1+Inputs!$F$338/100)^(-Returns!Q95))</f>
        <v/>
      </c>
      <c r="R96" s="14">
        <f>(Time!R$6&gt;Inputs!$F$340)*(Operations!R409*(1+Inputs!$F$336/100)^(-Returns!R95)+Operations!R410*(1+Inputs!$F$337/100)^(-Returns!R95)+Operations!R411*(1+Inputs!$F$338/100)^(-Returns!R95))</f>
        <v/>
      </c>
      <c r="S96" s="14">
        <f>(Time!S$6&gt;Inputs!$F$340)*(Operations!S409*(1+Inputs!$F$336/100)^(-Returns!S95)+Operations!S410*(1+Inputs!$F$337/100)^(-Returns!S95)+Operations!S411*(1+Inputs!$F$338/100)^(-Returns!S95))</f>
        <v/>
      </c>
      <c r="T96" s="14">
        <f>(Time!T$6&gt;Inputs!$F$340)*(Operations!T409*(1+Inputs!$F$336/100)^(-Returns!T95)+Operations!T410*(1+Inputs!$F$337/100)^(-Returns!T95)+Operations!T411*(1+Inputs!$F$338/100)^(-Returns!T95))</f>
        <v/>
      </c>
      <c r="U96" s="14">
        <f>(Time!U$6&gt;Inputs!$F$340)*(Operations!U409*(1+Inputs!$F$336/100)^(-Returns!U95)+Operations!U410*(1+Inputs!$F$337/100)^(-Returns!U95)+Operations!U411*(1+Inputs!$F$338/100)^(-Returns!U95))</f>
        <v/>
      </c>
      <c r="V96" s="14">
        <f>(Time!V$6&gt;Inputs!$F$340)*(Operations!V409*(1+Inputs!$F$336/100)^(-Returns!V95)+Operations!V410*(1+Inputs!$F$337/100)^(-Returns!V95)+Operations!V411*(1+Inputs!$F$338/100)^(-Returns!V95))</f>
        <v/>
      </c>
      <c r="W96" s="14">
        <f>(Time!W$6&gt;Inputs!$F$340)*(Operations!W409*(1+Inputs!$F$336/100)^(-Returns!W95)+Operations!W410*(1+Inputs!$F$337/100)^(-Returns!W95)+Operations!W411*(1+Inputs!$F$338/100)^(-Returns!W95))</f>
        <v/>
      </c>
      <c r="X96" s="14">
        <f>(Time!X$6&gt;Inputs!$F$340)*(Operations!X409*(1+Inputs!$F$336/100)^(-Returns!X95)+Operations!X410*(1+Inputs!$F$337/100)^(-Returns!X95)+Operations!X411*(1+Inputs!$F$338/100)^(-Returns!X95))</f>
        <v/>
      </c>
      <c r="Y96" s="14">
        <f>(Time!Y$6&gt;Inputs!$F$340)*(Operations!Y409*(1+Inputs!$F$336/100)^(-Returns!Y95)+Operations!Y410*(1+Inputs!$F$337/100)^(-Returns!Y95)+Operations!Y411*(1+Inputs!$F$338/100)^(-Returns!Y95))</f>
        <v/>
      </c>
      <c r="Z96" s="14">
        <f>(Time!Z$6&gt;Inputs!$F$340)*(Operations!Z409*(1+Inputs!$F$336/100)^(-Returns!Z95)+Operations!Z410*(1+Inputs!$F$337/100)^(-Returns!Z95)+Operations!Z411*(1+Inputs!$F$338/100)^(-Returns!Z95))</f>
        <v/>
      </c>
      <c r="AA96" s="14">
        <f>(Time!AA$6&gt;Inputs!$F$340)*(Operations!AA409*(1+Inputs!$F$336/100)^(-Returns!AA95)+Operations!AA410*(1+Inputs!$F$337/100)^(-Returns!AA95)+Operations!AA411*(1+Inputs!$F$338/100)^(-Returns!AA95))</f>
        <v/>
      </c>
      <c r="AB96" s="14">
        <f>(Time!AB$6&gt;Inputs!$F$340)*(Operations!AB409*(1+Inputs!$F$336/100)^(-Returns!AB95)+Operations!AB410*(1+Inputs!$F$337/100)^(-Returns!AB95)+Operations!AB411*(1+Inputs!$F$338/100)^(-Returns!AB95))</f>
        <v/>
      </c>
      <c r="AC96" s="14">
        <f>(Time!AC$6&gt;Inputs!$F$340)*(Operations!AC409*(1+Inputs!$F$336/100)^(-Returns!AC95)+Operations!AC410*(1+Inputs!$F$337/100)^(-Returns!AC95)+Operations!AC411*(1+Inputs!$F$338/100)^(-Returns!AC95))</f>
        <v/>
      </c>
      <c r="AD96" s="14">
        <f>(Time!AD$6&gt;Inputs!$F$340)*(Operations!AD409*(1+Inputs!$F$336/100)^(-Returns!AD95)+Operations!AD410*(1+Inputs!$F$337/100)^(-Returns!AD95)+Operations!AD411*(1+Inputs!$F$338/100)^(-Returns!AD95))</f>
        <v/>
      </c>
      <c r="AE96" s="14">
        <f>(Time!AE$6&gt;Inputs!$F$340)*(Operations!AE409*(1+Inputs!$F$336/100)^(-Returns!AE95)+Operations!AE410*(1+Inputs!$F$337/100)^(-Returns!AE95)+Operations!AE411*(1+Inputs!$F$338/100)^(-Returns!AE95))</f>
        <v/>
      </c>
      <c r="AF96" s="14">
        <f>(Time!AF$6&gt;Inputs!$F$340)*(Operations!AF409*(1+Inputs!$F$336/100)^(-Returns!AF95)+Operations!AF410*(1+Inputs!$F$337/100)^(-Returns!AF95)+Operations!AF411*(1+Inputs!$F$338/100)^(-Returns!AF95))</f>
        <v/>
      </c>
      <c r="AG96" s="14">
        <f>(Time!AG$6&gt;Inputs!$F$340)*(Operations!AG409*(1+Inputs!$F$336/100)^(-Returns!AG95)+Operations!AG410*(1+Inputs!$F$337/100)^(-Returns!AG95)+Operations!AG411*(1+Inputs!$F$338/100)^(-Returns!AG95))</f>
        <v/>
      </c>
      <c r="AH96" s="14">
        <f>(Time!AH$6&gt;Inputs!$F$340)*(Operations!AH409*(1+Inputs!$F$336/100)^(-Returns!AH95)+Operations!AH410*(1+Inputs!$F$337/100)^(-Returns!AH95)+Operations!AH411*(1+Inputs!$F$338/100)^(-Returns!AH95))</f>
        <v/>
      </c>
      <c r="AI96" s="14">
        <f>(Time!AI$6&gt;Inputs!$F$340)*(Operations!AI409*(1+Inputs!$F$336/100)^(-Returns!AI95)+Operations!AI410*(1+Inputs!$F$337/100)^(-Returns!AI95)+Operations!AI411*(1+Inputs!$F$338/100)^(-Returns!AI95))</f>
        <v/>
      </c>
      <c r="AJ96" s="14">
        <f>(Time!AJ$6&gt;Inputs!$F$340)*(Operations!AJ409*(1+Inputs!$F$336/100)^(-Returns!AJ95)+Operations!AJ410*(1+Inputs!$F$337/100)^(-Returns!AJ95)+Operations!AJ411*(1+Inputs!$F$338/100)^(-Returns!AJ95))</f>
        <v/>
      </c>
      <c r="AK96" s="14">
        <f>(Time!AK$6&gt;Inputs!$F$340)*(Operations!AK409*(1+Inputs!$F$336/100)^(-Returns!AK95)+Operations!AK410*(1+Inputs!$F$337/100)^(-Returns!AK95)+Operations!AK411*(1+Inputs!$F$338/100)^(-Returns!AK95))</f>
        <v/>
      </c>
      <c r="AL96" s="14">
        <f>(Time!AL$6&gt;Inputs!$F$340)*(Operations!AL409*(1+Inputs!$F$336/100)^(-Returns!AL95)+Operations!AL410*(1+Inputs!$F$337/100)^(-Returns!AL95)+Operations!AL411*(1+Inputs!$F$338/100)^(-Returns!AL95))</f>
        <v/>
      </c>
      <c r="AM96" s="14">
        <f>(Time!AM$6&gt;Inputs!$F$340)*(Operations!AM409*(1+Inputs!$F$336/100)^(-Returns!AM95)+Operations!AM410*(1+Inputs!$F$337/100)^(-Returns!AM95)+Operations!AM411*(1+Inputs!$F$338/100)^(-Returns!AM95))</f>
        <v/>
      </c>
      <c r="AN96" s="14">
        <f>(Time!AN$6&gt;Inputs!$F$340)*(Operations!AN409*(1+Inputs!$F$336/100)^(-Returns!AN95)+Operations!AN410*(1+Inputs!$F$337/100)^(-Returns!AN95)+Operations!AN411*(1+Inputs!$F$338/100)^(-Returns!AN95))</f>
        <v/>
      </c>
      <c r="AO96" s="14">
        <f>(Time!AO$6&gt;Inputs!$F$340)*(Operations!AO409*(1+Inputs!$F$336/100)^(-Returns!AO95)+Operations!AO410*(1+Inputs!$F$337/100)^(-Returns!AO95)+Operations!AO411*(1+Inputs!$F$338/100)^(-Returns!AO95))</f>
        <v/>
      </c>
      <c r="AP96" s="14">
        <f>(Time!AP$6&gt;Inputs!$F$340)*(Operations!AP409*(1+Inputs!$F$336/100)^(-Returns!AP95)+Operations!AP410*(1+Inputs!$F$337/100)^(-Returns!AP95)+Operations!AP411*(1+Inputs!$F$338/100)^(-Returns!AP95))</f>
        <v/>
      </c>
      <c r="AQ96" s="14">
        <f>(Time!AQ$6&gt;Inputs!$F$340)*(Operations!AQ409*(1+Inputs!$F$336/100)^(-Returns!AQ95)+Operations!AQ410*(1+Inputs!$F$337/100)^(-Returns!AQ95)+Operations!AQ411*(1+Inputs!$F$338/100)^(-Returns!AQ95))</f>
        <v/>
      </c>
      <c r="AR96" s="14">
        <f>(Time!AR$6&gt;Inputs!$F$340)*(Operations!AR409*(1+Inputs!$F$336/100)^(-Returns!AR95)+Operations!AR410*(1+Inputs!$F$337/100)^(-Returns!AR95)+Operations!AR411*(1+Inputs!$F$338/100)^(-Returns!AR95))</f>
        <v/>
      </c>
      <c r="AS96" s="14">
        <f>(Time!AS$6&gt;Inputs!$F$340)*(Operations!AS409*(1+Inputs!$F$336/100)^(-Returns!AS95)+Operations!AS410*(1+Inputs!$F$337/100)^(-Returns!AS95)+Operations!AS411*(1+Inputs!$F$338/100)^(-Returns!AS95))</f>
        <v/>
      </c>
      <c r="AT96" s="14">
        <f>(Time!AT$6&gt;Inputs!$F$340)*(Operations!AT409*(1+Inputs!$F$336/100)^(-Returns!AT95)+Operations!AT410*(1+Inputs!$F$337/100)^(-Returns!AT95)+Operations!AT411*(1+Inputs!$F$338/100)^(-Returns!AT95))</f>
        <v/>
      </c>
      <c r="AU96" s="14">
        <f>(Time!AU$6&gt;Inputs!$F$340)*(Operations!AU409*(1+Inputs!$F$336/100)^(-Returns!AU95)+Operations!AU410*(1+Inputs!$F$337/100)^(-Returns!AU95)+Operations!AU411*(1+Inputs!$F$338/100)^(-Returns!AU95))</f>
        <v/>
      </c>
    </row>
    <row r="97">
      <c r="D97" t="inlineStr">
        <is>
          <t>NAV before floor</t>
        </is>
      </c>
      <c r="E97" t="inlineStr">
        <is>
          <t>USD m</t>
        </is>
      </c>
      <c r="F97" s="20">
        <f>SUMPRODUCT(Waterfall!$J$22:$AU$22,Returns!$J$96:$AU$96)</f>
        <v/>
      </c>
    </row>
    <row r="98">
      <c r="D98" t="inlineStr">
        <is>
          <t>NAV at December 31, 2025 (floored at zero)</t>
        </is>
      </c>
      <c r="E98" t="inlineStr">
        <is>
          <t>USD m</t>
        </is>
      </c>
      <c r="F98" s="20">
        <f>MAX(0,Returns!$F$97)</f>
        <v/>
      </c>
    </row>
    <row r="99">
      <c r="D99" t="inlineStr">
        <is>
          <t>Fund equity contributed</t>
        </is>
      </c>
      <c r="E99" t="inlineStr">
        <is>
          <t>USD m</t>
        </is>
      </c>
      <c r="F99" s="20">
        <f>Funding!$F$150+Funding!$F$153+Funding!$F$168</f>
        <v/>
      </c>
    </row>
    <row r="100">
      <c r="D100" t="inlineStr">
        <is>
          <t>Fund distributions, life</t>
        </is>
      </c>
      <c r="E100" t="inlineStr">
        <is>
          <t>USD m</t>
        </is>
      </c>
      <c r="F100" s="20">
        <f>SUM(Waterfall!$J$22:$AU$22)</f>
        <v/>
      </c>
    </row>
    <row r="101">
      <c r="D101" t="inlineStr">
        <is>
          <t>Fund distributions to 2025</t>
        </is>
      </c>
      <c r="E101" t="inlineStr">
        <is>
          <t>USD m</t>
        </is>
      </c>
      <c r="F101" s="20">
        <f>SUMIF(Time!$J$4:$AU$4,"&lt;="&amp;Inputs!$F$307,Waterfall!$J$22:$AU$22)</f>
        <v/>
      </c>
    </row>
    <row r="102">
      <c r="D102" t="inlineStr">
        <is>
          <t>Lifetime multiple</t>
        </is>
      </c>
      <c r="E102" t="inlineStr">
        <is>
          <t>x</t>
        </is>
      </c>
      <c r="F102" s="22">
        <f>Returns!$F$100/Returns!$F$99</f>
        <v/>
      </c>
    </row>
    <row r="103">
      <c r="D103" t="inlineStr">
        <is>
          <t>Multiple to 2025 including NAV</t>
        </is>
      </c>
      <c r="E103" t="inlineStr">
        <is>
          <t>x</t>
        </is>
      </c>
      <c r="F103" s="22">
        <f>(Returns!$F$101+Returns!$F$98)/Returns!$F$99</f>
        <v/>
      </c>
    </row>
    <row r="105">
      <c r="D105" s="23" t="inlineStr">
        <is>
          <t>Dated fund cash flows (life)</t>
        </is>
      </c>
      <c r="E105" t="inlineStr">
        <is>
          <t>Date</t>
        </is>
      </c>
      <c r="F105" t="inlineStr">
        <is>
          <t>USD m</t>
        </is>
      </c>
      <c r="G105" t="inlineStr">
        <is>
          <t>To 2025 incl. NAV</t>
        </is>
      </c>
    </row>
    <row r="106">
      <c r="D106" t="inlineStr">
        <is>
          <t>A1 equity</t>
        </is>
      </c>
      <c r="E106" s="13">
        <f>Inputs!$F$256</f>
        <v/>
      </c>
      <c r="F106" s="20">
        <f>-Funding!$F$150</f>
        <v/>
      </c>
      <c r="G106" s="20">
        <f>F106</f>
        <v/>
      </c>
    </row>
    <row r="107">
      <c r="D107" t="inlineStr">
        <is>
          <t>A2 equity</t>
        </is>
      </c>
      <c r="E107" s="13">
        <f>Inputs!$F$259</f>
        <v/>
      </c>
      <c r="F107" s="20">
        <f>-Funding!$F$153</f>
        <v/>
      </c>
      <c r="G107" s="20">
        <f>F107</f>
        <v/>
      </c>
    </row>
    <row r="108">
      <c r="D108" t="inlineStr">
        <is>
          <t>A3 equity at signing</t>
        </is>
      </c>
      <c r="E108" s="13">
        <f>Inputs!$F$262</f>
        <v/>
      </c>
      <c r="F108" s="20">
        <f>-Funding!$F$159</f>
        <v/>
      </c>
      <c r="G108" s="20">
        <f>F108</f>
        <v/>
      </c>
    </row>
    <row r="109">
      <c r="D109" t="inlineStr">
        <is>
          <t>A3 equity at R7 COD</t>
        </is>
      </c>
      <c r="E109" s="13">
        <f>Inputs!$F$156</f>
        <v/>
      </c>
      <c r="F109" s="20">
        <f>-Funding!$F$162</f>
        <v/>
      </c>
      <c r="G109" s="20">
        <f>F109</f>
        <v/>
      </c>
    </row>
    <row r="110">
      <c r="D110" t="inlineStr">
        <is>
          <t>A3 equity at R8 COD (net of cash returned)</t>
        </is>
      </c>
      <c r="E110" s="13">
        <f>Inputs!$F$168</f>
        <v/>
      </c>
      <c r="F110" s="20">
        <f>-Funding!$F$165+Funding!$F$166</f>
        <v/>
      </c>
      <c r="G110" s="20">
        <f>F110</f>
        <v/>
      </c>
    </row>
    <row r="111">
      <c r="C111" t="n">
        <v>1</v>
      </c>
      <c r="D111" t="inlineStr">
        <is>
          <t>Distribution, year 2022</t>
        </is>
      </c>
      <c r="E111" s="13">
        <f>INDEX(Time!$J$6:$AU$6,C111)</f>
        <v/>
      </c>
      <c r="F111" s="20">
        <f>INDEX(Waterfall!$J$22:$AU$22,C111)</f>
        <v/>
      </c>
      <c r="G111" s="20">
        <f>IF(YEAR(E111)&lt;Inputs!$F$307,F111,IF(YEAR(E111)=Inputs!$F$307,F111+Returns!$F$98,0))</f>
        <v/>
      </c>
    </row>
    <row r="112">
      <c r="C112" t="n">
        <v>2</v>
      </c>
      <c r="D112" t="inlineStr">
        <is>
          <t>Distribution, year 2023</t>
        </is>
      </c>
      <c r="E112" s="13">
        <f>INDEX(Time!$J$6:$AU$6,C112)</f>
        <v/>
      </c>
      <c r="F112" s="20">
        <f>INDEX(Waterfall!$J$22:$AU$22,C112)</f>
        <v/>
      </c>
      <c r="G112" s="20">
        <f>IF(YEAR(E112)&lt;Inputs!$F$307,F112,IF(YEAR(E112)=Inputs!$F$307,F112+Returns!$F$98,0))</f>
        <v/>
      </c>
    </row>
    <row r="113">
      <c r="C113" t="n">
        <v>3</v>
      </c>
      <c r="D113" t="inlineStr">
        <is>
          <t>Distribution, year 2024</t>
        </is>
      </c>
      <c r="E113" s="13">
        <f>INDEX(Time!$J$6:$AU$6,C113)</f>
        <v/>
      </c>
      <c r="F113" s="20">
        <f>INDEX(Waterfall!$J$22:$AU$22,C113)</f>
        <v/>
      </c>
      <c r="G113" s="20">
        <f>IF(YEAR(E113)&lt;Inputs!$F$307,F113,IF(YEAR(E113)=Inputs!$F$307,F113+Returns!$F$98,0))</f>
        <v/>
      </c>
    </row>
    <row r="114">
      <c r="C114" t="n">
        <v>4</v>
      </c>
      <c r="D114" t="inlineStr">
        <is>
          <t>Distribution, year 2025</t>
        </is>
      </c>
      <c r="E114" s="13">
        <f>INDEX(Time!$J$6:$AU$6,C114)</f>
        <v/>
      </c>
      <c r="F114" s="20">
        <f>INDEX(Waterfall!$J$22:$AU$22,C114)</f>
        <v/>
      </c>
      <c r="G114" s="20">
        <f>IF(YEAR(E114)&lt;Inputs!$F$307,F114,IF(YEAR(E114)=Inputs!$F$307,F114+Returns!$F$98,0))</f>
        <v/>
      </c>
    </row>
    <row r="115">
      <c r="C115" t="n">
        <v>5</v>
      </c>
      <c r="D115" t="inlineStr">
        <is>
          <t>Distribution, year 2026</t>
        </is>
      </c>
      <c r="E115" s="13">
        <f>INDEX(Time!$J$6:$AU$6,C115)</f>
        <v/>
      </c>
      <c r="F115" s="20">
        <f>INDEX(Waterfall!$J$22:$AU$22,C115)</f>
        <v/>
      </c>
      <c r="G115" s="20">
        <f>IF(YEAR(E115)&lt;Inputs!$F$307,F115,IF(YEAR(E115)=Inputs!$F$307,F115+Returns!$F$98,0))</f>
        <v/>
      </c>
    </row>
    <row r="116">
      <c r="C116" t="n">
        <v>6</v>
      </c>
      <c r="D116" t="inlineStr">
        <is>
          <t>Distribution, year 2027</t>
        </is>
      </c>
      <c r="E116" s="13">
        <f>INDEX(Time!$J$6:$AU$6,C116)</f>
        <v/>
      </c>
      <c r="F116" s="20">
        <f>INDEX(Waterfall!$J$22:$AU$22,C116)</f>
        <v/>
      </c>
      <c r="G116" s="20">
        <f>IF(YEAR(E116)&lt;Inputs!$F$307,F116,IF(YEAR(E116)=Inputs!$F$307,F116+Returns!$F$98,0))</f>
        <v/>
      </c>
    </row>
    <row r="117">
      <c r="C117" t="n">
        <v>7</v>
      </c>
      <c r="D117" t="inlineStr">
        <is>
          <t>Distribution, year 2028</t>
        </is>
      </c>
      <c r="E117" s="13">
        <f>INDEX(Time!$J$6:$AU$6,C117)</f>
        <v/>
      </c>
      <c r="F117" s="20">
        <f>INDEX(Waterfall!$J$22:$AU$22,C117)</f>
        <v/>
      </c>
      <c r="G117" s="20">
        <f>IF(YEAR(E117)&lt;Inputs!$F$307,F117,IF(YEAR(E117)=Inputs!$F$307,F117+Returns!$F$98,0))</f>
        <v/>
      </c>
    </row>
    <row r="118">
      <c r="C118" t="n">
        <v>8</v>
      </c>
      <c r="D118" t="inlineStr">
        <is>
          <t>Distribution, year 2029</t>
        </is>
      </c>
      <c r="E118" s="13">
        <f>INDEX(Time!$J$6:$AU$6,C118)</f>
        <v/>
      </c>
      <c r="F118" s="20">
        <f>INDEX(Waterfall!$J$22:$AU$22,C118)</f>
        <v/>
      </c>
      <c r="G118" s="20">
        <f>IF(YEAR(E118)&lt;Inputs!$F$307,F118,IF(YEAR(E118)=Inputs!$F$307,F118+Returns!$F$98,0))</f>
        <v/>
      </c>
    </row>
    <row r="119">
      <c r="C119" t="n">
        <v>9</v>
      </c>
      <c r="D119" t="inlineStr">
        <is>
          <t>Distribution, year 2030</t>
        </is>
      </c>
      <c r="E119" s="13">
        <f>INDEX(Time!$J$6:$AU$6,C119)</f>
        <v/>
      </c>
      <c r="F119" s="20">
        <f>INDEX(Waterfall!$J$22:$AU$22,C119)</f>
        <v/>
      </c>
      <c r="G119" s="20">
        <f>IF(YEAR(E119)&lt;Inputs!$F$307,F119,IF(YEAR(E119)=Inputs!$F$307,F119+Returns!$F$98,0))</f>
        <v/>
      </c>
    </row>
    <row r="120">
      <c r="C120" t="n">
        <v>10</v>
      </c>
      <c r="D120" t="inlineStr">
        <is>
          <t>Distribution, year 2031</t>
        </is>
      </c>
      <c r="E120" s="13">
        <f>INDEX(Time!$J$6:$AU$6,C120)</f>
        <v/>
      </c>
      <c r="F120" s="20">
        <f>INDEX(Waterfall!$J$22:$AU$22,C120)</f>
        <v/>
      </c>
      <c r="G120" s="20">
        <f>IF(YEAR(E120)&lt;Inputs!$F$307,F120,IF(YEAR(E120)=Inputs!$F$307,F120+Returns!$F$98,0))</f>
        <v/>
      </c>
    </row>
    <row r="121">
      <c r="C121" t="n">
        <v>11</v>
      </c>
      <c r="D121" t="inlineStr">
        <is>
          <t>Distribution, year 2032</t>
        </is>
      </c>
      <c r="E121" s="13">
        <f>INDEX(Time!$J$6:$AU$6,C121)</f>
        <v/>
      </c>
      <c r="F121" s="20">
        <f>INDEX(Waterfall!$J$22:$AU$22,C121)</f>
        <v/>
      </c>
      <c r="G121" s="20">
        <f>IF(YEAR(E121)&lt;Inputs!$F$307,F121,IF(YEAR(E121)=Inputs!$F$307,F121+Returns!$F$98,0))</f>
        <v/>
      </c>
    </row>
    <row r="122">
      <c r="C122" t="n">
        <v>12</v>
      </c>
      <c r="D122" t="inlineStr">
        <is>
          <t>Distribution, year 2033</t>
        </is>
      </c>
      <c r="E122" s="13">
        <f>INDEX(Time!$J$6:$AU$6,C122)</f>
        <v/>
      </c>
      <c r="F122" s="20">
        <f>INDEX(Waterfall!$J$22:$AU$22,C122)</f>
        <v/>
      </c>
      <c r="G122" s="20">
        <f>IF(YEAR(E122)&lt;Inputs!$F$307,F122,IF(YEAR(E122)=Inputs!$F$307,F122+Returns!$F$98,0))</f>
        <v/>
      </c>
    </row>
    <row r="123">
      <c r="C123" t="n">
        <v>13</v>
      </c>
      <c r="D123" t="inlineStr">
        <is>
          <t>Distribution, year 2034</t>
        </is>
      </c>
      <c r="E123" s="13">
        <f>INDEX(Time!$J$6:$AU$6,C123)</f>
        <v/>
      </c>
      <c r="F123" s="20">
        <f>INDEX(Waterfall!$J$22:$AU$22,C123)</f>
        <v/>
      </c>
      <c r="G123" s="20">
        <f>IF(YEAR(E123)&lt;Inputs!$F$307,F123,IF(YEAR(E123)=Inputs!$F$307,F123+Returns!$F$98,0))</f>
        <v/>
      </c>
    </row>
    <row r="124">
      <c r="C124" t="n">
        <v>14</v>
      </c>
      <c r="D124" t="inlineStr">
        <is>
          <t>Distribution, year 2035</t>
        </is>
      </c>
      <c r="E124" s="13">
        <f>INDEX(Time!$J$6:$AU$6,C124)</f>
        <v/>
      </c>
      <c r="F124" s="20">
        <f>INDEX(Waterfall!$J$22:$AU$22,C124)</f>
        <v/>
      </c>
      <c r="G124" s="20">
        <f>IF(YEAR(E124)&lt;Inputs!$F$307,F124,IF(YEAR(E124)=Inputs!$F$307,F124+Returns!$F$98,0))</f>
        <v/>
      </c>
    </row>
    <row r="125">
      <c r="C125" t="n">
        <v>15</v>
      </c>
      <c r="D125" t="inlineStr">
        <is>
          <t>Distribution, year 2036</t>
        </is>
      </c>
      <c r="E125" s="13">
        <f>INDEX(Time!$J$6:$AU$6,C125)</f>
        <v/>
      </c>
      <c r="F125" s="20">
        <f>INDEX(Waterfall!$J$22:$AU$22,C125)</f>
        <v/>
      </c>
      <c r="G125" s="20">
        <f>IF(YEAR(E125)&lt;Inputs!$F$307,F125,IF(YEAR(E125)=Inputs!$F$307,F125+Returns!$F$98,0))</f>
        <v/>
      </c>
    </row>
    <row r="126">
      <c r="C126" t="n">
        <v>16</v>
      </c>
      <c r="D126" t="inlineStr">
        <is>
          <t>Distribution, year 2037</t>
        </is>
      </c>
      <c r="E126" s="13">
        <f>INDEX(Time!$J$6:$AU$6,C126)</f>
        <v/>
      </c>
      <c r="F126" s="20">
        <f>INDEX(Waterfall!$J$22:$AU$22,C126)</f>
        <v/>
      </c>
      <c r="G126" s="20">
        <f>IF(YEAR(E126)&lt;Inputs!$F$307,F126,IF(YEAR(E126)=Inputs!$F$307,F126+Returns!$F$98,0))</f>
        <v/>
      </c>
    </row>
    <row r="127">
      <c r="C127" t="n">
        <v>17</v>
      </c>
      <c r="D127" t="inlineStr">
        <is>
          <t>Distribution, year 2038</t>
        </is>
      </c>
      <c r="E127" s="13">
        <f>INDEX(Time!$J$6:$AU$6,C127)</f>
        <v/>
      </c>
      <c r="F127" s="20">
        <f>INDEX(Waterfall!$J$22:$AU$22,C127)</f>
        <v/>
      </c>
      <c r="G127" s="20">
        <f>IF(YEAR(E127)&lt;Inputs!$F$307,F127,IF(YEAR(E127)=Inputs!$F$307,F127+Returns!$F$98,0))</f>
        <v/>
      </c>
    </row>
    <row r="128">
      <c r="C128" t="n">
        <v>18</v>
      </c>
      <c r="D128" t="inlineStr">
        <is>
          <t>Distribution, year 2039</t>
        </is>
      </c>
      <c r="E128" s="13">
        <f>INDEX(Time!$J$6:$AU$6,C128)</f>
        <v/>
      </c>
      <c r="F128" s="20">
        <f>INDEX(Waterfall!$J$22:$AU$22,C128)</f>
        <v/>
      </c>
      <c r="G128" s="20">
        <f>IF(YEAR(E128)&lt;Inputs!$F$307,F128,IF(YEAR(E128)=Inputs!$F$307,F128+Returns!$F$98,0))</f>
        <v/>
      </c>
    </row>
    <row r="129">
      <c r="C129" t="n">
        <v>19</v>
      </c>
      <c r="D129" t="inlineStr">
        <is>
          <t>Distribution, year 2040</t>
        </is>
      </c>
      <c r="E129" s="13">
        <f>INDEX(Time!$J$6:$AU$6,C129)</f>
        <v/>
      </c>
      <c r="F129" s="20">
        <f>INDEX(Waterfall!$J$22:$AU$22,C129)</f>
        <v/>
      </c>
      <c r="G129" s="20">
        <f>IF(YEAR(E129)&lt;Inputs!$F$307,F129,IF(YEAR(E129)=Inputs!$F$307,F129+Returns!$F$98,0))</f>
        <v/>
      </c>
    </row>
    <row r="130">
      <c r="C130" t="n">
        <v>20</v>
      </c>
      <c r="D130" t="inlineStr">
        <is>
          <t>Distribution, year 2041</t>
        </is>
      </c>
      <c r="E130" s="13">
        <f>INDEX(Time!$J$6:$AU$6,C130)</f>
        <v/>
      </c>
      <c r="F130" s="20">
        <f>INDEX(Waterfall!$J$22:$AU$22,C130)</f>
        <v/>
      </c>
      <c r="G130" s="20">
        <f>IF(YEAR(E130)&lt;Inputs!$F$307,F130,IF(YEAR(E130)=Inputs!$F$307,F130+Returns!$F$98,0))</f>
        <v/>
      </c>
    </row>
    <row r="131">
      <c r="C131" t="n">
        <v>21</v>
      </c>
      <c r="D131" t="inlineStr">
        <is>
          <t>Distribution, year 2042</t>
        </is>
      </c>
      <c r="E131" s="13">
        <f>INDEX(Time!$J$6:$AU$6,C131)</f>
        <v/>
      </c>
      <c r="F131" s="20">
        <f>INDEX(Waterfall!$J$22:$AU$22,C131)</f>
        <v/>
      </c>
      <c r="G131" s="20">
        <f>IF(YEAR(E131)&lt;Inputs!$F$307,F131,IF(YEAR(E131)=Inputs!$F$307,F131+Returns!$F$98,0))</f>
        <v/>
      </c>
    </row>
    <row r="132">
      <c r="C132" t="n">
        <v>22</v>
      </c>
      <c r="D132" t="inlineStr">
        <is>
          <t>Distribution, year 2043</t>
        </is>
      </c>
      <c r="E132" s="13">
        <f>INDEX(Time!$J$6:$AU$6,C132)</f>
        <v/>
      </c>
      <c r="F132" s="20">
        <f>INDEX(Waterfall!$J$22:$AU$22,C132)</f>
        <v/>
      </c>
      <c r="G132" s="20">
        <f>IF(YEAR(E132)&lt;Inputs!$F$307,F132,IF(YEAR(E132)=Inputs!$F$307,F132+Returns!$F$98,0))</f>
        <v/>
      </c>
    </row>
    <row r="133">
      <c r="C133" t="n">
        <v>23</v>
      </c>
      <c r="D133" t="inlineStr">
        <is>
          <t>Distribution, year 2044</t>
        </is>
      </c>
      <c r="E133" s="13">
        <f>INDEX(Time!$J$6:$AU$6,C133)</f>
        <v/>
      </c>
      <c r="F133" s="20">
        <f>INDEX(Waterfall!$J$22:$AU$22,C133)</f>
        <v/>
      </c>
      <c r="G133" s="20">
        <f>IF(YEAR(E133)&lt;Inputs!$F$307,F133,IF(YEAR(E133)=Inputs!$F$307,F133+Returns!$F$98,0))</f>
        <v/>
      </c>
    </row>
    <row r="134">
      <c r="C134" t="n">
        <v>24</v>
      </c>
      <c r="D134" t="inlineStr">
        <is>
          <t>Distribution, year 2045</t>
        </is>
      </c>
      <c r="E134" s="13">
        <f>INDEX(Time!$J$6:$AU$6,C134)</f>
        <v/>
      </c>
      <c r="F134" s="20">
        <f>INDEX(Waterfall!$J$22:$AU$22,C134)</f>
        <v/>
      </c>
      <c r="G134" s="20">
        <f>IF(YEAR(E134)&lt;Inputs!$F$307,F134,IF(YEAR(E134)=Inputs!$F$307,F134+Returns!$F$98,0))</f>
        <v/>
      </c>
    </row>
    <row r="135">
      <c r="C135" t="n">
        <v>25</v>
      </c>
      <c r="D135" t="inlineStr">
        <is>
          <t>Distribution, year 2046</t>
        </is>
      </c>
      <c r="E135" s="13">
        <f>INDEX(Time!$J$6:$AU$6,C135)</f>
        <v/>
      </c>
      <c r="F135" s="20">
        <f>INDEX(Waterfall!$J$22:$AU$22,C135)</f>
        <v/>
      </c>
      <c r="G135" s="20">
        <f>IF(YEAR(E135)&lt;Inputs!$F$307,F135,IF(YEAR(E135)=Inputs!$F$307,F135+Returns!$F$98,0))</f>
        <v/>
      </c>
    </row>
    <row r="136">
      <c r="C136" t="n">
        <v>26</v>
      </c>
      <c r="D136" t="inlineStr">
        <is>
          <t>Distribution, year 2047</t>
        </is>
      </c>
      <c r="E136" s="13">
        <f>INDEX(Time!$J$6:$AU$6,C136)</f>
        <v/>
      </c>
      <c r="F136" s="20">
        <f>INDEX(Waterfall!$J$22:$AU$22,C136)</f>
        <v/>
      </c>
      <c r="G136" s="20">
        <f>IF(YEAR(E136)&lt;Inputs!$F$307,F136,IF(YEAR(E136)=Inputs!$F$307,F136+Returns!$F$98,0))</f>
        <v/>
      </c>
    </row>
    <row r="137">
      <c r="C137" t="n">
        <v>27</v>
      </c>
      <c r="D137" t="inlineStr">
        <is>
          <t>Distribution, year 2048</t>
        </is>
      </c>
      <c r="E137" s="13">
        <f>INDEX(Time!$J$6:$AU$6,C137)</f>
        <v/>
      </c>
      <c r="F137" s="20">
        <f>INDEX(Waterfall!$J$22:$AU$22,C137)</f>
        <v/>
      </c>
      <c r="G137" s="20">
        <f>IF(YEAR(E137)&lt;Inputs!$F$307,F137,IF(YEAR(E137)=Inputs!$F$307,F137+Returns!$F$98,0))</f>
        <v/>
      </c>
    </row>
    <row r="138">
      <c r="C138" t="n">
        <v>28</v>
      </c>
      <c r="D138" t="inlineStr">
        <is>
          <t>Distribution, year 2049</t>
        </is>
      </c>
      <c r="E138" s="13">
        <f>INDEX(Time!$J$6:$AU$6,C138)</f>
        <v/>
      </c>
      <c r="F138" s="20">
        <f>INDEX(Waterfall!$J$22:$AU$22,C138)</f>
        <v/>
      </c>
      <c r="G138" s="20">
        <f>IF(YEAR(E138)&lt;Inputs!$F$307,F138,IF(YEAR(E138)=Inputs!$F$307,F138+Returns!$F$98,0))</f>
        <v/>
      </c>
    </row>
    <row r="139">
      <c r="C139" t="n">
        <v>29</v>
      </c>
      <c r="D139" t="inlineStr">
        <is>
          <t>Distribution, year 2050</t>
        </is>
      </c>
      <c r="E139" s="13">
        <f>INDEX(Time!$J$6:$AU$6,C139)</f>
        <v/>
      </c>
      <c r="F139" s="20">
        <f>INDEX(Waterfall!$J$22:$AU$22,C139)</f>
        <v/>
      </c>
      <c r="G139" s="20">
        <f>IF(YEAR(E139)&lt;Inputs!$F$307,F139,IF(YEAR(E139)=Inputs!$F$307,F139+Returns!$F$98,0))</f>
        <v/>
      </c>
    </row>
    <row r="140">
      <c r="C140" t="n">
        <v>30</v>
      </c>
      <c r="D140" t="inlineStr">
        <is>
          <t>Distribution, year 2051</t>
        </is>
      </c>
      <c r="E140" s="13">
        <f>INDEX(Time!$J$6:$AU$6,C140)</f>
        <v/>
      </c>
      <c r="F140" s="20">
        <f>INDEX(Waterfall!$J$22:$AU$22,C140)</f>
        <v/>
      </c>
      <c r="G140" s="20">
        <f>IF(YEAR(E140)&lt;Inputs!$F$307,F140,IF(YEAR(E140)=Inputs!$F$307,F140+Returns!$F$98,0))</f>
        <v/>
      </c>
    </row>
    <row r="141">
      <c r="C141" t="n">
        <v>31</v>
      </c>
      <c r="D141" t="inlineStr">
        <is>
          <t>Distribution, year 2052</t>
        </is>
      </c>
      <c r="E141" s="13">
        <f>INDEX(Time!$J$6:$AU$6,C141)</f>
        <v/>
      </c>
      <c r="F141" s="20">
        <f>INDEX(Waterfall!$J$22:$AU$22,C141)</f>
        <v/>
      </c>
      <c r="G141" s="20">
        <f>IF(YEAR(E141)&lt;Inputs!$F$307,F141,IF(YEAR(E141)=Inputs!$F$307,F141+Returns!$F$98,0))</f>
        <v/>
      </c>
    </row>
    <row r="142">
      <c r="C142" t="n">
        <v>32</v>
      </c>
      <c r="D142" t="inlineStr">
        <is>
          <t>Distribution, year 2053</t>
        </is>
      </c>
      <c r="E142" s="13">
        <f>INDEX(Time!$J$6:$AU$6,C142)</f>
        <v/>
      </c>
      <c r="F142" s="20">
        <f>INDEX(Waterfall!$J$22:$AU$22,C142)</f>
        <v/>
      </c>
      <c r="G142" s="20">
        <f>IF(YEAR(E142)&lt;Inputs!$F$307,F142,IF(YEAR(E142)=Inputs!$F$307,F142+Returns!$F$98,0))</f>
        <v/>
      </c>
    </row>
    <row r="143">
      <c r="C143" t="n">
        <v>33</v>
      </c>
      <c r="D143" t="inlineStr">
        <is>
          <t>Distribution, year 2054</t>
        </is>
      </c>
      <c r="E143" s="13">
        <f>INDEX(Time!$J$6:$AU$6,C143)</f>
        <v/>
      </c>
      <c r="F143" s="20">
        <f>INDEX(Waterfall!$J$22:$AU$22,C143)</f>
        <v/>
      </c>
      <c r="G143" s="20">
        <f>IF(YEAR(E143)&lt;Inputs!$F$307,F143,IF(YEAR(E143)=Inputs!$F$307,F143+Returns!$F$98,0))</f>
        <v/>
      </c>
    </row>
    <row r="144">
      <c r="C144" t="n">
        <v>34</v>
      </c>
      <c r="D144" t="inlineStr">
        <is>
          <t>Distribution, year 2055</t>
        </is>
      </c>
      <c r="E144" s="13">
        <f>INDEX(Time!$J$6:$AU$6,C144)</f>
        <v/>
      </c>
      <c r="F144" s="20">
        <f>INDEX(Waterfall!$J$22:$AU$22,C144)</f>
        <v/>
      </c>
      <c r="G144" s="20">
        <f>IF(YEAR(E144)&lt;Inputs!$F$307,F144,IF(YEAR(E144)=Inputs!$F$307,F144+Returns!$F$98,0))</f>
        <v/>
      </c>
    </row>
    <row r="145">
      <c r="C145" t="n">
        <v>35</v>
      </c>
      <c r="D145" t="inlineStr">
        <is>
          <t>Distribution, year 2056</t>
        </is>
      </c>
      <c r="E145" s="13">
        <f>INDEX(Time!$J$6:$AU$6,C145)</f>
        <v/>
      </c>
      <c r="F145" s="20">
        <f>INDEX(Waterfall!$J$22:$AU$22,C145)</f>
        <v/>
      </c>
      <c r="G145" s="20">
        <f>IF(YEAR(E145)&lt;Inputs!$F$307,F145,IF(YEAR(E145)=Inputs!$F$307,F145+Returns!$F$98,0))</f>
        <v/>
      </c>
    </row>
    <row r="146">
      <c r="C146" t="n">
        <v>36</v>
      </c>
      <c r="D146" t="inlineStr">
        <is>
          <t>Distribution, year 2057</t>
        </is>
      </c>
      <c r="E146" s="13">
        <f>INDEX(Time!$J$6:$AU$6,C146)</f>
        <v/>
      </c>
      <c r="F146" s="20">
        <f>INDEX(Waterfall!$J$22:$AU$22,C146)</f>
        <v/>
      </c>
      <c r="G146" s="20">
        <f>IF(YEAR(E146)&lt;Inputs!$F$307,F146,IF(YEAR(E146)=Inputs!$F$307,F146+Returns!$F$98,0))</f>
        <v/>
      </c>
    </row>
    <row r="147">
      <c r="C147" t="n">
        <v>37</v>
      </c>
      <c r="D147" t="inlineStr">
        <is>
          <t>Distribution, year 2058</t>
        </is>
      </c>
      <c r="E147" s="13">
        <f>INDEX(Time!$J$6:$AU$6,C147)</f>
        <v/>
      </c>
      <c r="F147" s="20">
        <f>INDEX(Waterfall!$J$22:$AU$22,C147)</f>
        <v/>
      </c>
      <c r="G147" s="20">
        <f>IF(YEAR(E147)&lt;Inputs!$F$307,F147,IF(YEAR(E147)=Inputs!$F$307,F147+Returns!$F$98,0))</f>
        <v/>
      </c>
    </row>
    <row r="148">
      <c r="C148" t="n">
        <v>38</v>
      </c>
      <c r="D148" t="inlineStr">
        <is>
          <t>Distribution, year 2059</t>
        </is>
      </c>
      <c r="E148" s="13">
        <f>INDEX(Time!$J$6:$AU$6,C148)</f>
        <v/>
      </c>
      <c r="F148" s="20">
        <f>INDEX(Waterfall!$J$22:$AU$22,C148)</f>
        <v/>
      </c>
      <c r="G148" s="20">
        <f>IF(YEAR(E148)&lt;Inputs!$F$307,F148,IF(YEAR(E148)=Inputs!$F$307,F148+Returns!$F$98,0))</f>
        <v/>
      </c>
    </row>
    <row r="150">
      <c r="D150" t="inlineStr">
        <is>
          <t>Fund gross IRR, life</t>
        </is>
      </c>
      <c r="E150" t="inlineStr">
        <is>
          <t>%</t>
        </is>
      </c>
      <c r="F150" s="15">
        <f>100*XIRR(F106:F148,E106:E148)</f>
        <v/>
      </c>
    </row>
    <row r="151">
      <c r="D151" t="inlineStr">
        <is>
          <t>Fund gross IRR to December 31, 2025 including NAV</t>
        </is>
      </c>
      <c r="E151" t="inlineStr">
        <is>
          <t>%</t>
        </is>
      </c>
      <c r="F151" s="15">
        <f>100*XIRR(G106:G148,E106:E148)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Checks (0 = pass)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D4" t="inlineStr">
        <is>
          <t>Year</t>
        </is>
      </c>
      <c r="J4" s="2">
        <f>Time!J$4</f>
        <v/>
      </c>
      <c r="K4" s="2">
        <f>Time!K$4</f>
        <v/>
      </c>
      <c r="L4" s="2">
        <f>Time!L$4</f>
        <v/>
      </c>
      <c r="M4" s="2">
        <f>Time!M$4</f>
        <v/>
      </c>
      <c r="N4" s="2">
        <f>Time!N$4</f>
        <v/>
      </c>
      <c r="O4" s="2">
        <f>Time!O$4</f>
        <v/>
      </c>
      <c r="P4" s="2">
        <f>Time!P$4</f>
        <v/>
      </c>
      <c r="Q4" s="2">
        <f>Time!Q$4</f>
        <v/>
      </c>
      <c r="R4" s="2">
        <f>Time!R$4</f>
        <v/>
      </c>
      <c r="S4" s="2">
        <f>Time!S$4</f>
        <v/>
      </c>
      <c r="T4" s="2">
        <f>Time!T$4</f>
        <v/>
      </c>
      <c r="U4" s="2">
        <f>Time!U$4</f>
        <v/>
      </c>
      <c r="V4" s="2">
        <f>Time!V$4</f>
        <v/>
      </c>
      <c r="W4" s="2">
        <f>Time!W$4</f>
        <v/>
      </c>
      <c r="X4" s="2">
        <f>Time!X$4</f>
        <v/>
      </c>
      <c r="Y4" s="2">
        <f>Time!Y$4</f>
        <v/>
      </c>
      <c r="Z4" s="2">
        <f>Time!Z$4</f>
        <v/>
      </c>
      <c r="AA4" s="2">
        <f>Time!AA$4</f>
        <v/>
      </c>
      <c r="AB4" s="2">
        <f>Time!AB$4</f>
        <v/>
      </c>
      <c r="AC4" s="2">
        <f>Time!AC$4</f>
        <v/>
      </c>
      <c r="AD4" s="2">
        <f>Time!AD$4</f>
        <v/>
      </c>
      <c r="AE4" s="2">
        <f>Time!AE$4</f>
        <v/>
      </c>
      <c r="AF4" s="2">
        <f>Time!AF$4</f>
        <v/>
      </c>
      <c r="AG4" s="2">
        <f>Time!AG$4</f>
        <v/>
      </c>
      <c r="AH4" s="2">
        <f>Time!AH$4</f>
        <v/>
      </c>
      <c r="AI4" s="2">
        <f>Time!AI$4</f>
        <v/>
      </c>
      <c r="AJ4" s="2">
        <f>Time!AJ$4</f>
        <v/>
      </c>
      <c r="AK4" s="2">
        <f>Time!AK$4</f>
        <v/>
      </c>
      <c r="AL4" s="2">
        <f>Time!AL$4</f>
        <v/>
      </c>
      <c r="AM4" s="2">
        <f>Time!AM$4</f>
        <v/>
      </c>
      <c r="AN4" s="2">
        <f>Time!AN$4</f>
        <v/>
      </c>
      <c r="AO4" s="2">
        <f>Time!AO$4</f>
        <v/>
      </c>
      <c r="AP4" s="2">
        <f>Time!AP$4</f>
        <v/>
      </c>
      <c r="AQ4" s="2">
        <f>Time!AQ$4</f>
        <v/>
      </c>
      <c r="AR4" s="2">
        <f>Time!AR$4</f>
        <v/>
      </c>
      <c r="AS4" s="2">
        <f>Time!AS$4</f>
        <v/>
      </c>
      <c r="AT4" s="2">
        <f>Time!AT$4</f>
        <v/>
      </c>
      <c r="AU4" s="2">
        <f>Time!AU$4</f>
        <v/>
      </c>
    </row>
    <row r="5">
      <c r="D5" t="inlineStr">
        <is>
          <t>Period end</t>
        </is>
      </c>
      <c r="J5" s="3">
        <f>Time!J$6</f>
        <v/>
      </c>
      <c r="K5" s="3">
        <f>Time!K$6</f>
        <v/>
      </c>
      <c r="L5" s="3">
        <f>Time!L$6</f>
        <v/>
      </c>
      <c r="M5" s="3">
        <f>Time!M$6</f>
        <v/>
      </c>
      <c r="N5" s="3">
        <f>Time!N$6</f>
        <v/>
      </c>
      <c r="O5" s="3">
        <f>Time!O$6</f>
        <v/>
      </c>
      <c r="P5" s="3">
        <f>Time!P$6</f>
        <v/>
      </c>
      <c r="Q5" s="3">
        <f>Time!Q$6</f>
        <v/>
      </c>
      <c r="R5" s="3">
        <f>Time!R$6</f>
        <v/>
      </c>
      <c r="S5" s="3">
        <f>Time!S$6</f>
        <v/>
      </c>
      <c r="T5" s="3">
        <f>Time!T$6</f>
        <v/>
      </c>
      <c r="U5" s="3">
        <f>Time!U$6</f>
        <v/>
      </c>
      <c r="V5" s="3">
        <f>Time!V$6</f>
        <v/>
      </c>
      <c r="W5" s="3">
        <f>Time!W$6</f>
        <v/>
      </c>
      <c r="X5" s="3">
        <f>Time!X$6</f>
        <v/>
      </c>
      <c r="Y5" s="3">
        <f>Time!Y$6</f>
        <v/>
      </c>
      <c r="Z5" s="3">
        <f>Time!Z$6</f>
        <v/>
      </c>
      <c r="AA5" s="3">
        <f>Time!AA$6</f>
        <v/>
      </c>
      <c r="AB5" s="3">
        <f>Time!AB$6</f>
        <v/>
      </c>
      <c r="AC5" s="3">
        <f>Time!AC$6</f>
        <v/>
      </c>
      <c r="AD5" s="3">
        <f>Time!AD$6</f>
        <v/>
      </c>
      <c r="AE5" s="3">
        <f>Time!AE$6</f>
        <v/>
      </c>
      <c r="AF5" s="3">
        <f>Time!AF$6</f>
        <v/>
      </c>
      <c r="AG5" s="3">
        <f>Time!AG$6</f>
        <v/>
      </c>
      <c r="AH5" s="3">
        <f>Time!AH$6</f>
        <v/>
      </c>
      <c r="AI5" s="3">
        <f>Time!AI$6</f>
        <v/>
      </c>
      <c r="AJ5" s="3">
        <f>Time!AJ$6</f>
        <v/>
      </c>
      <c r="AK5" s="3">
        <f>Time!AK$6</f>
        <v/>
      </c>
      <c r="AL5" s="3">
        <f>Time!AL$6</f>
        <v/>
      </c>
      <c r="AM5" s="3">
        <f>Time!AM$6</f>
        <v/>
      </c>
      <c r="AN5" s="3">
        <f>Time!AN$6</f>
        <v/>
      </c>
      <c r="AO5" s="3">
        <f>Time!AO$6</f>
        <v/>
      </c>
      <c r="AP5" s="3">
        <f>Time!AP$6</f>
        <v/>
      </c>
      <c r="AQ5" s="3">
        <f>Time!AQ$6</f>
        <v/>
      </c>
      <c r="AR5" s="3">
        <f>Time!AR$6</f>
        <v/>
      </c>
      <c r="AS5" s="3">
        <f>Time!AS$6</f>
        <v/>
      </c>
      <c r="AT5" s="3">
        <f>Time!AT$6</f>
        <v/>
      </c>
      <c r="AU5" s="3">
        <f>Time!AU$6</f>
        <v/>
      </c>
    </row>
    <row r="8">
      <c r="D8" t="inlineStr">
        <is>
          <t>Opco TL sculpted balance repaid by 2040</t>
        </is>
      </c>
      <c r="E8" t="inlineStr">
        <is>
          <t>USD m</t>
        </is>
      </c>
      <c r="F8" s="14">
        <f>ROUND(INDEX(Funding!$J$25:$AU$25,38),6)</f>
        <v/>
      </c>
    </row>
    <row r="9">
      <c r="D9" t="inlineStr">
        <is>
          <t>Redfern sculpted balance repaid by 2030</t>
        </is>
      </c>
      <c r="E9" t="inlineStr">
        <is>
          <t>USD m</t>
        </is>
      </c>
      <c r="F9" s="14">
        <f>ROUND(INDEX(Funding!$J$53:$AU$53,38),6)</f>
        <v/>
      </c>
    </row>
    <row r="10">
      <c r="D10" t="inlineStr">
        <is>
          <t>USPP principal equals notes issued</t>
        </is>
      </c>
      <c r="E10" t="inlineStr">
        <is>
          <t>USD m</t>
        </is>
      </c>
      <c r="F10" s="14">
        <f>ROUND(Funding!$F$83-SUM(Debt!$J$33:$AU$33),6)</f>
        <v/>
      </c>
    </row>
    <row r="11">
      <c r="D11" t="inlineStr">
        <is>
          <t>USPP interest plus principal equals sculpted debt service</t>
        </is>
      </c>
      <c r="E11" t="inlineStr">
        <is>
          <t>USD m</t>
        </is>
      </c>
      <c r="F11" s="14">
        <f>ROUND(SUMPRODUCT(ABS(Debt!$J$32:$AU$32+Debt!$J$33:$AU$33-Debt!$J$34:$AU$34)),6)</f>
        <v/>
      </c>
    </row>
    <row r="12">
      <c r="D12" t="inlineStr">
        <is>
          <t>A1 sources equal uses</t>
        </is>
      </c>
      <c r="E12" t="inlineStr">
        <is>
          <t>USD m</t>
        </is>
      </c>
      <c r="F12" s="14">
        <f>ROUND(Funding!$F$17+Funding!$F$41+Funding!$F$150-Funding!$F$149,6)</f>
        <v/>
      </c>
    </row>
    <row r="13">
      <c r="D13" t="inlineStr">
        <is>
          <t>A3 sources equal uses</t>
        </is>
      </c>
      <c r="E13" t="inlineStr">
        <is>
          <t>USD m</t>
        </is>
      </c>
      <c r="F13" s="14">
        <f>ROUND(Funding!$F$63+Funding!$F$156+Funding!$F$157+Funding!$F$168-Funding!$F$167,6)</f>
        <v/>
      </c>
    </row>
    <row r="14">
      <c r="D14" t="inlineStr">
        <is>
          <t>NOL never negative</t>
        </is>
      </c>
      <c r="E14" t="inlineStr">
        <is>
          <t>USD m</t>
        </is>
      </c>
      <c r="F14" s="14">
        <f>ROUND(MIN(0,MIN(Tax!$J$33:$AU$33)),6)</f>
        <v/>
      </c>
    </row>
    <row r="15">
      <c r="D15" t="inlineStr">
        <is>
          <t>Debt balances never negative</t>
        </is>
      </c>
      <c r="E15" t="inlineStr">
        <is>
          <t>USD m</t>
        </is>
      </c>
      <c r="F15" s="14">
        <f>ROUND(MIN(0,MIN(Debt!$J$14:$AU$14),MIN(Debt!$J$23:$AU$23),MIN(Debt!$J$46:$AU$46),MIN(Debt!$J$53:$AU$53),MIN(Debt!$J$60:$AU$60)),6)</f>
        <v/>
      </c>
    </row>
    <row r="16">
      <c r="D16" t="inlineStr">
        <is>
          <t>Opco TL repaid when refinanced</t>
        </is>
      </c>
      <c r="E16" t="inlineStr">
        <is>
          <t>USD m</t>
        </is>
      </c>
      <c r="F16" s="14">
        <f>ROUND(Inputs!$F$10*INDEX(Debt!$J$19:$AU$19,38),6)</f>
        <v/>
      </c>
    </row>
    <row r="17">
      <c r="D17" t="inlineStr">
        <is>
          <t>R1 revenue buckets sum to revenue</t>
        </is>
      </c>
      <c r="E17" t="inlineStr">
        <is>
          <t>USD m</t>
        </is>
      </c>
      <c r="F17" s="14">
        <f>ROUND(SUMPRODUCT(ABS(Operations!$J$79:$AU$79+Operations!$J$80:$AU$80+Operations!$J$83:$AU$83-Operations!$J$82:$AU$82)),6)</f>
        <v/>
      </c>
    </row>
    <row r="18">
      <c r="D18" t="inlineStr">
        <is>
          <t>R2 revenue buckets sum to revenue</t>
        </is>
      </c>
      <c r="E18" t="inlineStr">
        <is>
          <t>USD m</t>
        </is>
      </c>
      <c r="F18" s="14">
        <f>ROUND(SUMPRODUCT(ABS(Operations!$J$121:$AU$121+Operations!$J$122:$AU$122+Operations!$J$125:$AU$125-Operations!$J$124:$AU$124)),6)</f>
        <v/>
      </c>
    </row>
    <row r="19">
      <c r="D19" t="inlineStr">
        <is>
          <t>R3 revenue buckets sum to revenue</t>
        </is>
      </c>
      <c r="E19" t="inlineStr">
        <is>
          <t>USD m</t>
        </is>
      </c>
      <c r="F19" s="14">
        <f>ROUND(SUMPRODUCT(ABS(Operations!$J$163:$AU$163+Operations!$J$164:$AU$164+Operations!$J$167:$AU$167-Operations!$J$166:$AU$166)),6)</f>
        <v/>
      </c>
    </row>
    <row r="20">
      <c r="D20" t="inlineStr">
        <is>
          <t>R4 revenue buckets sum to revenue</t>
        </is>
      </c>
      <c r="E20" t="inlineStr">
        <is>
          <t>USD m</t>
        </is>
      </c>
      <c r="F20" s="14">
        <f>ROUND(SUMPRODUCT(ABS(Operations!$J$207:$AU$207+Operations!$J$208:$AU$208+Operations!$J$211:$AU$211-Operations!$J$210:$AU$210)),6)</f>
        <v/>
      </c>
    </row>
    <row r="21">
      <c r="D21" t="inlineStr">
        <is>
          <t>R5 revenue buckets sum to revenue</t>
        </is>
      </c>
      <c r="E21" t="inlineStr">
        <is>
          <t>USD m</t>
        </is>
      </c>
      <c r="F21" s="14">
        <f>ROUND(SUMPRODUCT(ABS(Operations!$J$249:$AU$249+Operations!$J$250:$AU$250+Operations!$J$253:$AU$253-Operations!$J$252:$AU$252)),6)</f>
        <v/>
      </c>
    </row>
    <row r="22">
      <c r="D22" t="inlineStr">
        <is>
          <t>R6 revenue buckets sum to revenue</t>
        </is>
      </c>
      <c r="E22" t="inlineStr">
        <is>
          <t>USD m</t>
        </is>
      </c>
      <c r="F22" s="14">
        <f>ROUND(SUMPRODUCT(ABS(Operations!$J$283:$AU$283+Operations!$J$284:$AU$284+Operations!$J$286:$AU$286-Operations!$J$285:$AU$285)),6)</f>
        <v/>
      </c>
    </row>
    <row r="23">
      <c r="D23" t="inlineStr">
        <is>
          <t>R7 revenue buckets sum to revenue</t>
        </is>
      </c>
      <c r="E23" t="inlineStr">
        <is>
          <t>USD m</t>
        </is>
      </c>
      <c r="F23" s="14">
        <f>ROUND(SUMPRODUCT(ABS(Operations!$J$316:$AU$316+Operations!$J$317:$AU$317+Operations!$J$319:$AU$319-Operations!$J$318:$AU$318)),6)</f>
        <v/>
      </c>
    </row>
    <row r="24">
      <c r="D24" t="inlineStr">
        <is>
          <t>R8 revenue buckets sum to revenue</t>
        </is>
      </c>
      <c r="E24" t="inlineStr">
        <is>
          <t>USD m</t>
        </is>
      </c>
      <c r="F24" s="14">
        <f>ROUND(SUMPRODUCT(ABS(Operations!$J$357:$AU$357+Operations!$J$358:$AU$358+Operations!$J$361:$AU$361-Operations!$J$360:$AU$360)),6)</f>
        <v/>
      </c>
    </row>
    <row r="25">
      <c r="D25" t="inlineStr">
        <is>
          <t>Total of absolute check values (0 = all pass)</t>
        </is>
      </c>
      <c r="E25" t="inlineStr">
        <is>
          <t>USD m</t>
        </is>
      </c>
      <c r="F25" s="14">
        <f>SUMPRODUCT(ABS(F8:F24))</f>
        <v/>
      </c>
    </row>
  </sheetData>
  <conditionalFormatting sqref="F8:F25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Outputs dashboard</t>
        </is>
      </c>
    </row>
    <row r="2">
      <c r="A2" t="inlineStr">
        <is>
          <t>Case R, Mesa Corta Renewables. USD m nominal unless stated. Illustrative prices: not ERCOT settlement data and not a forecast.</t>
        </is>
      </c>
    </row>
    <row r="4">
      <c r="D4" t="inlineStr">
        <is>
          <t>Year</t>
        </is>
      </c>
      <c r="J4" s="2">
        <f>Time!J$4</f>
        <v/>
      </c>
      <c r="K4" s="2">
        <f>Time!K$4</f>
        <v/>
      </c>
      <c r="L4" s="2">
        <f>Time!L$4</f>
        <v/>
      </c>
      <c r="M4" s="2">
        <f>Time!M$4</f>
        <v/>
      </c>
      <c r="N4" s="2">
        <f>Time!N$4</f>
        <v/>
      </c>
      <c r="O4" s="2">
        <f>Time!O$4</f>
        <v/>
      </c>
      <c r="P4" s="2">
        <f>Time!P$4</f>
        <v/>
      </c>
      <c r="Q4" s="2">
        <f>Time!Q$4</f>
        <v/>
      </c>
      <c r="R4" s="2">
        <f>Time!R$4</f>
        <v/>
      </c>
      <c r="S4" s="2">
        <f>Time!S$4</f>
        <v/>
      </c>
      <c r="T4" s="2">
        <f>Time!T$4</f>
        <v/>
      </c>
      <c r="U4" s="2">
        <f>Time!U$4</f>
        <v/>
      </c>
      <c r="V4" s="2">
        <f>Time!V$4</f>
        <v/>
      </c>
      <c r="W4" s="2">
        <f>Time!W$4</f>
        <v/>
      </c>
      <c r="X4" s="2">
        <f>Time!X$4</f>
        <v/>
      </c>
      <c r="Y4" s="2">
        <f>Time!Y$4</f>
        <v/>
      </c>
      <c r="Z4" s="2">
        <f>Time!Z$4</f>
        <v/>
      </c>
      <c r="AA4" s="2">
        <f>Time!AA$4</f>
        <v/>
      </c>
      <c r="AB4" s="2">
        <f>Time!AB$4</f>
        <v/>
      </c>
      <c r="AC4" s="2">
        <f>Time!AC$4</f>
        <v/>
      </c>
      <c r="AD4" s="2">
        <f>Time!AD$4</f>
        <v/>
      </c>
      <c r="AE4" s="2">
        <f>Time!AE$4</f>
        <v/>
      </c>
      <c r="AF4" s="2">
        <f>Time!AF$4</f>
        <v/>
      </c>
      <c r="AG4" s="2">
        <f>Time!AG$4</f>
        <v/>
      </c>
      <c r="AH4" s="2">
        <f>Time!AH$4</f>
        <v/>
      </c>
      <c r="AI4" s="2">
        <f>Time!AI$4</f>
        <v/>
      </c>
      <c r="AJ4" s="2">
        <f>Time!AJ$4</f>
        <v/>
      </c>
      <c r="AK4" s="2">
        <f>Time!AK$4</f>
        <v/>
      </c>
      <c r="AL4" s="2">
        <f>Time!AL$4</f>
        <v/>
      </c>
      <c r="AM4" s="2">
        <f>Time!AM$4</f>
        <v/>
      </c>
      <c r="AN4" s="2">
        <f>Time!AN$4</f>
        <v/>
      </c>
      <c r="AO4" s="2">
        <f>Time!AO$4</f>
        <v/>
      </c>
      <c r="AP4" s="2">
        <f>Time!AP$4</f>
        <v/>
      </c>
      <c r="AQ4" s="2">
        <f>Time!AQ$4</f>
        <v/>
      </c>
      <c r="AR4" s="2">
        <f>Time!AR$4</f>
        <v/>
      </c>
      <c r="AS4" s="2">
        <f>Time!AS$4</f>
        <v/>
      </c>
      <c r="AT4" s="2">
        <f>Time!AT$4</f>
        <v/>
      </c>
      <c r="AU4" s="2">
        <f>Time!AU$4</f>
        <v/>
      </c>
    </row>
    <row r="5">
      <c r="D5" t="inlineStr">
        <is>
          <t>Period end</t>
        </is>
      </c>
      <c r="J5" s="3">
        <f>Time!J$6</f>
        <v/>
      </c>
      <c r="K5" s="3">
        <f>Time!K$6</f>
        <v/>
      </c>
      <c r="L5" s="3">
        <f>Time!L$6</f>
        <v/>
      </c>
      <c r="M5" s="3">
        <f>Time!M$6</f>
        <v/>
      </c>
      <c r="N5" s="3">
        <f>Time!N$6</f>
        <v/>
      </c>
      <c r="O5" s="3">
        <f>Time!O$6</f>
        <v/>
      </c>
      <c r="P5" s="3">
        <f>Time!P$6</f>
        <v/>
      </c>
      <c r="Q5" s="3">
        <f>Time!Q$6</f>
        <v/>
      </c>
      <c r="R5" s="3">
        <f>Time!R$6</f>
        <v/>
      </c>
      <c r="S5" s="3">
        <f>Time!S$6</f>
        <v/>
      </c>
      <c r="T5" s="3">
        <f>Time!T$6</f>
        <v/>
      </c>
      <c r="U5" s="3">
        <f>Time!U$6</f>
        <v/>
      </c>
      <c r="V5" s="3">
        <f>Time!V$6</f>
        <v/>
      </c>
      <c r="W5" s="3">
        <f>Time!W$6</f>
        <v/>
      </c>
      <c r="X5" s="3">
        <f>Time!X$6</f>
        <v/>
      </c>
      <c r="Y5" s="3">
        <f>Time!Y$6</f>
        <v/>
      </c>
      <c r="Z5" s="3">
        <f>Time!Z$6</f>
        <v/>
      </c>
      <c r="AA5" s="3">
        <f>Time!AA$6</f>
        <v/>
      </c>
      <c r="AB5" s="3">
        <f>Time!AB$6</f>
        <v/>
      </c>
      <c r="AC5" s="3">
        <f>Time!AC$6</f>
        <v/>
      </c>
      <c r="AD5" s="3">
        <f>Time!AD$6</f>
        <v/>
      </c>
      <c r="AE5" s="3">
        <f>Time!AE$6</f>
        <v/>
      </c>
      <c r="AF5" s="3">
        <f>Time!AF$6</f>
        <v/>
      </c>
      <c r="AG5" s="3">
        <f>Time!AG$6</f>
        <v/>
      </c>
      <c r="AH5" s="3">
        <f>Time!AH$6</f>
        <v/>
      </c>
      <c r="AI5" s="3">
        <f>Time!AI$6</f>
        <v/>
      </c>
      <c r="AJ5" s="3">
        <f>Time!AJ$6</f>
        <v/>
      </c>
      <c r="AK5" s="3">
        <f>Time!AK$6</f>
        <v/>
      </c>
      <c r="AL5" s="3">
        <f>Time!AL$6</f>
        <v/>
      </c>
      <c r="AM5" s="3">
        <f>Time!AM$6</f>
        <v/>
      </c>
      <c r="AN5" s="3">
        <f>Time!AN$6</f>
        <v/>
      </c>
      <c r="AO5" s="3">
        <f>Time!AO$6</f>
        <v/>
      </c>
      <c r="AP5" s="3">
        <f>Time!AP$6</f>
        <v/>
      </c>
      <c r="AQ5" s="3">
        <f>Time!AQ$6</f>
        <v/>
      </c>
      <c r="AR5" s="3">
        <f>Time!AR$6</f>
        <v/>
      </c>
      <c r="AS5" s="3">
        <f>Time!AS$6</f>
        <v/>
      </c>
      <c r="AT5" s="3">
        <f>Time!AT$6</f>
        <v/>
      </c>
      <c r="AU5" s="3">
        <f>Time!AU$6</f>
        <v/>
      </c>
    </row>
    <row r="7">
      <c r="A7" s="4" t="inlineStr">
        <is>
          <t>Selected case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D8" t="inlineStr">
        <is>
          <t>Scenario (1 base, 2 low, 3 high)</t>
        </is>
      </c>
      <c r="E8" t="inlineStr">
        <is>
          <t>index</t>
        </is>
      </c>
      <c r="F8" s="16">
        <f>Scenario</f>
        <v/>
      </c>
    </row>
    <row r="9">
      <c r="D9" t="inlineStr">
        <is>
          <t>Volume case</t>
        </is>
      </c>
      <c r="E9" t="inlineStr">
        <is>
          <t>index</t>
        </is>
      </c>
      <c r="F9" s="16">
        <f>Inputs!$F$9</f>
        <v/>
      </c>
    </row>
    <row r="10">
      <c r="D10" t="inlineStr">
        <is>
          <t>Refinancing switch</t>
        </is>
      </c>
      <c r="E10" t="inlineStr">
        <is>
          <t>flag</t>
        </is>
      </c>
      <c r="F10" s="16">
        <f>Inputs!$F$10</f>
        <v/>
      </c>
    </row>
    <row r="12">
      <c r="A12" s="4" t="inlineStr">
        <is>
          <t>Debt sized at each transaction (base, P50, P99 test)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</row>
    <row r="13">
      <c r="D13" t="inlineStr">
        <is>
          <t>Opco term loan 2022</t>
        </is>
      </c>
      <c r="E13" t="inlineStr">
        <is>
          <t>USD m</t>
        </is>
      </c>
      <c r="F13" s="21">
        <f>Funding!$F$17</f>
        <v/>
      </c>
    </row>
    <row r="14">
      <c r="D14" t="inlineStr">
        <is>
          <t>Holdco TLB 2022</t>
        </is>
      </c>
      <c r="E14" t="inlineStr">
        <is>
          <t>USD m</t>
        </is>
      </c>
      <c r="F14" s="21">
        <f>Funding!$F$41</f>
        <v/>
      </c>
    </row>
    <row r="15">
      <c r="D15" t="inlineStr">
        <is>
          <t>Redfern loan 2023</t>
        </is>
      </c>
      <c r="E15" t="inlineStr">
        <is>
          <t>USD m</t>
        </is>
      </c>
      <c r="F15" s="21">
        <f>Funding!$F$50</f>
        <v/>
      </c>
    </row>
    <row r="16">
      <c r="D16" t="inlineStr">
        <is>
          <t>Holdco incremental 2024</t>
        </is>
      </c>
      <c r="E16" t="inlineStr">
        <is>
          <t>USD m</t>
        </is>
      </c>
      <c r="F16" s="21">
        <f>Funding!$F$63</f>
        <v/>
      </c>
    </row>
    <row r="17">
      <c r="D17" t="inlineStr">
        <is>
          <t>USPP notes 2025</t>
        </is>
      </c>
      <c r="E17" t="inlineStr">
        <is>
          <t>USD m</t>
        </is>
      </c>
      <c r="F17" s="21">
        <f>Funding!$F$83</f>
        <v/>
      </c>
    </row>
    <row r="18">
      <c r="D18" t="inlineStr">
        <is>
          <t>Series A</t>
        </is>
      </c>
      <c r="E18" t="inlineStr">
        <is>
          <t>USD m</t>
        </is>
      </c>
      <c r="F18" s="21">
        <f>Funding!$F$80</f>
        <v/>
      </c>
    </row>
    <row r="19">
      <c r="D19" t="inlineStr">
        <is>
          <t>Series B</t>
        </is>
      </c>
      <c r="E19" t="inlineStr">
        <is>
          <t>USD m</t>
        </is>
      </c>
      <c r="F19" s="21">
        <f>Funding!$F$81</f>
        <v/>
      </c>
    </row>
    <row r="20">
      <c r="D20" t="inlineStr">
        <is>
          <t>Series C</t>
        </is>
      </c>
      <c r="E20" t="inlineStr">
        <is>
          <t>USD m</t>
        </is>
      </c>
      <c r="F20" s="21">
        <f>Funding!$F$82</f>
        <v/>
      </c>
    </row>
    <row r="21">
      <c r="D21" t="inlineStr">
        <is>
          <t>Blended coupon (%)</t>
        </is>
      </c>
      <c r="E21" t="inlineStr">
        <is>
          <t>%</t>
        </is>
      </c>
      <c r="F21" s="24">
        <f>Funding!$F$87</f>
        <v/>
      </c>
    </row>
    <row r="22">
      <c r="D22" t="inlineStr">
        <is>
          <t>Repriced holdco TLB 2025</t>
        </is>
      </c>
      <c r="E22" t="inlineStr">
        <is>
          <t>USD m</t>
        </is>
      </c>
      <c r="F22" s="21">
        <f>Funding!$F$103</f>
        <v/>
      </c>
    </row>
    <row r="23">
      <c r="D23" t="inlineStr">
        <is>
          <t>Net opco refinancing proceeds</t>
        </is>
      </c>
      <c r="E23" t="inlineStr">
        <is>
          <t>USD m</t>
        </is>
      </c>
      <c r="F23" s="21">
        <f>Funding!$F$179</f>
        <v/>
      </c>
    </row>
    <row r="24">
      <c r="D24" t="inlineStr">
        <is>
          <t>A1 fund equity</t>
        </is>
      </c>
      <c r="E24" t="inlineStr">
        <is>
          <t>USD m</t>
        </is>
      </c>
      <c r="F24" s="21">
        <f>Funding!$F$150</f>
        <v/>
      </c>
    </row>
    <row r="25">
      <c r="D25" t="inlineStr">
        <is>
          <t>A2 fund equity</t>
        </is>
      </c>
      <c r="E25" t="inlineStr">
        <is>
          <t>USD m</t>
        </is>
      </c>
      <c r="F25" s="21">
        <f>Funding!$F$153</f>
        <v/>
      </c>
    </row>
    <row r="26">
      <c r="D26" t="inlineStr">
        <is>
          <t>A3 fund equity</t>
        </is>
      </c>
      <c r="E26" t="inlineStr">
        <is>
          <t>USD m</t>
        </is>
      </c>
      <c r="F26" s="21">
        <f>Funding!$F$168</f>
        <v/>
      </c>
    </row>
    <row r="28">
      <c r="A28" s="4" t="inlineStr">
        <is>
          <t>Returns and valuation (selected case)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</row>
    <row r="29">
      <c r="D29" t="inlineStr">
        <is>
          <t>Fund gross IRR, life (%)</t>
        </is>
      </c>
      <c r="E29" t="inlineStr"/>
      <c r="F29" s="24">
        <f>Returns!$F$150</f>
        <v/>
      </c>
    </row>
    <row r="30">
      <c r="D30" t="inlineStr">
        <is>
          <t>Fund gross IRR to 2025 incl. NAV (%)</t>
        </is>
      </c>
      <c r="E30" t="inlineStr"/>
      <c r="F30" s="24">
        <f>Returns!$F$151</f>
        <v/>
      </c>
    </row>
    <row r="31">
      <c r="D31" t="inlineStr">
        <is>
          <t>NAV at December 31, 2025</t>
        </is>
      </c>
      <c r="E31" t="inlineStr"/>
      <c r="F31" s="21">
        <f>Returns!$F$98</f>
        <v/>
      </c>
    </row>
    <row r="32">
      <c r="D32" t="inlineStr">
        <is>
          <t>Lifetime multiple</t>
        </is>
      </c>
      <c r="E32" t="inlineStr"/>
      <c r="F32" s="25">
        <f>Returns!$F$102</f>
        <v/>
      </c>
    </row>
    <row r="33">
      <c r="D33" t="inlineStr">
        <is>
          <t>A1 enterprise value</t>
        </is>
      </c>
      <c r="E33" t="inlineStr"/>
      <c r="F33" s="21">
        <f>Returns!$F$62</f>
        <v/>
      </c>
    </row>
    <row r="34">
      <c r="D34" t="inlineStr">
        <is>
          <t>A1 breakeven price</t>
        </is>
      </c>
      <c r="E34" t="inlineStr"/>
      <c r="F34" s="21">
        <f>Returns!$F$64</f>
        <v/>
      </c>
    </row>
    <row r="35">
      <c r="D35" t="inlineStr">
        <is>
          <t>Minimum USPP DSCR 2026-2043</t>
        </is>
      </c>
      <c r="E35" t="inlineStr"/>
      <c r="F35" s="25">
        <f>Ratios!$F$17</f>
        <v/>
      </c>
    </row>
    <row r="36">
      <c r="D36" t="inlineStr">
        <is>
          <t>Average USPP DSCR 2026-2043</t>
        </is>
      </c>
      <c r="E36" t="inlineStr"/>
      <c r="F36" s="25">
        <f>Ratios!$F$18</f>
        <v/>
      </c>
    </row>
    <row r="37">
      <c r="D37" t="inlineStr">
        <is>
          <t>Minimum opco TL DSCR 2022-2025</t>
        </is>
      </c>
      <c r="E37" t="inlineStr"/>
      <c r="F37" s="25">
        <f>Ratios!$F$15</f>
        <v/>
      </c>
    </row>
    <row r="38">
      <c r="D38" t="inlineStr">
        <is>
          <t>Checks total (0 = pass)</t>
        </is>
      </c>
      <c r="E38" t="inlineStr"/>
      <c r="F38" s="17">
        <f>Checks!$F$25</f>
        <v/>
      </c>
    </row>
    <row r="40">
      <c r="A40" s="4" t="inlineStr">
        <is>
          <t>Key series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</row>
    <row r="41">
      <c r="D41" t="inlineStr">
        <is>
          <t>Portfolio CFADS</t>
        </is>
      </c>
      <c r="E41" t="inlineStr">
        <is>
          <t>USD m</t>
        </is>
      </c>
      <c r="J41" s="21">
        <f>Operations!J401</f>
        <v/>
      </c>
      <c r="K41" s="21">
        <f>Operations!K401</f>
        <v/>
      </c>
      <c r="L41" s="21">
        <f>Operations!L401</f>
        <v/>
      </c>
      <c r="M41" s="21">
        <f>Operations!M401</f>
        <v/>
      </c>
      <c r="N41" s="21">
        <f>Operations!N401</f>
        <v/>
      </c>
      <c r="O41" s="21">
        <f>Operations!O401</f>
        <v/>
      </c>
      <c r="P41" s="21">
        <f>Operations!P401</f>
        <v/>
      </c>
      <c r="Q41" s="21">
        <f>Operations!Q401</f>
        <v/>
      </c>
      <c r="R41" s="21">
        <f>Operations!R401</f>
        <v/>
      </c>
      <c r="S41" s="21">
        <f>Operations!S401</f>
        <v/>
      </c>
      <c r="T41" s="21">
        <f>Operations!T401</f>
        <v/>
      </c>
      <c r="U41" s="21">
        <f>Operations!U401</f>
        <v/>
      </c>
      <c r="V41" s="21">
        <f>Operations!V401</f>
        <v/>
      </c>
      <c r="W41" s="21">
        <f>Operations!W401</f>
        <v/>
      </c>
      <c r="X41" s="21">
        <f>Operations!X401</f>
        <v/>
      </c>
      <c r="Y41" s="21">
        <f>Operations!Y401</f>
        <v/>
      </c>
      <c r="Z41" s="21">
        <f>Operations!Z401</f>
        <v/>
      </c>
      <c r="AA41" s="21">
        <f>Operations!AA401</f>
        <v/>
      </c>
      <c r="AB41" s="21">
        <f>Operations!AB401</f>
        <v/>
      </c>
      <c r="AC41" s="21">
        <f>Operations!AC401</f>
        <v/>
      </c>
      <c r="AD41" s="21">
        <f>Operations!AD401</f>
        <v/>
      </c>
      <c r="AE41" s="21">
        <f>Operations!AE401</f>
        <v/>
      </c>
      <c r="AF41" s="21">
        <f>Operations!AF401</f>
        <v/>
      </c>
      <c r="AG41" s="21">
        <f>Operations!AG401</f>
        <v/>
      </c>
      <c r="AH41" s="21">
        <f>Operations!AH401</f>
        <v/>
      </c>
      <c r="AI41" s="21">
        <f>Operations!AI401</f>
        <v/>
      </c>
      <c r="AJ41" s="21">
        <f>Operations!AJ401</f>
        <v/>
      </c>
      <c r="AK41" s="21">
        <f>Operations!AK401</f>
        <v/>
      </c>
      <c r="AL41" s="21">
        <f>Operations!AL401</f>
        <v/>
      </c>
      <c r="AM41" s="21">
        <f>Operations!AM401</f>
        <v/>
      </c>
      <c r="AN41" s="21">
        <f>Operations!AN401</f>
        <v/>
      </c>
      <c r="AO41" s="21">
        <f>Operations!AO401</f>
        <v/>
      </c>
      <c r="AP41" s="21">
        <f>Operations!AP401</f>
        <v/>
      </c>
      <c r="AQ41" s="21">
        <f>Operations!AQ401</f>
        <v/>
      </c>
      <c r="AR41" s="21">
        <f>Operations!AR401</f>
        <v/>
      </c>
      <c r="AS41" s="21">
        <f>Operations!AS401</f>
        <v/>
      </c>
      <c r="AT41" s="21">
        <f>Operations!AT401</f>
        <v/>
      </c>
      <c r="AU41" s="21">
        <f>Operations!AU401</f>
        <v/>
      </c>
    </row>
    <row r="42">
      <c r="D42" t="inlineStr">
        <is>
          <t>Opco debt service</t>
        </is>
      </c>
      <c r="E42" t="inlineStr">
        <is>
          <t>USD m</t>
        </is>
      </c>
      <c r="J42" s="21">
        <f>Waterfall!J9</f>
        <v/>
      </c>
      <c r="K42" s="21">
        <f>Waterfall!K9</f>
        <v/>
      </c>
      <c r="L42" s="21">
        <f>Waterfall!L9</f>
        <v/>
      </c>
      <c r="M42" s="21">
        <f>Waterfall!M9</f>
        <v/>
      </c>
      <c r="N42" s="21">
        <f>Waterfall!N9</f>
        <v/>
      </c>
      <c r="O42" s="21">
        <f>Waterfall!O9</f>
        <v/>
      </c>
      <c r="P42" s="21">
        <f>Waterfall!P9</f>
        <v/>
      </c>
      <c r="Q42" s="21">
        <f>Waterfall!Q9</f>
        <v/>
      </c>
      <c r="R42" s="21">
        <f>Waterfall!R9</f>
        <v/>
      </c>
      <c r="S42" s="21">
        <f>Waterfall!S9</f>
        <v/>
      </c>
      <c r="T42" s="21">
        <f>Waterfall!T9</f>
        <v/>
      </c>
      <c r="U42" s="21">
        <f>Waterfall!U9</f>
        <v/>
      </c>
      <c r="V42" s="21">
        <f>Waterfall!V9</f>
        <v/>
      </c>
      <c r="W42" s="21">
        <f>Waterfall!W9</f>
        <v/>
      </c>
      <c r="X42" s="21">
        <f>Waterfall!X9</f>
        <v/>
      </c>
      <c r="Y42" s="21">
        <f>Waterfall!Y9</f>
        <v/>
      </c>
      <c r="Z42" s="21">
        <f>Waterfall!Z9</f>
        <v/>
      </c>
      <c r="AA42" s="21">
        <f>Waterfall!AA9</f>
        <v/>
      </c>
      <c r="AB42" s="21">
        <f>Waterfall!AB9</f>
        <v/>
      </c>
      <c r="AC42" s="21">
        <f>Waterfall!AC9</f>
        <v/>
      </c>
      <c r="AD42" s="21">
        <f>Waterfall!AD9</f>
        <v/>
      </c>
      <c r="AE42" s="21">
        <f>Waterfall!AE9</f>
        <v/>
      </c>
      <c r="AF42" s="21">
        <f>Waterfall!AF9</f>
        <v/>
      </c>
      <c r="AG42" s="21">
        <f>Waterfall!AG9</f>
        <v/>
      </c>
      <c r="AH42" s="21">
        <f>Waterfall!AH9</f>
        <v/>
      </c>
      <c r="AI42" s="21">
        <f>Waterfall!AI9</f>
        <v/>
      </c>
      <c r="AJ42" s="21">
        <f>Waterfall!AJ9</f>
        <v/>
      </c>
      <c r="AK42" s="21">
        <f>Waterfall!AK9</f>
        <v/>
      </c>
      <c r="AL42" s="21">
        <f>Waterfall!AL9</f>
        <v/>
      </c>
      <c r="AM42" s="21">
        <f>Waterfall!AM9</f>
        <v/>
      </c>
      <c r="AN42" s="21">
        <f>Waterfall!AN9</f>
        <v/>
      </c>
      <c r="AO42" s="21">
        <f>Waterfall!AO9</f>
        <v/>
      </c>
      <c r="AP42" s="21">
        <f>Waterfall!AP9</f>
        <v/>
      </c>
      <c r="AQ42" s="21">
        <f>Waterfall!AQ9</f>
        <v/>
      </c>
      <c r="AR42" s="21">
        <f>Waterfall!AR9</f>
        <v/>
      </c>
      <c r="AS42" s="21">
        <f>Waterfall!AS9</f>
        <v/>
      </c>
      <c r="AT42" s="21">
        <f>Waterfall!AT9</f>
        <v/>
      </c>
      <c r="AU42" s="21">
        <f>Waterfall!AU9</f>
        <v/>
      </c>
    </row>
    <row r="43">
      <c r="D43" t="inlineStr">
        <is>
          <t>Holdco debt service</t>
        </is>
      </c>
      <c r="E43" t="inlineStr">
        <is>
          <t>USD m</t>
        </is>
      </c>
      <c r="J43" s="21">
        <f>Debt!J67</f>
        <v/>
      </c>
      <c r="K43" s="21">
        <f>Debt!K67</f>
        <v/>
      </c>
      <c r="L43" s="21">
        <f>Debt!L67</f>
        <v/>
      </c>
      <c r="M43" s="21">
        <f>Debt!M67</f>
        <v/>
      </c>
      <c r="N43" s="21">
        <f>Debt!N67</f>
        <v/>
      </c>
      <c r="O43" s="21">
        <f>Debt!O67</f>
        <v/>
      </c>
      <c r="P43" s="21">
        <f>Debt!P67</f>
        <v/>
      </c>
      <c r="Q43" s="21">
        <f>Debt!Q67</f>
        <v/>
      </c>
      <c r="R43" s="21">
        <f>Debt!R67</f>
        <v/>
      </c>
      <c r="S43" s="21">
        <f>Debt!S67</f>
        <v/>
      </c>
      <c r="T43" s="21">
        <f>Debt!T67</f>
        <v/>
      </c>
      <c r="U43" s="21">
        <f>Debt!U67</f>
        <v/>
      </c>
      <c r="V43" s="21">
        <f>Debt!V67</f>
        <v/>
      </c>
      <c r="W43" s="21">
        <f>Debt!W67</f>
        <v/>
      </c>
      <c r="X43" s="21">
        <f>Debt!X67</f>
        <v/>
      </c>
      <c r="Y43" s="21">
        <f>Debt!Y67</f>
        <v/>
      </c>
      <c r="Z43" s="21">
        <f>Debt!Z67</f>
        <v/>
      </c>
      <c r="AA43" s="21">
        <f>Debt!AA67</f>
        <v/>
      </c>
      <c r="AB43" s="21">
        <f>Debt!AB67</f>
        <v/>
      </c>
      <c r="AC43" s="21">
        <f>Debt!AC67</f>
        <v/>
      </c>
      <c r="AD43" s="21">
        <f>Debt!AD67</f>
        <v/>
      </c>
      <c r="AE43" s="21">
        <f>Debt!AE67</f>
        <v/>
      </c>
      <c r="AF43" s="21">
        <f>Debt!AF67</f>
        <v/>
      </c>
      <c r="AG43" s="21">
        <f>Debt!AG67</f>
        <v/>
      </c>
      <c r="AH43" s="21">
        <f>Debt!AH67</f>
        <v/>
      </c>
      <c r="AI43" s="21">
        <f>Debt!AI67</f>
        <v/>
      </c>
      <c r="AJ43" s="21">
        <f>Debt!AJ67</f>
        <v/>
      </c>
      <c r="AK43" s="21">
        <f>Debt!AK67</f>
        <v/>
      </c>
      <c r="AL43" s="21">
        <f>Debt!AL67</f>
        <v/>
      </c>
      <c r="AM43" s="21">
        <f>Debt!AM67</f>
        <v/>
      </c>
      <c r="AN43" s="21">
        <f>Debt!AN67</f>
        <v/>
      </c>
      <c r="AO43" s="21">
        <f>Debt!AO67</f>
        <v/>
      </c>
      <c r="AP43" s="21">
        <f>Debt!AP67</f>
        <v/>
      </c>
      <c r="AQ43" s="21">
        <f>Debt!AQ67</f>
        <v/>
      </c>
      <c r="AR43" s="21">
        <f>Debt!AR67</f>
        <v/>
      </c>
      <c r="AS43" s="21">
        <f>Debt!AS67</f>
        <v/>
      </c>
      <c r="AT43" s="21">
        <f>Debt!AT67</f>
        <v/>
      </c>
      <c r="AU43" s="21">
        <f>Debt!AU67</f>
        <v/>
      </c>
    </row>
    <row r="44">
      <c r="D44" t="inlineStr">
        <is>
          <t>Cash tax</t>
        </is>
      </c>
      <c r="E44" t="inlineStr">
        <is>
          <t>USD m</t>
        </is>
      </c>
      <c r="J44" s="21">
        <f>Tax!J32</f>
        <v/>
      </c>
      <c r="K44" s="21">
        <f>Tax!K32</f>
        <v/>
      </c>
      <c r="L44" s="21">
        <f>Tax!L32</f>
        <v/>
      </c>
      <c r="M44" s="21">
        <f>Tax!M32</f>
        <v/>
      </c>
      <c r="N44" s="21">
        <f>Tax!N32</f>
        <v/>
      </c>
      <c r="O44" s="21">
        <f>Tax!O32</f>
        <v/>
      </c>
      <c r="P44" s="21">
        <f>Tax!P32</f>
        <v/>
      </c>
      <c r="Q44" s="21">
        <f>Tax!Q32</f>
        <v/>
      </c>
      <c r="R44" s="21">
        <f>Tax!R32</f>
        <v/>
      </c>
      <c r="S44" s="21">
        <f>Tax!S32</f>
        <v/>
      </c>
      <c r="T44" s="21">
        <f>Tax!T32</f>
        <v/>
      </c>
      <c r="U44" s="21">
        <f>Tax!U32</f>
        <v/>
      </c>
      <c r="V44" s="21">
        <f>Tax!V32</f>
        <v/>
      </c>
      <c r="W44" s="21">
        <f>Tax!W32</f>
        <v/>
      </c>
      <c r="X44" s="21">
        <f>Tax!X32</f>
        <v/>
      </c>
      <c r="Y44" s="21">
        <f>Tax!Y32</f>
        <v/>
      </c>
      <c r="Z44" s="21">
        <f>Tax!Z32</f>
        <v/>
      </c>
      <c r="AA44" s="21">
        <f>Tax!AA32</f>
        <v/>
      </c>
      <c r="AB44" s="21">
        <f>Tax!AB32</f>
        <v/>
      </c>
      <c r="AC44" s="21">
        <f>Tax!AC32</f>
        <v/>
      </c>
      <c r="AD44" s="21">
        <f>Tax!AD32</f>
        <v/>
      </c>
      <c r="AE44" s="21">
        <f>Tax!AE32</f>
        <v/>
      </c>
      <c r="AF44" s="21">
        <f>Tax!AF32</f>
        <v/>
      </c>
      <c r="AG44" s="21">
        <f>Tax!AG32</f>
        <v/>
      </c>
      <c r="AH44" s="21">
        <f>Tax!AH32</f>
        <v/>
      </c>
      <c r="AI44" s="21">
        <f>Tax!AI32</f>
        <v/>
      </c>
      <c r="AJ44" s="21">
        <f>Tax!AJ32</f>
        <v/>
      </c>
      <c r="AK44" s="21">
        <f>Tax!AK32</f>
        <v/>
      </c>
      <c r="AL44" s="21">
        <f>Tax!AL32</f>
        <v/>
      </c>
      <c r="AM44" s="21">
        <f>Tax!AM32</f>
        <v/>
      </c>
      <c r="AN44" s="21">
        <f>Tax!AN32</f>
        <v/>
      </c>
      <c r="AO44" s="21">
        <f>Tax!AO32</f>
        <v/>
      </c>
      <c r="AP44" s="21">
        <f>Tax!AP32</f>
        <v/>
      </c>
      <c r="AQ44" s="21">
        <f>Tax!AQ32</f>
        <v/>
      </c>
      <c r="AR44" s="21">
        <f>Tax!AR32</f>
        <v/>
      </c>
      <c r="AS44" s="21">
        <f>Tax!AS32</f>
        <v/>
      </c>
      <c r="AT44" s="21">
        <f>Tax!AT32</f>
        <v/>
      </c>
      <c r="AU44" s="21">
        <f>Tax!AU32</f>
        <v/>
      </c>
    </row>
    <row r="45">
      <c r="D45" t="inlineStr">
        <is>
          <t>Fund distributions</t>
        </is>
      </c>
      <c r="E45" t="inlineStr">
        <is>
          <t>USD m</t>
        </is>
      </c>
      <c r="J45" s="21">
        <f>Waterfall!J22</f>
        <v/>
      </c>
      <c r="K45" s="21">
        <f>Waterfall!K22</f>
        <v/>
      </c>
      <c r="L45" s="21">
        <f>Waterfall!L22</f>
        <v/>
      </c>
      <c r="M45" s="21">
        <f>Waterfall!M22</f>
        <v/>
      </c>
      <c r="N45" s="21">
        <f>Waterfall!N22</f>
        <v/>
      </c>
      <c r="O45" s="21">
        <f>Waterfall!O22</f>
        <v/>
      </c>
      <c r="P45" s="21">
        <f>Waterfall!P22</f>
        <v/>
      </c>
      <c r="Q45" s="21">
        <f>Waterfall!Q22</f>
        <v/>
      </c>
      <c r="R45" s="21">
        <f>Waterfall!R22</f>
        <v/>
      </c>
      <c r="S45" s="21">
        <f>Waterfall!S22</f>
        <v/>
      </c>
      <c r="T45" s="21">
        <f>Waterfall!T22</f>
        <v/>
      </c>
      <c r="U45" s="21">
        <f>Waterfall!U22</f>
        <v/>
      </c>
      <c r="V45" s="21">
        <f>Waterfall!V22</f>
        <v/>
      </c>
      <c r="W45" s="21">
        <f>Waterfall!W22</f>
        <v/>
      </c>
      <c r="X45" s="21">
        <f>Waterfall!X22</f>
        <v/>
      </c>
      <c r="Y45" s="21">
        <f>Waterfall!Y22</f>
        <v/>
      </c>
      <c r="Z45" s="21">
        <f>Waterfall!Z22</f>
        <v/>
      </c>
      <c r="AA45" s="21">
        <f>Waterfall!AA22</f>
        <v/>
      </c>
      <c r="AB45" s="21">
        <f>Waterfall!AB22</f>
        <v/>
      </c>
      <c r="AC45" s="21">
        <f>Waterfall!AC22</f>
        <v/>
      </c>
      <c r="AD45" s="21">
        <f>Waterfall!AD22</f>
        <v/>
      </c>
      <c r="AE45" s="21">
        <f>Waterfall!AE22</f>
        <v/>
      </c>
      <c r="AF45" s="21">
        <f>Waterfall!AF22</f>
        <v/>
      </c>
      <c r="AG45" s="21">
        <f>Waterfall!AG22</f>
        <v/>
      </c>
      <c r="AH45" s="21">
        <f>Waterfall!AH22</f>
        <v/>
      </c>
      <c r="AI45" s="21">
        <f>Waterfall!AI22</f>
        <v/>
      </c>
      <c r="AJ45" s="21">
        <f>Waterfall!AJ22</f>
        <v/>
      </c>
      <c r="AK45" s="21">
        <f>Waterfall!AK22</f>
        <v/>
      </c>
      <c r="AL45" s="21">
        <f>Waterfall!AL22</f>
        <v/>
      </c>
      <c r="AM45" s="21">
        <f>Waterfall!AM22</f>
        <v/>
      </c>
      <c r="AN45" s="21">
        <f>Waterfall!AN22</f>
        <v/>
      </c>
      <c r="AO45" s="21">
        <f>Waterfall!AO22</f>
        <v/>
      </c>
      <c r="AP45" s="21">
        <f>Waterfall!AP22</f>
        <v/>
      </c>
      <c r="AQ45" s="21">
        <f>Waterfall!AQ22</f>
        <v/>
      </c>
      <c r="AR45" s="21">
        <f>Waterfall!AR22</f>
        <v/>
      </c>
      <c r="AS45" s="21">
        <f>Waterfall!AS22</f>
        <v/>
      </c>
      <c r="AT45" s="21">
        <f>Waterfall!AT22</f>
        <v/>
      </c>
      <c r="AU45" s="21">
        <f>Waterfall!AU22</f>
        <v/>
      </c>
    </row>
    <row r="46">
      <c r="D46" t="inlineStr">
        <is>
          <t>USPP DSCR</t>
        </is>
      </c>
      <c r="E46" t="inlineStr">
        <is>
          <t>x</t>
        </is>
      </c>
      <c r="J46" s="25">
        <f>Ratios!J10</f>
        <v/>
      </c>
      <c r="K46" s="25">
        <f>Ratios!K10</f>
        <v/>
      </c>
      <c r="L46" s="25">
        <f>Ratios!L10</f>
        <v/>
      </c>
      <c r="M46" s="25">
        <f>Ratios!M10</f>
        <v/>
      </c>
      <c r="N46" s="25">
        <f>Ratios!N10</f>
        <v/>
      </c>
      <c r="O46" s="25">
        <f>Ratios!O10</f>
        <v/>
      </c>
      <c r="P46" s="25">
        <f>Ratios!P10</f>
        <v/>
      </c>
      <c r="Q46" s="25">
        <f>Ratios!Q10</f>
        <v/>
      </c>
      <c r="R46" s="25">
        <f>Ratios!R10</f>
        <v/>
      </c>
      <c r="S46" s="25">
        <f>Ratios!S10</f>
        <v/>
      </c>
      <c r="T46" s="25">
        <f>Ratios!T10</f>
        <v/>
      </c>
      <c r="U46" s="25">
        <f>Ratios!U10</f>
        <v/>
      </c>
      <c r="V46" s="25">
        <f>Ratios!V10</f>
        <v/>
      </c>
      <c r="W46" s="25">
        <f>Ratios!W10</f>
        <v/>
      </c>
      <c r="X46" s="25">
        <f>Ratios!X10</f>
        <v/>
      </c>
      <c r="Y46" s="25">
        <f>Ratios!Y10</f>
        <v/>
      </c>
      <c r="Z46" s="25">
        <f>Ratios!Z10</f>
        <v/>
      </c>
      <c r="AA46" s="25">
        <f>Ratios!AA10</f>
        <v/>
      </c>
      <c r="AB46" s="25">
        <f>Ratios!AB10</f>
        <v/>
      </c>
      <c r="AC46" s="25">
        <f>Ratios!AC10</f>
        <v/>
      </c>
      <c r="AD46" s="25">
        <f>Ratios!AD10</f>
        <v/>
      </c>
      <c r="AE46" s="25">
        <f>Ratios!AE10</f>
        <v/>
      </c>
      <c r="AF46" s="25">
        <f>Ratios!AF10</f>
        <v/>
      </c>
      <c r="AG46" s="25">
        <f>Ratios!AG10</f>
        <v/>
      </c>
      <c r="AH46" s="25">
        <f>Ratios!AH10</f>
        <v/>
      </c>
      <c r="AI46" s="25">
        <f>Ratios!AI10</f>
        <v/>
      </c>
      <c r="AJ46" s="25">
        <f>Ratios!AJ10</f>
        <v/>
      </c>
      <c r="AK46" s="25">
        <f>Ratios!AK10</f>
        <v/>
      </c>
      <c r="AL46" s="25">
        <f>Ratios!AL10</f>
        <v/>
      </c>
      <c r="AM46" s="25">
        <f>Ratios!AM10</f>
        <v/>
      </c>
      <c r="AN46" s="25">
        <f>Ratios!AN10</f>
        <v/>
      </c>
      <c r="AO46" s="25">
        <f>Ratios!AO10</f>
        <v/>
      </c>
      <c r="AP46" s="25">
        <f>Ratios!AP10</f>
        <v/>
      </c>
      <c r="AQ46" s="25">
        <f>Ratios!AQ10</f>
        <v/>
      </c>
      <c r="AR46" s="25">
        <f>Ratios!AR10</f>
        <v/>
      </c>
      <c r="AS46" s="25">
        <f>Ratios!AS10</f>
        <v/>
      </c>
      <c r="AT46" s="25">
        <f>Ratios!AT10</f>
        <v/>
      </c>
      <c r="AU46" s="25">
        <f>Ratios!AU10</f>
        <v/>
      </c>
    </row>
    <row r="47">
      <c r="D47" t="inlineStr">
        <is>
          <t>Holdco coverage</t>
        </is>
      </c>
      <c r="E47" t="inlineStr">
        <is>
          <t>x</t>
        </is>
      </c>
      <c r="J47" s="25">
        <f>Ratios!J12</f>
        <v/>
      </c>
      <c r="K47" s="25">
        <f>Ratios!K12</f>
        <v/>
      </c>
      <c r="L47" s="25">
        <f>Ratios!L12</f>
        <v/>
      </c>
      <c r="M47" s="25">
        <f>Ratios!M12</f>
        <v/>
      </c>
      <c r="N47" s="25">
        <f>Ratios!N12</f>
        <v/>
      </c>
      <c r="O47" s="25">
        <f>Ratios!O12</f>
        <v/>
      </c>
      <c r="P47" s="25">
        <f>Ratios!P12</f>
        <v/>
      </c>
      <c r="Q47" s="25">
        <f>Ratios!Q12</f>
        <v/>
      </c>
      <c r="R47" s="25">
        <f>Ratios!R12</f>
        <v/>
      </c>
      <c r="S47" s="25">
        <f>Ratios!S12</f>
        <v/>
      </c>
      <c r="T47" s="25">
        <f>Ratios!T12</f>
        <v/>
      </c>
      <c r="U47" s="25">
        <f>Ratios!U12</f>
        <v/>
      </c>
      <c r="V47" s="25">
        <f>Ratios!V12</f>
        <v/>
      </c>
      <c r="W47" s="25">
        <f>Ratios!W12</f>
        <v/>
      </c>
      <c r="X47" s="25">
        <f>Ratios!X12</f>
        <v/>
      </c>
      <c r="Y47" s="25">
        <f>Ratios!Y12</f>
        <v/>
      </c>
      <c r="Z47" s="25">
        <f>Ratios!Z12</f>
        <v/>
      </c>
      <c r="AA47" s="25">
        <f>Ratios!AA12</f>
        <v/>
      </c>
      <c r="AB47" s="25">
        <f>Ratios!AB12</f>
        <v/>
      </c>
      <c r="AC47" s="25">
        <f>Ratios!AC12</f>
        <v/>
      </c>
      <c r="AD47" s="25">
        <f>Ratios!AD12</f>
        <v/>
      </c>
      <c r="AE47" s="25">
        <f>Ratios!AE12</f>
        <v/>
      </c>
      <c r="AF47" s="25">
        <f>Ratios!AF12</f>
        <v/>
      </c>
      <c r="AG47" s="25">
        <f>Ratios!AG12</f>
        <v/>
      </c>
      <c r="AH47" s="25">
        <f>Ratios!AH12</f>
        <v/>
      </c>
      <c r="AI47" s="25">
        <f>Ratios!AI12</f>
        <v/>
      </c>
      <c r="AJ47" s="25">
        <f>Ratios!AJ12</f>
        <v/>
      </c>
      <c r="AK47" s="25">
        <f>Ratios!AK12</f>
        <v/>
      </c>
      <c r="AL47" s="25">
        <f>Ratios!AL12</f>
        <v/>
      </c>
      <c r="AM47" s="25">
        <f>Ratios!AM12</f>
        <v/>
      </c>
      <c r="AN47" s="25">
        <f>Ratios!AN12</f>
        <v/>
      </c>
      <c r="AO47" s="25">
        <f>Ratios!AO12</f>
        <v/>
      </c>
      <c r="AP47" s="25">
        <f>Ratios!AP12</f>
        <v/>
      </c>
      <c r="AQ47" s="25">
        <f>Ratios!AQ12</f>
        <v/>
      </c>
      <c r="AR47" s="25">
        <f>Ratios!AR12</f>
        <v/>
      </c>
      <c r="AS47" s="25">
        <f>Ratios!AS12</f>
        <v/>
      </c>
      <c r="AT47" s="25">
        <f>Ratios!AT12</f>
        <v/>
      </c>
      <c r="AU47" s="25">
        <f>Ratios!AU12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2026-10-03T20:32:42Z</dcterms:created>
  <dcterms:modified xsi:type="dcterms:W3CDTF">2026-10-03T20:32:42Z</dcterms:modified>
</cp:coreProperties>
</file>